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Story" sheetId="2" state="visible" r:id="rId2"/>
    <sheet xmlns:r="http://schemas.openxmlformats.org/officeDocument/2006/relationships" name="PL_Flat" sheetId="3" state="visible" r:id="rId3"/>
    <sheet xmlns:r="http://schemas.openxmlformats.org/officeDocument/2006/relationships" name="PBIT_Bridge" sheetId="4" state="visible" r:id="rId4"/>
    <sheet xmlns:r="http://schemas.openxmlformats.org/officeDocument/2006/relationships" name="Picklist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-0.0%;&quot;-&quot;"/>
  </numFmts>
  <fonts count="11">
    <font>
      <name val="Calibri"/>
      <family val="2"/>
      <color theme="1"/>
      <sz val="11"/>
      <scheme val="minor"/>
    </font>
    <font>
      <i val="1"/>
      <color rgb="00C00000"/>
      <sz val="9"/>
    </font>
    <font>
      <color rgb="00808080"/>
      <sz val="8"/>
    </font>
    <font>
      <b val="1"/>
    </font>
    <font/>
    <font>
      <i val="1"/>
    </font>
    <font>
      <b val="1"/>
      <color rgb="00FFFFFF"/>
    </font>
    <font>
      <b val="1"/>
      <color rgb="001F3864"/>
      <sz val="16"/>
    </font>
    <font>
      <i val="1"/>
      <color rgb="005D6B82"/>
    </font>
    <font>
      <b val="1"/>
      <color rgb="001F3864"/>
      <sz val="12"/>
    </font>
    <font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September PBIT: Budget to Actual ($000)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'PBIT_Bridge'!B3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'PBIT_Bridge'!$A$4:$A$10</f>
            </numRef>
          </cat>
          <val>
            <numRef>
              <f>'PBIT_Bridge'!$B$4:$B$10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_Flat" displayName="PL_Flat" ref="A1:N50" headerRowCount="1">
  <autoFilter ref="A1:N50"/>
  <tableColumns count="14">
    <tableColumn id="1" name="Account"/>
    <tableColumn id="2" name="Description"/>
    <tableColumn id="3" name="Subtotal"/>
    <tableColumn id="4" name="Category"/>
    <tableColumn id="5" name="Month Actual"/>
    <tableColumn id="6" name="Month Budget"/>
    <tableColumn id="7" name="Month Var vs Bud $"/>
    <tableColumn id="8" name="Month PY"/>
    <tableColumn id="9" name="Month Var vs PY $"/>
    <tableColumn id="10" name="YTD Actual"/>
    <tableColumn id="11" name="YTD Budget"/>
    <tableColumn id="12" name="YTD Var vs Bud $"/>
    <tableColumn id="13" name="YTD PY"/>
    <tableColumn id="14" name="YTD Var vs PY $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Granite Gloves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4751.6</v>
      </c>
      <c r="G36" s="7" t="n">
        <v>5210.6</v>
      </c>
      <c r="H36" s="7" t="n">
        <v>-459</v>
      </c>
      <c r="I36" s="8" t="n">
        <v>-0.0881</v>
      </c>
      <c r="K36" s="7" t="n">
        <v>5127.4</v>
      </c>
      <c r="L36" s="7" t="n">
        <v>-375.8</v>
      </c>
      <c r="M36" s="8" t="n">
        <v>-0.0733</v>
      </c>
      <c r="O36" s="7" t="n">
        <v>45124.5</v>
      </c>
      <c r="P36" s="7" t="n">
        <v>47693.2</v>
      </c>
      <c r="Q36" s="7" t="n">
        <v>-2568.7</v>
      </c>
      <c r="R36" s="8" t="n">
        <v>-0.0539</v>
      </c>
      <c r="T36" s="7" t="n">
        <v>46389.9</v>
      </c>
      <c r="U36" s="7" t="n">
        <v>-1265.4</v>
      </c>
      <c r="V36" s="8" t="n">
        <v>-0.0273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4751.6</v>
      </c>
      <c r="G37" s="9" t="n">
        <v>5210.6</v>
      </c>
      <c r="H37" s="9" t="n">
        <v>-459</v>
      </c>
      <c r="I37" s="10" t="n">
        <v>-0.0881</v>
      </c>
      <c r="J37" s="3" t="n"/>
      <c r="K37" s="9" t="n">
        <v>5127.4</v>
      </c>
      <c r="L37" s="9" t="n">
        <v>-375.8</v>
      </c>
      <c r="M37" s="10" t="n">
        <v>-0.0733</v>
      </c>
      <c r="N37" s="3" t="n"/>
      <c r="O37" s="9" t="n">
        <v>45124.5</v>
      </c>
      <c r="P37" s="9" t="n">
        <v>47693.2</v>
      </c>
      <c r="Q37" s="9" t="n">
        <v>-2568.7</v>
      </c>
      <c r="R37" s="10" t="n">
        <v>-0.0539</v>
      </c>
      <c r="S37" s="3" t="n"/>
      <c r="T37" s="9" t="n">
        <v>46389.9</v>
      </c>
      <c r="U37" s="9" t="n">
        <v>-1265.4</v>
      </c>
      <c r="V37" s="10" t="n">
        <v>-0.0273</v>
      </c>
    </row>
    <row r="38">
      <c r="B38" t="inlineStr">
        <is>
          <t>4100-1010 - DIRECT SHIP</t>
        </is>
      </c>
      <c r="F38" s="7" t="n">
        <v>208.4</v>
      </c>
      <c r="G38" s="7" t="n">
        <v>217.1</v>
      </c>
      <c r="H38" s="7" t="n">
        <v>-8.699999999999999</v>
      </c>
      <c r="I38" s="8" t="n">
        <v>-0.0401</v>
      </c>
      <c r="K38" s="7" t="n">
        <v>213.6</v>
      </c>
      <c r="L38" s="7" t="n">
        <v>-5.2</v>
      </c>
      <c r="M38" s="8" t="n">
        <v>-0.0243</v>
      </c>
      <c r="O38" s="7" t="n">
        <v>1890.5</v>
      </c>
      <c r="P38" s="7" t="n">
        <v>1987.2</v>
      </c>
      <c r="Q38" s="7" t="n">
        <v>-96.7</v>
      </c>
      <c r="R38" s="8" t="n">
        <v>-0.0487</v>
      </c>
      <c r="T38" s="7" t="n">
        <v>1932.8</v>
      </c>
      <c r="U38" s="7" t="n">
        <v>-42.3</v>
      </c>
      <c r="V38" s="8" t="n">
        <v>-0.0219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208.4</v>
      </c>
      <c r="G39" s="9" t="n">
        <v>217.1</v>
      </c>
      <c r="H39" s="9" t="n">
        <v>-8.699999999999999</v>
      </c>
      <c r="I39" s="10" t="n">
        <v>-0.0401</v>
      </c>
      <c r="J39" s="3" t="n"/>
      <c r="K39" s="9" t="n">
        <v>213.6</v>
      </c>
      <c r="L39" s="9" t="n">
        <v>-5.2</v>
      </c>
      <c r="M39" s="10" t="n">
        <v>-0.0243</v>
      </c>
      <c r="N39" s="3" t="n"/>
      <c r="O39" s="9" t="n">
        <v>1890.5</v>
      </c>
      <c r="P39" s="9" t="n">
        <v>1987.2</v>
      </c>
      <c r="Q39" s="9" t="n">
        <v>-96.7</v>
      </c>
      <c r="R39" s="10" t="n">
        <v>-0.0487</v>
      </c>
      <c r="S39" s="3" t="n"/>
      <c r="T39" s="9" t="n">
        <v>1932.8</v>
      </c>
      <c r="U39" s="9" t="n">
        <v>-42.3</v>
      </c>
      <c r="V39" s="10" t="n">
        <v>-0.0219</v>
      </c>
    </row>
    <row r="40">
      <c r="B40" t="inlineStr">
        <is>
          <t>4100-1100 - RETURNS AND ALLOWANCES</t>
        </is>
      </c>
      <c r="F40" s="7" t="n">
        <v>-35.5</v>
      </c>
      <c r="G40" s="7" t="n">
        <v>-37.8</v>
      </c>
      <c r="H40" s="7" t="n">
        <v>2.3</v>
      </c>
      <c r="I40" s="8" t="n">
        <v>-0.0608</v>
      </c>
      <c r="K40" s="7" t="n">
        <v>-33.2</v>
      </c>
      <c r="L40" s="7" t="n">
        <v>-2.3</v>
      </c>
      <c r="M40" s="8" t="n">
        <v>0.0693</v>
      </c>
      <c r="O40" s="7" t="n">
        <v>-311.1</v>
      </c>
      <c r="P40" s="7" t="n">
        <v>-334.4</v>
      </c>
      <c r="Q40" s="7" t="n">
        <v>23.3</v>
      </c>
      <c r="R40" s="8" t="n">
        <v>-0.0697</v>
      </c>
      <c r="T40" s="7" t="n">
        <v>-311.3</v>
      </c>
      <c r="U40" s="7" t="n">
        <v>0.2</v>
      </c>
      <c r="V40" s="8" t="n">
        <v>-0.0005999999999999999</v>
      </c>
    </row>
    <row r="41">
      <c r="B41" t="inlineStr">
        <is>
          <t>4100-1110 - CUSTOMER TERMS DISCOUNT</t>
        </is>
      </c>
      <c r="F41" s="7" t="n">
        <v>-26.6</v>
      </c>
      <c r="G41" s="7" t="n">
        <v>-27.8</v>
      </c>
      <c r="H41" s="7" t="n">
        <v>1.2</v>
      </c>
      <c r="I41" s="8" t="n">
        <v>-0.0432</v>
      </c>
      <c r="K41" s="7" t="n">
        <v>-27.4</v>
      </c>
      <c r="L41" s="7" t="n">
        <v>0.8</v>
      </c>
      <c r="M41" s="8" t="n">
        <v>-0.0292</v>
      </c>
      <c r="O41" s="7" t="n">
        <v>-227.6</v>
      </c>
      <c r="P41" s="7" t="n">
        <v>-243.2</v>
      </c>
      <c r="Q41" s="7" t="n">
        <v>15.6</v>
      </c>
      <c r="R41" s="8" t="n">
        <v>-0.0641</v>
      </c>
      <c r="T41" s="7" t="n">
        <v>-237.2</v>
      </c>
      <c r="U41" s="7" t="n">
        <v>9.6</v>
      </c>
      <c r="V41" s="8" t="n">
        <v>-0.0405</v>
      </c>
    </row>
    <row r="42">
      <c r="B42" t="inlineStr">
        <is>
          <t>4100-1130 - TRADE DISCOUNTS</t>
        </is>
      </c>
      <c r="F42" s="7" t="n">
        <v>-232.5</v>
      </c>
      <c r="G42" s="7" t="n">
        <v>-53.9</v>
      </c>
      <c r="H42" s="7" t="n">
        <v>-178.6</v>
      </c>
      <c r="I42" s="8" t="n">
        <v>3.3135</v>
      </c>
      <c r="K42" s="7" t="n">
        <v>-57.6</v>
      </c>
      <c r="L42" s="7" t="n">
        <v>-174.9</v>
      </c>
      <c r="M42" s="8" t="n">
        <v>3.0365</v>
      </c>
      <c r="O42" s="7" t="n">
        <v>-684.3</v>
      </c>
      <c r="P42" s="7" t="n">
        <v>-516.7</v>
      </c>
      <c r="Q42" s="7" t="n">
        <v>-167.6</v>
      </c>
      <c r="R42" s="8" t="n">
        <v>0.3244</v>
      </c>
      <c r="T42" s="7" t="n">
        <v>-513.9</v>
      </c>
      <c r="U42" s="7" t="n">
        <v>-170.4</v>
      </c>
      <c r="V42" s="8" t="n">
        <v>0.3316</v>
      </c>
    </row>
    <row r="43">
      <c r="B43" t="inlineStr">
        <is>
          <t>4100-1225 - MISC. ALLOWANCES</t>
        </is>
      </c>
      <c r="F43" s="7" t="n">
        <v>-6.6</v>
      </c>
      <c r="G43" s="7" t="n">
        <v>-6.8</v>
      </c>
      <c r="H43" s="7" t="n">
        <v>0.2</v>
      </c>
      <c r="I43" s="8" t="n">
        <v>-0.0294</v>
      </c>
      <c r="K43" s="7" t="n">
        <v>-6.5</v>
      </c>
      <c r="L43" s="7" t="n">
        <v>-0.1</v>
      </c>
      <c r="M43" s="8" t="n">
        <v>0.0154</v>
      </c>
      <c r="O43" s="7" t="n">
        <v>-60.9</v>
      </c>
      <c r="P43" s="7" t="n">
        <v>-64.2</v>
      </c>
      <c r="Q43" s="7" t="n">
        <v>3.3</v>
      </c>
      <c r="R43" s="8" t="n">
        <v>-0.0514</v>
      </c>
      <c r="T43" s="7" t="n">
        <v>-63.3</v>
      </c>
      <c r="U43" s="7" t="n">
        <v>2.4</v>
      </c>
      <c r="V43" s="8" t="n">
        <v>-0.0379</v>
      </c>
    </row>
    <row r="44">
      <c r="B44" t="inlineStr">
        <is>
          <t>4100-1300 - FREIGHT BILLED</t>
        </is>
      </c>
      <c r="F44" s="7" t="n">
        <v>6.5</v>
      </c>
      <c r="G44" s="7" t="n">
        <v>6.9</v>
      </c>
      <c r="H44" s="7" t="n">
        <v>-0.4</v>
      </c>
      <c r="I44" s="8" t="n">
        <v>-0.058</v>
      </c>
      <c r="K44" s="7" t="n">
        <v>7.1</v>
      </c>
      <c r="L44" s="7" t="n">
        <v>-0.6</v>
      </c>
      <c r="M44" s="8" t="n">
        <v>-0.08450000000000001</v>
      </c>
      <c r="O44" s="7" t="n">
        <v>64</v>
      </c>
      <c r="P44" s="7" t="n">
        <v>65.59999999999999</v>
      </c>
      <c r="Q44" s="7" t="n">
        <v>-1.6</v>
      </c>
      <c r="R44" s="8" t="n">
        <v>-0.0244</v>
      </c>
      <c r="T44" s="7" t="n">
        <v>62.5</v>
      </c>
      <c r="U44" s="7" t="n">
        <v>1.5</v>
      </c>
      <c r="V44" s="8" t="n">
        <v>0.024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-294.7</v>
      </c>
      <c r="G45" s="9" t="n">
        <v>-119.4</v>
      </c>
      <c r="H45" s="9" t="n">
        <v>-175.3</v>
      </c>
      <c r="I45" s="10" t="n">
        <v>1.4682</v>
      </c>
      <c r="J45" s="3" t="n"/>
      <c r="K45" s="9" t="n">
        <v>-117.6</v>
      </c>
      <c r="L45" s="9" t="n">
        <v>-177.1</v>
      </c>
      <c r="M45" s="10" t="n">
        <v>1.506</v>
      </c>
      <c r="N45" s="3" t="n"/>
      <c r="O45" s="9" t="n">
        <v>-1219.9</v>
      </c>
      <c r="P45" s="9" t="n">
        <v>-1092.9</v>
      </c>
      <c r="Q45" s="9" t="n">
        <v>-127</v>
      </c>
      <c r="R45" s="10" t="n">
        <v>0.1162</v>
      </c>
      <c r="S45" s="3" t="n"/>
      <c r="T45" s="9" t="n">
        <v>-1063.2</v>
      </c>
      <c r="U45" s="9" t="n">
        <v>-156.7</v>
      </c>
      <c r="V45" s="10" t="n">
        <v>0.1474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4665.3</v>
      </c>
      <c r="G46" s="12" t="n">
        <v>5308.3</v>
      </c>
      <c r="H46" s="12" t="n">
        <v>-643</v>
      </c>
      <c r="I46" s="13" t="n">
        <v>-0.1211</v>
      </c>
      <c r="J46" s="11" t="n"/>
      <c r="K46" s="12" t="n">
        <v>5223.4</v>
      </c>
      <c r="L46" s="12" t="n">
        <v>-558.1</v>
      </c>
      <c r="M46" s="13" t="n">
        <v>-0.1068</v>
      </c>
      <c r="N46" s="11" t="n"/>
      <c r="O46" s="12" t="n">
        <v>45795.1</v>
      </c>
      <c r="P46" s="12" t="n">
        <v>48587.5</v>
      </c>
      <c r="Q46" s="12" t="n">
        <v>-2792.4</v>
      </c>
      <c r="R46" s="13" t="n">
        <v>-0.0575</v>
      </c>
      <c r="S46" s="11" t="n"/>
      <c r="T46" s="12" t="n">
        <v>47259.5</v>
      </c>
      <c r="U46" s="12" t="n">
        <v>-1464.4</v>
      </c>
      <c r="V46" s="13" t="n">
        <v>-0.031</v>
      </c>
    </row>
    <row r="47">
      <c r="B47" t="inlineStr">
        <is>
          <t>4200-1000 - WAREHOUSE</t>
        </is>
      </c>
      <c r="F47" s="7" t="n">
        <v>3272.8</v>
      </c>
      <c r="G47" s="7" t="n">
        <v>3508</v>
      </c>
      <c r="H47" s="7" t="n">
        <v>-235.2</v>
      </c>
      <c r="I47" s="8" t="n">
        <v>-0.067</v>
      </c>
      <c r="K47" s="7" t="n">
        <v>3438.5</v>
      </c>
      <c r="L47" s="7" t="n">
        <v>-165.7</v>
      </c>
      <c r="M47" s="8" t="n">
        <v>-0.0482</v>
      </c>
      <c r="O47" s="7" t="n">
        <v>31051.3</v>
      </c>
      <c r="P47" s="7" t="n">
        <v>32115.7</v>
      </c>
      <c r="Q47" s="7" t="n">
        <v>-1064.4</v>
      </c>
      <c r="R47" s="8" t="n">
        <v>-0.0331</v>
      </c>
      <c r="T47" s="7" t="n">
        <v>30956.7</v>
      </c>
      <c r="U47" s="7" t="n">
        <v>94.59999999999999</v>
      </c>
      <c r="V47" s="8" t="n">
        <v>0.0031</v>
      </c>
    </row>
    <row r="48">
      <c r="B48" t="inlineStr">
        <is>
          <t>4200-1005 - INVENTORY ADJUSTMENT</t>
        </is>
      </c>
      <c r="F48" s="7" t="n">
        <v>12.9</v>
      </c>
      <c r="G48" s="7" t="n">
        <v>12.1</v>
      </c>
      <c r="H48" s="7" t="n">
        <v>0.8</v>
      </c>
      <c r="I48" s="8" t="n">
        <v>0.06610000000000001</v>
      </c>
      <c r="K48" s="7" t="n">
        <v>12.3</v>
      </c>
      <c r="L48" s="7" t="n">
        <v>0.6</v>
      </c>
      <c r="M48" s="8" t="n">
        <v>0.0488</v>
      </c>
      <c r="O48" s="7" t="n">
        <v>101.5</v>
      </c>
      <c r="P48" s="7" t="n">
        <v>104.2</v>
      </c>
      <c r="Q48" s="7" t="n">
        <v>-2.7</v>
      </c>
      <c r="R48" s="8" t="n">
        <v>-0.0259</v>
      </c>
      <c r="T48" s="7" t="n">
        <v>108</v>
      </c>
      <c r="U48" s="7" t="n">
        <v>-6.5</v>
      </c>
      <c r="V48" s="8" t="n">
        <v>-0.0602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3285.7</v>
      </c>
      <c r="G49" s="9" t="n">
        <v>3520.1</v>
      </c>
      <c r="H49" s="9" t="n">
        <v>-234.4</v>
      </c>
      <c r="I49" s="10" t="n">
        <v>-0.06660000000000001</v>
      </c>
      <c r="J49" s="3" t="n"/>
      <c r="K49" s="9" t="n">
        <v>3450.8</v>
      </c>
      <c r="L49" s="9" t="n">
        <v>-165.1</v>
      </c>
      <c r="M49" s="10" t="n">
        <v>-0.0478</v>
      </c>
      <c r="N49" s="3" t="n"/>
      <c r="O49" s="9" t="n">
        <v>31152.8</v>
      </c>
      <c r="P49" s="9" t="n">
        <v>32219.9</v>
      </c>
      <c r="Q49" s="9" t="n">
        <v>-1067.1</v>
      </c>
      <c r="R49" s="10" t="n">
        <v>-0.0331</v>
      </c>
      <c r="S49" s="3" t="n"/>
      <c r="T49" s="9" t="n">
        <v>31064.7</v>
      </c>
      <c r="U49" s="9" t="n">
        <v>88.09999999999999</v>
      </c>
      <c r="V49" s="10" t="n">
        <v>0.0028</v>
      </c>
    </row>
    <row r="50">
      <c r="B50" t="inlineStr">
        <is>
          <t>4200-1010 - DIRECT SHIP</t>
        </is>
      </c>
      <c r="F50" s="7" t="n">
        <v>177.1</v>
      </c>
      <c r="G50" s="7" t="n">
        <v>184.5</v>
      </c>
      <c r="H50" s="7" t="n">
        <v>-7.4</v>
      </c>
      <c r="I50" s="8" t="n">
        <v>-0.0401</v>
      </c>
      <c r="K50" s="7" t="n">
        <v>181.6</v>
      </c>
      <c r="L50" s="7" t="n">
        <v>-4.5</v>
      </c>
      <c r="M50" s="8" t="n">
        <v>-0.0248</v>
      </c>
      <c r="O50" s="7" t="n">
        <v>1606.9</v>
      </c>
      <c r="P50" s="7" t="n">
        <v>1689.1</v>
      </c>
      <c r="Q50" s="7" t="n">
        <v>-82.2</v>
      </c>
      <c r="R50" s="8" t="n">
        <v>-0.0487</v>
      </c>
      <c r="T50" s="7" t="n">
        <v>1642.9</v>
      </c>
      <c r="U50" s="7" t="n">
        <v>-36</v>
      </c>
      <c r="V50" s="8" t="n">
        <v>-0.0219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177.1</v>
      </c>
      <c r="G51" s="9" t="n">
        <v>184.5</v>
      </c>
      <c r="H51" s="9" t="n">
        <v>-7.4</v>
      </c>
      <c r="I51" s="10" t="n">
        <v>-0.0401</v>
      </c>
      <c r="J51" s="3" t="n"/>
      <c r="K51" s="9" t="n">
        <v>181.6</v>
      </c>
      <c r="L51" s="9" t="n">
        <v>-4.5</v>
      </c>
      <c r="M51" s="10" t="n">
        <v>-0.0248</v>
      </c>
      <c r="N51" s="3" t="n"/>
      <c r="O51" s="9" t="n">
        <v>1606.9</v>
      </c>
      <c r="P51" s="9" t="n">
        <v>1689.1</v>
      </c>
      <c r="Q51" s="9" t="n">
        <v>-82.2</v>
      </c>
      <c r="R51" s="10" t="n">
        <v>-0.0487</v>
      </c>
      <c r="S51" s="3" t="n"/>
      <c r="T51" s="9" t="n">
        <v>1642.9</v>
      </c>
      <c r="U51" s="9" t="n">
        <v>-36</v>
      </c>
      <c r="V51" s="10" t="n">
        <v>-0.0219</v>
      </c>
    </row>
    <row r="52">
      <c r="B52" t="inlineStr">
        <is>
          <t>4200-1200 - VENDOR TERMS DISCOUNT</t>
        </is>
      </c>
      <c r="F52" s="7" t="n">
        <v>-29.1</v>
      </c>
      <c r="G52" s="7" t="n">
        <v>-29.7</v>
      </c>
      <c r="H52" s="7" t="n">
        <v>0.6</v>
      </c>
      <c r="I52" s="8" t="n">
        <v>-0.0202</v>
      </c>
      <c r="K52" s="7" t="n">
        <v>-29.1</v>
      </c>
      <c r="L52" s="7" t="n">
        <v>0</v>
      </c>
      <c r="M52" s="8" t="n">
        <v>-0</v>
      </c>
      <c r="O52" s="7" t="n">
        <v>-264.2</v>
      </c>
      <c r="P52" s="7" t="n">
        <v>-271.9</v>
      </c>
      <c r="Q52" s="7" t="n">
        <v>7.7</v>
      </c>
      <c r="R52" s="8" t="n">
        <v>-0.0283</v>
      </c>
      <c r="T52" s="7" t="n">
        <v>-262.5</v>
      </c>
      <c r="U52" s="7" t="n">
        <v>-1.7</v>
      </c>
      <c r="V52" s="8" t="n">
        <v>0.0065</v>
      </c>
    </row>
    <row r="53">
      <c r="B53" t="inlineStr">
        <is>
          <t>4200-1210 - VENDOR VOLUME REBATES</t>
        </is>
      </c>
      <c r="F53" s="7" t="n">
        <v>-91</v>
      </c>
      <c r="G53" s="7" t="n">
        <v>-92.90000000000001</v>
      </c>
      <c r="H53" s="7" t="n">
        <v>1.9</v>
      </c>
      <c r="I53" s="8" t="n">
        <v>-0.0205</v>
      </c>
      <c r="K53" s="7" t="n">
        <v>-91.09999999999999</v>
      </c>
      <c r="L53" s="7" t="n">
        <v>0.1</v>
      </c>
      <c r="M53" s="8" t="n">
        <v>-0.0011</v>
      </c>
      <c r="O53" s="7" t="n">
        <v>-825.7</v>
      </c>
      <c r="P53" s="7" t="n">
        <v>-850.4</v>
      </c>
      <c r="Q53" s="7" t="n">
        <v>24.7</v>
      </c>
      <c r="R53" s="8" t="n">
        <v>-0.029</v>
      </c>
      <c r="T53" s="7" t="n">
        <v>-820.1</v>
      </c>
      <c r="U53" s="7" t="n">
        <v>-5.6</v>
      </c>
      <c r="V53" s="8" t="n">
        <v>0.0068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-120.1</v>
      </c>
      <c r="G54" s="9" t="n">
        <v>-122.6</v>
      </c>
      <c r="H54" s="9" t="n">
        <v>2.5</v>
      </c>
      <c r="I54" s="10" t="n">
        <v>-0.0204</v>
      </c>
      <c r="J54" s="3" t="n"/>
      <c r="K54" s="9" t="n">
        <v>-120.2</v>
      </c>
      <c r="L54" s="9" t="n">
        <v>0.1</v>
      </c>
      <c r="M54" s="10" t="n">
        <v>-0.0008</v>
      </c>
      <c r="N54" s="3" t="n"/>
      <c r="O54" s="9" t="n">
        <v>-1089.9</v>
      </c>
      <c r="P54" s="9" t="n">
        <v>-1122.3</v>
      </c>
      <c r="Q54" s="9" t="n">
        <v>32.4</v>
      </c>
      <c r="R54" s="10" t="n">
        <v>-0.0289</v>
      </c>
      <c r="S54" s="3" t="n"/>
      <c r="T54" s="9" t="n">
        <v>-1082.6</v>
      </c>
      <c r="U54" s="9" t="n">
        <v>-7.3</v>
      </c>
      <c r="V54" s="10" t="n">
        <v>0.0067</v>
      </c>
    </row>
    <row r="55">
      <c r="B55" t="inlineStr">
        <is>
          <t>4200-1300 - FREIGHT IN</t>
        </is>
      </c>
      <c r="F55" s="7" t="n">
        <v>109.2</v>
      </c>
      <c r="G55" s="7" t="n">
        <v>111.5</v>
      </c>
      <c r="H55" s="7" t="n">
        <v>-2.3</v>
      </c>
      <c r="I55" s="8" t="n">
        <v>-0.0206</v>
      </c>
      <c r="K55" s="7" t="n">
        <v>109.3</v>
      </c>
      <c r="L55" s="7" t="n">
        <v>-0.1</v>
      </c>
      <c r="M55" s="8" t="n">
        <v>-0.0009</v>
      </c>
      <c r="O55" s="7" t="n">
        <v>990.8</v>
      </c>
      <c r="P55" s="7" t="n">
        <v>1020.4</v>
      </c>
      <c r="Q55" s="7" t="n">
        <v>-29.6</v>
      </c>
      <c r="R55" s="8" t="n">
        <v>-0.029</v>
      </c>
      <c r="T55" s="7" t="n">
        <v>984.1</v>
      </c>
      <c r="U55" s="7" t="n">
        <v>6.7</v>
      </c>
      <c r="V55" s="8" t="n">
        <v>0.0068</v>
      </c>
    </row>
    <row r="56">
      <c r="B56" t="inlineStr">
        <is>
          <t>4200-1400 - OBSOLETE INVENTORY</t>
        </is>
      </c>
      <c r="F56" s="7" t="n">
        <v>14.6</v>
      </c>
      <c r="G56" s="7" t="n">
        <v>14.9</v>
      </c>
      <c r="H56" s="7" t="n">
        <v>-0.3</v>
      </c>
      <c r="I56" s="8" t="n">
        <v>-0.0201</v>
      </c>
      <c r="K56" s="7" t="n">
        <v>14.6</v>
      </c>
      <c r="L56" s="7" t="n">
        <v>0</v>
      </c>
      <c r="M56" s="8" t="n">
        <v>0</v>
      </c>
      <c r="O56" s="7" t="n">
        <v>132.2</v>
      </c>
      <c r="P56" s="7" t="n">
        <v>136.2</v>
      </c>
      <c r="Q56" s="7" t="n">
        <v>-4</v>
      </c>
      <c r="R56" s="8" t="n">
        <v>-0.0294</v>
      </c>
      <c r="T56" s="7" t="n">
        <v>131.2</v>
      </c>
      <c r="U56" s="7" t="n">
        <v>1</v>
      </c>
      <c r="V56" s="8" t="n">
        <v>0.0076</v>
      </c>
    </row>
    <row r="57">
      <c r="B57" t="inlineStr">
        <is>
          <t>4200-1410 - DAMAGED INVENTORY</t>
        </is>
      </c>
      <c r="F57" s="7" t="n">
        <v>7.3</v>
      </c>
      <c r="G57" s="7" t="n">
        <v>7.4</v>
      </c>
      <c r="H57" s="7" t="n">
        <v>-0.1</v>
      </c>
      <c r="I57" s="8" t="n">
        <v>-0.0135</v>
      </c>
      <c r="K57" s="7" t="n">
        <v>7.3</v>
      </c>
      <c r="L57" s="7" t="n">
        <v>0</v>
      </c>
      <c r="M57" s="8" t="n">
        <v>0</v>
      </c>
      <c r="O57" s="7" t="n">
        <v>66</v>
      </c>
      <c r="P57" s="7" t="n">
        <v>68</v>
      </c>
      <c r="Q57" s="7" t="n">
        <v>-2</v>
      </c>
      <c r="R57" s="8" t="n">
        <v>-0.0294</v>
      </c>
      <c r="T57" s="7" t="n">
        <v>65.59999999999999</v>
      </c>
      <c r="U57" s="7" t="n">
        <v>0.4</v>
      </c>
      <c r="V57" s="8" t="n">
        <v>0.0061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131.1</v>
      </c>
      <c r="G58" s="9" t="n">
        <v>133.8</v>
      </c>
      <c r="H58" s="9" t="n">
        <v>-2.7</v>
      </c>
      <c r="I58" s="10" t="n">
        <v>-0.0202</v>
      </c>
      <c r="J58" s="3" t="n"/>
      <c r="K58" s="9" t="n">
        <v>131.2</v>
      </c>
      <c r="L58" s="9" t="n">
        <v>-0.1</v>
      </c>
      <c r="M58" s="10" t="n">
        <v>-0.0008</v>
      </c>
      <c r="N58" s="3" t="n"/>
      <c r="O58" s="9" t="n">
        <v>1189</v>
      </c>
      <c r="P58" s="9" t="n">
        <v>1224.6</v>
      </c>
      <c r="Q58" s="9" t="n">
        <v>-35.6</v>
      </c>
      <c r="R58" s="10" t="n">
        <v>-0.0291</v>
      </c>
      <c r="S58" s="3" t="n"/>
      <c r="T58" s="9" t="n">
        <v>1180.9</v>
      </c>
      <c r="U58" s="9" t="n">
        <v>8.1</v>
      </c>
      <c r="V58" s="10" t="n">
        <v>0.0069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3473.8</v>
      </c>
      <c r="G59" s="12" t="n">
        <v>3715.8</v>
      </c>
      <c r="H59" s="12" t="n">
        <v>-242</v>
      </c>
      <c r="I59" s="13" t="n">
        <v>-0.06510000000000001</v>
      </c>
      <c r="J59" s="11" t="n"/>
      <c r="K59" s="12" t="n">
        <v>3643.4</v>
      </c>
      <c r="L59" s="12" t="n">
        <v>-169.6</v>
      </c>
      <c r="M59" s="13" t="n">
        <v>-0.0465</v>
      </c>
      <c r="N59" s="11" t="n"/>
      <c r="O59" s="12" t="n">
        <v>32858.8</v>
      </c>
      <c r="P59" s="12" t="n">
        <v>34011.3</v>
      </c>
      <c r="Q59" s="12" t="n">
        <v>-1152.5</v>
      </c>
      <c r="R59" s="13" t="n">
        <v>-0.0339</v>
      </c>
      <c r="S59" s="11" t="n"/>
      <c r="T59" s="12" t="n">
        <v>32805.9</v>
      </c>
      <c r="U59" s="12" t="n">
        <v>52.9</v>
      </c>
      <c r="V59" s="13" t="n">
        <v>0.0016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1191.5</v>
      </c>
      <c r="G60" s="12" t="n">
        <v>1592.5</v>
      </c>
      <c r="H60" s="12" t="n">
        <v>-401</v>
      </c>
      <c r="I60" s="13" t="n">
        <v>-0.2518</v>
      </c>
      <c r="J60" s="11" t="n"/>
      <c r="K60" s="12" t="n">
        <v>1580</v>
      </c>
      <c r="L60" s="12" t="n">
        <v>-388.5</v>
      </c>
      <c r="M60" s="13" t="n">
        <v>-0.2459</v>
      </c>
      <c r="N60" s="11" t="n"/>
      <c r="O60" s="12" t="n">
        <v>12936.3</v>
      </c>
      <c r="P60" s="12" t="n">
        <v>14576.2</v>
      </c>
      <c r="Q60" s="12" t="n">
        <v>-1639.9</v>
      </c>
      <c r="R60" s="13" t="n">
        <v>-0.1125</v>
      </c>
      <c r="S60" s="11" t="n"/>
      <c r="T60" s="12" t="n">
        <v>14453.6</v>
      </c>
      <c r="U60" s="12" t="n">
        <v>-1517.3</v>
      </c>
      <c r="V60" s="13" t="n">
        <v>-0.105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0.2553962231796454</v>
      </c>
      <c r="G61" s="13" t="n">
        <v>0.3000018838422847</v>
      </c>
      <c r="H61" s="13" t="n">
        <v>-0.04461</v>
      </c>
      <c r="I61" s="11" t="n"/>
      <c r="J61" s="11" t="n"/>
      <c r="K61" s="13" t="n">
        <v>0.3024849714745185</v>
      </c>
      <c r="L61" s="13" t="n">
        <v>-0.04709</v>
      </c>
      <c r="M61" s="11" t="n"/>
      <c r="N61" s="11" t="n"/>
      <c r="O61" s="13" t="n">
        <v>0.2824821869588668</v>
      </c>
      <c r="P61" s="13" t="n">
        <v>0.2999989709287368</v>
      </c>
      <c r="Q61" s="13" t="n">
        <v>-0.01752</v>
      </c>
      <c r="R61" s="11" t="n"/>
      <c r="S61" s="11" t="n"/>
      <c r="T61" s="13" t="n">
        <v>0.3058348057004412</v>
      </c>
      <c r="U61" s="13" t="n">
        <v>-0.02335</v>
      </c>
      <c r="V61" s="11" t="n"/>
    </row>
    <row r="62">
      <c r="B62" t="inlineStr">
        <is>
          <t>5100-2100 - SALES SALARIES</t>
        </is>
      </c>
      <c r="F62" s="7" t="n">
        <v>159.7</v>
      </c>
      <c r="G62" s="7" t="n">
        <v>158.8</v>
      </c>
      <c r="H62" s="7" t="n">
        <v>0.9</v>
      </c>
      <c r="I62" s="8" t="n">
        <v>0.0057</v>
      </c>
      <c r="K62" s="7" t="n">
        <v>158.3</v>
      </c>
      <c r="L62" s="7" t="n">
        <v>1.4</v>
      </c>
      <c r="M62" s="8" t="n">
        <v>0.008800000000000001</v>
      </c>
      <c r="O62" s="7" t="n">
        <v>1434.2</v>
      </c>
      <c r="P62" s="7" t="n">
        <v>1453.7</v>
      </c>
      <c r="Q62" s="7" t="n">
        <v>-19.5</v>
      </c>
      <c r="R62" s="8" t="n">
        <v>-0.0134</v>
      </c>
      <c r="T62" s="7" t="n">
        <v>1418.8</v>
      </c>
      <c r="U62" s="7" t="n">
        <v>15.4</v>
      </c>
      <c r="V62" s="8" t="n">
        <v>0.0109</v>
      </c>
    </row>
    <row r="63">
      <c r="B63" t="inlineStr">
        <is>
          <t>5100-2200 - COMMISSIONS</t>
        </is>
      </c>
      <c r="F63" s="7" t="n">
        <v>48.7</v>
      </c>
      <c r="G63" s="7" t="n">
        <v>50.5</v>
      </c>
      <c r="H63" s="7" t="n">
        <v>-1.8</v>
      </c>
      <c r="I63" s="8" t="n">
        <v>-0.0356</v>
      </c>
      <c r="K63" s="7" t="n">
        <v>48.6</v>
      </c>
      <c r="L63" s="7" t="n">
        <v>0.1</v>
      </c>
      <c r="M63" s="8" t="n">
        <v>0.0021</v>
      </c>
      <c r="O63" s="7" t="n">
        <v>437</v>
      </c>
      <c r="P63" s="7" t="n">
        <v>462.6</v>
      </c>
      <c r="Q63" s="7" t="n">
        <v>-25.6</v>
      </c>
      <c r="R63" s="8" t="n">
        <v>-0.0553</v>
      </c>
      <c r="T63" s="7" t="n">
        <v>458</v>
      </c>
      <c r="U63" s="7" t="n">
        <v>-21</v>
      </c>
      <c r="V63" s="8" t="n">
        <v>-0.0459</v>
      </c>
    </row>
    <row r="64">
      <c r="B64" t="inlineStr">
        <is>
          <t>5100-2500 - BONUSES</t>
        </is>
      </c>
      <c r="F64" s="7" t="n">
        <v>17.8</v>
      </c>
      <c r="G64" s="7" t="n">
        <v>18</v>
      </c>
      <c r="H64" s="7" t="n">
        <v>-0.2</v>
      </c>
      <c r="I64" s="8" t="n">
        <v>-0.0111</v>
      </c>
      <c r="K64" s="7" t="n">
        <v>17.8</v>
      </c>
      <c r="L64" s="7" t="n">
        <v>0</v>
      </c>
      <c r="M64" s="8" t="n">
        <v>0</v>
      </c>
      <c r="O64" s="7" t="n">
        <v>161.4</v>
      </c>
      <c r="P64" s="7" t="n">
        <v>165.1</v>
      </c>
      <c r="Q64" s="7" t="n">
        <v>-3.7</v>
      </c>
      <c r="R64" s="8" t="n">
        <v>-0.0224</v>
      </c>
      <c r="T64" s="7" t="n">
        <v>160.7</v>
      </c>
      <c r="U64" s="7" t="n">
        <v>0.7</v>
      </c>
      <c r="V64" s="8" t="n">
        <v>0.0044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226.2</v>
      </c>
      <c r="G65" s="9" t="n">
        <v>227.3</v>
      </c>
      <c r="H65" s="9" t="n">
        <v>-1.1</v>
      </c>
      <c r="I65" s="10" t="n">
        <v>-0.0048</v>
      </c>
      <c r="J65" s="3" t="n"/>
      <c r="K65" s="9" t="n">
        <v>224.7</v>
      </c>
      <c r="L65" s="9" t="n">
        <v>1.5</v>
      </c>
      <c r="M65" s="10" t="n">
        <v>0.0067</v>
      </c>
      <c r="N65" s="3" t="n"/>
      <c r="O65" s="9" t="n">
        <v>2032.6</v>
      </c>
      <c r="P65" s="9" t="n">
        <v>2081.4</v>
      </c>
      <c r="Q65" s="9" t="n">
        <v>-48.8</v>
      </c>
      <c r="R65" s="10" t="n">
        <v>-0.0234</v>
      </c>
      <c r="S65" s="3" t="n"/>
      <c r="T65" s="9" t="n">
        <v>2037.5</v>
      </c>
      <c r="U65" s="9" t="n">
        <v>-4.9</v>
      </c>
      <c r="V65" s="10" t="n">
        <v>-0.0024</v>
      </c>
    </row>
    <row r="66">
      <c r="B66" t="inlineStr">
        <is>
          <t>5100-3010 - P/R TAXES</t>
        </is>
      </c>
      <c r="F66" s="7" t="n">
        <v>18.2</v>
      </c>
      <c r="G66" s="7" t="n">
        <v>18</v>
      </c>
      <c r="H66" s="7" t="n">
        <v>0.2</v>
      </c>
      <c r="I66" s="8" t="n">
        <v>0.0111</v>
      </c>
      <c r="K66" s="7" t="n">
        <v>17.8</v>
      </c>
      <c r="L66" s="7" t="n">
        <v>0.4</v>
      </c>
      <c r="M66" s="8" t="n">
        <v>0.0225</v>
      </c>
      <c r="O66" s="7" t="n">
        <v>164.2</v>
      </c>
      <c r="P66" s="7" t="n">
        <v>165.1</v>
      </c>
      <c r="Q66" s="7" t="n">
        <v>-0.9</v>
      </c>
      <c r="R66" s="8" t="n">
        <v>-0.0055</v>
      </c>
      <c r="T66" s="7" t="n">
        <v>162.7</v>
      </c>
      <c r="U66" s="7" t="n">
        <v>1.5</v>
      </c>
      <c r="V66" s="8" t="n">
        <v>0.0092</v>
      </c>
    </row>
    <row r="67">
      <c r="B67" t="inlineStr">
        <is>
          <t>5100-3100 - BENEFITS - HEALTH</t>
        </is>
      </c>
      <c r="F67" s="7" t="n">
        <v>28.8</v>
      </c>
      <c r="G67" s="7" t="n">
        <v>28.9</v>
      </c>
      <c r="H67" s="7" t="n">
        <v>-0.1</v>
      </c>
      <c r="I67" s="8" t="n">
        <v>-0.0035</v>
      </c>
      <c r="K67" s="7" t="n">
        <v>28.8</v>
      </c>
      <c r="L67" s="7" t="n">
        <v>0</v>
      </c>
      <c r="M67" s="8" t="n">
        <v>0</v>
      </c>
      <c r="O67" s="7" t="n">
        <v>258.1</v>
      </c>
      <c r="P67" s="7" t="n">
        <v>264.5</v>
      </c>
      <c r="Q67" s="7" t="n">
        <v>-6.4</v>
      </c>
      <c r="R67" s="8" t="n">
        <v>-0.0242</v>
      </c>
      <c r="T67" s="7" t="n">
        <v>255.3</v>
      </c>
      <c r="U67" s="7" t="n">
        <v>2.8</v>
      </c>
      <c r="V67" s="8" t="n">
        <v>0.011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47</v>
      </c>
      <c r="G68" s="9" t="n">
        <v>46.9</v>
      </c>
      <c r="H68" s="9" t="n">
        <v>0.1</v>
      </c>
      <c r="I68" s="10" t="n">
        <v>0.0021</v>
      </c>
      <c r="J68" s="3" t="n"/>
      <c r="K68" s="9" t="n">
        <v>46.6</v>
      </c>
      <c r="L68" s="9" t="n">
        <v>0.4</v>
      </c>
      <c r="M68" s="10" t="n">
        <v>0.0086</v>
      </c>
      <c r="N68" s="3" t="n"/>
      <c r="O68" s="9" t="n">
        <v>422.3</v>
      </c>
      <c r="P68" s="9" t="n">
        <v>429.6</v>
      </c>
      <c r="Q68" s="9" t="n">
        <v>-7.3</v>
      </c>
      <c r="R68" s="10" t="n">
        <v>-0.017</v>
      </c>
      <c r="S68" s="3" t="n"/>
      <c r="T68" s="9" t="n">
        <v>418</v>
      </c>
      <c r="U68" s="9" t="n">
        <v>4.3</v>
      </c>
      <c r="V68" s="10" t="n">
        <v>0.0103</v>
      </c>
    </row>
    <row r="69">
      <c r="B69" t="inlineStr">
        <is>
          <t>5100-5600 - AIRFARE</t>
        </is>
      </c>
      <c r="F69" s="7" t="n">
        <v>14.1</v>
      </c>
      <c r="G69" s="7" t="n">
        <v>14.4</v>
      </c>
      <c r="H69" s="7" t="n">
        <v>-0.3</v>
      </c>
      <c r="I69" s="8" t="n">
        <v>-0.0208</v>
      </c>
      <c r="K69" s="7" t="n">
        <v>14.4</v>
      </c>
      <c r="L69" s="7" t="n">
        <v>-0.3</v>
      </c>
      <c r="M69" s="8" t="n">
        <v>-0.0208</v>
      </c>
      <c r="O69" s="7" t="n">
        <v>130.1</v>
      </c>
      <c r="P69" s="7" t="n">
        <v>132</v>
      </c>
      <c r="Q69" s="7" t="n">
        <v>-1.9</v>
      </c>
      <c r="R69" s="8" t="n">
        <v>-0.0144</v>
      </c>
      <c r="T69" s="7" t="n">
        <v>129.2</v>
      </c>
      <c r="U69" s="7" t="n">
        <v>0.9</v>
      </c>
      <c r="V69" s="8" t="n">
        <v>0.007</v>
      </c>
    </row>
    <row r="70">
      <c r="B70" t="inlineStr">
        <is>
          <t>5100-5610 - LODGING</t>
        </is>
      </c>
      <c r="F70" s="7" t="n">
        <v>10.7</v>
      </c>
      <c r="G70" s="7" t="n">
        <v>10.8</v>
      </c>
      <c r="H70" s="7" t="n">
        <v>-0.1</v>
      </c>
      <c r="I70" s="8" t="n">
        <v>-0.009299999999999999</v>
      </c>
      <c r="K70" s="7" t="n">
        <v>11</v>
      </c>
      <c r="L70" s="7" t="n">
        <v>-0.3</v>
      </c>
      <c r="M70" s="8" t="n">
        <v>-0.0273</v>
      </c>
      <c r="O70" s="7" t="n">
        <v>97</v>
      </c>
      <c r="P70" s="7" t="n">
        <v>99.2</v>
      </c>
      <c r="Q70" s="7" t="n">
        <v>-2.2</v>
      </c>
      <c r="R70" s="8" t="n">
        <v>-0.0222</v>
      </c>
      <c r="T70" s="7" t="n">
        <v>97.90000000000001</v>
      </c>
      <c r="U70" s="7" t="n">
        <v>-0.9</v>
      </c>
      <c r="V70" s="8" t="n">
        <v>-0.0092</v>
      </c>
    </row>
    <row r="71">
      <c r="B71" t="inlineStr">
        <is>
          <t>5100-5680 - T&amp;E MEALS &amp; ENTERTAINMENT</t>
        </is>
      </c>
      <c r="F71" s="7" t="n">
        <v>10.7</v>
      </c>
      <c r="G71" s="7" t="n">
        <v>10.8</v>
      </c>
      <c r="H71" s="7" t="n">
        <v>-0.1</v>
      </c>
      <c r="I71" s="8" t="n">
        <v>-0.009299999999999999</v>
      </c>
      <c r="K71" s="7" t="n">
        <v>10.5</v>
      </c>
      <c r="L71" s="7" t="n">
        <v>0.2</v>
      </c>
      <c r="M71" s="8" t="n">
        <v>0.019</v>
      </c>
      <c r="O71" s="7" t="n">
        <v>96.7</v>
      </c>
      <c r="P71" s="7" t="n">
        <v>99.2</v>
      </c>
      <c r="Q71" s="7" t="n">
        <v>-2.5</v>
      </c>
      <c r="R71" s="8" t="n">
        <v>-0.0252</v>
      </c>
      <c r="T71" s="7" t="n">
        <v>97.90000000000001</v>
      </c>
      <c r="U71" s="7" t="n">
        <v>-1.2</v>
      </c>
      <c r="V71" s="8" t="n">
        <v>-0.0123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35.5</v>
      </c>
      <c r="G72" s="9" t="n">
        <v>36</v>
      </c>
      <c r="H72" s="9" t="n">
        <v>-0.5</v>
      </c>
      <c r="I72" s="10" t="n">
        <v>-0.0139</v>
      </c>
      <c r="J72" s="3" t="n"/>
      <c r="K72" s="9" t="n">
        <v>35.9</v>
      </c>
      <c r="L72" s="9" t="n">
        <v>-0.4</v>
      </c>
      <c r="M72" s="10" t="n">
        <v>-0.0111</v>
      </c>
      <c r="N72" s="3" t="n"/>
      <c r="O72" s="9" t="n">
        <v>323.8</v>
      </c>
      <c r="P72" s="9" t="n">
        <v>330.4</v>
      </c>
      <c r="Q72" s="9" t="n">
        <v>-6.6</v>
      </c>
      <c r="R72" s="10" t="n">
        <v>-0.02</v>
      </c>
      <c r="S72" s="3" t="n"/>
      <c r="T72" s="9" t="n">
        <v>325</v>
      </c>
      <c r="U72" s="9" t="n">
        <v>-1.2</v>
      </c>
      <c r="V72" s="10" t="n">
        <v>-0.0037</v>
      </c>
    </row>
    <row r="73">
      <c r="B73" t="inlineStr">
        <is>
          <t>5100-6100 - SAMPLES &amp; PROMOTIONS</t>
        </is>
      </c>
      <c r="F73" s="7" t="n">
        <v>28</v>
      </c>
      <c r="G73" s="7" t="n">
        <v>28.9</v>
      </c>
      <c r="H73" s="7" t="n">
        <v>-0.9</v>
      </c>
      <c r="I73" s="8" t="n">
        <v>-0.0311</v>
      </c>
      <c r="K73" s="7" t="n">
        <v>28.8</v>
      </c>
      <c r="L73" s="7" t="n">
        <v>-0.8</v>
      </c>
      <c r="M73" s="8" t="n">
        <v>-0.0278</v>
      </c>
      <c r="O73" s="7" t="n">
        <v>253.2</v>
      </c>
      <c r="P73" s="7" t="n">
        <v>264.5</v>
      </c>
      <c r="Q73" s="7" t="n">
        <v>-11.3</v>
      </c>
      <c r="R73" s="8" t="n">
        <v>-0.0427</v>
      </c>
      <c r="T73" s="7" t="n">
        <v>258.2</v>
      </c>
      <c r="U73" s="7" t="n">
        <v>-5</v>
      </c>
      <c r="V73" s="8" t="n">
        <v>-0.0194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28</v>
      </c>
      <c r="G74" s="9" t="n">
        <v>28.9</v>
      </c>
      <c r="H74" s="9" t="n">
        <v>-0.9</v>
      </c>
      <c r="I74" s="10" t="n">
        <v>-0.0311</v>
      </c>
      <c r="J74" s="3" t="n"/>
      <c r="K74" s="9" t="n">
        <v>28.8</v>
      </c>
      <c r="L74" s="9" t="n">
        <v>-0.8</v>
      </c>
      <c r="M74" s="10" t="n">
        <v>-0.0278</v>
      </c>
      <c r="N74" s="3" t="n"/>
      <c r="O74" s="9" t="n">
        <v>253.2</v>
      </c>
      <c r="P74" s="9" t="n">
        <v>264.5</v>
      </c>
      <c r="Q74" s="9" t="n">
        <v>-11.3</v>
      </c>
      <c r="R74" s="10" t="n">
        <v>-0.0427</v>
      </c>
      <c r="S74" s="3" t="n"/>
      <c r="T74" s="9" t="n">
        <v>258.2</v>
      </c>
      <c r="U74" s="9" t="n">
        <v>-5</v>
      </c>
      <c r="V74" s="10" t="n">
        <v>-0.0194</v>
      </c>
    </row>
    <row r="75">
      <c r="B75" t="inlineStr">
        <is>
          <t>5100-5900 - MISCELLANEOUS</t>
        </is>
      </c>
      <c r="F75" s="7" t="n">
        <v>20.7</v>
      </c>
      <c r="G75" s="7" t="n">
        <v>21.7</v>
      </c>
      <c r="H75" s="7" t="n">
        <v>-1</v>
      </c>
      <c r="I75" s="8" t="n">
        <v>-0.0461</v>
      </c>
      <c r="K75" s="7" t="n">
        <v>20.7</v>
      </c>
      <c r="L75" s="7" t="n">
        <v>0</v>
      </c>
      <c r="M75" s="8" t="n">
        <v>0</v>
      </c>
      <c r="O75" s="7" t="n">
        <v>195.3</v>
      </c>
      <c r="P75" s="7" t="n">
        <v>198.4</v>
      </c>
      <c r="Q75" s="7" t="n">
        <v>-3.1</v>
      </c>
      <c r="R75" s="8" t="n">
        <v>-0.0156</v>
      </c>
      <c r="T75" s="7" t="n">
        <v>194.5</v>
      </c>
      <c r="U75" s="7" t="n">
        <v>0.8</v>
      </c>
      <c r="V75" s="8" t="n">
        <v>0.0041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20.7</v>
      </c>
      <c r="G76" s="9" t="n">
        <v>21.7</v>
      </c>
      <c r="H76" s="9" t="n">
        <v>-1</v>
      </c>
      <c r="I76" s="10" t="n">
        <v>-0.0461</v>
      </c>
      <c r="J76" s="3" t="n"/>
      <c r="K76" s="9" t="n">
        <v>20.7</v>
      </c>
      <c r="L76" s="9" t="n">
        <v>0</v>
      </c>
      <c r="M76" s="10" t="n">
        <v>0</v>
      </c>
      <c r="N76" s="3" t="n"/>
      <c r="O76" s="9" t="n">
        <v>195.3</v>
      </c>
      <c r="P76" s="9" t="n">
        <v>198.4</v>
      </c>
      <c r="Q76" s="9" t="n">
        <v>-3.1</v>
      </c>
      <c r="R76" s="10" t="n">
        <v>-0.0156</v>
      </c>
      <c r="S76" s="3" t="n"/>
      <c r="T76" s="9" t="n">
        <v>194.5</v>
      </c>
      <c r="U76" s="9" t="n">
        <v>0.8</v>
      </c>
      <c r="V76" s="10" t="n">
        <v>0.0041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357.4</v>
      </c>
      <c r="G77" s="12" t="n">
        <v>360.8</v>
      </c>
      <c r="H77" s="12" t="n">
        <v>-3.4</v>
      </c>
      <c r="I77" s="13" t="n">
        <v>-0.0094</v>
      </c>
      <c r="J77" s="11" t="n"/>
      <c r="K77" s="12" t="n">
        <v>356.7</v>
      </c>
      <c r="L77" s="12" t="n">
        <v>0.7</v>
      </c>
      <c r="M77" s="13" t="n">
        <v>0.002</v>
      </c>
      <c r="N77" s="11" t="n"/>
      <c r="O77" s="12" t="n">
        <v>3227.2</v>
      </c>
      <c r="P77" s="12" t="n">
        <v>3304.3</v>
      </c>
      <c r="Q77" s="12" t="n">
        <v>-77.09999999999999</v>
      </c>
      <c r="R77" s="13" t="n">
        <v>-0.0233</v>
      </c>
      <c r="S77" s="11" t="n"/>
      <c r="T77" s="12" t="n">
        <v>3233.2</v>
      </c>
      <c r="U77" s="12" t="n">
        <v>-6</v>
      </c>
      <c r="V77" s="13" t="n">
        <v>-0.0019</v>
      </c>
    </row>
    <row r="78">
      <c r="B78" t="inlineStr">
        <is>
          <t>5300-2100 - WAREHOUSE SALARY - REG</t>
        </is>
      </c>
      <c r="F78" s="7" t="n">
        <v>148.6</v>
      </c>
      <c r="G78" s="7" t="n">
        <v>152.9</v>
      </c>
      <c r="H78" s="7" t="n">
        <v>-4.3</v>
      </c>
      <c r="I78" s="8" t="n">
        <v>-0.0281</v>
      </c>
      <c r="K78" s="7" t="n">
        <v>146.9</v>
      </c>
      <c r="L78" s="7" t="n">
        <v>1.7</v>
      </c>
      <c r="M78" s="8" t="n">
        <v>0.0116</v>
      </c>
      <c r="O78" s="7" t="n">
        <v>1373.6</v>
      </c>
      <c r="P78" s="7" t="n">
        <v>1399.4</v>
      </c>
      <c r="Q78" s="7" t="n">
        <v>-25.8</v>
      </c>
      <c r="R78" s="8" t="n">
        <v>-0.0184</v>
      </c>
      <c r="T78" s="7" t="n">
        <v>1369.5</v>
      </c>
      <c r="U78" s="7" t="n">
        <v>4.1</v>
      </c>
      <c r="V78" s="8" t="n">
        <v>0.003</v>
      </c>
    </row>
    <row r="79">
      <c r="B79" t="inlineStr">
        <is>
          <t>5300-2105 - WAREHOUSE SALARY - OT</t>
        </is>
      </c>
      <c r="F79" s="7" t="n">
        <v>2.8</v>
      </c>
      <c r="G79" s="7" t="n">
        <v>12.7</v>
      </c>
      <c r="H79" s="7" t="n">
        <v>-9.9</v>
      </c>
      <c r="I79" s="8" t="n">
        <v>-0.7795</v>
      </c>
      <c r="K79" s="7" t="n">
        <v>12.3</v>
      </c>
      <c r="L79" s="7" t="n">
        <v>-9.5</v>
      </c>
      <c r="M79" s="8" t="n">
        <v>-0.7724</v>
      </c>
      <c r="O79" s="7" t="n">
        <v>100.4</v>
      </c>
      <c r="P79" s="7" t="n">
        <v>116.5</v>
      </c>
      <c r="Q79" s="7" t="n">
        <v>-16.1</v>
      </c>
      <c r="R79" s="8" t="n">
        <v>-0.1382</v>
      </c>
      <c r="T79" s="7" t="n">
        <v>113.7</v>
      </c>
      <c r="U79" s="7" t="n">
        <v>-13.3</v>
      </c>
      <c r="V79" s="8" t="n">
        <v>-0.117</v>
      </c>
    </row>
    <row r="80">
      <c r="B80" t="inlineStr">
        <is>
          <t>5300-2530 - TEMPORARY LABOR</t>
        </is>
      </c>
      <c r="F80" s="7" t="n">
        <v>23.8</v>
      </c>
      <c r="G80" s="7" t="n">
        <v>12.7</v>
      </c>
      <c r="H80" s="7" t="n">
        <v>11.1</v>
      </c>
      <c r="I80" s="8" t="n">
        <v>0.874</v>
      </c>
      <c r="K80" s="7" t="n">
        <v>12.7</v>
      </c>
      <c r="L80" s="7" t="n">
        <v>11.1</v>
      </c>
      <c r="M80" s="8" t="n">
        <v>0.874</v>
      </c>
      <c r="O80" s="7" t="n">
        <v>122.7</v>
      </c>
      <c r="P80" s="7" t="n">
        <v>116.5</v>
      </c>
      <c r="Q80" s="7" t="n">
        <v>6.2</v>
      </c>
      <c r="R80" s="8" t="n">
        <v>0.0532</v>
      </c>
      <c r="T80" s="7" t="n">
        <v>115.1</v>
      </c>
      <c r="U80" s="7" t="n">
        <v>7.6</v>
      </c>
      <c r="V80" s="8" t="n">
        <v>0.066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175.2</v>
      </c>
      <c r="G81" s="9" t="n">
        <v>178.3</v>
      </c>
      <c r="H81" s="9" t="n">
        <v>-3.1</v>
      </c>
      <c r="I81" s="10" t="n">
        <v>-0.0174</v>
      </c>
      <c r="J81" s="3" t="n"/>
      <c r="K81" s="9" t="n">
        <v>171.9</v>
      </c>
      <c r="L81" s="9" t="n">
        <v>3.3</v>
      </c>
      <c r="M81" s="10" t="n">
        <v>0.0192</v>
      </c>
      <c r="N81" s="3" t="n"/>
      <c r="O81" s="9" t="n">
        <v>1596.7</v>
      </c>
      <c r="P81" s="9" t="n">
        <v>1632.4</v>
      </c>
      <c r="Q81" s="9" t="n">
        <v>-35.7</v>
      </c>
      <c r="R81" s="10" t="n">
        <v>-0.0219</v>
      </c>
      <c r="S81" s="3" t="n"/>
      <c r="T81" s="9" t="n">
        <v>1598.3</v>
      </c>
      <c r="U81" s="9" t="n">
        <v>-1.6</v>
      </c>
      <c r="V81" s="10" t="n">
        <v>-0.001</v>
      </c>
    </row>
    <row r="82">
      <c r="B82" t="inlineStr">
        <is>
          <t>5300-3010 - P/R TAXES</t>
        </is>
      </c>
      <c r="F82" s="7" t="n">
        <v>16.9</v>
      </c>
      <c r="G82" s="7" t="n">
        <v>17</v>
      </c>
      <c r="H82" s="7" t="n">
        <v>-0.1</v>
      </c>
      <c r="I82" s="8" t="n">
        <v>-0.0059</v>
      </c>
      <c r="K82" s="7" t="n">
        <v>17.1</v>
      </c>
      <c r="L82" s="7" t="n">
        <v>-0.2</v>
      </c>
      <c r="M82" s="8" t="n">
        <v>-0.0117</v>
      </c>
      <c r="O82" s="7" t="n">
        <v>154.4</v>
      </c>
      <c r="P82" s="7" t="n">
        <v>155.5</v>
      </c>
      <c r="Q82" s="7" t="n">
        <v>-1.1</v>
      </c>
      <c r="R82" s="8" t="n">
        <v>-0.0071</v>
      </c>
      <c r="T82" s="7" t="n">
        <v>153.2</v>
      </c>
      <c r="U82" s="7" t="n">
        <v>1.2</v>
      </c>
      <c r="V82" s="8" t="n">
        <v>0.0078</v>
      </c>
    </row>
    <row r="83">
      <c r="B83" t="inlineStr">
        <is>
          <t>5300-3100 - BENEFITS - HEALTH</t>
        </is>
      </c>
      <c r="F83" s="7" t="n">
        <v>29.1</v>
      </c>
      <c r="G83" s="7" t="n">
        <v>29.7</v>
      </c>
      <c r="H83" s="7" t="n">
        <v>-0.6</v>
      </c>
      <c r="I83" s="8" t="n">
        <v>-0.0202</v>
      </c>
      <c r="K83" s="7" t="n">
        <v>29</v>
      </c>
      <c r="L83" s="7" t="n">
        <v>0.1</v>
      </c>
      <c r="M83" s="8" t="n">
        <v>0.0034</v>
      </c>
      <c r="O83" s="7" t="n">
        <v>265.5</v>
      </c>
      <c r="P83" s="7" t="n">
        <v>271.9</v>
      </c>
      <c r="Q83" s="7" t="n">
        <v>-6.4</v>
      </c>
      <c r="R83" s="8" t="n">
        <v>-0.0235</v>
      </c>
      <c r="T83" s="7" t="n">
        <v>268.3</v>
      </c>
      <c r="U83" s="7" t="n">
        <v>-2.8</v>
      </c>
      <c r="V83" s="8" t="n">
        <v>-0.0104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46</v>
      </c>
      <c r="G84" s="9" t="n">
        <v>46.7</v>
      </c>
      <c r="H84" s="9" t="n">
        <v>-0.7</v>
      </c>
      <c r="I84" s="10" t="n">
        <v>-0.015</v>
      </c>
      <c r="J84" s="3" t="n"/>
      <c r="K84" s="9" t="n">
        <v>46.1</v>
      </c>
      <c r="L84" s="9" t="n">
        <v>-0.1</v>
      </c>
      <c r="M84" s="10" t="n">
        <v>-0.0022</v>
      </c>
      <c r="N84" s="3" t="n"/>
      <c r="O84" s="9" t="n">
        <v>419.9</v>
      </c>
      <c r="P84" s="9" t="n">
        <v>427.4</v>
      </c>
      <c r="Q84" s="9" t="n">
        <v>-7.5</v>
      </c>
      <c r="R84" s="10" t="n">
        <v>-0.0175</v>
      </c>
      <c r="S84" s="3" t="n"/>
      <c r="T84" s="9" t="n">
        <v>421.5</v>
      </c>
      <c r="U84" s="9" t="n">
        <v>-1.6</v>
      </c>
      <c r="V84" s="10" t="n">
        <v>-0.0038</v>
      </c>
    </row>
    <row r="85">
      <c r="B85" t="inlineStr">
        <is>
          <t>5300-4500 - FREIGHT OUT - GENERAL</t>
        </is>
      </c>
      <c r="F85" s="7" t="n">
        <v>81.09999999999999</v>
      </c>
      <c r="G85" s="7" t="n">
        <v>84.90000000000001</v>
      </c>
      <c r="H85" s="7" t="n">
        <v>-3.8</v>
      </c>
      <c r="I85" s="8" t="n">
        <v>-0.0448</v>
      </c>
      <c r="K85" s="7" t="n">
        <v>83.8</v>
      </c>
      <c r="L85" s="7" t="n">
        <v>-2.7</v>
      </c>
      <c r="M85" s="8" t="n">
        <v>-0.0322</v>
      </c>
      <c r="O85" s="7" t="n">
        <v>760.2</v>
      </c>
      <c r="P85" s="7" t="n">
        <v>777.4</v>
      </c>
      <c r="Q85" s="7" t="n">
        <v>-17.2</v>
      </c>
      <c r="R85" s="8" t="n">
        <v>-0.0221</v>
      </c>
      <c r="T85" s="7" t="n">
        <v>759.3</v>
      </c>
      <c r="U85" s="7" t="n">
        <v>0.9</v>
      </c>
      <c r="V85" s="8" t="n">
        <v>0.0012</v>
      </c>
    </row>
    <row r="86">
      <c r="B86" t="inlineStr">
        <is>
          <t>5300-4010 - FUEL/OIL</t>
        </is>
      </c>
      <c r="F86" s="7" t="n">
        <v>15.8</v>
      </c>
      <c r="G86" s="7" t="n">
        <v>17</v>
      </c>
      <c r="H86" s="7" t="n">
        <v>-1.2</v>
      </c>
      <c r="I86" s="8" t="n">
        <v>-0.0706</v>
      </c>
      <c r="K86" s="7" t="n">
        <v>16.9</v>
      </c>
      <c r="L86" s="7" t="n">
        <v>-1.1</v>
      </c>
      <c r="M86" s="8" t="n">
        <v>-0.06510000000000001</v>
      </c>
      <c r="O86" s="7" t="n">
        <v>147.6</v>
      </c>
      <c r="P86" s="7" t="n">
        <v>155.5</v>
      </c>
      <c r="Q86" s="7" t="n">
        <v>-7.9</v>
      </c>
      <c r="R86" s="8" t="n">
        <v>-0.0508</v>
      </c>
      <c r="T86" s="7" t="n">
        <v>153.6</v>
      </c>
      <c r="U86" s="7" t="n">
        <v>-6</v>
      </c>
      <c r="V86" s="8" t="n">
        <v>-0.0391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96.90000000000001</v>
      </c>
      <c r="G87" s="9" t="n">
        <v>101.9</v>
      </c>
      <c r="H87" s="9" t="n">
        <v>-5</v>
      </c>
      <c r="I87" s="10" t="n">
        <v>-0.0491</v>
      </c>
      <c r="J87" s="3" t="n"/>
      <c r="K87" s="9" t="n">
        <v>100.7</v>
      </c>
      <c r="L87" s="9" t="n">
        <v>-3.8</v>
      </c>
      <c r="M87" s="10" t="n">
        <v>-0.0377</v>
      </c>
      <c r="N87" s="3" t="n"/>
      <c r="O87" s="9" t="n">
        <v>907.8</v>
      </c>
      <c r="P87" s="9" t="n">
        <v>932.9</v>
      </c>
      <c r="Q87" s="9" t="n">
        <v>-25.1</v>
      </c>
      <c r="R87" s="10" t="n">
        <v>-0.0269</v>
      </c>
      <c r="S87" s="3" t="n"/>
      <c r="T87" s="9" t="n">
        <v>912.9</v>
      </c>
      <c r="U87" s="9" t="n">
        <v>-5.1</v>
      </c>
      <c r="V87" s="10" t="n">
        <v>-0.0056</v>
      </c>
    </row>
    <row r="88">
      <c r="B88" t="inlineStr">
        <is>
          <t>5300-4110 - SUPPLIES</t>
        </is>
      </c>
      <c r="F88" s="7" t="n">
        <v>-5.3</v>
      </c>
      <c r="G88" s="7" t="n">
        <v>17</v>
      </c>
      <c r="H88" s="7" t="n">
        <v>-22.3</v>
      </c>
      <c r="I88" s="8" t="n">
        <v>-1.3118</v>
      </c>
      <c r="K88" s="7" t="n">
        <v>16.2</v>
      </c>
      <c r="L88" s="7" t="n">
        <v>-21.5</v>
      </c>
      <c r="M88" s="8" t="n">
        <v>-1.3272</v>
      </c>
      <c r="O88" s="7" t="n">
        <v>125.3</v>
      </c>
      <c r="P88" s="7" t="n">
        <v>155.5</v>
      </c>
      <c r="Q88" s="7" t="n">
        <v>-30.2</v>
      </c>
      <c r="R88" s="8" t="n">
        <v>-0.1942</v>
      </c>
      <c r="T88" s="7" t="n">
        <v>152.1</v>
      </c>
      <c r="U88" s="7" t="n">
        <v>-26.8</v>
      </c>
      <c r="V88" s="8" t="n">
        <v>-0.1762</v>
      </c>
    </row>
    <row r="89">
      <c r="B89" t="inlineStr">
        <is>
          <t>5300-4030 - REPAIRS</t>
        </is>
      </c>
      <c r="F89" s="7" t="n">
        <v>12.3</v>
      </c>
      <c r="G89" s="7" t="n">
        <v>12.7</v>
      </c>
      <c r="H89" s="7" t="n">
        <v>-0.4</v>
      </c>
      <c r="I89" s="8" t="n">
        <v>-0.0315</v>
      </c>
      <c r="K89" s="7" t="n">
        <v>12.3</v>
      </c>
      <c r="L89" s="7" t="n">
        <v>0</v>
      </c>
      <c r="M89" s="8" t="n">
        <v>0</v>
      </c>
      <c r="O89" s="7" t="n">
        <v>115.1</v>
      </c>
      <c r="P89" s="7" t="n">
        <v>116.5</v>
      </c>
      <c r="Q89" s="7" t="n">
        <v>-1.4</v>
      </c>
      <c r="R89" s="8" t="n">
        <v>-0.012</v>
      </c>
      <c r="T89" s="7" t="n">
        <v>114.3</v>
      </c>
      <c r="U89" s="7" t="n">
        <v>0.8</v>
      </c>
      <c r="V89" s="8" t="n">
        <v>0.007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7</v>
      </c>
      <c r="G90" s="9" t="n">
        <v>29.7</v>
      </c>
      <c r="H90" s="9" t="n">
        <v>-22.7</v>
      </c>
      <c r="I90" s="10" t="n">
        <v>-0.7643</v>
      </c>
      <c r="J90" s="3" t="n"/>
      <c r="K90" s="9" t="n">
        <v>28.5</v>
      </c>
      <c r="L90" s="9" t="n">
        <v>-21.5</v>
      </c>
      <c r="M90" s="10" t="n">
        <v>-0.7544</v>
      </c>
      <c r="N90" s="3" t="n"/>
      <c r="O90" s="9" t="n">
        <v>240.4</v>
      </c>
      <c r="P90" s="9" t="n">
        <v>272</v>
      </c>
      <c r="Q90" s="9" t="n">
        <v>-31.6</v>
      </c>
      <c r="R90" s="10" t="n">
        <v>-0.1162</v>
      </c>
      <c r="S90" s="3" t="n"/>
      <c r="T90" s="9" t="n">
        <v>266.4</v>
      </c>
      <c r="U90" s="9" t="n">
        <v>-26</v>
      </c>
      <c r="V90" s="10" t="n">
        <v>-0.09760000000000001</v>
      </c>
    </row>
    <row r="91">
      <c r="B91" t="inlineStr">
        <is>
          <t>5300-4250 - RENT EXPENSE</t>
        </is>
      </c>
      <c r="F91" s="7" t="n">
        <v>-52.2</v>
      </c>
      <c r="G91" s="7" t="n">
        <v>42.5</v>
      </c>
      <c r="H91" s="7" t="n">
        <v>-94.7</v>
      </c>
      <c r="I91" s="8" t="n">
        <v>-2.2282</v>
      </c>
      <c r="K91" s="7" t="n">
        <v>41.4</v>
      </c>
      <c r="L91" s="7" t="n">
        <v>-93.59999999999999</v>
      </c>
      <c r="M91" s="8" t="n">
        <v>-2.2609</v>
      </c>
      <c r="O91" s="7" t="n">
        <v>382</v>
      </c>
      <c r="P91" s="7" t="n">
        <v>388.7</v>
      </c>
      <c r="Q91" s="7" t="n">
        <v>-6.7</v>
      </c>
      <c r="R91" s="8" t="n">
        <v>-0.0172</v>
      </c>
      <c r="T91" s="7" t="n">
        <v>380.8</v>
      </c>
      <c r="U91" s="7" t="n">
        <v>1.2</v>
      </c>
      <c r="V91" s="8" t="n">
        <v>0.0032</v>
      </c>
    </row>
    <row r="92">
      <c r="B92" t="inlineStr">
        <is>
          <t>5300-4310 - UTILITIES</t>
        </is>
      </c>
      <c r="F92" s="7" t="n">
        <v>8.199999999999999</v>
      </c>
      <c r="G92" s="7" t="n">
        <v>8.5</v>
      </c>
      <c r="H92" s="7" t="n">
        <v>-0.3</v>
      </c>
      <c r="I92" s="8" t="n">
        <v>-0.0353</v>
      </c>
      <c r="K92" s="7" t="n">
        <v>8.1</v>
      </c>
      <c r="L92" s="7" t="n">
        <v>0.1</v>
      </c>
      <c r="M92" s="8" t="n">
        <v>0.0123</v>
      </c>
      <c r="O92" s="7" t="n">
        <v>77</v>
      </c>
      <c r="P92" s="7" t="n">
        <v>77.8</v>
      </c>
      <c r="Q92" s="7" t="n">
        <v>-0.8</v>
      </c>
      <c r="R92" s="8" t="n">
        <v>-0.0103</v>
      </c>
      <c r="T92" s="7" t="n">
        <v>75.90000000000001</v>
      </c>
      <c r="U92" s="7" t="n">
        <v>1.1</v>
      </c>
      <c r="V92" s="8" t="n">
        <v>0.0145</v>
      </c>
    </row>
    <row r="93">
      <c r="B93" t="inlineStr">
        <is>
          <t>5300-4800 - OCCUPANCY ALLOCATION</t>
        </is>
      </c>
      <c r="F93" s="7" t="n">
        <v>8.4</v>
      </c>
      <c r="G93" s="7" t="n">
        <v>8.5</v>
      </c>
      <c r="H93" s="7" t="n">
        <v>-0.1</v>
      </c>
      <c r="I93" s="8" t="n">
        <v>-0.0118</v>
      </c>
      <c r="K93" s="7" t="n">
        <v>8.4</v>
      </c>
      <c r="L93" s="7" t="n">
        <v>0</v>
      </c>
      <c r="M93" s="8" t="n">
        <v>0</v>
      </c>
      <c r="O93" s="7" t="n">
        <v>76.59999999999999</v>
      </c>
      <c r="P93" s="7" t="n">
        <v>77.8</v>
      </c>
      <c r="Q93" s="7" t="n">
        <v>-1.2</v>
      </c>
      <c r="R93" s="8" t="n">
        <v>-0.0154</v>
      </c>
      <c r="T93" s="7" t="n">
        <v>76.7</v>
      </c>
      <c r="U93" s="7" t="n">
        <v>-0.1</v>
      </c>
      <c r="V93" s="8" t="n">
        <v>-0.0013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-35.6</v>
      </c>
      <c r="G94" s="9" t="n">
        <v>59.5</v>
      </c>
      <c r="H94" s="9" t="n">
        <v>-95.09999999999999</v>
      </c>
      <c r="I94" s="10" t="n">
        <v>-1.5983</v>
      </c>
      <c r="J94" s="3" t="n"/>
      <c r="K94" s="9" t="n">
        <v>57.9</v>
      </c>
      <c r="L94" s="9" t="n">
        <v>-93.5</v>
      </c>
      <c r="M94" s="10" t="n">
        <v>-1.6149</v>
      </c>
      <c r="N94" s="3" t="n"/>
      <c r="O94" s="9" t="n">
        <v>535.6</v>
      </c>
      <c r="P94" s="9" t="n">
        <v>544.3</v>
      </c>
      <c r="Q94" s="9" t="n">
        <v>-8.699999999999999</v>
      </c>
      <c r="R94" s="10" t="n">
        <v>-0.016</v>
      </c>
      <c r="S94" s="3" t="n"/>
      <c r="T94" s="9" t="n">
        <v>533.4</v>
      </c>
      <c r="U94" s="9" t="n">
        <v>2.2</v>
      </c>
      <c r="V94" s="10" t="n">
        <v>0.0041</v>
      </c>
    </row>
    <row r="95">
      <c r="B95" t="inlineStr">
        <is>
          <t>5300-6085 - DEPRECIATION</t>
        </is>
      </c>
      <c r="F95" s="7" t="n">
        <v>8.5</v>
      </c>
      <c r="G95" s="7" t="n">
        <v>8.5</v>
      </c>
      <c r="H95" s="7" t="n">
        <v>0</v>
      </c>
      <c r="I95" s="8" t="n">
        <v>0</v>
      </c>
      <c r="K95" s="7" t="n">
        <v>8.4</v>
      </c>
      <c r="L95" s="7" t="n">
        <v>0.1</v>
      </c>
      <c r="M95" s="8" t="n">
        <v>0.0119</v>
      </c>
      <c r="O95" s="7" t="n">
        <v>76.90000000000001</v>
      </c>
      <c r="P95" s="7" t="n">
        <v>77.8</v>
      </c>
      <c r="Q95" s="7" t="n">
        <v>-0.9</v>
      </c>
      <c r="R95" s="8" t="n">
        <v>-0.0116</v>
      </c>
      <c r="T95" s="7" t="n">
        <v>76.59999999999999</v>
      </c>
      <c r="U95" s="7" t="n">
        <v>0.3</v>
      </c>
      <c r="V95" s="8" t="n">
        <v>0.0039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8.5</v>
      </c>
      <c r="G96" s="9" t="n">
        <v>8.5</v>
      </c>
      <c r="H96" s="9" t="n">
        <v>0</v>
      </c>
      <c r="I96" s="10" t="n">
        <v>0</v>
      </c>
      <c r="J96" s="3" t="n"/>
      <c r="K96" s="9" t="n">
        <v>8.4</v>
      </c>
      <c r="L96" s="9" t="n">
        <v>0.1</v>
      </c>
      <c r="M96" s="10" t="n">
        <v>0.0119</v>
      </c>
      <c r="N96" s="3" t="n"/>
      <c r="O96" s="9" t="n">
        <v>76.90000000000001</v>
      </c>
      <c r="P96" s="9" t="n">
        <v>77.8</v>
      </c>
      <c r="Q96" s="9" t="n">
        <v>-0.9</v>
      </c>
      <c r="R96" s="10" t="n">
        <v>-0.0116</v>
      </c>
      <c r="S96" s="3" t="n"/>
      <c r="T96" s="9" t="n">
        <v>76.59999999999999</v>
      </c>
      <c r="U96" s="9" t="n">
        <v>0.3</v>
      </c>
      <c r="V96" s="10" t="n">
        <v>0.0039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298</v>
      </c>
      <c r="G97" s="12" t="n">
        <v>424.6</v>
      </c>
      <c r="H97" s="12" t="n">
        <v>-126.6</v>
      </c>
      <c r="I97" s="13" t="n">
        <v>-0.2982</v>
      </c>
      <c r="J97" s="11" t="n"/>
      <c r="K97" s="12" t="n">
        <v>413.5</v>
      </c>
      <c r="L97" s="12" t="n">
        <v>-115.5</v>
      </c>
      <c r="M97" s="13" t="n">
        <v>-0.2793</v>
      </c>
      <c r="N97" s="11" t="n"/>
      <c r="O97" s="12" t="n">
        <v>3777.3</v>
      </c>
      <c r="P97" s="12" t="n">
        <v>3886.8</v>
      </c>
      <c r="Q97" s="12" t="n">
        <v>-109.5</v>
      </c>
      <c r="R97" s="13" t="n">
        <v>-0.0282</v>
      </c>
      <c r="S97" s="11" t="n"/>
      <c r="T97" s="12" t="n">
        <v>3809.1</v>
      </c>
      <c r="U97" s="12" t="n">
        <v>-31.8</v>
      </c>
      <c r="V97" s="13" t="n">
        <v>-0.0083</v>
      </c>
    </row>
    <row r="98">
      <c r="B98" t="inlineStr">
        <is>
          <t>5500-2100 - ADMIN SALARIES</t>
        </is>
      </c>
      <c r="F98" s="7" t="n">
        <v>102.1</v>
      </c>
      <c r="G98" s="7" t="n">
        <v>131.6</v>
      </c>
      <c r="H98" s="7" t="n">
        <v>-29.5</v>
      </c>
      <c r="I98" s="8" t="n">
        <v>-0.2242</v>
      </c>
      <c r="K98" s="7" t="n">
        <v>130.1</v>
      </c>
      <c r="L98" s="7" t="n">
        <v>-28</v>
      </c>
      <c r="M98" s="8" t="n">
        <v>-0.2152</v>
      </c>
      <c r="O98" s="7" t="n">
        <v>1167.3</v>
      </c>
      <c r="P98" s="7" t="n">
        <v>1204.8</v>
      </c>
      <c r="Q98" s="7" t="n">
        <v>-37.5</v>
      </c>
      <c r="R98" s="8" t="n">
        <v>-0.0311</v>
      </c>
      <c r="T98" s="7" t="n">
        <v>1176.1</v>
      </c>
      <c r="U98" s="7" t="n">
        <v>-8.800000000000001</v>
      </c>
      <c r="V98" s="8" t="n">
        <v>-0.0075</v>
      </c>
    </row>
    <row r="99">
      <c r="B99" t="inlineStr">
        <is>
          <t>5500-2500 - BONUSES</t>
        </is>
      </c>
      <c r="F99" s="7" t="n">
        <v>16.3</v>
      </c>
      <c r="G99" s="7" t="n">
        <v>16.5</v>
      </c>
      <c r="H99" s="7" t="n">
        <v>-0.2</v>
      </c>
      <c r="I99" s="8" t="n">
        <v>-0.0121</v>
      </c>
      <c r="K99" s="7" t="n">
        <v>16.5</v>
      </c>
      <c r="L99" s="7" t="n">
        <v>-0.2</v>
      </c>
      <c r="M99" s="8" t="n">
        <v>-0.0121</v>
      </c>
      <c r="O99" s="7" t="n">
        <v>149</v>
      </c>
      <c r="P99" s="7" t="n">
        <v>150.7</v>
      </c>
      <c r="Q99" s="7" t="n">
        <v>-1.7</v>
      </c>
      <c r="R99" s="8" t="n">
        <v>-0.0113</v>
      </c>
      <c r="T99" s="7" t="n">
        <v>147.7</v>
      </c>
      <c r="U99" s="7" t="n">
        <v>1.3</v>
      </c>
      <c r="V99" s="8" t="n">
        <v>0.008800000000000001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118.4</v>
      </c>
      <c r="G100" s="9" t="n">
        <v>148.1</v>
      </c>
      <c r="H100" s="9" t="n">
        <v>-29.7</v>
      </c>
      <c r="I100" s="10" t="n">
        <v>-0.2005</v>
      </c>
      <c r="J100" s="3" t="n"/>
      <c r="K100" s="9" t="n">
        <v>146.6</v>
      </c>
      <c r="L100" s="9" t="n">
        <v>-28.2</v>
      </c>
      <c r="M100" s="10" t="n">
        <v>-0.1924</v>
      </c>
      <c r="N100" s="3" t="n"/>
      <c r="O100" s="9" t="n">
        <v>1316.3</v>
      </c>
      <c r="P100" s="9" t="n">
        <v>1355.5</v>
      </c>
      <c r="Q100" s="9" t="n">
        <v>-39.2</v>
      </c>
      <c r="R100" s="10" t="n">
        <v>-0.0289</v>
      </c>
      <c r="S100" s="3" t="n"/>
      <c r="T100" s="9" t="n">
        <v>1323.8</v>
      </c>
      <c r="U100" s="9" t="n">
        <v>-7.5</v>
      </c>
      <c r="V100" s="10" t="n">
        <v>-0.0057</v>
      </c>
    </row>
    <row r="101">
      <c r="B101" t="inlineStr">
        <is>
          <t>5500-3010 - P/R TAXES</t>
        </is>
      </c>
      <c r="F101" s="7" t="n">
        <v>16.5</v>
      </c>
      <c r="G101" s="7" t="n">
        <v>16.5</v>
      </c>
      <c r="H101" s="7" t="n">
        <v>0</v>
      </c>
      <c r="I101" s="8" t="n">
        <v>0</v>
      </c>
      <c r="K101" s="7" t="n">
        <v>16.6</v>
      </c>
      <c r="L101" s="7" t="n">
        <v>-0.1</v>
      </c>
      <c r="M101" s="8" t="n">
        <v>-0.006</v>
      </c>
      <c r="O101" s="7" t="n">
        <v>148.3</v>
      </c>
      <c r="P101" s="7" t="n">
        <v>150.7</v>
      </c>
      <c r="Q101" s="7" t="n">
        <v>-2.4</v>
      </c>
      <c r="R101" s="8" t="n">
        <v>-0.0159</v>
      </c>
      <c r="T101" s="7" t="n">
        <v>147.4</v>
      </c>
      <c r="U101" s="7" t="n">
        <v>0.9</v>
      </c>
      <c r="V101" s="8" t="n">
        <v>0.0061</v>
      </c>
    </row>
    <row r="102">
      <c r="B102" t="inlineStr">
        <is>
          <t>5500-3100 - BENEFITS - HEALTH</t>
        </is>
      </c>
      <c r="F102" s="7" t="n">
        <v>26.6</v>
      </c>
      <c r="G102" s="7" t="n">
        <v>26.3</v>
      </c>
      <c r="H102" s="7" t="n">
        <v>0.3</v>
      </c>
      <c r="I102" s="8" t="n">
        <v>0.0114</v>
      </c>
      <c r="K102" s="7" t="n">
        <v>25.8</v>
      </c>
      <c r="L102" s="7" t="n">
        <v>0.8</v>
      </c>
      <c r="M102" s="8" t="n">
        <v>0.031</v>
      </c>
      <c r="O102" s="7" t="n">
        <v>237</v>
      </c>
      <c r="P102" s="7" t="n">
        <v>241</v>
      </c>
      <c r="Q102" s="7" t="n">
        <v>-4</v>
      </c>
      <c r="R102" s="8" t="n">
        <v>-0.0166</v>
      </c>
      <c r="T102" s="7" t="n">
        <v>238</v>
      </c>
      <c r="U102" s="7" t="n">
        <v>-1</v>
      </c>
      <c r="V102" s="8" t="n">
        <v>-0.0042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43.1</v>
      </c>
      <c r="G103" s="9" t="n">
        <v>42.8</v>
      </c>
      <c r="H103" s="9" t="n">
        <v>0.3</v>
      </c>
      <c r="I103" s="10" t="n">
        <v>0.007</v>
      </c>
      <c r="J103" s="3" t="n"/>
      <c r="K103" s="9" t="n">
        <v>42.4</v>
      </c>
      <c r="L103" s="9" t="n">
        <v>0.7</v>
      </c>
      <c r="M103" s="10" t="n">
        <v>0.0165</v>
      </c>
      <c r="N103" s="3" t="n"/>
      <c r="O103" s="9" t="n">
        <v>385.3</v>
      </c>
      <c r="P103" s="9" t="n">
        <v>391.7</v>
      </c>
      <c r="Q103" s="9" t="n">
        <v>-6.4</v>
      </c>
      <c r="R103" s="10" t="n">
        <v>-0.0163</v>
      </c>
      <c r="S103" s="3" t="n"/>
      <c r="T103" s="9" t="n">
        <v>385.4</v>
      </c>
      <c r="U103" s="9" t="n">
        <v>-0.1</v>
      </c>
      <c r="V103" s="10" t="n">
        <v>-0.0003</v>
      </c>
    </row>
    <row r="104">
      <c r="B104" t="inlineStr">
        <is>
          <t>5500-5900 - GENERAL OFFICE EXPENSE</t>
        </is>
      </c>
      <c r="F104" s="7" t="n">
        <v>26.4</v>
      </c>
      <c r="G104" s="7" t="n">
        <v>26.3</v>
      </c>
      <c r="H104" s="7" t="n">
        <v>0.1</v>
      </c>
      <c r="I104" s="8" t="n">
        <v>0.0038</v>
      </c>
      <c r="K104" s="7" t="n">
        <v>25.7</v>
      </c>
      <c r="L104" s="7" t="n">
        <v>0.7</v>
      </c>
      <c r="M104" s="8" t="n">
        <v>0.0272</v>
      </c>
      <c r="O104" s="7" t="n">
        <v>238.4</v>
      </c>
      <c r="P104" s="7" t="n">
        <v>241</v>
      </c>
      <c r="Q104" s="7" t="n">
        <v>-2.6</v>
      </c>
      <c r="R104" s="8" t="n">
        <v>-0.0108</v>
      </c>
      <c r="T104" s="7" t="n">
        <v>239.4</v>
      </c>
      <c r="U104" s="7" t="n">
        <v>-1</v>
      </c>
      <c r="V104" s="8" t="n">
        <v>-0.0042</v>
      </c>
    </row>
    <row r="105">
      <c r="B105" t="inlineStr">
        <is>
          <t>5500-5910 - INSURANCE</t>
        </is>
      </c>
      <c r="F105" s="7" t="n">
        <v>16.2</v>
      </c>
      <c r="G105" s="7" t="n">
        <v>16.5</v>
      </c>
      <c r="H105" s="7" t="n">
        <v>-0.3</v>
      </c>
      <c r="I105" s="8" t="n">
        <v>-0.0182</v>
      </c>
      <c r="K105" s="7" t="n">
        <v>16.1</v>
      </c>
      <c r="L105" s="7" t="n">
        <v>0.1</v>
      </c>
      <c r="M105" s="8" t="n">
        <v>0.0062</v>
      </c>
      <c r="O105" s="7" t="n">
        <v>147.6</v>
      </c>
      <c r="P105" s="7" t="n">
        <v>150.7</v>
      </c>
      <c r="Q105" s="7" t="n">
        <v>-3.1</v>
      </c>
      <c r="R105" s="8" t="n">
        <v>-0.0206</v>
      </c>
      <c r="T105" s="7" t="n">
        <v>149</v>
      </c>
      <c r="U105" s="7" t="n">
        <v>-1.4</v>
      </c>
      <c r="V105" s="8" t="n">
        <v>-0.0094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42.6</v>
      </c>
      <c r="G106" s="9" t="n">
        <v>42.8</v>
      </c>
      <c r="H106" s="9" t="n">
        <v>-0.2</v>
      </c>
      <c r="I106" s="10" t="n">
        <v>-0.0047</v>
      </c>
      <c r="J106" s="3" t="n"/>
      <c r="K106" s="9" t="n">
        <v>41.8</v>
      </c>
      <c r="L106" s="9" t="n">
        <v>0.8</v>
      </c>
      <c r="M106" s="10" t="n">
        <v>0.0191</v>
      </c>
      <c r="N106" s="3" t="n"/>
      <c r="O106" s="9" t="n">
        <v>386</v>
      </c>
      <c r="P106" s="9" t="n">
        <v>391.7</v>
      </c>
      <c r="Q106" s="9" t="n">
        <v>-5.7</v>
      </c>
      <c r="R106" s="10" t="n">
        <v>-0.0146</v>
      </c>
      <c r="S106" s="3" t="n"/>
      <c r="T106" s="9" t="n">
        <v>388.4</v>
      </c>
      <c r="U106" s="9" t="n">
        <v>-2.4</v>
      </c>
      <c r="V106" s="10" t="n">
        <v>-0.0062</v>
      </c>
    </row>
    <row r="107">
      <c r="B107" t="inlineStr">
        <is>
          <t>5500-6200 - PROFESSIONAL SERVICES</t>
        </is>
      </c>
      <c r="F107" s="7" t="n">
        <v>18.8</v>
      </c>
      <c r="G107" s="7" t="n">
        <v>19.7</v>
      </c>
      <c r="H107" s="7" t="n">
        <v>-0.9</v>
      </c>
      <c r="I107" s="8" t="n">
        <v>-0.0457</v>
      </c>
      <c r="K107" s="7" t="n">
        <v>19.4</v>
      </c>
      <c r="L107" s="7" t="n">
        <v>-0.6</v>
      </c>
      <c r="M107" s="8" t="n">
        <v>-0.0309</v>
      </c>
      <c r="O107" s="7" t="n">
        <v>176.2</v>
      </c>
      <c r="P107" s="7" t="n">
        <v>180.8</v>
      </c>
      <c r="Q107" s="7" t="n">
        <v>-4.6</v>
      </c>
      <c r="R107" s="8" t="n">
        <v>-0.0254</v>
      </c>
      <c r="T107" s="7" t="n">
        <v>177.2</v>
      </c>
      <c r="U107" s="7" t="n">
        <v>-1</v>
      </c>
      <c r="V107" s="8" t="n">
        <v>-0.0056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18.8</v>
      </c>
      <c r="G108" s="9" t="n">
        <v>19.7</v>
      </c>
      <c r="H108" s="9" t="n">
        <v>-0.9</v>
      </c>
      <c r="I108" s="10" t="n">
        <v>-0.0457</v>
      </c>
      <c r="J108" s="3" t="n"/>
      <c r="K108" s="9" t="n">
        <v>19.4</v>
      </c>
      <c r="L108" s="9" t="n">
        <v>-0.6</v>
      </c>
      <c r="M108" s="10" t="n">
        <v>-0.0309</v>
      </c>
      <c r="N108" s="3" t="n"/>
      <c r="O108" s="9" t="n">
        <v>176.2</v>
      </c>
      <c r="P108" s="9" t="n">
        <v>180.8</v>
      </c>
      <c r="Q108" s="9" t="n">
        <v>-4.6</v>
      </c>
      <c r="R108" s="10" t="n">
        <v>-0.0254</v>
      </c>
      <c r="S108" s="3" t="n"/>
      <c r="T108" s="9" t="n">
        <v>177.2</v>
      </c>
      <c r="U108" s="9" t="n">
        <v>-1</v>
      </c>
      <c r="V108" s="10" t="n">
        <v>-0.0056</v>
      </c>
    </row>
    <row r="109">
      <c r="B109" t="inlineStr">
        <is>
          <t>5500-6300 - MIS EXPENSE</t>
        </is>
      </c>
      <c r="F109" s="7" t="n">
        <v>33.1</v>
      </c>
      <c r="G109" s="7" t="n">
        <v>32.9</v>
      </c>
      <c r="H109" s="7" t="n">
        <v>0.2</v>
      </c>
      <c r="I109" s="8" t="n">
        <v>0.0061</v>
      </c>
      <c r="K109" s="7" t="n">
        <v>32.1</v>
      </c>
      <c r="L109" s="7" t="n">
        <v>1</v>
      </c>
      <c r="M109" s="8" t="n">
        <v>0.0312</v>
      </c>
      <c r="O109" s="7" t="n">
        <v>295.9</v>
      </c>
      <c r="P109" s="7" t="n">
        <v>301.3</v>
      </c>
      <c r="Q109" s="7" t="n">
        <v>-5.4</v>
      </c>
      <c r="R109" s="8" t="n">
        <v>-0.0179</v>
      </c>
      <c r="T109" s="7" t="n">
        <v>295.2</v>
      </c>
      <c r="U109" s="7" t="n">
        <v>0.7</v>
      </c>
      <c r="V109" s="8" t="n">
        <v>0.0024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33.1</v>
      </c>
      <c r="G110" s="9" t="n">
        <v>32.9</v>
      </c>
      <c r="H110" s="9" t="n">
        <v>0.2</v>
      </c>
      <c r="I110" s="10" t="n">
        <v>0.0061</v>
      </c>
      <c r="J110" s="3" t="n"/>
      <c r="K110" s="9" t="n">
        <v>32.1</v>
      </c>
      <c r="L110" s="9" t="n">
        <v>1</v>
      </c>
      <c r="M110" s="10" t="n">
        <v>0.0312</v>
      </c>
      <c r="N110" s="3" t="n"/>
      <c r="O110" s="9" t="n">
        <v>295.9</v>
      </c>
      <c r="P110" s="9" t="n">
        <v>301.3</v>
      </c>
      <c r="Q110" s="9" t="n">
        <v>-5.4</v>
      </c>
      <c r="R110" s="10" t="n">
        <v>-0.0179</v>
      </c>
      <c r="S110" s="3" t="n"/>
      <c r="T110" s="9" t="n">
        <v>295.2</v>
      </c>
      <c r="U110" s="9" t="n">
        <v>0.7</v>
      </c>
      <c r="V110" s="10" t="n">
        <v>0.0024</v>
      </c>
    </row>
    <row r="111">
      <c r="B111" t="inlineStr">
        <is>
          <t>5500-4250 - RENT EXPENSE</t>
        </is>
      </c>
      <c r="F111" s="7" t="n">
        <v>19.9</v>
      </c>
      <c r="G111" s="7" t="n">
        <v>19.7</v>
      </c>
      <c r="H111" s="7" t="n">
        <v>0.2</v>
      </c>
      <c r="I111" s="8" t="n">
        <v>0.0102</v>
      </c>
      <c r="K111" s="7" t="n">
        <v>19.7</v>
      </c>
      <c r="L111" s="7" t="n">
        <v>0.2</v>
      </c>
      <c r="M111" s="8" t="n">
        <v>0.0102</v>
      </c>
      <c r="O111" s="7" t="n">
        <v>178.3</v>
      </c>
      <c r="P111" s="7" t="n">
        <v>180.8</v>
      </c>
      <c r="Q111" s="7" t="n">
        <v>-2.5</v>
      </c>
      <c r="R111" s="8" t="n">
        <v>-0.0138</v>
      </c>
      <c r="T111" s="7" t="n">
        <v>179.1</v>
      </c>
      <c r="U111" s="7" t="n">
        <v>-0.8</v>
      </c>
      <c r="V111" s="8" t="n">
        <v>-0.0045</v>
      </c>
    </row>
    <row r="112">
      <c r="B112" t="inlineStr">
        <is>
          <t>5500-4800 - OCCUPANCY ALLOCATION</t>
        </is>
      </c>
      <c r="F112" s="7" t="n">
        <v>9.800000000000001</v>
      </c>
      <c r="G112" s="7" t="n">
        <v>9.9</v>
      </c>
      <c r="H112" s="7" t="n">
        <v>-0.1</v>
      </c>
      <c r="I112" s="8" t="n">
        <v>-0.0101</v>
      </c>
      <c r="K112" s="7" t="n">
        <v>9.6</v>
      </c>
      <c r="L112" s="7" t="n">
        <v>0.2</v>
      </c>
      <c r="M112" s="8" t="n">
        <v>0.0208</v>
      </c>
      <c r="O112" s="7" t="n">
        <v>89.3</v>
      </c>
      <c r="P112" s="7" t="n">
        <v>90.59999999999999</v>
      </c>
      <c r="Q112" s="7" t="n">
        <v>-1.3</v>
      </c>
      <c r="R112" s="8" t="n">
        <v>-0.0143</v>
      </c>
      <c r="T112" s="7" t="n">
        <v>88.09999999999999</v>
      </c>
      <c r="U112" s="7" t="n">
        <v>1.2</v>
      </c>
      <c r="V112" s="8" t="n">
        <v>0.0136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29.7</v>
      </c>
      <c r="G113" s="9" t="n">
        <v>29.6</v>
      </c>
      <c r="H113" s="9" t="n">
        <v>0.1</v>
      </c>
      <c r="I113" s="10" t="n">
        <v>0.0034</v>
      </c>
      <c r="J113" s="3" t="n"/>
      <c r="K113" s="9" t="n">
        <v>29.3</v>
      </c>
      <c r="L113" s="9" t="n">
        <v>0.4</v>
      </c>
      <c r="M113" s="10" t="n">
        <v>0.0137</v>
      </c>
      <c r="N113" s="3" t="n"/>
      <c r="O113" s="9" t="n">
        <v>267.6</v>
      </c>
      <c r="P113" s="9" t="n">
        <v>271.4</v>
      </c>
      <c r="Q113" s="9" t="n">
        <v>-3.8</v>
      </c>
      <c r="R113" s="10" t="n">
        <v>-0.014</v>
      </c>
      <c r="S113" s="3" t="n"/>
      <c r="T113" s="9" t="n">
        <v>267.2</v>
      </c>
      <c r="U113" s="9" t="n">
        <v>0.4</v>
      </c>
      <c r="V113" s="10" t="n">
        <v>0.0015</v>
      </c>
    </row>
    <row r="114">
      <c r="B114" t="inlineStr">
        <is>
          <t>5500-6085 - DEPRECIATION</t>
        </is>
      </c>
      <c r="F114" s="7" t="n">
        <v>12.7</v>
      </c>
      <c r="G114" s="7" t="n">
        <v>13.2</v>
      </c>
      <c r="H114" s="7" t="n">
        <v>-0.5</v>
      </c>
      <c r="I114" s="8" t="n">
        <v>-0.0379</v>
      </c>
      <c r="K114" s="7" t="n">
        <v>12.8</v>
      </c>
      <c r="L114" s="7" t="n">
        <v>-0.1</v>
      </c>
      <c r="M114" s="8" t="n">
        <v>-0.0078</v>
      </c>
      <c r="O114" s="7" t="n">
        <v>117.7</v>
      </c>
      <c r="P114" s="7" t="n">
        <v>120.5</v>
      </c>
      <c r="Q114" s="7" t="n">
        <v>-2.8</v>
      </c>
      <c r="R114" s="8" t="n">
        <v>-0.0232</v>
      </c>
      <c r="T114" s="7" t="n">
        <v>118.4</v>
      </c>
      <c r="U114" s="7" t="n">
        <v>-0.7</v>
      </c>
      <c r="V114" s="8" t="n">
        <v>-0.0059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12.7</v>
      </c>
      <c r="G115" s="9" t="n">
        <v>13.2</v>
      </c>
      <c r="H115" s="9" t="n">
        <v>-0.5</v>
      </c>
      <c r="I115" s="10" t="n">
        <v>-0.0379</v>
      </c>
      <c r="J115" s="3" t="n"/>
      <c r="K115" s="9" t="n">
        <v>12.8</v>
      </c>
      <c r="L115" s="9" t="n">
        <v>-0.1</v>
      </c>
      <c r="M115" s="10" t="n">
        <v>-0.0078</v>
      </c>
      <c r="N115" s="3" t="n"/>
      <c r="O115" s="9" t="n">
        <v>117.7</v>
      </c>
      <c r="P115" s="9" t="n">
        <v>120.5</v>
      </c>
      <c r="Q115" s="9" t="n">
        <v>-2.8</v>
      </c>
      <c r="R115" s="10" t="n">
        <v>-0.0232</v>
      </c>
      <c r="S115" s="3" t="n"/>
      <c r="T115" s="9" t="n">
        <v>118.4</v>
      </c>
      <c r="U115" s="9" t="n">
        <v>-0.7</v>
      </c>
      <c r="V115" s="10" t="n">
        <v>-0.0059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298.4</v>
      </c>
      <c r="G116" s="12" t="n">
        <v>329.1</v>
      </c>
      <c r="H116" s="12" t="n">
        <v>-30.7</v>
      </c>
      <c r="I116" s="13" t="n">
        <v>-0.09329999999999999</v>
      </c>
      <c r="J116" s="11" t="n"/>
      <c r="K116" s="12" t="n">
        <v>324.4</v>
      </c>
      <c r="L116" s="12" t="n">
        <v>-26</v>
      </c>
      <c r="M116" s="13" t="n">
        <v>-0.0801</v>
      </c>
      <c r="N116" s="11" t="n"/>
      <c r="O116" s="12" t="n">
        <v>2945</v>
      </c>
      <c r="P116" s="12" t="n">
        <v>3012.9</v>
      </c>
      <c r="Q116" s="12" t="n">
        <v>-67.90000000000001</v>
      </c>
      <c r="R116" s="13" t="n">
        <v>-0.0225</v>
      </c>
      <c r="S116" s="11" t="n"/>
      <c r="T116" s="12" t="n">
        <v>2955.6</v>
      </c>
      <c r="U116" s="12" t="n">
        <v>-10.6</v>
      </c>
      <c r="V116" s="13" t="n">
        <v>-0.0036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953.8</v>
      </c>
      <c r="G117" s="12" t="n">
        <v>1114.5</v>
      </c>
      <c r="H117" s="12" t="n">
        <v>-160.7</v>
      </c>
      <c r="I117" s="13" t="n">
        <v>-0.1442</v>
      </c>
      <c r="J117" s="11" t="n"/>
      <c r="K117" s="12" t="n">
        <v>1094.6</v>
      </c>
      <c r="L117" s="12" t="n">
        <v>-140.8</v>
      </c>
      <c r="M117" s="13" t="n">
        <v>-0.1286</v>
      </c>
      <c r="N117" s="11" t="n"/>
      <c r="O117" s="12" t="n">
        <v>9949.5</v>
      </c>
      <c r="P117" s="12" t="n">
        <v>10204</v>
      </c>
      <c r="Q117" s="12" t="n">
        <v>-254.5</v>
      </c>
      <c r="R117" s="13" t="n">
        <v>-0.0249</v>
      </c>
      <c r="S117" s="11" t="n"/>
      <c r="T117" s="12" t="n">
        <v>9997.9</v>
      </c>
      <c r="U117" s="12" t="n">
        <v>-48.4</v>
      </c>
      <c r="V117" s="13" t="n">
        <v>-0.0048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0.2044455876363792</v>
      </c>
      <c r="G118" s="13" t="n">
        <v>0.2099542226324812</v>
      </c>
      <c r="H118" s="13" t="n">
        <v>-0.00551</v>
      </c>
      <c r="I118" s="11" t="n"/>
      <c r="J118" s="11" t="n"/>
      <c r="K118" s="13" t="n">
        <v>0.209556993529119</v>
      </c>
      <c r="L118" s="13" t="n">
        <v>-0.00511</v>
      </c>
      <c r="M118" s="11" t="n"/>
      <c r="N118" s="11" t="n"/>
      <c r="O118" s="13" t="n">
        <v>0.2172612353723433</v>
      </c>
      <c r="P118" s="13" t="n">
        <v>0.2100128633907898</v>
      </c>
      <c r="Q118" s="13" t="n">
        <v>0.00725</v>
      </c>
      <c r="R118" s="11" t="n"/>
      <c r="S118" s="11" t="n"/>
      <c r="T118" s="13" t="n">
        <v>0.2115532326833758</v>
      </c>
      <c r="U118" s="13" t="n">
        <v>0.00571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237.7</v>
      </c>
      <c r="G119" s="12" t="n">
        <v>478</v>
      </c>
      <c r="H119" s="12" t="n">
        <v>-240.3</v>
      </c>
      <c r="I119" s="13" t="n">
        <v>-0.5027</v>
      </c>
      <c r="J119" s="11" t="n"/>
      <c r="K119" s="12" t="n">
        <v>485.4</v>
      </c>
      <c r="L119" s="12" t="n">
        <v>-247.7</v>
      </c>
      <c r="M119" s="13" t="n">
        <v>-0.5103</v>
      </c>
      <c r="N119" s="11" t="n"/>
      <c r="O119" s="12" t="n">
        <v>2986.8</v>
      </c>
      <c r="P119" s="12" t="n">
        <v>4372.2</v>
      </c>
      <c r="Q119" s="12" t="n">
        <v>-1385.4</v>
      </c>
      <c r="R119" s="13" t="n">
        <v>-0.3169</v>
      </c>
      <c r="S119" s="11" t="n"/>
      <c r="T119" s="12" t="n">
        <v>4455.7</v>
      </c>
      <c r="U119" s="12" t="n">
        <v>-1468.9</v>
      </c>
      <c r="V119" s="13" t="n">
        <v>-0.3297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237.7</v>
      </c>
      <c r="G121" s="12" t="n">
        <v>478</v>
      </c>
      <c r="H121" s="12" t="n">
        <v>-240.3</v>
      </c>
      <c r="I121" s="13" t="n">
        <v>-0.5027</v>
      </c>
      <c r="J121" s="11" t="n"/>
      <c r="K121" s="12" t="n">
        <v>485.4</v>
      </c>
      <c r="L121" s="12" t="n">
        <v>-247.7</v>
      </c>
      <c r="M121" s="13" t="n">
        <v>-0.5103</v>
      </c>
      <c r="N121" s="11" t="n"/>
      <c r="O121" s="12" t="n">
        <v>2986.8</v>
      </c>
      <c r="P121" s="12" t="n">
        <v>4372.2</v>
      </c>
      <c r="Q121" s="12" t="n">
        <v>-1385.4</v>
      </c>
      <c r="R121" s="13" t="n">
        <v>-0.3169</v>
      </c>
      <c r="S121" s="11" t="n"/>
      <c r="T121" s="12" t="n">
        <v>4455.7</v>
      </c>
      <c r="U121" s="12" t="n">
        <v>-1468.9</v>
      </c>
      <c r="V121" s="13" t="n">
        <v>-0.3297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0.05095063554326624</v>
      </c>
      <c r="G122" s="13" t="n">
        <v>0.09004766120980351</v>
      </c>
      <c r="H122" s="13" t="n">
        <v>-0.0391</v>
      </c>
      <c r="I122" s="11" t="n"/>
      <c r="J122" s="11" t="n"/>
      <c r="K122" s="13" t="n">
        <v>0.09292797794539955</v>
      </c>
      <c r="L122" s="13" t="n">
        <v>-0.04198</v>
      </c>
      <c r="M122" s="11" t="n"/>
      <c r="N122" s="11" t="n"/>
      <c r="O122" s="13" t="n">
        <v>0.06522095158652345</v>
      </c>
      <c r="P122" s="13" t="n">
        <v>0.089986107537947</v>
      </c>
      <c r="Q122" s="13" t="n">
        <v>-0.02477</v>
      </c>
      <c r="R122" s="11" t="n"/>
      <c r="S122" s="11" t="n"/>
      <c r="T122" s="13" t="n">
        <v>0.09428157301706534</v>
      </c>
      <c r="U122" s="13" t="n">
        <v>-0.02906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40" customWidth="1" min="3" max="3"/>
    <col width="14" customWidth="1" min="4" max="4"/>
    <col width="18" customWidth="1" min="5" max="5"/>
    <col width="60" customWidth="1" min="6" max="6"/>
  </cols>
  <sheetData>
    <row r="1">
      <c r="A1" s="14" t="inlineStr">
        <is>
          <t>Granite Gloves - September 2026 Month-End Story</t>
        </is>
      </c>
    </row>
    <row r="2">
      <c r="A2" s="15" t="inlineStr">
        <is>
          <t>Each chapter of the workshop adds to this sheet. By Chapter 5 it holds everything you need to build your decks.</t>
        </is>
      </c>
    </row>
    <row r="3">
      <c r="A3" s="1" t="inlineStr">
        <is>
          <t>TRAINING DATA ONLY - Zava Safety and all business names and numbers are fictitious. Layout mirrors a typical HFM / Cognos reporting pack.</t>
        </is>
      </c>
    </row>
    <row r="4">
      <c r="A4" s="16" t="inlineStr">
        <is>
          <t>1. What happened (Chapter 1)</t>
        </is>
      </c>
    </row>
    <row r="5">
      <c r="A5" s="6" t="inlineStr">
        <is>
          <t>#</t>
        </is>
      </c>
      <c r="B5" s="6" t="inlineStr">
        <is>
          <t>Finding</t>
        </is>
      </c>
      <c r="C5" s="6" t="inlineStr">
        <is>
          <t>Where I saw it (row / cells)</t>
        </is>
      </c>
    </row>
    <row r="6" ht="46" customHeight="1">
      <c r="A6" s="17" t="n">
        <v>1</v>
      </c>
      <c r="B6" s="17" t="inlineStr">
        <is>
          <t>Sales $4,665K, 88% of budget (-$643K) and 89% of prior year.</t>
        </is>
      </c>
      <c r="C6" s="17" t="inlineStr">
        <is>
          <t>Total Sales, row 46, F:M</t>
        </is>
      </c>
    </row>
    <row r="7" ht="46" customHeight="1">
      <c r="A7" s="17" t="n">
        <v>2</v>
      </c>
      <c r="B7" s="17" t="inlineStr">
        <is>
          <t>Gross margin % 25.5% vs 30.0% budget, c.446bps lower; Gross Margin -$401K vs budget.</t>
        </is>
      </c>
      <c r="C7" s="17" t="inlineStr">
        <is>
          <t>Gross Margin %, row 61, F:H</t>
        </is>
      </c>
    </row>
    <row r="8" ht="46" customHeight="1">
      <c r="A8" s="17" t="n">
        <v>3</v>
      </c>
      <c r="B8" s="17" t="inlineStr">
        <is>
          <t>Trade discounts (4100-1130) -$232K vs -$54K budget: an unusual -$179K movement in one month.</t>
        </is>
      </c>
      <c r="C8" s="17" t="inlineStr">
        <is>
          <t>4100-1130 - TRADE DISCOUNTS, row 42, F:H</t>
        </is>
      </c>
    </row>
    <row r="9" ht="46" customHeight="1">
      <c r="A9" s="17" t="n">
        <v>4</v>
      </c>
      <c r="B9" s="17" t="inlineStr">
        <is>
          <t>Operating costs $954K, -$161K vs budget, helped by rent (5300-4250) of -$52K (a credit) vs $42K budget.</t>
        </is>
      </c>
      <c r="C9" s="17" t="inlineStr">
        <is>
          <t>Operating Costs row 117; 5300-4250 - RENT EXPENSE row 91</t>
        </is>
      </c>
    </row>
    <row r="10" ht="46" customHeight="1">
      <c r="A10" s="17" t="n">
        <v>5</v>
      </c>
      <c r="B10" s="17" t="inlineStr">
        <is>
          <t>PBIT $238K vs $478K budget (-$240K); YTD PBIT $2,987K, -$1,385K vs budget.</t>
        </is>
      </c>
      <c r="C10" s="17" t="inlineStr">
        <is>
          <t>PBIT, row 121, F:H and O:Q</t>
        </is>
      </c>
    </row>
    <row r="11" ht="46" customHeight="1"/>
    <row r="12" ht="46" customHeight="1">
      <c r="A12" s="16" t="inlineStr">
        <is>
          <t>2. Drivers and questions (Chapter 2)</t>
        </is>
      </c>
    </row>
    <row r="13" ht="46" customHeight="1">
      <c r="A13" s="6" t="inlineStr">
        <is>
          <t>Account</t>
        </is>
      </c>
      <c r="B13" s="6" t="inlineStr">
        <is>
          <t>Month Var vs Bud $</t>
        </is>
      </c>
      <c r="C13" s="6" t="inlineStr">
        <is>
          <t>Month Var vs PY $</t>
        </is>
      </c>
      <c r="D13" s="6" t="inlineStr">
        <is>
          <t>Fav / Unfav</t>
        </is>
      </c>
      <c r="E13" s="6" t="inlineStr">
        <is>
          <t>Type</t>
        </is>
      </c>
      <c r="F13" s="6" t="inlineStr">
        <is>
          <t>Question for the business</t>
        </is>
      </c>
    </row>
    <row r="14" ht="46" customHeight="1">
      <c r="A14" s="17" t="inlineStr">
        <is>
          <t>4100-1000 Sales - Warehouse</t>
        </is>
      </c>
      <c r="B14" s="18" t="n">
        <v>-459</v>
      </c>
      <c r="C14" s="18" t="n">
        <v>-375.8</v>
      </c>
      <c r="D14" s="17" t="inlineStr">
        <is>
          <t>Unfav</t>
        </is>
      </c>
      <c r="E14" s="17" t="inlineStr">
        <is>
          <t>Volume / price</t>
        </is>
      </c>
      <c r="F14" s="17" t="inlineStr">
        <is>
          <t>Is this backorders, the low-cost pricing strategy, or lost customers? Which product lines?</t>
        </is>
      </c>
    </row>
    <row r="15" ht="46" customHeight="1">
      <c r="A15" s="17" t="inlineStr">
        <is>
          <t>4200-1000 Cost of Sales - Warehouse</t>
        </is>
      </c>
      <c r="B15" s="18" t="n">
        <v>-235.2</v>
      </c>
      <c r="C15" s="18" t="n">
        <v>-165.7</v>
      </c>
      <c r="D15" s="17" t="inlineStr">
        <is>
          <t>Fav (volume)</t>
        </is>
      </c>
      <c r="E15" s="17" t="inlineStr">
        <is>
          <t>Volume</t>
        </is>
      </c>
      <c r="F15" s="17" t="inlineStr">
        <is>
          <t>Cost fell less than sales: what happened to the margin rate?</t>
        </is>
      </c>
    </row>
    <row r="16" ht="46" customHeight="1">
      <c r="A16" s="17" t="inlineStr">
        <is>
          <t>4100-1130 Trade Discounts</t>
        </is>
      </c>
      <c r="B16" s="18" t="n">
        <v>-178.6</v>
      </c>
      <c r="C16" s="18" t="n">
        <v>-174.9</v>
      </c>
      <c r="D16" s="17" t="inlineStr">
        <is>
          <t>Unfav</t>
        </is>
      </c>
      <c r="E16" s="17" t="inlineStr">
        <is>
          <t>One-time?</t>
        </is>
      </c>
      <c r="F16" s="17" t="inlineStr">
        <is>
          <t>Why did trade discounts jump in September: a rebate true-up?</t>
        </is>
      </c>
    </row>
    <row r="17" ht="46" customHeight="1">
      <c r="A17" s="17" t="inlineStr">
        <is>
          <t>5300-4250 Rent Expense</t>
        </is>
      </c>
      <c r="B17" s="18" t="n">
        <v>-94.7</v>
      </c>
      <c r="C17" s="18" t="n">
        <v>-93.59999999999999</v>
      </c>
      <c r="D17" s="17" t="inlineStr">
        <is>
          <t>Fav</t>
        </is>
      </c>
      <c r="E17" s="17" t="inlineStr">
        <is>
          <t>Timing / reversal</t>
        </is>
      </c>
      <c r="F17" s="17" t="inlineStr">
        <is>
          <t>Is this the reversal of an August accrual? What is the true run-rate?</t>
        </is>
      </c>
    </row>
    <row r="18" ht="46" customHeight="1">
      <c r="A18" s="17" t="inlineStr">
        <is>
          <t>5500-2100 Admin Salaries</t>
        </is>
      </c>
      <c r="B18" s="18" t="n">
        <v>-29.5</v>
      </c>
      <c r="C18" s="18" t="n">
        <v>-28</v>
      </c>
      <c r="D18" s="17" t="inlineStr">
        <is>
          <t>Fav</t>
        </is>
      </c>
      <c r="E18" s="17" t="inlineStr">
        <is>
          <t>Run-rate</t>
        </is>
      </c>
      <c r="F18" s="17" t="inlineStr">
        <is>
          <t>Which roles are open, and until when?</t>
        </is>
      </c>
    </row>
    <row r="19" ht="46" customHeight="1">
      <c r="A19" s="17" t="inlineStr">
        <is>
          <t>5300-4110 Warehouse Supplies</t>
        </is>
      </c>
      <c r="B19" s="18" t="n">
        <v>-22.3</v>
      </c>
      <c r="C19" s="18" t="n">
        <v>-21.5</v>
      </c>
      <c r="D19" s="17" t="inlineStr">
        <is>
          <t>Fav</t>
        </is>
      </c>
      <c r="E19" s="17" t="inlineStr">
        <is>
          <t>Volume</t>
        </is>
      </c>
      <c r="F19" s="17" t="inlineStr">
        <is>
          <t>Lower activity from backorders?</t>
        </is>
      </c>
    </row>
    <row r="20" ht="46" customHeight="1">
      <c r="A20" s="17" t="inlineStr">
        <is>
          <t>5300-2530 Temporary Labor</t>
        </is>
      </c>
      <c r="B20" s="18" t="n">
        <v>11.1</v>
      </c>
      <c r="C20" s="18" t="n">
        <v>11.1</v>
      </c>
      <c r="D20" s="17" t="inlineStr">
        <is>
          <t>Unfav</t>
        </is>
      </c>
      <c r="E20" s="17" t="inlineStr">
        <is>
          <t>Run-rate</t>
        </is>
      </c>
      <c r="F20" s="17" t="inlineStr">
        <is>
          <t>Temp labor for the new DC: how long will it last?</t>
        </is>
      </c>
    </row>
    <row r="21" ht="46" customHeight="1">
      <c r="A21" s="17" t="inlineStr">
        <is>
          <t>5300-2105 Warehouse Overtime</t>
        </is>
      </c>
      <c r="B21" s="18" t="n">
        <v>-9.9</v>
      </c>
      <c r="C21" s="18" t="n">
        <v>-9.5</v>
      </c>
      <c r="D21" s="17" t="inlineStr">
        <is>
          <t>Fav</t>
        </is>
      </c>
      <c r="E21" s="17" t="inlineStr">
        <is>
          <t>Run-rate</t>
        </is>
      </c>
      <c r="F21" s="17" t="inlineStr">
        <is>
          <t>Is the OT reduction sustainable?</t>
        </is>
      </c>
    </row>
    <row r="22" ht="46" customHeight="1">
      <c r="A22" s="5" t="inlineStr">
        <is>
          <t>PBIT bridge: see the PBIT_Bridge sheet.</t>
        </is>
      </c>
    </row>
    <row r="23" ht="46" customHeight="1"/>
    <row r="24" ht="46" customHeight="1">
      <c r="A24" s="16" t="inlineStr">
        <is>
          <t>3. The why: forecast file and working capital (Chapter 3)</t>
        </is>
      </c>
    </row>
    <row r="25" ht="46" customHeight="1">
      <c r="A25" s="6" t="inlineStr">
        <is>
          <t>Topic</t>
        </is>
      </c>
      <c r="B25" s="6" t="inlineStr">
        <is>
          <t>What the forecast file says</t>
        </is>
      </c>
      <c r="C25" s="6" t="inlineStr">
        <is>
          <t>Amount ($000)</t>
        </is>
      </c>
    </row>
    <row r="26" ht="46" customHeight="1">
      <c r="A26" s="17" t="inlineStr">
        <is>
          <t>Backorders due to inventory availability</t>
        </is>
      </c>
      <c r="B26" s="17" t="inlineStr">
        <is>
          <t>Sales -$250K and Gross Margin -$75K in September (Adjustments row 6); more backorders forecast through December.</t>
        </is>
      </c>
      <c r="C26" s="18" t="n">
        <v>-250</v>
      </c>
    </row>
    <row r="27" ht="46" customHeight="1">
      <c r="A27" s="17" t="inlineStr">
        <is>
          <t>Rebate true-up - buying group</t>
        </is>
      </c>
      <c r="B27" s="17" t="inlineStr">
        <is>
          <t>Sales -$180K and Gross Margin -$180K in September only (row 7). This explains the trade discounts jump.</t>
        </is>
      </c>
      <c r="C27" s="18" t="n">
        <v>-180</v>
      </c>
    </row>
    <row r="28" ht="46" customHeight="1">
      <c r="A28" s="17" t="inlineStr">
        <is>
          <t>Heat transfer decals</t>
        </is>
      </c>
      <c r="B28" s="17" t="inlineStr">
        <is>
          <t>Gross Margin -$10K a month (row 31).</t>
        </is>
      </c>
      <c r="C28" s="18" t="n">
        <v>-10</v>
      </c>
    </row>
    <row r="29" ht="46" customHeight="1">
      <c r="A29" s="17" t="inlineStr">
        <is>
          <t>Operating cost adjustments</t>
        </is>
      </c>
      <c r="B29" s="17" t="inlineStr">
        <is>
          <t>September: headcount / postponed hiring -$24K, OT reduction -$9K, backorder variable savings -$15K, others -$6K, temp labor for the new DC +$12K (rows 50-54).</t>
        </is>
      </c>
      <c r="C29" s="18" t="n">
        <v>-42</v>
      </c>
    </row>
    <row r="30" ht="46" customHeight="1">
      <c r="A30" s="17" t="inlineStr">
        <is>
          <t>Rent credit</t>
        </is>
      </c>
      <c r="B30" s="17" t="inlineStr">
        <is>
          <t>Not in the forecast file. YTD rent is on budget, so it looks like the reversal of an August duplicate accrual. Confirm with accounting.</t>
        </is>
      </c>
      <c r="C30" s="18" t="n">
        <v>-95</v>
      </c>
    </row>
    <row r="31" ht="46" customHeight="1">
      <c r="A31" s="17" t="inlineStr">
        <is>
          <t>FCAST10 vs FCAST09 (full year)</t>
        </is>
      </c>
      <c r="B31" s="17" t="inlineStr">
        <is>
          <t>Sales -$1,180K, Gross Margin -$525K, Op Costs -$174K (savings), PBITA -$351K. Container receipts timing adds freight cost Oct-Dec.</t>
        </is>
      </c>
      <c r="C31" s="18" t="n">
        <v>-351</v>
      </c>
    </row>
    <row r="32" ht="46" customHeight="1">
      <c r="A32" s="17" t="inlineStr">
        <is>
          <t>Working capital (September)</t>
        </is>
      </c>
      <c r="B32" s="17" t="inlineStr">
        <is>
          <t>Inventory days 70 vs 76 budget and 84 PY; AR days 45.5 vs 45.0; AP days 43 vs 42. Inventory +$400K in September as delayed containers arrive.</t>
        </is>
      </c>
      <c r="C32" s="18" t="n">
        <v>400</v>
      </c>
    </row>
    <row r="33" ht="46" customHeight="1">
      <c r="A33" s="17" t="inlineStr">
        <is>
          <t>Risks &amp; opportunities not in FCAST10</t>
        </is>
      </c>
      <c r="B33" s="17" t="inlineStr">
        <is>
          <t>Container receipts slip into January (-$110K, Medium); buying group rebate tier achieved (+$60K, Low). Net weighted -$40K.</t>
        </is>
      </c>
      <c r="C33" s="18" t="n">
        <v>-40</v>
      </c>
    </row>
    <row r="34" ht="46" customHeight="1"/>
    <row r="35" ht="46" customHeight="1">
      <c r="A35" s="16" t="inlineStr">
        <is>
          <t>4. Commentary (Chapter 4)</t>
        </is>
      </c>
    </row>
    <row r="36" ht="46" customHeight="1">
      <c r="A36" s="6" t="inlineStr">
        <is>
          <t>Section</t>
        </is>
      </c>
      <c r="B36" s="6" t="inlineStr">
        <is>
          <t>Draft commentary</t>
        </is>
      </c>
      <c r="C36" s="6" t="inlineStr">
        <is>
          <t>Numbers checked? (Y/N)</t>
        </is>
      </c>
    </row>
    <row r="37" ht="46" customHeight="1">
      <c r="A37" s="17" t="inlineStr">
        <is>
          <t>Month - Sales</t>
        </is>
      </c>
      <c r="B37" s="17" t="inlineStr">
        <is>
          <t>Sales 88% of BUD and 89% of PY (-$0.6m vs BUD), driven by backorders on core gloves ($0.25m) as inventory availability lagged, a one-time $0.18m buying group rebate true-up, and the low-cost pricing strategy.</t>
        </is>
      </c>
      <c r="C37" s="17" t="inlineStr">
        <is>
          <t>Y</t>
        </is>
      </c>
    </row>
    <row r="38" ht="46" customHeight="1">
      <c r="A38" s="17" t="inlineStr">
        <is>
          <t>Month - GM%</t>
        </is>
      </c>
      <c r="B38" s="17" t="inlineStr">
        <is>
          <t>GM% 25.5%, c.446bps&lt;BUD and c.471bps&lt;PY. The rebate true-up accounts for c.277bps; the rest is price investment under the low-cost strategy and heat transfer decal costs.</t>
        </is>
      </c>
      <c r="C38" s="17" t="inlineStr">
        <is>
          <t>Y</t>
        </is>
      </c>
    </row>
    <row r="39" ht="46" customHeight="1">
      <c r="A39" s="17" t="inlineStr">
        <is>
          <t>Month - OpEx%</t>
        </is>
      </c>
      <c r="B39" s="17" t="inlineStr">
        <is>
          <t>OpEx% 20.4%, c.55bps&lt;BUD, flattered by the $0.1m reversal of August's duplicate rent accrual. Excluding it, OpEx% is c.22.5% (c.149bps&gt;BUD) on lower sales; open roles and lower OT partly offset new-DC temp labor.</t>
        </is>
      </c>
      <c r="C39" s="17" t="inlineStr">
        <is>
          <t>Y</t>
        </is>
      </c>
    </row>
    <row r="40" ht="46" customHeight="1">
      <c r="A40" s="17" t="inlineStr">
        <is>
          <t>Month - Capital Employed</t>
        </is>
      </c>
      <c r="B40" s="17" t="inlineStr">
        <is>
          <t>Capital Employed $12.8m, $2.0m lower than BUD and $3.1m lower than PY from inventory reduction (inventory days 70 vs 76 BUD, 84 PY); September inventory up $0.4m as delayed containers arrive.</t>
        </is>
      </c>
      <c r="C40" s="17" t="inlineStr">
        <is>
          <t>Y</t>
        </is>
      </c>
    </row>
    <row r="41" ht="46" customHeight="1">
      <c r="A41" s="17" t="inlineStr">
        <is>
          <t>YTD - Sales</t>
        </is>
      </c>
      <c r="B41" s="17" t="inlineStr">
        <is>
          <t>Sales 94% of BUD (-$2.8m) and 97% of PY, driven by price investment under the low-cost strategy, plus September backorders and the rebate true-up.</t>
        </is>
      </c>
      <c r="C41" s="17" t="inlineStr">
        <is>
          <t>Y</t>
        </is>
      </c>
    </row>
    <row r="42" ht="46" customHeight="1">
      <c r="A42" s="17" t="inlineStr">
        <is>
          <t>YTD - GM%</t>
        </is>
      </c>
      <c r="B42" s="17" t="inlineStr">
        <is>
          <t>GM% 28.2%, c.175bps&lt;BUD and c.234bps&lt;PY from price investment under the low-cost strategy and the September rebate true-up.</t>
        </is>
      </c>
      <c r="C42" s="17" t="inlineStr">
        <is>
          <t>Y</t>
        </is>
      </c>
    </row>
    <row r="43" ht="46" customHeight="1">
      <c r="A43" s="17" t="inlineStr">
        <is>
          <t>YTD - OpEx%</t>
        </is>
      </c>
      <c r="B43" s="17" t="inlineStr">
        <is>
          <t>OpEx% 21.7%, c.72bps&gt;BUD and c.57bps&gt;PY from lower sales leverage on largely fixed costs; open roles and OT reduction partly offset. August's duplicate rent accrual and its September reversal net to zero YTD.</t>
        </is>
      </c>
      <c r="C43" s="17" t="inlineStr">
        <is>
          <t>Y</t>
        </is>
      </c>
    </row>
    <row r="44" ht="46" customHeight="1">
      <c r="A44" s="17" t="inlineStr">
        <is>
          <t>YTD - Capital Employed</t>
        </is>
      </c>
      <c r="B44" s="17" t="inlineStr">
        <is>
          <t>Capital Employed $12.8m, $2.0m below BUD and $3.1m below PY from targeted inventory reduction.</t>
        </is>
      </c>
      <c r="C44" s="17" t="inlineStr">
        <is>
          <t>Y</t>
        </is>
      </c>
    </row>
    <row r="45" ht="46" customHeight="1">
      <c r="A45" s="17" t="inlineStr">
        <is>
          <t>Exec bullet 1</t>
        </is>
      </c>
      <c r="B45" s="17" t="inlineStr">
        <is>
          <t>September PBIT $0.2m vs $0.5m budget: backorders and a one-time $0.18m rebate true-up cut sales to 88% of budget.</t>
        </is>
      </c>
      <c r="C45" s="17" t="inlineStr">
        <is>
          <t>Y</t>
        </is>
      </c>
    </row>
    <row r="46" ht="46" customHeight="1">
      <c r="A46" s="17" t="inlineStr">
        <is>
          <t>Exec bullet 2</t>
        </is>
      </c>
      <c r="B46" s="17" t="inlineStr">
        <is>
          <t>GM% c.446bps below budget; c.277bps is the one-time rebate, the rest is low-cost strategy pricing.</t>
        </is>
      </c>
      <c r="C46" s="17" t="inlineStr">
        <is>
          <t>Y</t>
        </is>
      </c>
    </row>
    <row r="47" ht="46" customHeight="1">
      <c r="A47" s="17" t="inlineStr">
        <is>
          <t>Exec bullet 3</t>
        </is>
      </c>
      <c r="B47" s="17" t="inlineStr">
        <is>
          <t>FCAST10 lowers full-year PBITA by $0.35m; backorders recover by November; inventory days down to 70 from 84 last year.</t>
        </is>
      </c>
      <c r="C47" s="17" t="inlineStr">
        <is>
          <t>Y</t>
        </is>
      </c>
    </row>
    <row r="48" ht="46" customHeight="1"/>
    <row r="49" ht="46" customHeight="1">
      <c r="A49" s="16" t="inlineStr">
        <is>
          <t>5. Business Review - Sales &amp; Margin slide (Chapter 5)</t>
        </is>
      </c>
    </row>
    <row r="50" ht="46" customHeight="1">
      <c r="A50" s="6" t="inlineStr">
        <is>
          <t>Row</t>
        </is>
      </c>
      <c r="B50" s="6" t="inlineStr">
        <is>
          <t>Sales (headline + text)</t>
        </is>
      </c>
      <c r="C50" s="6" t="inlineStr">
        <is>
          <t>Margin (headline + text)</t>
        </is>
      </c>
    </row>
    <row r="51" ht="46" customHeight="1">
      <c r="A51" s="17" t="inlineStr">
        <is>
          <t>#1</t>
        </is>
      </c>
      <c r="B51" s="17" t="n"/>
      <c r="C51" s="17" t="n"/>
    </row>
    <row r="52" ht="46" customHeight="1">
      <c r="A52" s="17" t="inlineStr">
        <is>
          <t>#2</t>
        </is>
      </c>
      <c r="B52" s="17" t="n"/>
      <c r="C52" s="17" t="n"/>
    </row>
    <row r="53" ht="46" customHeight="1">
      <c r="A53" s="17" t="inlineStr">
        <is>
          <t>#3</t>
        </is>
      </c>
      <c r="B53" s="17" t="n"/>
      <c r="C53" s="17" t="n"/>
    </row>
  </sheetData>
  <dataValidations count="1">
    <dataValidation sqref="C37:C4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</cols>
  <sheetData>
    <row r="1">
      <c r="A1" s="6" t="inlineStr">
        <is>
          <t>Account</t>
        </is>
      </c>
      <c r="B1" s="6" t="inlineStr">
        <is>
          <t>Description</t>
        </is>
      </c>
      <c r="C1" s="6" t="inlineStr">
        <is>
          <t>Subtotal</t>
        </is>
      </c>
      <c r="D1" s="6" t="inlineStr">
        <is>
          <t>Category</t>
        </is>
      </c>
      <c r="E1" s="6" t="inlineStr">
        <is>
          <t>Month Actual</t>
        </is>
      </c>
      <c r="F1" s="6" t="inlineStr">
        <is>
          <t>Month Budget</t>
        </is>
      </c>
      <c r="G1" s="6" t="inlineStr">
        <is>
          <t>Month Var vs Bud $</t>
        </is>
      </c>
      <c r="H1" s="6" t="inlineStr">
        <is>
          <t>Month PY</t>
        </is>
      </c>
      <c r="I1" s="6" t="inlineStr">
        <is>
          <t>Month Var vs PY $</t>
        </is>
      </c>
      <c r="J1" s="6" t="inlineStr">
        <is>
          <t>YTD Actual</t>
        </is>
      </c>
      <c r="K1" s="6" t="inlineStr">
        <is>
          <t>YTD Budget</t>
        </is>
      </c>
      <c r="L1" s="6" t="inlineStr">
        <is>
          <t>YTD Var vs Bud $</t>
        </is>
      </c>
      <c r="M1" s="6" t="inlineStr">
        <is>
          <t>YTD PY</t>
        </is>
      </c>
      <c r="N1" s="6" t="inlineStr">
        <is>
          <t>YTD Var vs PY $</t>
        </is>
      </c>
    </row>
    <row r="2">
      <c r="A2" t="inlineStr">
        <is>
          <t>4100-1000</t>
        </is>
      </c>
      <c r="B2" t="inlineStr">
        <is>
          <t>WAREHOUSE</t>
        </is>
      </c>
      <c r="C2" t="inlineStr">
        <is>
          <t>Sales-Warehouse</t>
        </is>
      </c>
      <c r="D2" t="inlineStr">
        <is>
          <t>Sales</t>
        </is>
      </c>
      <c r="E2" s="7" t="n">
        <v>4751.6</v>
      </c>
      <c r="F2" s="7" t="n">
        <v>5210.6</v>
      </c>
      <c r="G2" s="7" t="n">
        <v>-459</v>
      </c>
      <c r="H2" s="7" t="n">
        <v>5127.4</v>
      </c>
      <c r="I2" s="7" t="n">
        <v>-375.8</v>
      </c>
      <c r="J2" s="7" t="n">
        <v>45124.5</v>
      </c>
      <c r="K2" s="7" t="n">
        <v>47693.2</v>
      </c>
      <c r="L2" s="7" t="n">
        <v>-2568.7</v>
      </c>
      <c r="M2" s="7" t="n">
        <v>46389.9</v>
      </c>
      <c r="N2" s="7" t="n">
        <v>-1265.4</v>
      </c>
    </row>
    <row r="3">
      <c r="A3" t="inlineStr">
        <is>
          <t>4100-1010</t>
        </is>
      </c>
      <c r="B3" t="inlineStr">
        <is>
          <t>DIRECT SHIP</t>
        </is>
      </c>
      <c r="C3" t="inlineStr">
        <is>
          <t>Sales-Dropships</t>
        </is>
      </c>
      <c r="D3" t="inlineStr">
        <is>
          <t>Sales</t>
        </is>
      </c>
      <c r="E3" s="7" t="n">
        <v>208.4</v>
      </c>
      <c r="F3" s="7" t="n">
        <v>217.1</v>
      </c>
      <c r="G3" s="7" t="n">
        <v>-8.699999999999999</v>
      </c>
      <c r="H3" s="7" t="n">
        <v>213.6</v>
      </c>
      <c r="I3" s="7" t="n">
        <v>-5.2</v>
      </c>
      <c r="J3" s="7" t="n">
        <v>1890.5</v>
      </c>
      <c r="K3" s="7" t="n">
        <v>1987.2</v>
      </c>
      <c r="L3" s="7" t="n">
        <v>-96.7</v>
      </c>
      <c r="M3" s="7" t="n">
        <v>1932.8</v>
      </c>
      <c r="N3" s="7" t="n">
        <v>-42.3</v>
      </c>
    </row>
    <row r="4">
      <c r="A4" t="inlineStr">
        <is>
          <t>4100-1100</t>
        </is>
      </c>
      <c r="B4" t="inlineStr">
        <is>
          <t>RETURNS AND ALLOWANCES</t>
        </is>
      </c>
      <c r="C4" t="inlineStr">
        <is>
          <t>Sales-Other</t>
        </is>
      </c>
      <c r="D4" t="inlineStr">
        <is>
          <t>Sales</t>
        </is>
      </c>
      <c r="E4" s="7" t="n">
        <v>-35.5</v>
      </c>
      <c r="F4" s="7" t="n">
        <v>-37.8</v>
      </c>
      <c r="G4" s="7" t="n">
        <v>2.3</v>
      </c>
      <c r="H4" s="7" t="n">
        <v>-33.2</v>
      </c>
      <c r="I4" s="7" t="n">
        <v>-2.3</v>
      </c>
      <c r="J4" s="7" t="n">
        <v>-311.1</v>
      </c>
      <c r="K4" s="7" t="n">
        <v>-334.4</v>
      </c>
      <c r="L4" s="7" t="n">
        <v>23.3</v>
      </c>
      <c r="M4" s="7" t="n">
        <v>-311.3</v>
      </c>
      <c r="N4" s="7" t="n">
        <v>0.2</v>
      </c>
    </row>
    <row r="5">
      <c r="A5" t="inlineStr">
        <is>
          <t>4100-1110</t>
        </is>
      </c>
      <c r="B5" t="inlineStr">
        <is>
          <t>CUSTOMER TERMS DISCOUNT</t>
        </is>
      </c>
      <c r="C5" t="inlineStr">
        <is>
          <t>Sales-Other</t>
        </is>
      </c>
      <c r="D5" t="inlineStr">
        <is>
          <t>Sales</t>
        </is>
      </c>
      <c r="E5" s="7" t="n">
        <v>-26.6</v>
      </c>
      <c r="F5" s="7" t="n">
        <v>-27.8</v>
      </c>
      <c r="G5" s="7" t="n">
        <v>1.2</v>
      </c>
      <c r="H5" s="7" t="n">
        <v>-27.4</v>
      </c>
      <c r="I5" s="7" t="n">
        <v>0.8</v>
      </c>
      <c r="J5" s="7" t="n">
        <v>-227.6</v>
      </c>
      <c r="K5" s="7" t="n">
        <v>-243.2</v>
      </c>
      <c r="L5" s="7" t="n">
        <v>15.6</v>
      </c>
      <c r="M5" s="7" t="n">
        <v>-237.2</v>
      </c>
      <c r="N5" s="7" t="n">
        <v>9.6</v>
      </c>
    </row>
    <row r="6">
      <c r="A6" t="inlineStr">
        <is>
          <t>4100-1130</t>
        </is>
      </c>
      <c r="B6" t="inlineStr">
        <is>
          <t>TRADE DISCOUNTS</t>
        </is>
      </c>
      <c r="C6" t="inlineStr">
        <is>
          <t>Sales-Other</t>
        </is>
      </c>
      <c r="D6" t="inlineStr">
        <is>
          <t>Sales</t>
        </is>
      </c>
      <c r="E6" s="7" t="n">
        <v>-232.5</v>
      </c>
      <c r="F6" s="7" t="n">
        <v>-53.9</v>
      </c>
      <c r="G6" s="7" t="n">
        <v>-178.6</v>
      </c>
      <c r="H6" s="7" t="n">
        <v>-57.6</v>
      </c>
      <c r="I6" s="7" t="n">
        <v>-174.9</v>
      </c>
      <c r="J6" s="7" t="n">
        <v>-684.3</v>
      </c>
      <c r="K6" s="7" t="n">
        <v>-516.7</v>
      </c>
      <c r="L6" s="7" t="n">
        <v>-167.6</v>
      </c>
      <c r="M6" s="7" t="n">
        <v>-513.9</v>
      </c>
      <c r="N6" s="7" t="n">
        <v>-170.4</v>
      </c>
    </row>
    <row r="7">
      <c r="A7" t="inlineStr">
        <is>
          <t>4100-1225</t>
        </is>
      </c>
      <c r="B7" t="inlineStr">
        <is>
          <t>MISC. ALLOWANCES</t>
        </is>
      </c>
      <c r="C7" t="inlineStr">
        <is>
          <t>Sales-Other</t>
        </is>
      </c>
      <c r="D7" t="inlineStr">
        <is>
          <t>Sales</t>
        </is>
      </c>
      <c r="E7" s="7" t="n">
        <v>-6.6</v>
      </c>
      <c r="F7" s="7" t="n">
        <v>-6.8</v>
      </c>
      <c r="G7" s="7" t="n">
        <v>0.2</v>
      </c>
      <c r="H7" s="7" t="n">
        <v>-6.5</v>
      </c>
      <c r="I7" s="7" t="n">
        <v>-0.1</v>
      </c>
      <c r="J7" s="7" t="n">
        <v>-60.9</v>
      </c>
      <c r="K7" s="7" t="n">
        <v>-64.2</v>
      </c>
      <c r="L7" s="7" t="n">
        <v>3.3</v>
      </c>
      <c r="M7" s="7" t="n">
        <v>-63.3</v>
      </c>
      <c r="N7" s="7" t="n">
        <v>2.4</v>
      </c>
    </row>
    <row r="8">
      <c r="A8" t="inlineStr">
        <is>
          <t>4100-1300</t>
        </is>
      </c>
      <c r="B8" t="inlineStr">
        <is>
          <t>FREIGHT BILLED</t>
        </is>
      </c>
      <c r="C8" t="inlineStr">
        <is>
          <t>Sales-Other</t>
        </is>
      </c>
      <c r="D8" t="inlineStr">
        <is>
          <t>Sales</t>
        </is>
      </c>
      <c r="E8" s="7" t="n">
        <v>6.5</v>
      </c>
      <c r="F8" s="7" t="n">
        <v>6.9</v>
      </c>
      <c r="G8" s="7" t="n">
        <v>-0.4</v>
      </c>
      <c r="H8" s="7" t="n">
        <v>7.1</v>
      </c>
      <c r="I8" s="7" t="n">
        <v>-0.6</v>
      </c>
      <c r="J8" s="7" t="n">
        <v>64</v>
      </c>
      <c r="K8" s="7" t="n">
        <v>65.59999999999999</v>
      </c>
      <c r="L8" s="7" t="n">
        <v>-1.6</v>
      </c>
      <c r="M8" s="7" t="n">
        <v>62.5</v>
      </c>
      <c r="N8" s="7" t="n">
        <v>1.5</v>
      </c>
    </row>
    <row r="9">
      <c r="A9" t="inlineStr">
        <is>
          <t>4200-1000</t>
        </is>
      </c>
      <c r="B9" t="inlineStr">
        <is>
          <t>WAREHOUSE</t>
        </is>
      </c>
      <c r="C9" t="inlineStr">
        <is>
          <t>Cost of Sales-Warehouse</t>
        </is>
      </c>
      <c r="D9" t="inlineStr">
        <is>
          <t>Cost of Sales</t>
        </is>
      </c>
      <c r="E9" s="7" t="n">
        <v>3272.8</v>
      </c>
      <c r="F9" s="7" t="n">
        <v>3508</v>
      </c>
      <c r="G9" s="7" t="n">
        <v>-235.2</v>
      </c>
      <c r="H9" s="7" t="n">
        <v>3438.5</v>
      </c>
      <c r="I9" s="7" t="n">
        <v>-165.7</v>
      </c>
      <c r="J9" s="7" t="n">
        <v>31051.3</v>
      </c>
      <c r="K9" s="7" t="n">
        <v>32115.7</v>
      </c>
      <c r="L9" s="7" t="n">
        <v>-1064.4</v>
      </c>
      <c r="M9" s="7" t="n">
        <v>30956.7</v>
      </c>
      <c r="N9" s="7" t="n">
        <v>94.59999999999999</v>
      </c>
    </row>
    <row r="10">
      <c r="A10" t="inlineStr">
        <is>
          <t>4200-1005</t>
        </is>
      </c>
      <c r="B10" t="inlineStr">
        <is>
          <t>INVENTORY ADJUSTMENT</t>
        </is>
      </c>
      <c r="C10" t="inlineStr">
        <is>
          <t>Cost of Sales-Warehouse</t>
        </is>
      </c>
      <c r="D10" t="inlineStr">
        <is>
          <t>Cost of Sales</t>
        </is>
      </c>
      <c r="E10" s="7" t="n">
        <v>12.9</v>
      </c>
      <c r="F10" s="7" t="n">
        <v>12.1</v>
      </c>
      <c r="G10" s="7" t="n">
        <v>0.8</v>
      </c>
      <c r="H10" s="7" t="n">
        <v>12.3</v>
      </c>
      <c r="I10" s="7" t="n">
        <v>0.6</v>
      </c>
      <c r="J10" s="7" t="n">
        <v>101.5</v>
      </c>
      <c r="K10" s="7" t="n">
        <v>104.2</v>
      </c>
      <c r="L10" s="7" t="n">
        <v>-2.7</v>
      </c>
      <c r="M10" s="7" t="n">
        <v>108</v>
      </c>
      <c r="N10" s="7" t="n">
        <v>-6.5</v>
      </c>
    </row>
    <row r="11">
      <c r="A11" t="inlineStr">
        <is>
          <t>4200-1010</t>
        </is>
      </c>
      <c r="B11" t="inlineStr">
        <is>
          <t>DIRECT SHIP</t>
        </is>
      </c>
      <c r="C11" t="inlineStr">
        <is>
          <t>Cost of Sales-Dropships</t>
        </is>
      </c>
      <c r="D11" t="inlineStr">
        <is>
          <t>Cost of Sales</t>
        </is>
      </c>
      <c r="E11" s="7" t="n">
        <v>177.1</v>
      </c>
      <c r="F11" s="7" t="n">
        <v>184.5</v>
      </c>
      <c r="G11" s="7" t="n">
        <v>-7.4</v>
      </c>
      <c r="H11" s="7" t="n">
        <v>181.6</v>
      </c>
      <c r="I11" s="7" t="n">
        <v>-4.5</v>
      </c>
      <c r="J11" s="7" t="n">
        <v>1606.9</v>
      </c>
      <c r="K11" s="7" t="n">
        <v>1689.1</v>
      </c>
      <c r="L11" s="7" t="n">
        <v>-82.2</v>
      </c>
      <c r="M11" s="7" t="n">
        <v>1642.9</v>
      </c>
      <c r="N11" s="7" t="n">
        <v>-36</v>
      </c>
    </row>
    <row r="12">
      <c r="A12" t="inlineStr">
        <is>
          <t>4200-1200</t>
        </is>
      </c>
      <c r="B12" t="inlineStr">
        <is>
          <t>VENDOR TERMS DISCOUNT</t>
        </is>
      </c>
      <c r="C12" t="inlineStr">
        <is>
          <t>Rebates and Disc</t>
        </is>
      </c>
      <c r="D12" t="inlineStr">
        <is>
          <t>Cost of Sales</t>
        </is>
      </c>
      <c r="E12" s="7" t="n">
        <v>-29.1</v>
      </c>
      <c r="F12" s="7" t="n">
        <v>-29.7</v>
      </c>
      <c r="G12" s="7" t="n">
        <v>0.6</v>
      </c>
      <c r="H12" s="7" t="n">
        <v>-29.1</v>
      </c>
      <c r="I12" s="7" t="n">
        <v>0</v>
      </c>
      <c r="J12" s="7" t="n">
        <v>-264.2</v>
      </c>
      <c r="K12" s="7" t="n">
        <v>-271.9</v>
      </c>
      <c r="L12" s="7" t="n">
        <v>7.7</v>
      </c>
      <c r="M12" s="7" t="n">
        <v>-262.5</v>
      </c>
      <c r="N12" s="7" t="n">
        <v>-1.7</v>
      </c>
    </row>
    <row r="13">
      <c r="A13" t="inlineStr">
        <is>
          <t>4200-1210</t>
        </is>
      </c>
      <c r="B13" t="inlineStr">
        <is>
          <t>VENDOR VOLUME REBATES</t>
        </is>
      </c>
      <c r="C13" t="inlineStr">
        <is>
          <t>Rebates and Disc</t>
        </is>
      </c>
      <c r="D13" t="inlineStr">
        <is>
          <t>Cost of Sales</t>
        </is>
      </c>
      <c r="E13" s="7" t="n">
        <v>-91</v>
      </c>
      <c r="F13" s="7" t="n">
        <v>-92.90000000000001</v>
      </c>
      <c r="G13" s="7" t="n">
        <v>1.9</v>
      </c>
      <c r="H13" s="7" t="n">
        <v>-91.09999999999999</v>
      </c>
      <c r="I13" s="7" t="n">
        <v>0.1</v>
      </c>
      <c r="J13" s="7" t="n">
        <v>-825.7</v>
      </c>
      <c r="K13" s="7" t="n">
        <v>-850.4</v>
      </c>
      <c r="L13" s="7" t="n">
        <v>24.7</v>
      </c>
      <c r="M13" s="7" t="n">
        <v>-820.1</v>
      </c>
      <c r="N13" s="7" t="n">
        <v>-5.6</v>
      </c>
    </row>
    <row r="14">
      <c r="A14" t="inlineStr">
        <is>
          <t>4200-1300</t>
        </is>
      </c>
      <c r="B14" t="inlineStr">
        <is>
          <t>FREIGHT IN</t>
        </is>
      </c>
      <c r="C14" t="inlineStr">
        <is>
          <t>Cost of Sales-Other</t>
        </is>
      </c>
      <c r="D14" t="inlineStr">
        <is>
          <t>Cost of Sales</t>
        </is>
      </c>
      <c r="E14" s="7" t="n">
        <v>109.2</v>
      </c>
      <c r="F14" s="7" t="n">
        <v>111.5</v>
      </c>
      <c r="G14" s="7" t="n">
        <v>-2.3</v>
      </c>
      <c r="H14" s="7" t="n">
        <v>109.3</v>
      </c>
      <c r="I14" s="7" t="n">
        <v>-0.1</v>
      </c>
      <c r="J14" s="7" t="n">
        <v>990.8</v>
      </c>
      <c r="K14" s="7" t="n">
        <v>1020.4</v>
      </c>
      <c r="L14" s="7" t="n">
        <v>-29.6</v>
      </c>
      <c r="M14" s="7" t="n">
        <v>984.1</v>
      </c>
      <c r="N14" s="7" t="n">
        <v>6.7</v>
      </c>
    </row>
    <row r="15">
      <c r="A15" t="inlineStr">
        <is>
          <t>4200-1400</t>
        </is>
      </c>
      <c r="B15" t="inlineStr">
        <is>
          <t>OBSOLETE INVENTORY</t>
        </is>
      </c>
      <c r="C15" t="inlineStr">
        <is>
          <t>Cost of Sales-Other</t>
        </is>
      </c>
      <c r="D15" t="inlineStr">
        <is>
          <t>Cost of Sales</t>
        </is>
      </c>
      <c r="E15" s="7" t="n">
        <v>14.6</v>
      </c>
      <c r="F15" s="7" t="n">
        <v>14.9</v>
      </c>
      <c r="G15" s="7" t="n">
        <v>-0.3</v>
      </c>
      <c r="H15" s="7" t="n">
        <v>14.6</v>
      </c>
      <c r="I15" s="7" t="n">
        <v>0</v>
      </c>
      <c r="J15" s="7" t="n">
        <v>132.2</v>
      </c>
      <c r="K15" s="7" t="n">
        <v>136.2</v>
      </c>
      <c r="L15" s="7" t="n">
        <v>-4</v>
      </c>
      <c r="M15" s="7" t="n">
        <v>131.2</v>
      </c>
      <c r="N15" s="7" t="n">
        <v>1</v>
      </c>
    </row>
    <row r="16">
      <c r="A16" t="inlineStr">
        <is>
          <t>4200-1410</t>
        </is>
      </c>
      <c r="B16" t="inlineStr">
        <is>
          <t>DAMAGED INVENTORY</t>
        </is>
      </c>
      <c r="C16" t="inlineStr">
        <is>
          <t>Cost of Sales-Other</t>
        </is>
      </c>
      <c r="D16" t="inlineStr">
        <is>
          <t>Cost of Sales</t>
        </is>
      </c>
      <c r="E16" s="7" t="n">
        <v>7.3</v>
      </c>
      <c r="F16" s="7" t="n">
        <v>7.4</v>
      </c>
      <c r="G16" s="7" t="n">
        <v>-0.1</v>
      </c>
      <c r="H16" s="7" t="n">
        <v>7.3</v>
      </c>
      <c r="I16" s="7" t="n">
        <v>0</v>
      </c>
      <c r="J16" s="7" t="n">
        <v>66</v>
      </c>
      <c r="K16" s="7" t="n">
        <v>68</v>
      </c>
      <c r="L16" s="7" t="n">
        <v>-2</v>
      </c>
      <c r="M16" s="7" t="n">
        <v>65.59999999999999</v>
      </c>
      <c r="N16" s="7" t="n">
        <v>0.4</v>
      </c>
    </row>
    <row r="17">
      <c r="A17" t="inlineStr">
        <is>
          <t>5100-2100</t>
        </is>
      </c>
      <c r="B17" t="inlineStr">
        <is>
          <t>SALES SALARIES</t>
        </is>
      </c>
      <c r="C17" t="inlineStr">
        <is>
          <t>Payroll Exp - Selling</t>
        </is>
      </c>
      <c r="D17" t="inlineStr">
        <is>
          <t>Selling</t>
        </is>
      </c>
      <c r="E17" s="7" t="n">
        <v>159.7</v>
      </c>
      <c r="F17" s="7" t="n">
        <v>158.8</v>
      </c>
      <c r="G17" s="7" t="n">
        <v>0.9</v>
      </c>
      <c r="H17" s="7" t="n">
        <v>158.3</v>
      </c>
      <c r="I17" s="7" t="n">
        <v>1.4</v>
      </c>
      <c r="J17" s="7" t="n">
        <v>1434.2</v>
      </c>
      <c r="K17" s="7" t="n">
        <v>1453.7</v>
      </c>
      <c r="L17" s="7" t="n">
        <v>-19.5</v>
      </c>
      <c r="M17" s="7" t="n">
        <v>1418.8</v>
      </c>
      <c r="N17" s="7" t="n">
        <v>15.4</v>
      </c>
    </row>
    <row r="18">
      <c r="A18" t="inlineStr">
        <is>
          <t>5100-2200</t>
        </is>
      </c>
      <c r="B18" t="inlineStr">
        <is>
          <t>COMMISSIONS</t>
        </is>
      </c>
      <c r="C18" t="inlineStr">
        <is>
          <t>Payroll Exp - Selling</t>
        </is>
      </c>
      <c r="D18" t="inlineStr">
        <is>
          <t>Selling</t>
        </is>
      </c>
      <c r="E18" s="7" t="n">
        <v>48.7</v>
      </c>
      <c r="F18" s="7" t="n">
        <v>50.5</v>
      </c>
      <c r="G18" s="7" t="n">
        <v>-1.8</v>
      </c>
      <c r="H18" s="7" t="n">
        <v>48.6</v>
      </c>
      <c r="I18" s="7" t="n">
        <v>0.1</v>
      </c>
      <c r="J18" s="7" t="n">
        <v>437</v>
      </c>
      <c r="K18" s="7" t="n">
        <v>462.6</v>
      </c>
      <c r="L18" s="7" t="n">
        <v>-25.6</v>
      </c>
      <c r="M18" s="7" t="n">
        <v>458</v>
      </c>
      <c r="N18" s="7" t="n">
        <v>-21</v>
      </c>
    </row>
    <row r="19">
      <c r="A19" t="inlineStr">
        <is>
          <t>5100-2500</t>
        </is>
      </c>
      <c r="B19" t="inlineStr">
        <is>
          <t>BONUSES</t>
        </is>
      </c>
      <c r="C19" t="inlineStr">
        <is>
          <t>Payroll Exp - Selling</t>
        </is>
      </c>
      <c r="D19" t="inlineStr">
        <is>
          <t>Selling</t>
        </is>
      </c>
      <c r="E19" s="7" t="n">
        <v>17.8</v>
      </c>
      <c r="F19" s="7" t="n">
        <v>18</v>
      </c>
      <c r="G19" s="7" t="n">
        <v>-0.2</v>
      </c>
      <c r="H19" s="7" t="n">
        <v>17.8</v>
      </c>
      <c r="I19" s="7" t="n">
        <v>0</v>
      </c>
      <c r="J19" s="7" t="n">
        <v>161.4</v>
      </c>
      <c r="K19" s="7" t="n">
        <v>165.1</v>
      </c>
      <c r="L19" s="7" t="n">
        <v>-3.7</v>
      </c>
      <c r="M19" s="7" t="n">
        <v>160.7</v>
      </c>
      <c r="N19" s="7" t="n">
        <v>0.7</v>
      </c>
    </row>
    <row r="20">
      <c r="A20" t="inlineStr">
        <is>
          <t>5100-3010</t>
        </is>
      </c>
      <c r="B20" t="inlineStr">
        <is>
          <t>P/R TAXES</t>
        </is>
      </c>
      <c r="C20" t="inlineStr">
        <is>
          <t>P/R Tax/Benefit - Selling</t>
        </is>
      </c>
      <c r="D20" t="inlineStr">
        <is>
          <t>Selling</t>
        </is>
      </c>
      <c r="E20" s="7" t="n">
        <v>18.2</v>
      </c>
      <c r="F20" s="7" t="n">
        <v>18</v>
      </c>
      <c r="G20" s="7" t="n">
        <v>0.2</v>
      </c>
      <c r="H20" s="7" t="n">
        <v>17.8</v>
      </c>
      <c r="I20" s="7" t="n">
        <v>0.4</v>
      </c>
      <c r="J20" s="7" t="n">
        <v>164.2</v>
      </c>
      <c r="K20" s="7" t="n">
        <v>165.1</v>
      </c>
      <c r="L20" s="7" t="n">
        <v>-0.9</v>
      </c>
      <c r="M20" s="7" t="n">
        <v>162.7</v>
      </c>
      <c r="N20" s="7" t="n">
        <v>1.5</v>
      </c>
    </row>
    <row r="21">
      <c r="A21" t="inlineStr">
        <is>
          <t>5100-3100</t>
        </is>
      </c>
      <c r="B21" t="inlineStr">
        <is>
          <t>BENEFITS - HEALTH</t>
        </is>
      </c>
      <c r="C21" t="inlineStr">
        <is>
          <t>P/R Tax/Benefit - Selling</t>
        </is>
      </c>
      <c r="D21" t="inlineStr">
        <is>
          <t>Selling</t>
        </is>
      </c>
      <c r="E21" s="7" t="n">
        <v>28.8</v>
      </c>
      <c r="F21" s="7" t="n">
        <v>28.9</v>
      </c>
      <c r="G21" s="7" t="n">
        <v>-0.1</v>
      </c>
      <c r="H21" s="7" t="n">
        <v>28.8</v>
      </c>
      <c r="I21" s="7" t="n">
        <v>0</v>
      </c>
      <c r="J21" s="7" t="n">
        <v>258.1</v>
      </c>
      <c r="K21" s="7" t="n">
        <v>264.5</v>
      </c>
      <c r="L21" s="7" t="n">
        <v>-6.4</v>
      </c>
      <c r="M21" s="7" t="n">
        <v>255.3</v>
      </c>
      <c r="N21" s="7" t="n">
        <v>2.8</v>
      </c>
    </row>
    <row r="22">
      <c r="A22" t="inlineStr">
        <is>
          <t>5100-5600</t>
        </is>
      </c>
      <c r="B22" t="inlineStr">
        <is>
          <t>AIRFARE</t>
        </is>
      </c>
      <c r="C22" t="inlineStr">
        <is>
          <t>Travel/Entertainment - Selling</t>
        </is>
      </c>
      <c r="D22" t="inlineStr">
        <is>
          <t>Selling</t>
        </is>
      </c>
      <c r="E22" s="7" t="n">
        <v>14.1</v>
      </c>
      <c r="F22" s="7" t="n">
        <v>14.4</v>
      </c>
      <c r="G22" s="7" t="n">
        <v>-0.3</v>
      </c>
      <c r="H22" s="7" t="n">
        <v>14.4</v>
      </c>
      <c r="I22" s="7" t="n">
        <v>-0.3</v>
      </c>
      <c r="J22" s="7" t="n">
        <v>130.1</v>
      </c>
      <c r="K22" s="7" t="n">
        <v>132</v>
      </c>
      <c r="L22" s="7" t="n">
        <v>-1.9</v>
      </c>
      <c r="M22" s="7" t="n">
        <v>129.2</v>
      </c>
      <c r="N22" s="7" t="n">
        <v>0.9</v>
      </c>
    </row>
    <row r="23">
      <c r="A23" t="inlineStr">
        <is>
          <t>5100-5610</t>
        </is>
      </c>
      <c r="B23" t="inlineStr">
        <is>
          <t>LODGING</t>
        </is>
      </c>
      <c r="C23" t="inlineStr">
        <is>
          <t>Travel/Entertainment - Selling</t>
        </is>
      </c>
      <c r="D23" t="inlineStr">
        <is>
          <t>Selling</t>
        </is>
      </c>
      <c r="E23" s="7" t="n">
        <v>10.7</v>
      </c>
      <c r="F23" s="7" t="n">
        <v>10.8</v>
      </c>
      <c r="G23" s="7" t="n">
        <v>-0.1</v>
      </c>
      <c r="H23" s="7" t="n">
        <v>11</v>
      </c>
      <c r="I23" s="7" t="n">
        <v>-0.3</v>
      </c>
      <c r="J23" s="7" t="n">
        <v>97</v>
      </c>
      <c r="K23" s="7" t="n">
        <v>99.2</v>
      </c>
      <c r="L23" s="7" t="n">
        <v>-2.2</v>
      </c>
      <c r="M23" s="7" t="n">
        <v>97.90000000000001</v>
      </c>
      <c r="N23" s="7" t="n">
        <v>-0.9</v>
      </c>
    </row>
    <row r="24">
      <c r="A24" t="inlineStr">
        <is>
          <t>5100-5680</t>
        </is>
      </c>
      <c r="B24" t="inlineStr">
        <is>
          <t>T&amp;E MEALS &amp; ENTERTAINMENT</t>
        </is>
      </c>
      <c r="C24" t="inlineStr">
        <is>
          <t>Travel/Entertainment - Selling</t>
        </is>
      </c>
      <c r="D24" t="inlineStr">
        <is>
          <t>Selling</t>
        </is>
      </c>
      <c r="E24" s="7" t="n">
        <v>10.7</v>
      </c>
      <c r="F24" s="7" t="n">
        <v>10.8</v>
      </c>
      <c r="G24" s="7" t="n">
        <v>-0.1</v>
      </c>
      <c r="H24" s="7" t="n">
        <v>10.5</v>
      </c>
      <c r="I24" s="7" t="n">
        <v>0.2</v>
      </c>
      <c r="J24" s="7" t="n">
        <v>96.7</v>
      </c>
      <c r="K24" s="7" t="n">
        <v>99.2</v>
      </c>
      <c r="L24" s="7" t="n">
        <v>-2.5</v>
      </c>
      <c r="M24" s="7" t="n">
        <v>97.90000000000001</v>
      </c>
      <c r="N24" s="7" t="n">
        <v>-1.2</v>
      </c>
    </row>
    <row r="25">
      <c r="A25" t="inlineStr">
        <is>
          <t>5100-6100</t>
        </is>
      </c>
      <c r="B25" t="inlineStr">
        <is>
          <t>SAMPLES &amp; PROMOTIONS</t>
        </is>
      </c>
      <c r="C25" t="inlineStr">
        <is>
          <t>Promotional Exp - Selling</t>
        </is>
      </c>
      <c r="D25" t="inlineStr">
        <is>
          <t>Selling</t>
        </is>
      </c>
      <c r="E25" s="7" t="n">
        <v>28</v>
      </c>
      <c r="F25" s="7" t="n">
        <v>28.9</v>
      </c>
      <c r="G25" s="7" t="n">
        <v>-0.9</v>
      </c>
      <c r="H25" s="7" t="n">
        <v>28.8</v>
      </c>
      <c r="I25" s="7" t="n">
        <v>-0.8</v>
      </c>
      <c r="J25" s="7" t="n">
        <v>253.2</v>
      </c>
      <c r="K25" s="7" t="n">
        <v>264.5</v>
      </c>
      <c r="L25" s="7" t="n">
        <v>-11.3</v>
      </c>
      <c r="M25" s="7" t="n">
        <v>258.2</v>
      </c>
      <c r="N25" s="7" t="n">
        <v>-5</v>
      </c>
    </row>
    <row r="26">
      <c r="A26" t="inlineStr">
        <is>
          <t>5100-5900</t>
        </is>
      </c>
      <c r="B26" t="inlineStr">
        <is>
          <t>MISCELLANEOUS</t>
        </is>
      </c>
      <c r="C26" t="inlineStr">
        <is>
          <t>General Costs - Selling</t>
        </is>
      </c>
      <c r="D26" t="inlineStr">
        <is>
          <t>Selling</t>
        </is>
      </c>
      <c r="E26" s="7" t="n">
        <v>20.7</v>
      </c>
      <c r="F26" s="7" t="n">
        <v>21.7</v>
      </c>
      <c r="G26" s="7" t="n">
        <v>-1</v>
      </c>
      <c r="H26" s="7" t="n">
        <v>20.7</v>
      </c>
      <c r="I26" s="7" t="n">
        <v>0</v>
      </c>
      <c r="J26" s="7" t="n">
        <v>195.3</v>
      </c>
      <c r="K26" s="7" t="n">
        <v>198.4</v>
      </c>
      <c r="L26" s="7" t="n">
        <v>-3.1</v>
      </c>
      <c r="M26" s="7" t="n">
        <v>194.5</v>
      </c>
      <c r="N26" s="7" t="n">
        <v>0.8</v>
      </c>
    </row>
    <row r="27">
      <c r="A27" t="inlineStr">
        <is>
          <t>5300-2100</t>
        </is>
      </c>
      <c r="B27" t="inlineStr">
        <is>
          <t>WAREHOUSE SALARY - REG</t>
        </is>
      </c>
      <c r="C27" t="inlineStr">
        <is>
          <t>Payroll Exp - D&amp;W</t>
        </is>
      </c>
      <c r="D27" t="inlineStr">
        <is>
          <t>D&amp;W</t>
        </is>
      </c>
      <c r="E27" s="7" t="n">
        <v>148.6</v>
      </c>
      <c r="F27" s="7" t="n">
        <v>152.9</v>
      </c>
      <c r="G27" s="7" t="n">
        <v>-4.3</v>
      </c>
      <c r="H27" s="7" t="n">
        <v>146.9</v>
      </c>
      <c r="I27" s="7" t="n">
        <v>1.7</v>
      </c>
      <c r="J27" s="7" t="n">
        <v>1373.6</v>
      </c>
      <c r="K27" s="7" t="n">
        <v>1399.4</v>
      </c>
      <c r="L27" s="7" t="n">
        <v>-25.8</v>
      </c>
      <c r="M27" s="7" t="n">
        <v>1369.5</v>
      </c>
      <c r="N27" s="7" t="n">
        <v>4.1</v>
      </c>
    </row>
    <row r="28">
      <c r="A28" t="inlineStr">
        <is>
          <t>5300-2105</t>
        </is>
      </c>
      <c r="B28" t="inlineStr">
        <is>
          <t>WAREHOUSE SALARY - OT</t>
        </is>
      </c>
      <c r="C28" t="inlineStr">
        <is>
          <t>Payroll Exp - D&amp;W</t>
        </is>
      </c>
      <c r="D28" t="inlineStr">
        <is>
          <t>D&amp;W</t>
        </is>
      </c>
      <c r="E28" s="7" t="n">
        <v>2.8</v>
      </c>
      <c r="F28" s="7" t="n">
        <v>12.7</v>
      </c>
      <c r="G28" s="7" t="n">
        <v>-9.9</v>
      </c>
      <c r="H28" s="7" t="n">
        <v>12.3</v>
      </c>
      <c r="I28" s="7" t="n">
        <v>-9.5</v>
      </c>
      <c r="J28" s="7" t="n">
        <v>100.4</v>
      </c>
      <c r="K28" s="7" t="n">
        <v>116.5</v>
      </c>
      <c r="L28" s="7" t="n">
        <v>-16.1</v>
      </c>
      <c r="M28" s="7" t="n">
        <v>113.7</v>
      </c>
      <c r="N28" s="7" t="n">
        <v>-13.3</v>
      </c>
    </row>
    <row r="29">
      <c r="A29" t="inlineStr">
        <is>
          <t>5300-2530</t>
        </is>
      </c>
      <c r="B29" t="inlineStr">
        <is>
          <t>TEMPORARY LABOR</t>
        </is>
      </c>
      <c r="C29" t="inlineStr">
        <is>
          <t>Payroll Exp - D&amp;W</t>
        </is>
      </c>
      <c r="D29" t="inlineStr">
        <is>
          <t>D&amp;W</t>
        </is>
      </c>
      <c r="E29" s="7" t="n">
        <v>23.8</v>
      </c>
      <c r="F29" s="7" t="n">
        <v>12.7</v>
      </c>
      <c r="G29" s="7" t="n">
        <v>11.1</v>
      </c>
      <c r="H29" s="7" t="n">
        <v>12.7</v>
      </c>
      <c r="I29" s="7" t="n">
        <v>11.1</v>
      </c>
      <c r="J29" s="7" t="n">
        <v>122.7</v>
      </c>
      <c r="K29" s="7" t="n">
        <v>116.5</v>
      </c>
      <c r="L29" s="7" t="n">
        <v>6.2</v>
      </c>
      <c r="M29" s="7" t="n">
        <v>115.1</v>
      </c>
      <c r="N29" s="7" t="n">
        <v>7.6</v>
      </c>
    </row>
    <row r="30">
      <c r="A30" t="inlineStr">
        <is>
          <t>5300-3010</t>
        </is>
      </c>
      <c r="B30" t="inlineStr">
        <is>
          <t>P/R TAXES</t>
        </is>
      </c>
      <c r="C30" t="inlineStr">
        <is>
          <t>P/R Tax/Benefits - D&amp;W</t>
        </is>
      </c>
      <c r="D30" t="inlineStr">
        <is>
          <t>D&amp;W</t>
        </is>
      </c>
      <c r="E30" s="7" t="n">
        <v>16.9</v>
      </c>
      <c r="F30" s="7" t="n">
        <v>17</v>
      </c>
      <c r="G30" s="7" t="n">
        <v>-0.1</v>
      </c>
      <c r="H30" s="7" t="n">
        <v>17.1</v>
      </c>
      <c r="I30" s="7" t="n">
        <v>-0.2</v>
      </c>
      <c r="J30" s="7" t="n">
        <v>154.4</v>
      </c>
      <c r="K30" s="7" t="n">
        <v>155.5</v>
      </c>
      <c r="L30" s="7" t="n">
        <v>-1.1</v>
      </c>
      <c r="M30" s="7" t="n">
        <v>153.2</v>
      </c>
      <c r="N30" s="7" t="n">
        <v>1.2</v>
      </c>
    </row>
    <row r="31">
      <c r="A31" t="inlineStr">
        <is>
          <t>5300-3100</t>
        </is>
      </c>
      <c r="B31" t="inlineStr">
        <is>
          <t>BENEFITS - HEALTH</t>
        </is>
      </c>
      <c r="C31" t="inlineStr">
        <is>
          <t>P/R Tax/Benefits - D&amp;W</t>
        </is>
      </c>
      <c r="D31" t="inlineStr">
        <is>
          <t>D&amp;W</t>
        </is>
      </c>
      <c r="E31" s="7" t="n">
        <v>29.1</v>
      </c>
      <c r="F31" s="7" t="n">
        <v>29.7</v>
      </c>
      <c r="G31" s="7" t="n">
        <v>-0.6</v>
      </c>
      <c r="H31" s="7" t="n">
        <v>29</v>
      </c>
      <c r="I31" s="7" t="n">
        <v>0.1</v>
      </c>
      <c r="J31" s="7" t="n">
        <v>265.5</v>
      </c>
      <c r="K31" s="7" t="n">
        <v>271.9</v>
      </c>
      <c r="L31" s="7" t="n">
        <v>-6.4</v>
      </c>
      <c r="M31" s="7" t="n">
        <v>268.3</v>
      </c>
      <c r="N31" s="7" t="n">
        <v>-2.8</v>
      </c>
    </row>
    <row r="32">
      <c r="A32" t="inlineStr">
        <is>
          <t>5300-4500</t>
        </is>
      </c>
      <c r="B32" t="inlineStr">
        <is>
          <t>FREIGHT OUT - GENERAL</t>
        </is>
      </c>
      <c r="C32" t="inlineStr">
        <is>
          <t>Freight Exp - D&amp;W</t>
        </is>
      </c>
      <c r="D32" t="inlineStr">
        <is>
          <t>D&amp;W</t>
        </is>
      </c>
      <c r="E32" s="7" t="n">
        <v>81.09999999999999</v>
      </c>
      <c r="F32" s="7" t="n">
        <v>84.90000000000001</v>
      </c>
      <c r="G32" s="7" t="n">
        <v>-3.8</v>
      </c>
      <c r="H32" s="7" t="n">
        <v>83.8</v>
      </c>
      <c r="I32" s="7" t="n">
        <v>-2.7</v>
      </c>
      <c r="J32" s="7" t="n">
        <v>760.2</v>
      </c>
      <c r="K32" s="7" t="n">
        <v>777.4</v>
      </c>
      <c r="L32" s="7" t="n">
        <v>-17.2</v>
      </c>
      <c r="M32" s="7" t="n">
        <v>759.3</v>
      </c>
      <c r="N32" s="7" t="n">
        <v>0.9</v>
      </c>
    </row>
    <row r="33">
      <c r="A33" t="inlineStr">
        <is>
          <t>5300-4010</t>
        </is>
      </c>
      <c r="B33" t="inlineStr">
        <is>
          <t>FUEL/OIL</t>
        </is>
      </c>
      <c r="C33" t="inlineStr">
        <is>
          <t>Freight Exp - D&amp;W</t>
        </is>
      </c>
      <c r="D33" t="inlineStr">
        <is>
          <t>D&amp;W</t>
        </is>
      </c>
      <c r="E33" s="7" t="n">
        <v>15.8</v>
      </c>
      <c r="F33" s="7" t="n">
        <v>17</v>
      </c>
      <c r="G33" s="7" t="n">
        <v>-1.2</v>
      </c>
      <c r="H33" s="7" t="n">
        <v>16.9</v>
      </c>
      <c r="I33" s="7" t="n">
        <v>-1.1</v>
      </c>
      <c r="J33" s="7" t="n">
        <v>147.6</v>
      </c>
      <c r="K33" s="7" t="n">
        <v>155.5</v>
      </c>
      <c r="L33" s="7" t="n">
        <v>-7.9</v>
      </c>
      <c r="M33" s="7" t="n">
        <v>153.6</v>
      </c>
      <c r="N33" s="7" t="n">
        <v>-6</v>
      </c>
    </row>
    <row r="34">
      <c r="A34" t="inlineStr">
        <is>
          <t>5300-4110</t>
        </is>
      </c>
      <c r="B34" t="inlineStr">
        <is>
          <t>SUPPLIES</t>
        </is>
      </c>
      <c r="C34" t="inlineStr">
        <is>
          <t>Warehouse Exp - D&amp;W</t>
        </is>
      </c>
      <c r="D34" t="inlineStr">
        <is>
          <t>D&amp;W</t>
        </is>
      </c>
      <c r="E34" s="7" t="n">
        <v>-5.3</v>
      </c>
      <c r="F34" s="7" t="n">
        <v>17</v>
      </c>
      <c r="G34" s="7" t="n">
        <v>-22.3</v>
      </c>
      <c r="H34" s="7" t="n">
        <v>16.2</v>
      </c>
      <c r="I34" s="7" t="n">
        <v>-21.5</v>
      </c>
      <c r="J34" s="7" t="n">
        <v>125.3</v>
      </c>
      <c r="K34" s="7" t="n">
        <v>155.5</v>
      </c>
      <c r="L34" s="7" t="n">
        <v>-30.2</v>
      </c>
      <c r="M34" s="7" t="n">
        <v>152.1</v>
      </c>
      <c r="N34" s="7" t="n">
        <v>-26.8</v>
      </c>
    </row>
    <row r="35">
      <c r="A35" t="inlineStr">
        <is>
          <t>5300-4030</t>
        </is>
      </c>
      <c r="B35" t="inlineStr">
        <is>
          <t>REPAIRS</t>
        </is>
      </c>
      <c r="C35" t="inlineStr">
        <is>
          <t>Warehouse Exp - D&amp;W</t>
        </is>
      </c>
      <c r="D35" t="inlineStr">
        <is>
          <t>D&amp;W</t>
        </is>
      </c>
      <c r="E35" s="7" t="n">
        <v>12.3</v>
      </c>
      <c r="F35" s="7" t="n">
        <v>12.7</v>
      </c>
      <c r="G35" s="7" t="n">
        <v>-0.4</v>
      </c>
      <c r="H35" s="7" t="n">
        <v>12.3</v>
      </c>
      <c r="I35" s="7" t="n">
        <v>0</v>
      </c>
      <c r="J35" s="7" t="n">
        <v>115.1</v>
      </c>
      <c r="K35" s="7" t="n">
        <v>116.5</v>
      </c>
      <c r="L35" s="7" t="n">
        <v>-1.4</v>
      </c>
      <c r="M35" s="7" t="n">
        <v>114.3</v>
      </c>
      <c r="N35" s="7" t="n">
        <v>0.8</v>
      </c>
    </row>
    <row r="36">
      <c r="A36" t="inlineStr">
        <is>
          <t>5300-4250</t>
        </is>
      </c>
      <c r="B36" t="inlineStr">
        <is>
          <t>RENT EXPENSE</t>
        </is>
      </c>
      <c r="C36" t="inlineStr">
        <is>
          <t>Occupancy Costs - D&amp;W</t>
        </is>
      </c>
      <c r="D36" t="inlineStr">
        <is>
          <t>D&amp;W</t>
        </is>
      </c>
      <c r="E36" s="7" t="n">
        <v>-52.2</v>
      </c>
      <c r="F36" s="7" t="n">
        <v>42.5</v>
      </c>
      <c r="G36" s="7" t="n">
        <v>-94.7</v>
      </c>
      <c r="H36" s="7" t="n">
        <v>41.4</v>
      </c>
      <c r="I36" s="7" t="n">
        <v>-93.59999999999999</v>
      </c>
      <c r="J36" s="7" t="n">
        <v>382</v>
      </c>
      <c r="K36" s="7" t="n">
        <v>388.7</v>
      </c>
      <c r="L36" s="7" t="n">
        <v>-6.7</v>
      </c>
      <c r="M36" s="7" t="n">
        <v>380.8</v>
      </c>
      <c r="N36" s="7" t="n">
        <v>1.2</v>
      </c>
    </row>
    <row r="37">
      <c r="A37" t="inlineStr">
        <is>
          <t>5300-4310</t>
        </is>
      </c>
      <c r="B37" t="inlineStr">
        <is>
          <t>UTILITIES</t>
        </is>
      </c>
      <c r="C37" t="inlineStr">
        <is>
          <t>Occupancy Costs - D&amp;W</t>
        </is>
      </c>
      <c r="D37" t="inlineStr">
        <is>
          <t>D&amp;W</t>
        </is>
      </c>
      <c r="E37" s="7" t="n">
        <v>8.199999999999999</v>
      </c>
      <c r="F37" s="7" t="n">
        <v>8.5</v>
      </c>
      <c r="G37" s="7" t="n">
        <v>-0.3</v>
      </c>
      <c r="H37" s="7" t="n">
        <v>8.1</v>
      </c>
      <c r="I37" s="7" t="n">
        <v>0.1</v>
      </c>
      <c r="J37" s="7" t="n">
        <v>77</v>
      </c>
      <c r="K37" s="7" t="n">
        <v>77.8</v>
      </c>
      <c r="L37" s="7" t="n">
        <v>-0.8</v>
      </c>
      <c r="M37" s="7" t="n">
        <v>75.90000000000001</v>
      </c>
      <c r="N37" s="7" t="n">
        <v>1.1</v>
      </c>
    </row>
    <row r="38">
      <c r="A38" t="inlineStr">
        <is>
          <t>5300-4800</t>
        </is>
      </c>
      <c r="B38" t="inlineStr">
        <is>
          <t>OCCUPANCY ALLOCATION</t>
        </is>
      </c>
      <c r="C38" t="inlineStr">
        <is>
          <t>Occupancy Costs - D&amp;W</t>
        </is>
      </c>
      <c r="D38" t="inlineStr">
        <is>
          <t>D&amp;W</t>
        </is>
      </c>
      <c r="E38" s="7" t="n">
        <v>8.4</v>
      </c>
      <c r="F38" s="7" t="n">
        <v>8.5</v>
      </c>
      <c r="G38" s="7" t="n">
        <v>-0.1</v>
      </c>
      <c r="H38" s="7" t="n">
        <v>8.4</v>
      </c>
      <c r="I38" s="7" t="n">
        <v>0</v>
      </c>
      <c r="J38" s="7" t="n">
        <v>76.59999999999999</v>
      </c>
      <c r="K38" s="7" t="n">
        <v>77.8</v>
      </c>
      <c r="L38" s="7" t="n">
        <v>-1.2</v>
      </c>
      <c r="M38" s="7" t="n">
        <v>76.7</v>
      </c>
      <c r="N38" s="7" t="n">
        <v>-0.1</v>
      </c>
    </row>
    <row r="39">
      <c r="A39" t="inlineStr">
        <is>
          <t>5300-6085</t>
        </is>
      </c>
      <c r="B39" t="inlineStr">
        <is>
          <t>DEPRECIATION</t>
        </is>
      </c>
      <c r="C39" t="inlineStr">
        <is>
          <t>Depreciation Exp - D&amp;W</t>
        </is>
      </c>
      <c r="D39" t="inlineStr">
        <is>
          <t>D&amp;W</t>
        </is>
      </c>
      <c r="E39" s="7" t="n">
        <v>8.5</v>
      </c>
      <c r="F39" s="7" t="n">
        <v>8.5</v>
      </c>
      <c r="G39" s="7" t="n">
        <v>0</v>
      </c>
      <c r="H39" s="7" t="n">
        <v>8.4</v>
      </c>
      <c r="I39" s="7" t="n">
        <v>0.1</v>
      </c>
      <c r="J39" s="7" t="n">
        <v>76.90000000000001</v>
      </c>
      <c r="K39" s="7" t="n">
        <v>77.8</v>
      </c>
      <c r="L39" s="7" t="n">
        <v>-0.9</v>
      </c>
      <c r="M39" s="7" t="n">
        <v>76.59999999999999</v>
      </c>
      <c r="N39" s="7" t="n">
        <v>0.3</v>
      </c>
    </row>
    <row r="40">
      <c r="A40" t="inlineStr">
        <is>
          <t>5500-2100</t>
        </is>
      </c>
      <c r="B40" t="inlineStr">
        <is>
          <t>ADMIN SALARIES</t>
        </is>
      </c>
      <c r="C40" t="inlineStr">
        <is>
          <t>Payroll Exp - G&amp;A</t>
        </is>
      </c>
      <c r="D40" t="inlineStr">
        <is>
          <t>G&amp;A</t>
        </is>
      </c>
      <c r="E40" s="7" t="n">
        <v>102.1</v>
      </c>
      <c r="F40" s="7" t="n">
        <v>131.6</v>
      </c>
      <c r="G40" s="7" t="n">
        <v>-29.5</v>
      </c>
      <c r="H40" s="7" t="n">
        <v>130.1</v>
      </c>
      <c r="I40" s="7" t="n">
        <v>-28</v>
      </c>
      <c r="J40" s="7" t="n">
        <v>1167.3</v>
      </c>
      <c r="K40" s="7" t="n">
        <v>1204.8</v>
      </c>
      <c r="L40" s="7" t="n">
        <v>-37.5</v>
      </c>
      <c r="M40" s="7" t="n">
        <v>1176.1</v>
      </c>
      <c r="N40" s="7" t="n">
        <v>-8.800000000000001</v>
      </c>
    </row>
    <row r="41">
      <c r="A41" t="inlineStr">
        <is>
          <t>5500-2500</t>
        </is>
      </c>
      <c r="B41" t="inlineStr">
        <is>
          <t>BONUSES</t>
        </is>
      </c>
      <c r="C41" t="inlineStr">
        <is>
          <t>Payroll Exp - G&amp;A</t>
        </is>
      </c>
      <c r="D41" t="inlineStr">
        <is>
          <t>G&amp;A</t>
        </is>
      </c>
      <c r="E41" s="7" t="n">
        <v>16.3</v>
      </c>
      <c r="F41" s="7" t="n">
        <v>16.5</v>
      </c>
      <c r="G41" s="7" t="n">
        <v>-0.2</v>
      </c>
      <c r="H41" s="7" t="n">
        <v>16.5</v>
      </c>
      <c r="I41" s="7" t="n">
        <v>-0.2</v>
      </c>
      <c r="J41" s="7" t="n">
        <v>149</v>
      </c>
      <c r="K41" s="7" t="n">
        <v>150.7</v>
      </c>
      <c r="L41" s="7" t="n">
        <v>-1.7</v>
      </c>
      <c r="M41" s="7" t="n">
        <v>147.7</v>
      </c>
      <c r="N41" s="7" t="n">
        <v>1.3</v>
      </c>
    </row>
    <row r="42">
      <c r="A42" t="inlineStr">
        <is>
          <t>5500-3010</t>
        </is>
      </c>
      <c r="B42" t="inlineStr">
        <is>
          <t>P/R TAXES</t>
        </is>
      </c>
      <c r="C42" t="inlineStr">
        <is>
          <t>P/R Tax/Benefits - G&amp;A</t>
        </is>
      </c>
      <c r="D42" t="inlineStr">
        <is>
          <t>G&amp;A</t>
        </is>
      </c>
      <c r="E42" s="7" t="n">
        <v>16.5</v>
      </c>
      <c r="F42" s="7" t="n">
        <v>16.5</v>
      </c>
      <c r="G42" s="7" t="n">
        <v>0</v>
      </c>
      <c r="H42" s="7" t="n">
        <v>16.6</v>
      </c>
      <c r="I42" s="7" t="n">
        <v>-0.1</v>
      </c>
      <c r="J42" s="7" t="n">
        <v>148.3</v>
      </c>
      <c r="K42" s="7" t="n">
        <v>150.7</v>
      </c>
      <c r="L42" s="7" t="n">
        <v>-2.4</v>
      </c>
      <c r="M42" s="7" t="n">
        <v>147.4</v>
      </c>
      <c r="N42" s="7" t="n">
        <v>0.9</v>
      </c>
    </row>
    <row r="43">
      <c r="A43" t="inlineStr">
        <is>
          <t>5500-3100</t>
        </is>
      </c>
      <c r="B43" t="inlineStr">
        <is>
          <t>BENEFITS - HEALTH</t>
        </is>
      </c>
      <c r="C43" t="inlineStr">
        <is>
          <t>P/R Tax/Benefits - G&amp;A</t>
        </is>
      </c>
      <c r="D43" t="inlineStr">
        <is>
          <t>G&amp;A</t>
        </is>
      </c>
      <c r="E43" s="7" t="n">
        <v>26.6</v>
      </c>
      <c r="F43" s="7" t="n">
        <v>26.3</v>
      </c>
      <c r="G43" s="7" t="n">
        <v>0.3</v>
      </c>
      <c r="H43" s="7" t="n">
        <v>25.8</v>
      </c>
      <c r="I43" s="7" t="n">
        <v>0.8</v>
      </c>
      <c r="J43" s="7" t="n">
        <v>237</v>
      </c>
      <c r="K43" s="7" t="n">
        <v>241</v>
      </c>
      <c r="L43" s="7" t="n">
        <v>-4</v>
      </c>
      <c r="M43" s="7" t="n">
        <v>238</v>
      </c>
      <c r="N43" s="7" t="n">
        <v>-1</v>
      </c>
    </row>
    <row r="44">
      <c r="A44" t="inlineStr">
        <is>
          <t>5500-5900</t>
        </is>
      </c>
      <c r="B44" t="inlineStr">
        <is>
          <t>GENERAL OFFICE EXPENSE</t>
        </is>
      </c>
      <c r="C44" t="inlineStr">
        <is>
          <t>General Office Exp - G&amp;A</t>
        </is>
      </c>
      <c r="D44" t="inlineStr">
        <is>
          <t>G&amp;A</t>
        </is>
      </c>
      <c r="E44" s="7" t="n">
        <v>26.4</v>
      </c>
      <c r="F44" s="7" t="n">
        <v>26.3</v>
      </c>
      <c r="G44" s="7" t="n">
        <v>0.1</v>
      </c>
      <c r="H44" s="7" t="n">
        <v>25.7</v>
      </c>
      <c r="I44" s="7" t="n">
        <v>0.7</v>
      </c>
      <c r="J44" s="7" t="n">
        <v>238.4</v>
      </c>
      <c r="K44" s="7" t="n">
        <v>241</v>
      </c>
      <c r="L44" s="7" t="n">
        <v>-2.6</v>
      </c>
      <c r="M44" s="7" t="n">
        <v>239.4</v>
      </c>
      <c r="N44" s="7" t="n">
        <v>-1</v>
      </c>
    </row>
    <row r="45">
      <c r="A45" t="inlineStr">
        <is>
          <t>5500-5910</t>
        </is>
      </c>
      <c r="B45" t="inlineStr">
        <is>
          <t>INSURANCE</t>
        </is>
      </c>
      <c r="C45" t="inlineStr">
        <is>
          <t>General Office Exp - G&amp;A</t>
        </is>
      </c>
      <c r="D45" t="inlineStr">
        <is>
          <t>G&amp;A</t>
        </is>
      </c>
      <c r="E45" s="7" t="n">
        <v>16.2</v>
      </c>
      <c r="F45" s="7" t="n">
        <v>16.5</v>
      </c>
      <c r="G45" s="7" t="n">
        <v>-0.3</v>
      </c>
      <c r="H45" s="7" t="n">
        <v>16.1</v>
      </c>
      <c r="I45" s="7" t="n">
        <v>0.1</v>
      </c>
      <c r="J45" s="7" t="n">
        <v>147.6</v>
      </c>
      <c r="K45" s="7" t="n">
        <v>150.7</v>
      </c>
      <c r="L45" s="7" t="n">
        <v>-3.1</v>
      </c>
      <c r="M45" s="7" t="n">
        <v>149</v>
      </c>
      <c r="N45" s="7" t="n">
        <v>-1.4</v>
      </c>
    </row>
    <row r="46">
      <c r="A46" t="inlineStr">
        <is>
          <t>5500-6200</t>
        </is>
      </c>
      <c r="B46" t="inlineStr">
        <is>
          <t>PROFESSIONAL SERVICES</t>
        </is>
      </c>
      <c r="C46" t="inlineStr">
        <is>
          <t>Professional Services - G&amp;A</t>
        </is>
      </c>
      <c r="D46" t="inlineStr">
        <is>
          <t>G&amp;A</t>
        </is>
      </c>
      <c r="E46" s="7" t="n">
        <v>18.8</v>
      </c>
      <c r="F46" s="7" t="n">
        <v>19.7</v>
      </c>
      <c r="G46" s="7" t="n">
        <v>-0.9</v>
      </c>
      <c r="H46" s="7" t="n">
        <v>19.4</v>
      </c>
      <c r="I46" s="7" t="n">
        <v>-0.6</v>
      </c>
      <c r="J46" s="7" t="n">
        <v>176.2</v>
      </c>
      <c r="K46" s="7" t="n">
        <v>180.8</v>
      </c>
      <c r="L46" s="7" t="n">
        <v>-4.6</v>
      </c>
      <c r="M46" s="7" t="n">
        <v>177.2</v>
      </c>
      <c r="N46" s="7" t="n">
        <v>-1</v>
      </c>
    </row>
    <row r="47">
      <c r="A47" t="inlineStr">
        <is>
          <t>5500-6300</t>
        </is>
      </c>
      <c r="B47" t="inlineStr">
        <is>
          <t>MIS EXPENSE</t>
        </is>
      </c>
      <c r="C47" t="inlineStr">
        <is>
          <t>MIS Exp - G&amp;A</t>
        </is>
      </c>
      <c r="D47" t="inlineStr">
        <is>
          <t>G&amp;A</t>
        </is>
      </c>
      <c r="E47" s="7" t="n">
        <v>33.1</v>
      </c>
      <c r="F47" s="7" t="n">
        <v>32.9</v>
      </c>
      <c r="G47" s="7" t="n">
        <v>0.2</v>
      </c>
      <c r="H47" s="7" t="n">
        <v>32.1</v>
      </c>
      <c r="I47" s="7" t="n">
        <v>1</v>
      </c>
      <c r="J47" s="7" t="n">
        <v>295.9</v>
      </c>
      <c r="K47" s="7" t="n">
        <v>301.3</v>
      </c>
      <c r="L47" s="7" t="n">
        <v>-5.4</v>
      </c>
      <c r="M47" s="7" t="n">
        <v>295.2</v>
      </c>
      <c r="N47" s="7" t="n">
        <v>0.7</v>
      </c>
    </row>
    <row r="48">
      <c r="A48" t="inlineStr">
        <is>
          <t>5500-4250</t>
        </is>
      </c>
      <c r="B48" t="inlineStr">
        <is>
          <t>RENT EXPENSE</t>
        </is>
      </c>
      <c r="C48" t="inlineStr">
        <is>
          <t>Occupancy Costs - G&amp;A</t>
        </is>
      </c>
      <c r="D48" t="inlineStr">
        <is>
          <t>G&amp;A</t>
        </is>
      </c>
      <c r="E48" s="7" t="n">
        <v>19.9</v>
      </c>
      <c r="F48" s="7" t="n">
        <v>19.7</v>
      </c>
      <c r="G48" s="7" t="n">
        <v>0.2</v>
      </c>
      <c r="H48" s="7" t="n">
        <v>19.7</v>
      </c>
      <c r="I48" s="7" t="n">
        <v>0.2</v>
      </c>
      <c r="J48" s="7" t="n">
        <v>178.3</v>
      </c>
      <c r="K48" s="7" t="n">
        <v>180.8</v>
      </c>
      <c r="L48" s="7" t="n">
        <v>-2.5</v>
      </c>
      <c r="M48" s="7" t="n">
        <v>179.1</v>
      </c>
      <c r="N48" s="7" t="n">
        <v>-0.8</v>
      </c>
    </row>
    <row r="49">
      <c r="A49" t="inlineStr">
        <is>
          <t>5500-4800</t>
        </is>
      </c>
      <c r="B49" t="inlineStr">
        <is>
          <t>OCCUPANCY ALLOCATION</t>
        </is>
      </c>
      <c r="C49" t="inlineStr">
        <is>
          <t>Occupancy Costs - G&amp;A</t>
        </is>
      </c>
      <c r="D49" t="inlineStr">
        <is>
          <t>G&amp;A</t>
        </is>
      </c>
      <c r="E49" s="7" t="n">
        <v>9.800000000000001</v>
      </c>
      <c r="F49" s="7" t="n">
        <v>9.9</v>
      </c>
      <c r="G49" s="7" t="n">
        <v>-0.1</v>
      </c>
      <c r="H49" s="7" t="n">
        <v>9.6</v>
      </c>
      <c r="I49" s="7" t="n">
        <v>0.2</v>
      </c>
      <c r="J49" s="7" t="n">
        <v>89.3</v>
      </c>
      <c r="K49" s="7" t="n">
        <v>90.59999999999999</v>
      </c>
      <c r="L49" s="7" t="n">
        <v>-1.3</v>
      </c>
      <c r="M49" s="7" t="n">
        <v>88.09999999999999</v>
      </c>
      <c r="N49" s="7" t="n">
        <v>1.2</v>
      </c>
    </row>
    <row r="50">
      <c r="A50" t="inlineStr">
        <is>
          <t>5500-6085</t>
        </is>
      </c>
      <c r="B50" t="inlineStr">
        <is>
          <t>DEPRECIATION</t>
        </is>
      </c>
      <c r="C50" t="inlineStr">
        <is>
          <t>Depreciation Exp - G&amp;A</t>
        </is>
      </c>
      <c r="D50" t="inlineStr">
        <is>
          <t>G&amp;A</t>
        </is>
      </c>
      <c r="E50" s="7" t="n">
        <v>12.7</v>
      </c>
      <c r="F50" s="7" t="n">
        <v>13.2</v>
      </c>
      <c r="G50" s="7" t="n">
        <v>-0.5</v>
      </c>
      <c r="H50" s="7" t="n">
        <v>12.8</v>
      </c>
      <c r="I50" s="7" t="n">
        <v>-0.1</v>
      </c>
      <c r="J50" s="7" t="n">
        <v>117.7</v>
      </c>
      <c r="K50" s="7" t="n">
        <v>120.5</v>
      </c>
      <c r="L50" s="7" t="n">
        <v>-2.8</v>
      </c>
      <c r="M50" s="7" t="n">
        <v>118.4</v>
      </c>
      <c r="N50" s="7" t="n">
        <v>-0.7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2" customWidth="1" min="3" max="3"/>
  </cols>
  <sheetData>
    <row r="1">
      <c r="A1" s="19" t="inlineStr">
        <is>
          <t>Granite Gloves - September 2026 PBIT bridge: Budget to Actual ($000)</t>
        </is>
      </c>
    </row>
    <row r="3">
      <c r="A3" s="6" t="inlineStr">
        <is>
          <t>Step</t>
        </is>
      </c>
      <c r="B3" s="6" t="inlineStr">
        <is>
          <t>Amount</t>
        </is>
      </c>
      <c r="C3" s="6" t="inlineStr">
        <is>
          <t>How it is calculated</t>
        </is>
      </c>
    </row>
    <row r="4">
      <c r="A4" s="3" t="inlineStr">
        <is>
          <t>Budget PBIT</t>
        </is>
      </c>
      <c r="B4" s="7" t="n">
        <v>478</v>
      </c>
      <c r="C4" t="inlineStr">
        <is>
          <t>Budget PBIT</t>
        </is>
      </c>
    </row>
    <row r="5">
      <c r="A5" s="4" t="inlineStr">
        <is>
          <t>Sales volume</t>
        </is>
      </c>
      <c r="B5" s="7" t="n">
        <v>-192.9</v>
      </c>
      <c r="C5" t="inlineStr">
        <is>
          <t>(Actual Sales - Budget Sales) x Budget GM%</t>
        </is>
      </c>
    </row>
    <row r="6">
      <c r="A6" s="4" t="inlineStr">
        <is>
          <t>Gross margin rate</t>
        </is>
      </c>
      <c r="B6" s="7" t="n">
        <v>-208.1</v>
      </c>
      <c r="C6" t="inlineStr">
        <is>
          <t>(Actual GM% - Budget GM%) x Actual Sales</t>
        </is>
      </c>
    </row>
    <row r="7">
      <c r="A7" s="4" t="inlineStr">
        <is>
          <t>Selling costs</t>
        </is>
      </c>
      <c r="B7" s="7" t="n">
        <v>3.4</v>
      </c>
      <c r="C7" t="inlineStr">
        <is>
          <t>Budget - Actual Selling Costs</t>
        </is>
      </c>
    </row>
    <row r="8">
      <c r="A8" s="4" t="inlineStr">
        <is>
          <t>D&amp;W costs</t>
        </is>
      </c>
      <c r="B8" s="7" t="n">
        <v>126.6</v>
      </c>
      <c r="C8" t="inlineStr">
        <is>
          <t>Budget - Actual D&amp;W Costs (includes $95K rent reversal)</t>
        </is>
      </c>
    </row>
    <row r="9">
      <c r="A9" s="4" t="inlineStr">
        <is>
          <t>G&amp;A costs</t>
        </is>
      </c>
      <c r="B9" s="7" t="n">
        <v>30.7</v>
      </c>
      <c r="C9" t="inlineStr">
        <is>
          <t>Budget - Actual G&amp;A Costs</t>
        </is>
      </c>
    </row>
    <row r="10">
      <c r="A10" s="3" t="inlineStr">
        <is>
          <t>Actual PBIT</t>
        </is>
      </c>
      <c r="B10" s="7" t="n">
        <v>237.7</v>
      </c>
      <c r="C10" t="inlineStr">
        <is>
          <t>Actual PBIT</t>
        </is>
      </c>
    </row>
    <row r="12">
      <c r="A12" t="inlineStr">
        <is>
          <t>Check: Budget + effects - Actual</t>
        </is>
      </c>
      <c r="B12">
        <f>ROUND(B4+SUM(B5:B9)-B10,1)</f>
        <v>0.0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PL - Detailed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2026-10-21T22:00:31Z</dcterms:created>
  <dcterms:modified xmlns:dcterms="http://purl.org/dc/terms/" xmlns:xsi="http://www.w3.org/2001/XMLSchema-instance" xsi:type="dcterms:W3CDTF">2026-10-21T22:00:31Z</dcterms:modified>
</cp:coreProperties>
</file>