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erikmontes/Desktop/repo/Learning/ResourceFiles/2_Catch_Up_Checkpoints/"/>
    </mc:Choice>
  </mc:AlternateContent>
  <xr:revisionPtr revIDLastSave="0" documentId="13_ncr:1_{9612A237-08EF-A842-A2A4-F58A619429FF}" xr6:coauthVersionLast="47" xr6:coauthVersionMax="47" xr10:uidLastSave="{00000000-0000-0000-0000-000000000000}"/>
  <bookViews>
    <workbookView xWindow="0" yWindow="500" windowWidth="51200" windowHeight="25980" xr2:uid="{00000000-000D-0000-FFFF-FFFF00000000}"/>
  </bookViews>
  <sheets>
    <sheet name="PL" sheetId="1" r:id="rId1"/>
    <sheet name="Story" sheetId="2" r:id="rId2"/>
    <sheet name="PL_Flat" sheetId="3" r:id="rId3"/>
    <sheet name="PBIT_Bridge" sheetId="4" r:id="rId4"/>
    <sheet name="Picklist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</calcChain>
</file>

<file path=xl/sharedStrings.xml><?xml version="1.0" encoding="utf-8"?>
<sst xmlns="http://schemas.openxmlformats.org/spreadsheetml/2006/main" count="426" uniqueCount="299">
  <si>
    <t>TRAINING DATA ONLY - Zava Safety and all business names and numbers are fictitious. Layout mirrors a typical HFM / Cognos reporting pack.</t>
  </si>
  <si>
    <t>Budget:Financial</t>
  </si>
  <si>
    <t>Budget</t>
  </si>
  <si>
    <t>General Ledger P&amp;L</t>
  </si>
  <si>
    <t>Currency</t>
  </si>
  <si>
    <t>USD</t>
  </si>
  <si>
    <t>mFinancialReport</t>
  </si>
  <si>
    <t>Value</t>
  </si>
  <si>
    <t>Entity-GL</t>
  </si>
  <si>
    <t>Granite Gloves</t>
  </si>
  <si>
    <t>Month</t>
  </si>
  <si>
    <t>Sep</t>
  </si>
  <si>
    <t>Year</t>
  </si>
  <si>
    <t>Subset</t>
  </si>
  <si>
    <t>PL - Detailed</t>
  </si>
  <si>
    <t>10/16/2026 08:12</t>
  </si>
  <si>
    <t>* In Thousands</t>
  </si>
  <si>
    <t>Act vs Bud Var $</t>
  </si>
  <si>
    <t>Act vs Bud Var %</t>
  </si>
  <si>
    <t>Act vs PY Act Var $</t>
  </si>
  <si>
    <t>Act vs PY Act Var %</t>
  </si>
  <si>
    <t>YTD Sep</t>
  </si>
  <si>
    <t>Act YTD vs Bud YTD Var $</t>
  </si>
  <si>
    <t>Act YTD vs Bud YTD Var %</t>
  </si>
  <si>
    <t>Act YTD vs PY YTD Var $</t>
  </si>
  <si>
    <t>Act YTD vs PY YTD Var %</t>
  </si>
  <si>
    <t>Actual</t>
  </si>
  <si>
    <t>CY Budget</t>
  </si>
  <si>
    <t>4100-1000 - WAREHOUSE</t>
  </si>
  <si>
    <t>Sales-Warehouse</t>
  </si>
  <si>
    <t>4100-1010 - DIRECT SHIP</t>
  </si>
  <si>
    <t>Sales-Dropships</t>
  </si>
  <si>
    <t>4100-1100 - RETURNS AND ALLOWANCES</t>
  </si>
  <si>
    <t>4100-1110 - CUSTOMER TERMS DISCOUNT</t>
  </si>
  <si>
    <t>4100-1130 - TRADE DISCOUNTS</t>
  </si>
  <si>
    <t>4100-1225 - MISC. ALLOWANCES</t>
  </si>
  <si>
    <t>4100-1300 - FREIGHT BILLED</t>
  </si>
  <si>
    <t>Sales-Other</t>
  </si>
  <si>
    <t>Total Sales</t>
  </si>
  <si>
    <t>4200-1000 - WAREHOUSE</t>
  </si>
  <si>
    <t>4200-1005 - INVENTORY ADJUSTMENT</t>
  </si>
  <si>
    <t>Cost of Sales-Warehouse</t>
  </si>
  <si>
    <t>4200-1010 - DIRECT SHIP</t>
  </si>
  <si>
    <t>Cost of Sales-Dropships</t>
  </si>
  <si>
    <t>4200-1200 - VENDOR TERMS DISCOUNT</t>
  </si>
  <si>
    <t>4200-1210 - VENDOR VOLUME REBATES</t>
  </si>
  <si>
    <t>Rebates and Disc</t>
  </si>
  <si>
    <t>4200-1300 - FREIGHT IN</t>
  </si>
  <si>
    <t>4200-1400 - OBSOLETE INVENTORY</t>
  </si>
  <si>
    <t>4200-1410 - DAMAGED INVENTORY</t>
  </si>
  <si>
    <t>Cost of Sales-Other</t>
  </si>
  <si>
    <t>Total Cost of Sales</t>
  </si>
  <si>
    <t>Gross Margin</t>
  </si>
  <si>
    <t>Gross Margin %</t>
  </si>
  <si>
    <t>5100-2100 - SALES SALARIES</t>
  </si>
  <si>
    <t>5100-2200 - COMMISSIONS</t>
  </si>
  <si>
    <t>5100-2500 - BONUSES</t>
  </si>
  <si>
    <t>Payroll Exp - Selling</t>
  </si>
  <si>
    <t>5100-3010 - P/R TAXES</t>
  </si>
  <si>
    <t>5100-3100 - BENEFITS - HEALTH</t>
  </si>
  <si>
    <t>P/R Tax/Benefit - Selling</t>
  </si>
  <si>
    <t>5100-5600 - AIRFARE</t>
  </si>
  <si>
    <t>5100-5610 - LODGING</t>
  </si>
  <si>
    <t>5100-5680 - T&amp;E MEALS &amp; ENTERTAINMENT</t>
  </si>
  <si>
    <t>Travel/Entertainment - Selling</t>
  </si>
  <si>
    <t>5100-6100 - SAMPLES &amp; PROMOTIONS</t>
  </si>
  <si>
    <t>Promotional Exp - Selling</t>
  </si>
  <si>
    <t>5100-5900 - MISCELLANEOUS</t>
  </si>
  <si>
    <t>General Costs - Selling</t>
  </si>
  <si>
    <t>Selling Costs</t>
  </si>
  <si>
    <t>5300-2100 - WAREHOUSE SALARY - REG</t>
  </si>
  <si>
    <t>5300-2105 - WAREHOUSE SALARY - OT</t>
  </si>
  <si>
    <t>5300-2530 - TEMPORARY LABOR</t>
  </si>
  <si>
    <t>Payroll Exp - D&amp;W</t>
  </si>
  <si>
    <t>5300-3010 - P/R TAXES</t>
  </si>
  <si>
    <t>5300-3100 - BENEFITS - HEALTH</t>
  </si>
  <si>
    <t>P/R Tax/Benefits - D&amp;W</t>
  </si>
  <si>
    <t>5300-4500 - FREIGHT OUT - GENERAL</t>
  </si>
  <si>
    <t>5300-4010 - FUEL/OIL</t>
  </si>
  <si>
    <t>Freight Exp - D&amp;W</t>
  </si>
  <si>
    <t>5300-4110 - SUPPLIES</t>
  </si>
  <si>
    <t>5300-4030 - REPAIRS</t>
  </si>
  <si>
    <t>Warehouse Exp - D&amp;W</t>
  </si>
  <si>
    <t>5300-4250 - RENT EXPENSE</t>
  </si>
  <si>
    <t>5300-4310 - UTILITIES</t>
  </si>
  <si>
    <t>5300-4800 - OCCUPANCY ALLOCATION</t>
  </si>
  <si>
    <t>Occupancy Costs - D&amp;W</t>
  </si>
  <si>
    <t>5300-6085 - DEPRECIATION</t>
  </si>
  <si>
    <t>Depreciation Exp - D&amp;W</t>
  </si>
  <si>
    <t>Delivery and Warehouse Costs</t>
  </si>
  <si>
    <t>5500-2100 - ADMIN SALARIES</t>
  </si>
  <si>
    <t>5500-2500 - BONUSES</t>
  </si>
  <si>
    <t>Payroll Exp - G&amp;A</t>
  </si>
  <si>
    <t>5500-3010 - P/R TAXES</t>
  </si>
  <si>
    <t>5500-3100 - BENEFITS - HEALTH</t>
  </si>
  <si>
    <t>P/R Tax/Benefits - G&amp;A</t>
  </si>
  <si>
    <t>5500-5900 - GENERAL OFFICE EXPENSE</t>
  </si>
  <si>
    <t>5500-5910 - INSURANCE</t>
  </si>
  <si>
    <t>General Office Exp - G&amp;A</t>
  </si>
  <si>
    <t>5500-6200 - PROFESSIONAL SERVICES</t>
  </si>
  <si>
    <t>Professional Services - G&amp;A</t>
  </si>
  <si>
    <t>5500-6300 - MIS EXPENSE</t>
  </si>
  <si>
    <t>MIS Exp - G&amp;A</t>
  </si>
  <si>
    <t>5500-4250 - RENT EXPENSE</t>
  </si>
  <si>
    <t>5500-4800 - OCCUPANCY ALLOCATION</t>
  </si>
  <si>
    <t>Occupancy Costs - G&amp;A</t>
  </si>
  <si>
    <t>5500-6085 - DEPRECIATION</t>
  </si>
  <si>
    <t>Depreciation Exp - G&amp;A</t>
  </si>
  <si>
    <t>General &amp; Admin Costs</t>
  </si>
  <si>
    <t>Operating Costs</t>
  </si>
  <si>
    <t>Operating Costs %</t>
  </si>
  <si>
    <t>Operating Profit</t>
  </si>
  <si>
    <t>5900-1000 - SPECIAL EXPENSE (INCOME)</t>
  </si>
  <si>
    <t>PBIT</t>
  </si>
  <si>
    <t>PBIT %</t>
  </si>
  <si>
    <t>Granite Gloves - September 2026 Month-End Story</t>
  </si>
  <si>
    <t>Each chapter of the workshop adds to this sheet. By Chapter 5 it holds everything you need to build your decks.</t>
  </si>
  <si>
    <t>1. What happened (Chapter 1)</t>
  </si>
  <si>
    <t>#</t>
  </si>
  <si>
    <t>Finding</t>
  </si>
  <si>
    <t>Where I saw it (row / cells)</t>
  </si>
  <si>
    <t>Sales $4,665K, 88% of budget (-$643K) and 89% of prior year.</t>
  </si>
  <si>
    <t>Total Sales, row 46, F:M</t>
  </si>
  <si>
    <t>Gross margin % 25.5% vs 30.0% budget, c.446bps lower; Gross Margin -$401K vs budget.</t>
  </si>
  <si>
    <t>Gross Margin %, row 61, F:H</t>
  </si>
  <si>
    <t>Trade discounts (4100-1130) -$232K vs -$54K budget: an unusual -$179K movement in one month.</t>
  </si>
  <si>
    <t>4100-1130 - TRADE DISCOUNTS, row 42, F:H</t>
  </si>
  <si>
    <t>Operating costs $954K, -$161K vs budget, helped by rent (5300-4250) of -$52K (a credit) vs $42K budget.</t>
  </si>
  <si>
    <t>Operating Costs row 117; 5300-4250 - RENT EXPENSE row 91</t>
  </si>
  <si>
    <t>PBIT $238K vs $478K budget (-$240K); YTD PBIT $2,987K, -$1,385K vs budget.</t>
  </si>
  <si>
    <t>PBIT, row 121, F:H and O:Q</t>
  </si>
  <si>
    <t>2. Drivers and questions (Chapter 2)</t>
  </si>
  <si>
    <t>Account</t>
  </si>
  <si>
    <t>Month Var vs Bud $</t>
  </si>
  <si>
    <t>Month Var vs PY $</t>
  </si>
  <si>
    <t>Fav / Unfav</t>
  </si>
  <si>
    <t>Type</t>
  </si>
  <si>
    <t>Question for the business</t>
  </si>
  <si>
    <t>4100-1000 Sales - Warehouse</t>
  </si>
  <si>
    <t>Unfav</t>
  </si>
  <si>
    <t>Volume / price</t>
  </si>
  <si>
    <t>Is this backorders, the low-cost pricing strategy, or lost customers? Which product lines?</t>
  </si>
  <si>
    <t>4200-1000 Cost of Sales - Warehouse</t>
  </si>
  <si>
    <t>Fav (volume)</t>
  </si>
  <si>
    <t>Volume</t>
  </si>
  <si>
    <t>Cost fell less than sales: what happened to the margin rate?</t>
  </si>
  <si>
    <t>4100-1130 Trade Discounts</t>
  </si>
  <si>
    <t>One-time?</t>
  </si>
  <si>
    <t>Why did trade discounts jump in September: a rebate true-up?</t>
  </si>
  <si>
    <t>5300-4250 Rent Expense</t>
  </si>
  <si>
    <t>Fav</t>
  </si>
  <si>
    <t>Timing / reversal</t>
  </si>
  <si>
    <t>Is this the reversal of an August accrual? What is the true run-rate?</t>
  </si>
  <si>
    <t>5500-2100 Admin Salaries</t>
  </si>
  <si>
    <t>Run-rate</t>
  </si>
  <si>
    <t>Which roles are open, and until when?</t>
  </si>
  <si>
    <t>5300-4110 Warehouse Supplies</t>
  </si>
  <si>
    <t>Lower activity from backorders?</t>
  </si>
  <si>
    <t>5300-2530 Temporary Labor</t>
  </si>
  <si>
    <t>Temp labor for the new DC: how long will it last?</t>
  </si>
  <si>
    <t>5300-2105 Warehouse Overtime</t>
  </si>
  <si>
    <t>Is the OT reduction sustainable?</t>
  </si>
  <si>
    <t>PBIT bridge: see the PBIT_Bridge sheet.</t>
  </si>
  <si>
    <t>3. The why: forecast file and working capital (Chapter 3)</t>
  </si>
  <si>
    <t>Topic</t>
  </si>
  <si>
    <t>What the forecast file says</t>
  </si>
  <si>
    <t>Amount ($000)</t>
  </si>
  <si>
    <t>4. Commentary (Chapter 4)</t>
  </si>
  <si>
    <t>Section</t>
  </si>
  <si>
    <t>Draft commentary</t>
  </si>
  <si>
    <t>Numbers checked? (Y/N)</t>
  </si>
  <si>
    <t>5. Business Review - Sales &amp; Margin slide (Chapter 5)</t>
  </si>
  <si>
    <t>Row</t>
  </si>
  <si>
    <t>Sales (headline + text)</t>
  </si>
  <si>
    <t>Margin (headline + text)</t>
  </si>
  <si>
    <t>#1</t>
  </si>
  <si>
    <t>#2</t>
  </si>
  <si>
    <t>#3</t>
  </si>
  <si>
    <t>Description</t>
  </si>
  <si>
    <t>Subtotal</t>
  </si>
  <si>
    <t>Category</t>
  </si>
  <si>
    <t>Month Actual</t>
  </si>
  <si>
    <t>Month Budget</t>
  </si>
  <si>
    <t>Month PY</t>
  </si>
  <si>
    <t>YTD Actual</t>
  </si>
  <si>
    <t>YTD Budget</t>
  </si>
  <si>
    <t>YTD Var vs Bud $</t>
  </si>
  <si>
    <t>YTD PY</t>
  </si>
  <si>
    <t>YTD Var vs PY $</t>
  </si>
  <si>
    <t>4100-1000</t>
  </si>
  <si>
    <t>WAREHOUSE</t>
  </si>
  <si>
    <t>Sales</t>
  </si>
  <si>
    <t>4100-1010</t>
  </si>
  <si>
    <t>DIRECT SHIP</t>
  </si>
  <si>
    <t>4100-1100</t>
  </si>
  <si>
    <t>RETURNS AND ALLOWANCES</t>
  </si>
  <si>
    <t>4100-1110</t>
  </si>
  <si>
    <t>CUSTOMER TERMS DISCOUNT</t>
  </si>
  <si>
    <t>4100-1130</t>
  </si>
  <si>
    <t>TRADE DISCOUNTS</t>
  </si>
  <si>
    <t>4100-1225</t>
  </si>
  <si>
    <t>MISC. ALLOWANCES</t>
  </si>
  <si>
    <t>4100-1300</t>
  </si>
  <si>
    <t>FREIGHT BILLED</t>
  </si>
  <si>
    <t>4200-1000</t>
  </si>
  <si>
    <t>Cost of Sales</t>
  </si>
  <si>
    <t>4200-1005</t>
  </si>
  <si>
    <t>INVENTORY ADJUSTMENT</t>
  </si>
  <si>
    <t>4200-1010</t>
  </si>
  <si>
    <t>4200-1200</t>
  </si>
  <si>
    <t>VENDOR TERMS DISCOUNT</t>
  </si>
  <si>
    <t>4200-1210</t>
  </si>
  <si>
    <t>VENDOR VOLUME REBATES</t>
  </si>
  <si>
    <t>4200-1300</t>
  </si>
  <si>
    <t>FREIGHT IN</t>
  </si>
  <si>
    <t>4200-1400</t>
  </si>
  <si>
    <t>OBSOLETE INVENTORY</t>
  </si>
  <si>
    <t>4200-1410</t>
  </si>
  <si>
    <t>DAMAGED INVENTORY</t>
  </si>
  <si>
    <t>5100-2100</t>
  </si>
  <si>
    <t>SALES SALARIES</t>
  </si>
  <si>
    <t>Selling</t>
  </si>
  <si>
    <t>5100-2200</t>
  </si>
  <si>
    <t>COMMISSIONS</t>
  </si>
  <si>
    <t>5100-2500</t>
  </si>
  <si>
    <t>BONUSES</t>
  </si>
  <si>
    <t>5100-3010</t>
  </si>
  <si>
    <t>P/R TAXES</t>
  </si>
  <si>
    <t>5100-3100</t>
  </si>
  <si>
    <t>BENEFITS - HEALTH</t>
  </si>
  <si>
    <t>5100-5600</t>
  </si>
  <si>
    <t>AIRFARE</t>
  </si>
  <si>
    <t>5100-5610</t>
  </si>
  <si>
    <t>LODGING</t>
  </si>
  <si>
    <t>5100-5680</t>
  </si>
  <si>
    <t>T&amp;E MEALS &amp; ENTERTAINMENT</t>
  </si>
  <si>
    <t>5100-6100</t>
  </si>
  <si>
    <t>SAMPLES &amp; PROMOTIONS</t>
  </si>
  <si>
    <t>5100-5900</t>
  </si>
  <si>
    <t>MISCELLANEOUS</t>
  </si>
  <si>
    <t>5300-2100</t>
  </si>
  <si>
    <t>WAREHOUSE SALARY - REG</t>
  </si>
  <si>
    <t>D&amp;W</t>
  </si>
  <si>
    <t>5300-2105</t>
  </si>
  <si>
    <t>WAREHOUSE SALARY - OT</t>
  </si>
  <si>
    <t>5300-2530</t>
  </si>
  <si>
    <t>TEMPORARY LABOR</t>
  </si>
  <si>
    <t>5300-3010</t>
  </si>
  <si>
    <t>5300-3100</t>
  </si>
  <si>
    <t>5300-4500</t>
  </si>
  <si>
    <t>FREIGHT OUT - GENERAL</t>
  </si>
  <si>
    <t>5300-4010</t>
  </si>
  <si>
    <t>FUEL/OIL</t>
  </si>
  <si>
    <t>5300-4110</t>
  </si>
  <si>
    <t>SUPPLIES</t>
  </si>
  <si>
    <t>5300-4030</t>
  </si>
  <si>
    <t>REPAIRS</t>
  </si>
  <si>
    <t>5300-4250</t>
  </si>
  <si>
    <t>RENT EXPENSE</t>
  </si>
  <si>
    <t>5300-4310</t>
  </si>
  <si>
    <t>UTILITIES</t>
  </si>
  <si>
    <t>5300-4800</t>
  </si>
  <si>
    <t>OCCUPANCY ALLOCATION</t>
  </si>
  <si>
    <t>5300-6085</t>
  </si>
  <si>
    <t>DEPRECIATION</t>
  </si>
  <si>
    <t>5500-2100</t>
  </si>
  <si>
    <t>ADMIN SALARIES</t>
  </si>
  <si>
    <t>G&amp;A</t>
  </si>
  <si>
    <t>5500-2500</t>
  </si>
  <si>
    <t>5500-3010</t>
  </si>
  <si>
    <t>5500-3100</t>
  </si>
  <si>
    <t>5500-5900</t>
  </si>
  <si>
    <t>GENERAL OFFICE EXPENSE</t>
  </si>
  <si>
    <t>5500-5910</t>
  </si>
  <si>
    <t>INSURANCE</t>
  </si>
  <si>
    <t>5500-6200</t>
  </si>
  <si>
    <t>PROFESSIONAL SERVICES</t>
  </si>
  <si>
    <t>5500-6300</t>
  </si>
  <si>
    <t>MIS EXPENSE</t>
  </si>
  <si>
    <t>5500-4250</t>
  </si>
  <si>
    <t>5500-4800</t>
  </si>
  <si>
    <t>5500-6085</t>
  </si>
  <si>
    <t>Granite Gloves - September 2026 PBIT bridge: Budget to Actual ($000)</t>
  </si>
  <si>
    <t>Step</t>
  </si>
  <si>
    <t>Amount</t>
  </si>
  <si>
    <t>How it is calculated</t>
  </si>
  <si>
    <t>Budget PBIT</t>
  </si>
  <si>
    <t>Sales volume</t>
  </si>
  <si>
    <t>(Actual Sales - Budget Sales) x Budget GM%</t>
  </si>
  <si>
    <t>Gross margin rate</t>
  </si>
  <si>
    <t>(Actual GM% - Budget GM%) x Actual Sales</t>
  </si>
  <si>
    <t>Selling costs</t>
  </si>
  <si>
    <t>Budget - Actual Selling Costs</t>
  </si>
  <si>
    <t>D&amp;W costs</t>
  </si>
  <si>
    <t>Budget - Actual D&amp;W Costs (includes $95K rent reversal)</t>
  </si>
  <si>
    <t>G&amp;A costs</t>
  </si>
  <si>
    <t>Budget - Actual G&amp;A Costs</t>
  </si>
  <si>
    <t>Actual PBIT</t>
  </si>
  <si>
    <t>Check: Budget + effects -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</si>
</sst>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[Red]\(#,##0.0\);&quot;-&quot;"/>
    <numFmt numFmtId="165" formatCode="0.0%;[Red]\-0.0%;&quot;-&quot;"/>
  </numFmts>
  <fonts count="11" x14ac:knownFonts="1">
    <font>
      <sz val="11"/>
      <color theme="1"/>
      <name val="Calibri"/>
      <family val="2"/>
      <scheme val="minor"/>
    </font>
    <font>
      <i/>
      <sz val="9"/>
      <color rgb="FFC00000"/>
      <name val="Calibri"/>
    </font>
    <font>
      <sz val="8"/>
      <color rgb="FF808080"/>
      <name val="Calibri"/>
    </font>
    <font>
      <b/>
      <sz val="11"/>
      <name val="Calibri"/>
    </font>
    <font>
      <sz val="11"/>
      <name val="Calibri"/>
    </font>
    <font>
      <i/>
      <sz val="11"/>
      <name val="Calibri"/>
    </font>
    <font>
      <b/>
      <sz val="11"/>
      <color rgb="FFFFFFFF"/>
      <name val="Calibri"/>
    </font>
    <font>
      <b/>
      <sz val="16"/>
      <color rgb="FF1F3864"/>
      <name val="Calibri"/>
    </font>
    <font>
      <i/>
      <sz val="11"/>
      <color rgb="FF5D6B82"/>
      <name val="Calibri"/>
    </font>
    <font>
      <b/>
      <sz val="12"/>
      <color rgb="FF1F3864"/>
      <name val="Calibri"/>
    </font>
    <font>
      <b/>
      <sz val="13"/>
      <color rgb="FF1F386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6F2"/>
      </patternFill>
    </fill>
    <fill>
      <patternFill patternType="solid">
        <fgColor rgb="FFFFF8E1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4" fontId="3" fillId="0" borderId="0" xfId="0" applyNumberFormat="1" applyFont="1"/>
    <xf numFmtId="165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10" fillId="0" borderId="0" xfId="0" applyFont="1"/>
    <xf numFmtId="0" fontId="5" fillId="0" borderId="0" xfId="0" applyFont="1"/>
    <xf numFmtId="0" fontId="0" fillId="0" borderId="0" xfId="0"/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September PBIT: Budget to Actual ($000)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PBIT_Bridge!$B$3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PBIT_Bridge!$A$4:$A$10</c:f>
              <c:strCache>
                <c:ptCount val="7"/>
                <c:pt idx="0">
                  <c:v>Budget PBIT</c:v>
                </c:pt>
                <c:pt idx="1">
                  <c:v>Sales volume</c:v>
                </c:pt>
                <c:pt idx="2">
                  <c:v>Gross margin rate</c:v>
                </c:pt>
                <c:pt idx="3">
                  <c:v>Selling costs</c:v>
                </c:pt>
                <c:pt idx="4">
                  <c:v>D&amp;W costs</c:v>
                </c:pt>
                <c:pt idx="5">
                  <c:v>G&amp;A costs</c:v>
                </c:pt>
                <c:pt idx="6">
                  <c:v>Actual PBIT</c:v>
                </c:pt>
              </c:strCache>
            </c:strRef>
          </c:cat>
          <c:val>
            <c:numRef>
              <c:f>PBIT_Bridge!$B$4:$B$10</c:f>
              <c:numCache>
                <c:formatCode>#,##0.0;[Red]\(#,##0.0\);"-"</c:formatCode>
                <c:ptCount val="7"/>
                <c:pt idx="0">
                  <c:v>478</c:v>
                </c:pt>
                <c:pt idx="1">
                  <c:v>-192.9</c:v>
                </c:pt>
                <c:pt idx="2">
                  <c:v>-208.1</c:v>
                </c:pt>
                <c:pt idx="3">
                  <c:v>3.4</c:v>
                </c:pt>
                <c:pt idx="4">
                  <c:v>126.6</c:v>
                </c:pt>
                <c:pt idx="5">
                  <c:v>30.7</c:v>
                </c:pt>
                <c:pt idx="6">
                  <c:v>237.7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2-2746-AC24-711255FD7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;[Red]\(#,##0.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_Flat" displayName="PL_Flat" ref="A1:N50">
  <autoFilter ref="A1:N50" xr:uid="{00000000-0009-0000-0100-000001000000}"/>
  <tableColumns count="14">
    <tableColumn id="1" xr3:uid="{00000000-0010-0000-0000-000001000000}" name="Account"/>
    <tableColumn id="2" xr3:uid="{00000000-0010-0000-0000-000002000000}" name="Description"/>
    <tableColumn id="3" xr3:uid="{00000000-0010-0000-0000-000003000000}" name="Subtotal"/>
    <tableColumn id="4" xr3:uid="{00000000-0010-0000-0000-000004000000}" name="Category"/>
    <tableColumn id="5" xr3:uid="{00000000-0010-0000-0000-000005000000}" name="Month Actual"/>
    <tableColumn id="6" xr3:uid="{00000000-0010-0000-0000-000006000000}" name="Month Budget"/>
    <tableColumn id="7" xr3:uid="{00000000-0010-0000-0000-000007000000}" name="Month Var vs Bud $"/>
    <tableColumn id="8" xr3:uid="{00000000-0010-0000-0000-000008000000}" name="Month PY"/>
    <tableColumn id="9" xr3:uid="{00000000-0010-0000-0000-000009000000}" name="Month Var vs PY $"/>
    <tableColumn id="10" xr3:uid="{00000000-0010-0000-0000-00000A000000}" name="YTD Actual"/>
    <tableColumn id="11" xr3:uid="{00000000-0010-0000-0000-00000B000000}" name="YTD Budget"/>
    <tableColumn id="12" xr3:uid="{00000000-0010-0000-0000-00000C000000}" name="YTD Var vs Bud $"/>
    <tableColumn id="13" xr3:uid="{00000000-0010-0000-0000-00000D000000}" name="YTD PY"/>
    <tableColumn id="14" xr3:uid="{00000000-0010-0000-0000-00000E000000}" name="YTD Var vs PY $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2"/>
  <sheetViews>
    <sheetView showGridLines="0" tabSelected="1" workbookViewId="0">
      <pane xSplit="5" ySplit="35" topLeftCell="F36" activePane="bottomRight" state="frozen"/>
      <selection pane="topRight"/>
      <selection pane="bottomLeft"/>
      <selection pane="bottomRight" sqref="A1:XFD30"/>
    </sheetView>
  </sheetViews>
  <sheetFormatPr baseColWidth="10" defaultColWidth="8.83203125" defaultRowHeight="15" x14ac:dyDescent="0.2"/>
  <cols>
    <col min="1" max="1" width="3" customWidth="1"/>
    <col min="2" max="2" width="44" customWidth="1"/>
    <col min="3" max="5" width="2" customWidth="1"/>
    <col min="6" max="9" width="12" customWidth="1"/>
    <col min="10" max="10" width="2" customWidth="1"/>
    <col min="11" max="13" width="12" customWidth="1"/>
    <col min="14" max="14" width="2" customWidth="1"/>
    <col min="15" max="18" width="12" customWidth="1"/>
    <col min="19" max="19" width="2" customWidth="1"/>
    <col min="20" max="22" width="12" customWidth="1"/>
  </cols>
  <sheetData>
    <row r="1" spans="2:2" hidden="1" x14ac:dyDescent="0.2"/>
    <row r="2" spans="2:2" hidden="1" x14ac:dyDescent="0.2"/>
    <row r="3" spans="2:2" hidden="1" x14ac:dyDescent="0.2"/>
    <row r="4" spans="2:2" hidden="1" x14ac:dyDescent="0.2"/>
    <row r="5" spans="2:2" hidden="1" x14ac:dyDescent="0.2"/>
    <row r="6" spans="2:2" hidden="1" x14ac:dyDescent="0.2"/>
    <row r="7" spans="2:2" hidden="1" x14ac:dyDescent="0.2"/>
    <row r="8" spans="2:2" hidden="1" x14ac:dyDescent="0.2"/>
    <row r="9" spans="2:2" hidden="1" x14ac:dyDescent="0.2"/>
    <row r="10" spans="2:2" hidden="1" x14ac:dyDescent="0.2"/>
    <row r="11" spans="2:2" hidden="1" x14ac:dyDescent="0.2"/>
    <row r="12" spans="2:2" hidden="1" x14ac:dyDescent="0.2"/>
    <row r="13" spans="2:2" hidden="1" x14ac:dyDescent="0.2"/>
    <row r="14" spans="2:2" hidden="1" x14ac:dyDescent="0.2"/>
    <row r="15" spans="2:2" hidden="1" x14ac:dyDescent="0.2">
      <c r="B15" s="1" t="s">
        <v>0</v>
      </c>
    </row>
    <row r="16" spans="2:2" hidden="1" x14ac:dyDescent="0.2"/>
    <row r="17" spans="1:22" hidden="1" x14ac:dyDescent="0.2">
      <c r="A17" s="2" t="s">
        <v>1</v>
      </c>
    </row>
    <row r="18" spans="1:22" hidden="1" x14ac:dyDescent="0.2">
      <c r="A18" s="2" t="s">
        <v>2</v>
      </c>
    </row>
    <row r="19" spans="1:22" hidden="1" x14ac:dyDescent="0.2">
      <c r="C19" s="3" t="s">
        <v>3</v>
      </c>
    </row>
    <row r="20" spans="1:22" hidden="1" x14ac:dyDescent="0.2">
      <c r="C20" s="4" t="s">
        <v>4</v>
      </c>
      <c r="D20" t="s">
        <v>5</v>
      </c>
    </row>
    <row r="21" spans="1:22" hidden="1" x14ac:dyDescent="0.2">
      <c r="C21" s="4" t="s">
        <v>6</v>
      </c>
      <c r="D21" t="s">
        <v>7</v>
      </c>
    </row>
    <row r="22" spans="1:22" hidden="1" x14ac:dyDescent="0.2">
      <c r="C22" s="4" t="s">
        <v>8</v>
      </c>
      <c r="D22" t="s">
        <v>9</v>
      </c>
    </row>
    <row r="23" spans="1:22" hidden="1" x14ac:dyDescent="0.2">
      <c r="C23" s="4" t="s">
        <v>10</v>
      </c>
      <c r="D23" t="s">
        <v>11</v>
      </c>
    </row>
    <row r="24" spans="1:22" hidden="1" x14ac:dyDescent="0.2">
      <c r="C24" s="4" t="s">
        <v>12</v>
      </c>
      <c r="D24">
        <v>2026</v>
      </c>
      <c r="F24">
        <v>2025</v>
      </c>
    </row>
    <row r="25" spans="1:22" hidden="1" x14ac:dyDescent="0.2">
      <c r="C25" s="4" t="s">
        <v>13</v>
      </c>
      <c r="D25" t="s">
        <v>14</v>
      </c>
    </row>
    <row r="26" spans="1:22" hidden="1" x14ac:dyDescent="0.2"/>
    <row r="27" spans="1:22" hidden="1" x14ac:dyDescent="0.2"/>
    <row r="28" spans="1:22" hidden="1" x14ac:dyDescent="0.2"/>
    <row r="29" spans="1:22" hidden="1" x14ac:dyDescent="0.2"/>
    <row r="30" spans="1:22" hidden="1" x14ac:dyDescent="0.2">
      <c r="B30" s="2" t="s">
        <v>15</v>
      </c>
    </row>
    <row r="32" spans="1:22" ht="30" customHeight="1" x14ac:dyDescent="0.2">
      <c r="B32" s="20" t="s">
        <v>16</v>
      </c>
      <c r="C32" s="21"/>
      <c r="D32" s="21"/>
      <c r="F32" s="6" t="s">
        <v>11</v>
      </c>
      <c r="G32" s="6" t="s">
        <v>11</v>
      </c>
      <c r="H32" s="22" t="s">
        <v>17</v>
      </c>
      <c r="I32" s="22" t="s">
        <v>18</v>
      </c>
      <c r="K32" s="6" t="s">
        <v>11</v>
      </c>
      <c r="L32" s="22" t="s">
        <v>19</v>
      </c>
      <c r="M32" s="22" t="s">
        <v>20</v>
      </c>
      <c r="O32" s="6" t="s">
        <v>21</v>
      </c>
      <c r="P32" s="6" t="s">
        <v>21</v>
      </c>
      <c r="Q32" s="22" t="s">
        <v>22</v>
      </c>
      <c r="R32" s="22" t="s">
        <v>23</v>
      </c>
      <c r="T32" s="6" t="s">
        <v>21</v>
      </c>
      <c r="U32" s="22" t="s">
        <v>24</v>
      </c>
      <c r="V32" s="22" t="s">
        <v>25</v>
      </c>
    </row>
    <row r="33" spans="2:22" x14ac:dyDescent="0.2">
      <c r="B33" s="21"/>
      <c r="C33" s="21"/>
      <c r="D33" s="21"/>
      <c r="F33" s="6">
        <v>2026</v>
      </c>
      <c r="G33" s="6">
        <v>2026</v>
      </c>
      <c r="H33" s="22"/>
      <c r="I33" s="22"/>
      <c r="K33" s="6">
        <v>2025</v>
      </c>
      <c r="L33" s="22"/>
      <c r="M33" s="22"/>
      <c r="O33" s="6">
        <v>2026</v>
      </c>
      <c r="P33" s="6">
        <v>2026</v>
      </c>
      <c r="Q33" s="22"/>
      <c r="R33" s="22"/>
      <c r="T33" s="6">
        <v>2025</v>
      </c>
      <c r="U33" s="22"/>
      <c r="V33" s="22"/>
    </row>
    <row r="34" spans="2:22" ht="16" x14ac:dyDescent="0.2">
      <c r="B34" s="21"/>
      <c r="C34" s="21"/>
      <c r="D34" s="21"/>
      <c r="F34" s="6" t="s">
        <v>26</v>
      </c>
      <c r="G34" s="6" t="s">
        <v>27</v>
      </c>
      <c r="H34" s="22"/>
      <c r="I34" s="22"/>
      <c r="K34" s="6" t="s">
        <v>26</v>
      </c>
      <c r="L34" s="22"/>
      <c r="M34" s="22"/>
      <c r="O34" s="6" t="s">
        <v>26</v>
      </c>
      <c r="P34" s="6" t="s">
        <v>27</v>
      </c>
      <c r="Q34" s="22"/>
      <c r="R34" s="22"/>
      <c r="T34" s="6" t="s">
        <v>26</v>
      </c>
      <c r="U34" s="22"/>
      <c r="V34" s="22"/>
    </row>
    <row r="36" spans="2:22" x14ac:dyDescent="0.2">
      <c r="B36" t="s">
        <v>28</v>
      </c>
      <c r="F36" s="7">
        <v>4751.6000000000004</v>
      </c>
      <c r="G36" s="7">
        <v>5210.6000000000004</v>
      </c>
      <c r="H36" s="7">
        <v>-459</v>
      </c>
      <c r="I36" s="8">
        <v>-8.8099999999999998E-2</v>
      </c>
      <c r="K36" s="7">
        <v>5127.3999999999996</v>
      </c>
      <c r="L36" s="7">
        <v>-375.8</v>
      </c>
      <c r="M36" s="8">
        <v>-7.3300000000000004E-2</v>
      </c>
      <c r="O36" s="7">
        <v>45124.5</v>
      </c>
      <c r="P36" s="7">
        <v>47693.2</v>
      </c>
      <c r="Q36" s="7">
        <v>-2568.6999999999998</v>
      </c>
      <c r="R36" s="8">
        <v>-5.3900000000000003E-2</v>
      </c>
      <c r="T36" s="7">
        <v>46389.9</v>
      </c>
      <c r="U36" s="7">
        <v>-1265.4000000000001</v>
      </c>
      <c r="V36" s="8">
        <v>-2.7300000000000001E-2</v>
      </c>
    </row>
    <row r="37" spans="2:22" x14ac:dyDescent="0.2">
      <c r="B37" s="3" t="s">
        <v>29</v>
      </c>
      <c r="C37" s="3"/>
      <c r="D37" s="3"/>
      <c r="E37" s="3"/>
      <c r="F37" s="9">
        <v>4751.6000000000004</v>
      </c>
      <c r="G37" s="9">
        <v>5210.6000000000004</v>
      </c>
      <c r="H37" s="9">
        <v>-459</v>
      </c>
      <c r="I37" s="10">
        <v>-8.8099999999999998E-2</v>
      </c>
      <c r="J37" s="3"/>
      <c r="K37" s="9">
        <v>5127.3999999999996</v>
      </c>
      <c r="L37" s="9">
        <v>-375.8</v>
      </c>
      <c r="M37" s="10">
        <v>-7.3300000000000004E-2</v>
      </c>
      <c r="N37" s="3"/>
      <c r="O37" s="9">
        <v>45124.5</v>
      </c>
      <c r="P37" s="9">
        <v>47693.2</v>
      </c>
      <c r="Q37" s="9">
        <v>-2568.6999999999998</v>
      </c>
      <c r="R37" s="10">
        <v>-5.3900000000000003E-2</v>
      </c>
      <c r="S37" s="3"/>
      <c r="T37" s="9">
        <v>46389.9</v>
      </c>
      <c r="U37" s="9">
        <v>-1265.4000000000001</v>
      </c>
      <c r="V37" s="10">
        <v>-2.7300000000000001E-2</v>
      </c>
    </row>
    <row r="38" spans="2:22" x14ac:dyDescent="0.2">
      <c r="B38" t="s">
        <v>30</v>
      </c>
      <c r="F38" s="7">
        <v>208.4</v>
      </c>
      <c r="G38" s="7">
        <v>217.1</v>
      </c>
      <c r="H38" s="7">
        <v>-8.6999999999999993</v>
      </c>
      <c r="I38" s="8">
        <v>-4.0099999999999997E-2</v>
      </c>
      <c r="K38" s="7">
        <v>213.6</v>
      </c>
      <c r="L38" s="7">
        <v>-5.2</v>
      </c>
      <c r="M38" s="8">
        <v>-2.4299999999999999E-2</v>
      </c>
      <c r="O38" s="7">
        <v>1890.5</v>
      </c>
      <c r="P38" s="7">
        <v>1987.2</v>
      </c>
      <c r="Q38" s="7">
        <v>-96.7</v>
      </c>
      <c r="R38" s="8">
        <v>-4.87E-2</v>
      </c>
      <c r="T38" s="7">
        <v>1932.8</v>
      </c>
      <c r="U38" s="7">
        <v>-42.3</v>
      </c>
      <c r="V38" s="8">
        <v>-2.1899999999999999E-2</v>
      </c>
    </row>
    <row r="39" spans="2:22" x14ac:dyDescent="0.2">
      <c r="B39" s="3" t="s">
        <v>31</v>
      </c>
      <c r="C39" s="3"/>
      <c r="D39" s="3"/>
      <c r="E39" s="3"/>
      <c r="F39" s="9">
        <v>208.4</v>
      </c>
      <c r="G39" s="9">
        <v>217.1</v>
      </c>
      <c r="H39" s="9">
        <v>-8.6999999999999993</v>
      </c>
      <c r="I39" s="10">
        <v>-4.0099999999999997E-2</v>
      </c>
      <c r="J39" s="3"/>
      <c r="K39" s="9">
        <v>213.6</v>
      </c>
      <c r="L39" s="9">
        <v>-5.2</v>
      </c>
      <c r="M39" s="10">
        <v>-2.4299999999999999E-2</v>
      </c>
      <c r="N39" s="3"/>
      <c r="O39" s="9">
        <v>1890.5</v>
      </c>
      <c r="P39" s="9">
        <v>1987.2</v>
      </c>
      <c r="Q39" s="9">
        <v>-96.7</v>
      </c>
      <c r="R39" s="10">
        <v>-4.87E-2</v>
      </c>
      <c r="S39" s="3"/>
      <c r="T39" s="9">
        <v>1932.8</v>
      </c>
      <c r="U39" s="9">
        <v>-42.3</v>
      </c>
      <c r="V39" s="10">
        <v>-2.1899999999999999E-2</v>
      </c>
    </row>
    <row r="40" spans="2:22" x14ac:dyDescent="0.2">
      <c r="B40" t="s">
        <v>32</v>
      </c>
      <c r="F40" s="7">
        <v>-35.5</v>
      </c>
      <c r="G40" s="7">
        <v>-37.799999999999997</v>
      </c>
      <c r="H40" s="7">
        <v>2.2999999999999998</v>
      </c>
      <c r="I40" s="8">
        <v>-6.08E-2</v>
      </c>
      <c r="K40" s="7">
        <v>-33.200000000000003</v>
      </c>
      <c r="L40" s="7">
        <v>-2.2999999999999998</v>
      </c>
      <c r="M40" s="8">
        <v>6.93E-2</v>
      </c>
      <c r="O40" s="7">
        <v>-311.10000000000002</v>
      </c>
      <c r="P40" s="7">
        <v>-334.4</v>
      </c>
      <c r="Q40" s="7">
        <v>23.3</v>
      </c>
      <c r="R40" s="8">
        <v>-6.9699999999999998E-2</v>
      </c>
      <c r="T40" s="7">
        <v>-311.3</v>
      </c>
      <c r="U40" s="7">
        <v>0.2</v>
      </c>
      <c r="V40" s="8">
        <v>-5.9999999999999995E-4</v>
      </c>
    </row>
    <row r="41" spans="2:22" x14ac:dyDescent="0.2">
      <c r="B41" t="s">
        <v>33</v>
      </c>
      <c r="F41" s="7">
        <v>-26.6</v>
      </c>
      <c r="G41" s="7">
        <v>-27.8</v>
      </c>
      <c r="H41" s="7">
        <v>1.2</v>
      </c>
      <c r="I41" s="8">
        <v>-4.3200000000000002E-2</v>
      </c>
      <c r="K41" s="7">
        <v>-27.4</v>
      </c>
      <c r="L41" s="7">
        <v>0.8</v>
      </c>
      <c r="M41" s="8">
        <v>-2.92E-2</v>
      </c>
      <c r="O41" s="7">
        <v>-227.6</v>
      </c>
      <c r="P41" s="7">
        <v>-243.2</v>
      </c>
      <c r="Q41" s="7">
        <v>15.6</v>
      </c>
      <c r="R41" s="8">
        <v>-6.4100000000000004E-2</v>
      </c>
      <c r="T41" s="7">
        <v>-237.2</v>
      </c>
      <c r="U41" s="7">
        <v>9.6</v>
      </c>
      <c r="V41" s="8">
        <v>-4.0500000000000001E-2</v>
      </c>
    </row>
    <row r="42" spans="2:22" x14ac:dyDescent="0.2">
      <c r="B42" t="s">
        <v>34</v>
      </c>
      <c r="F42" s="7">
        <v>-232.5</v>
      </c>
      <c r="G42" s="7">
        <v>-53.9</v>
      </c>
      <c r="H42" s="7">
        <v>-178.6</v>
      </c>
      <c r="I42" s="8">
        <v>3.3134999999999999</v>
      </c>
      <c r="K42" s="7">
        <v>-57.6</v>
      </c>
      <c r="L42" s="7">
        <v>-174.9</v>
      </c>
      <c r="M42" s="8">
        <v>3.0365000000000002</v>
      </c>
      <c r="O42" s="7">
        <v>-684.3</v>
      </c>
      <c r="P42" s="7">
        <v>-516.70000000000005</v>
      </c>
      <c r="Q42" s="7">
        <v>-167.6</v>
      </c>
      <c r="R42" s="8">
        <v>0.32440000000000002</v>
      </c>
      <c r="T42" s="7">
        <v>-513.9</v>
      </c>
      <c r="U42" s="7">
        <v>-170.4</v>
      </c>
      <c r="V42" s="8">
        <v>0.33160000000000001</v>
      </c>
    </row>
    <row r="43" spans="2:22" x14ac:dyDescent="0.2">
      <c r="B43" t="s">
        <v>35</v>
      </c>
      <c r="F43" s="7">
        <v>-6.6</v>
      </c>
      <c r="G43" s="7">
        <v>-6.8</v>
      </c>
      <c r="H43" s="7">
        <v>0.2</v>
      </c>
      <c r="I43" s="8">
        <v>-2.9399999999999999E-2</v>
      </c>
      <c r="K43" s="7">
        <v>-6.5</v>
      </c>
      <c r="L43" s="7">
        <v>-0.1</v>
      </c>
      <c r="M43" s="8">
        <v>1.54E-2</v>
      </c>
      <c r="O43" s="7">
        <v>-60.9</v>
      </c>
      <c r="P43" s="7">
        <v>-64.2</v>
      </c>
      <c r="Q43" s="7">
        <v>3.3</v>
      </c>
      <c r="R43" s="8">
        <v>-5.1400000000000001E-2</v>
      </c>
      <c r="T43" s="7">
        <v>-63.3</v>
      </c>
      <c r="U43" s="7">
        <v>2.4</v>
      </c>
      <c r="V43" s="8">
        <v>-3.7900000000000003E-2</v>
      </c>
    </row>
    <row r="44" spans="2:22" x14ac:dyDescent="0.2">
      <c r="B44" t="s">
        <v>36</v>
      </c>
      <c r="F44" s="7">
        <v>6.5</v>
      </c>
      <c r="G44" s="7">
        <v>6.9</v>
      </c>
      <c r="H44" s="7">
        <v>-0.4</v>
      </c>
      <c r="I44" s="8">
        <v>-5.8000000000000003E-2</v>
      </c>
      <c r="K44" s="7">
        <v>7.1</v>
      </c>
      <c r="L44" s="7">
        <v>-0.6</v>
      </c>
      <c r="M44" s="8">
        <v>-8.4500000000000006E-2</v>
      </c>
      <c r="O44" s="7">
        <v>64</v>
      </c>
      <c r="P44" s="7">
        <v>65.599999999999994</v>
      </c>
      <c r="Q44" s="7">
        <v>-1.6</v>
      </c>
      <c r="R44" s="8">
        <v>-2.4400000000000002E-2</v>
      </c>
      <c r="T44" s="7">
        <v>62.5</v>
      </c>
      <c r="U44" s="7">
        <v>1.5</v>
      </c>
      <c r="V44" s="8">
        <v>2.4E-2</v>
      </c>
    </row>
    <row r="45" spans="2:22" x14ac:dyDescent="0.2">
      <c r="B45" s="3" t="s">
        <v>37</v>
      </c>
      <c r="C45" s="3"/>
      <c r="D45" s="3"/>
      <c r="E45" s="3"/>
      <c r="F45" s="9">
        <v>-294.7</v>
      </c>
      <c r="G45" s="9">
        <v>-119.4</v>
      </c>
      <c r="H45" s="9">
        <v>-175.3</v>
      </c>
      <c r="I45" s="10">
        <v>1.4681999999999999</v>
      </c>
      <c r="J45" s="3"/>
      <c r="K45" s="9">
        <v>-117.6</v>
      </c>
      <c r="L45" s="9">
        <v>-177.1</v>
      </c>
      <c r="M45" s="10">
        <v>1.506</v>
      </c>
      <c r="N45" s="3"/>
      <c r="O45" s="9">
        <v>-1219.9000000000001</v>
      </c>
      <c r="P45" s="9">
        <v>-1092.9000000000001</v>
      </c>
      <c r="Q45" s="9">
        <v>-127</v>
      </c>
      <c r="R45" s="10">
        <v>0.1162</v>
      </c>
      <c r="S45" s="3"/>
      <c r="T45" s="9">
        <v>-1063.2</v>
      </c>
      <c r="U45" s="9">
        <v>-156.69999999999999</v>
      </c>
      <c r="V45" s="10">
        <v>0.1474</v>
      </c>
    </row>
    <row r="46" spans="2:22" x14ac:dyDescent="0.2">
      <c r="B46" s="11" t="s">
        <v>38</v>
      </c>
      <c r="C46" s="11"/>
      <c r="D46" s="11"/>
      <c r="E46" s="11"/>
      <c r="F46" s="12">
        <v>4665.3</v>
      </c>
      <c r="G46" s="12">
        <v>5308.3</v>
      </c>
      <c r="H46" s="12">
        <v>-643</v>
      </c>
      <c r="I46" s="13">
        <v>-0.1211</v>
      </c>
      <c r="J46" s="11"/>
      <c r="K46" s="12">
        <v>5223.3999999999996</v>
      </c>
      <c r="L46" s="12">
        <v>-558.1</v>
      </c>
      <c r="M46" s="13">
        <v>-0.10680000000000001</v>
      </c>
      <c r="N46" s="11"/>
      <c r="O46" s="12">
        <v>45795.1</v>
      </c>
      <c r="P46" s="12">
        <v>48587.5</v>
      </c>
      <c r="Q46" s="12">
        <v>-2792.4</v>
      </c>
      <c r="R46" s="13">
        <v>-5.7500000000000002E-2</v>
      </c>
      <c r="S46" s="11"/>
      <c r="T46" s="12">
        <v>47259.5</v>
      </c>
      <c r="U46" s="12">
        <v>-1464.4</v>
      </c>
      <c r="V46" s="13">
        <v>-3.1E-2</v>
      </c>
    </row>
    <row r="47" spans="2:22" x14ac:dyDescent="0.2">
      <c r="B47" t="s">
        <v>39</v>
      </c>
      <c r="F47" s="7">
        <v>3272.8</v>
      </c>
      <c r="G47" s="7">
        <v>3508</v>
      </c>
      <c r="H47" s="7">
        <v>-235.2</v>
      </c>
      <c r="I47" s="8">
        <v>-6.7000000000000004E-2</v>
      </c>
      <c r="K47" s="7">
        <v>3438.5</v>
      </c>
      <c r="L47" s="7">
        <v>-165.7</v>
      </c>
      <c r="M47" s="8">
        <v>-4.82E-2</v>
      </c>
      <c r="O47" s="7">
        <v>31051.3</v>
      </c>
      <c r="P47" s="7">
        <v>32115.7</v>
      </c>
      <c r="Q47" s="7">
        <v>-1064.4000000000001</v>
      </c>
      <c r="R47" s="8">
        <v>-3.3099999999999997E-2</v>
      </c>
      <c r="T47" s="7">
        <v>30956.7</v>
      </c>
      <c r="U47" s="7">
        <v>94.6</v>
      </c>
      <c r="V47" s="8">
        <v>3.0999999999999999E-3</v>
      </c>
    </row>
    <row r="48" spans="2:22" x14ac:dyDescent="0.2">
      <c r="B48" t="s">
        <v>40</v>
      </c>
      <c r="F48" s="7">
        <v>12.9</v>
      </c>
      <c r="G48" s="7">
        <v>12.1</v>
      </c>
      <c r="H48" s="7">
        <v>0.8</v>
      </c>
      <c r="I48" s="8">
        <v>6.6100000000000006E-2</v>
      </c>
      <c r="K48" s="7">
        <v>12.3</v>
      </c>
      <c r="L48" s="7">
        <v>0.6</v>
      </c>
      <c r="M48" s="8">
        <v>4.8800000000000003E-2</v>
      </c>
      <c r="O48" s="7">
        <v>101.5</v>
      </c>
      <c r="P48" s="7">
        <v>104.2</v>
      </c>
      <c r="Q48" s="7">
        <v>-2.7</v>
      </c>
      <c r="R48" s="8">
        <v>-2.5899999999999999E-2</v>
      </c>
      <c r="T48" s="7">
        <v>108</v>
      </c>
      <c r="U48" s="7">
        <v>-6.5</v>
      </c>
      <c r="V48" s="8">
        <v>-6.0199999999999997E-2</v>
      </c>
    </row>
    <row r="49" spans="2:22" x14ac:dyDescent="0.2">
      <c r="B49" s="3" t="s">
        <v>41</v>
      </c>
      <c r="C49" s="3"/>
      <c r="D49" s="3"/>
      <c r="E49" s="3"/>
      <c r="F49" s="9">
        <v>3285.7</v>
      </c>
      <c r="G49" s="9">
        <v>3520.1</v>
      </c>
      <c r="H49" s="9">
        <v>-234.4</v>
      </c>
      <c r="I49" s="10">
        <v>-6.6600000000000006E-2</v>
      </c>
      <c r="J49" s="3"/>
      <c r="K49" s="9">
        <v>3450.8</v>
      </c>
      <c r="L49" s="9">
        <v>-165.1</v>
      </c>
      <c r="M49" s="10">
        <v>-4.7800000000000002E-2</v>
      </c>
      <c r="N49" s="3"/>
      <c r="O49" s="9">
        <v>31152.799999999999</v>
      </c>
      <c r="P49" s="9">
        <v>32219.9</v>
      </c>
      <c r="Q49" s="9">
        <v>-1067.0999999999999</v>
      </c>
      <c r="R49" s="10">
        <v>-3.3099999999999997E-2</v>
      </c>
      <c r="S49" s="3"/>
      <c r="T49" s="9">
        <v>31064.7</v>
      </c>
      <c r="U49" s="9">
        <v>88.1</v>
      </c>
      <c r="V49" s="10">
        <v>2.8E-3</v>
      </c>
    </row>
    <row r="50" spans="2:22" x14ac:dyDescent="0.2">
      <c r="B50" t="s">
        <v>42</v>
      </c>
      <c r="F50" s="7">
        <v>177.1</v>
      </c>
      <c r="G50" s="7">
        <v>184.5</v>
      </c>
      <c r="H50" s="7">
        <v>-7.4</v>
      </c>
      <c r="I50" s="8">
        <v>-4.0099999999999997E-2</v>
      </c>
      <c r="K50" s="7">
        <v>181.6</v>
      </c>
      <c r="L50" s="7">
        <v>-4.5</v>
      </c>
      <c r="M50" s="8">
        <v>-2.4799999999999999E-2</v>
      </c>
      <c r="O50" s="7">
        <v>1606.9</v>
      </c>
      <c r="P50" s="7">
        <v>1689.1</v>
      </c>
      <c r="Q50" s="7">
        <v>-82.2</v>
      </c>
      <c r="R50" s="8">
        <v>-4.87E-2</v>
      </c>
      <c r="T50" s="7">
        <v>1642.9</v>
      </c>
      <c r="U50" s="7">
        <v>-36</v>
      </c>
      <c r="V50" s="8">
        <v>-2.1899999999999999E-2</v>
      </c>
    </row>
    <row r="51" spans="2:22" x14ac:dyDescent="0.2">
      <c r="B51" s="3" t="s">
        <v>43</v>
      </c>
      <c r="C51" s="3"/>
      <c r="D51" s="3"/>
      <c r="E51" s="3"/>
      <c r="F51" s="9">
        <v>177.1</v>
      </c>
      <c r="G51" s="9">
        <v>184.5</v>
      </c>
      <c r="H51" s="9">
        <v>-7.4</v>
      </c>
      <c r="I51" s="10">
        <v>-4.0099999999999997E-2</v>
      </c>
      <c r="J51" s="3"/>
      <c r="K51" s="9">
        <v>181.6</v>
      </c>
      <c r="L51" s="9">
        <v>-4.5</v>
      </c>
      <c r="M51" s="10">
        <v>-2.4799999999999999E-2</v>
      </c>
      <c r="N51" s="3"/>
      <c r="O51" s="9">
        <v>1606.9</v>
      </c>
      <c r="P51" s="9">
        <v>1689.1</v>
      </c>
      <c r="Q51" s="9">
        <v>-82.2</v>
      </c>
      <c r="R51" s="10">
        <v>-4.87E-2</v>
      </c>
      <c r="S51" s="3"/>
      <c r="T51" s="9">
        <v>1642.9</v>
      </c>
      <c r="U51" s="9">
        <v>-36</v>
      </c>
      <c r="V51" s="10">
        <v>-2.1899999999999999E-2</v>
      </c>
    </row>
    <row r="52" spans="2:22" x14ac:dyDescent="0.2">
      <c r="B52" t="s">
        <v>44</v>
      </c>
      <c r="F52" s="7">
        <v>-29.1</v>
      </c>
      <c r="G52" s="7">
        <v>-29.7</v>
      </c>
      <c r="H52" s="7">
        <v>0.6</v>
      </c>
      <c r="I52" s="8">
        <v>-2.0199999999999999E-2</v>
      </c>
      <c r="K52" s="7">
        <v>-29.1</v>
      </c>
      <c r="L52" s="7">
        <v>0</v>
      </c>
      <c r="M52" s="8">
        <v>0</v>
      </c>
      <c r="O52" s="7">
        <v>-264.2</v>
      </c>
      <c r="P52" s="7">
        <v>-271.89999999999998</v>
      </c>
      <c r="Q52" s="7">
        <v>7.7</v>
      </c>
      <c r="R52" s="8">
        <v>-2.8299999999999999E-2</v>
      </c>
      <c r="T52" s="7">
        <v>-262.5</v>
      </c>
      <c r="U52" s="7">
        <v>-1.7</v>
      </c>
      <c r="V52" s="8">
        <v>6.4999999999999997E-3</v>
      </c>
    </row>
    <row r="53" spans="2:22" x14ac:dyDescent="0.2">
      <c r="B53" t="s">
        <v>45</v>
      </c>
      <c r="F53" s="7">
        <v>-91</v>
      </c>
      <c r="G53" s="7">
        <v>-92.9</v>
      </c>
      <c r="H53" s="7">
        <v>1.9</v>
      </c>
      <c r="I53" s="8">
        <v>-2.0500000000000001E-2</v>
      </c>
      <c r="K53" s="7">
        <v>-91.1</v>
      </c>
      <c r="L53" s="7">
        <v>0.1</v>
      </c>
      <c r="M53" s="8">
        <v>-1.1000000000000001E-3</v>
      </c>
      <c r="O53" s="7">
        <v>-825.7</v>
      </c>
      <c r="P53" s="7">
        <v>-850.4</v>
      </c>
      <c r="Q53" s="7">
        <v>24.7</v>
      </c>
      <c r="R53" s="8">
        <v>-2.9000000000000001E-2</v>
      </c>
      <c r="T53" s="7">
        <v>-820.1</v>
      </c>
      <c r="U53" s="7">
        <v>-5.6</v>
      </c>
      <c r="V53" s="8">
        <v>6.7999999999999996E-3</v>
      </c>
    </row>
    <row r="54" spans="2:22" x14ac:dyDescent="0.2">
      <c r="B54" s="3" t="s">
        <v>46</v>
      </c>
      <c r="C54" s="3"/>
      <c r="D54" s="3"/>
      <c r="E54" s="3"/>
      <c r="F54" s="9">
        <v>-120.1</v>
      </c>
      <c r="G54" s="9">
        <v>-122.6</v>
      </c>
      <c r="H54" s="9">
        <v>2.5</v>
      </c>
      <c r="I54" s="10">
        <v>-2.0400000000000001E-2</v>
      </c>
      <c r="J54" s="3"/>
      <c r="K54" s="9">
        <v>-120.2</v>
      </c>
      <c r="L54" s="9">
        <v>0.1</v>
      </c>
      <c r="M54" s="10">
        <v>-8.0000000000000004E-4</v>
      </c>
      <c r="N54" s="3"/>
      <c r="O54" s="9">
        <v>-1089.9000000000001</v>
      </c>
      <c r="P54" s="9">
        <v>-1122.3</v>
      </c>
      <c r="Q54" s="9">
        <v>32.4</v>
      </c>
      <c r="R54" s="10">
        <v>-2.8899999999999999E-2</v>
      </c>
      <c r="S54" s="3"/>
      <c r="T54" s="9">
        <v>-1082.5999999999999</v>
      </c>
      <c r="U54" s="9">
        <v>-7.3</v>
      </c>
      <c r="V54" s="10">
        <v>6.7000000000000002E-3</v>
      </c>
    </row>
    <row r="55" spans="2:22" x14ac:dyDescent="0.2">
      <c r="B55" t="s">
        <v>47</v>
      </c>
      <c r="F55" s="7">
        <v>109.2</v>
      </c>
      <c r="G55" s="7">
        <v>111.5</v>
      </c>
      <c r="H55" s="7">
        <v>-2.2999999999999998</v>
      </c>
      <c r="I55" s="8">
        <v>-2.06E-2</v>
      </c>
      <c r="K55" s="7">
        <v>109.3</v>
      </c>
      <c r="L55" s="7">
        <v>-0.1</v>
      </c>
      <c r="M55" s="8">
        <v>-8.9999999999999998E-4</v>
      </c>
      <c r="O55" s="7">
        <v>990.8</v>
      </c>
      <c r="P55" s="7">
        <v>1020.4</v>
      </c>
      <c r="Q55" s="7">
        <v>-29.6</v>
      </c>
      <c r="R55" s="8">
        <v>-2.9000000000000001E-2</v>
      </c>
      <c r="T55" s="7">
        <v>984.1</v>
      </c>
      <c r="U55" s="7">
        <v>6.7</v>
      </c>
      <c r="V55" s="8">
        <v>6.7999999999999996E-3</v>
      </c>
    </row>
    <row r="56" spans="2:22" x14ac:dyDescent="0.2">
      <c r="B56" t="s">
        <v>48</v>
      </c>
      <c r="F56" s="7">
        <v>14.6</v>
      </c>
      <c r="G56" s="7">
        <v>14.9</v>
      </c>
      <c r="H56" s="7">
        <v>-0.3</v>
      </c>
      <c r="I56" s="8">
        <v>-2.01E-2</v>
      </c>
      <c r="K56" s="7">
        <v>14.6</v>
      </c>
      <c r="L56" s="7">
        <v>0</v>
      </c>
      <c r="M56" s="8">
        <v>0</v>
      </c>
      <c r="O56" s="7">
        <v>132.19999999999999</v>
      </c>
      <c r="P56" s="7">
        <v>136.19999999999999</v>
      </c>
      <c r="Q56" s="7">
        <v>-4</v>
      </c>
      <c r="R56" s="8">
        <v>-2.9399999999999999E-2</v>
      </c>
      <c r="T56" s="7">
        <v>131.19999999999999</v>
      </c>
      <c r="U56" s="7">
        <v>1</v>
      </c>
      <c r="V56" s="8">
        <v>7.6E-3</v>
      </c>
    </row>
    <row r="57" spans="2:22" x14ac:dyDescent="0.2">
      <c r="B57" t="s">
        <v>49</v>
      </c>
      <c r="F57" s="7">
        <v>7.3</v>
      </c>
      <c r="G57" s="7">
        <v>7.4</v>
      </c>
      <c r="H57" s="7">
        <v>-0.1</v>
      </c>
      <c r="I57" s="8">
        <v>-1.35E-2</v>
      </c>
      <c r="K57" s="7">
        <v>7.3</v>
      </c>
      <c r="L57" s="7">
        <v>0</v>
      </c>
      <c r="M57" s="8">
        <v>0</v>
      </c>
      <c r="O57" s="7">
        <v>66</v>
      </c>
      <c r="P57" s="7">
        <v>68</v>
      </c>
      <c r="Q57" s="7">
        <v>-2</v>
      </c>
      <c r="R57" s="8">
        <v>-2.9399999999999999E-2</v>
      </c>
      <c r="T57" s="7">
        <v>65.599999999999994</v>
      </c>
      <c r="U57" s="7">
        <v>0.4</v>
      </c>
      <c r="V57" s="8">
        <v>6.1000000000000004E-3</v>
      </c>
    </row>
    <row r="58" spans="2:22" x14ac:dyDescent="0.2">
      <c r="B58" s="3" t="s">
        <v>50</v>
      </c>
      <c r="C58" s="3"/>
      <c r="D58" s="3"/>
      <c r="E58" s="3"/>
      <c r="F58" s="9">
        <v>131.1</v>
      </c>
      <c r="G58" s="9">
        <v>133.80000000000001</v>
      </c>
      <c r="H58" s="9">
        <v>-2.7</v>
      </c>
      <c r="I58" s="10">
        <v>-2.0199999999999999E-2</v>
      </c>
      <c r="J58" s="3"/>
      <c r="K58" s="9">
        <v>131.19999999999999</v>
      </c>
      <c r="L58" s="9">
        <v>-0.1</v>
      </c>
      <c r="M58" s="10">
        <v>-8.0000000000000004E-4</v>
      </c>
      <c r="N58" s="3"/>
      <c r="O58" s="9">
        <v>1189</v>
      </c>
      <c r="P58" s="9">
        <v>1224.5999999999999</v>
      </c>
      <c r="Q58" s="9">
        <v>-35.6</v>
      </c>
      <c r="R58" s="10">
        <v>-2.9100000000000001E-2</v>
      </c>
      <c r="S58" s="3"/>
      <c r="T58" s="9">
        <v>1180.9000000000001</v>
      </c>
      <c r="U58" s="9">
        <v>8.1</v>
      </c>
      <c r="V58" s="10">
        <v>6.8999999999999999E-3</v>
      </c>
    </row>
    <row r="59" spans="2:22" x14ac:dyDescent="0.2">
      <c r="B59" s="11" t="s">
        <v>51</v>
      </c>
      <c r="C59" s="11"/>
      <c r="D59" s="11"/>
      <c r="E59" s="11"/>
      <c r="F59" s="12">
        <v>3473.8</v>
      </c>
      <c r="G59" s="12">
        <v>3715.8</v>
      </c>
      <c r="H59" s="12">
        <v>-242</v>
      </c>
      <c r="I59" s="13">
        <v>-6.5100000000000005E-2</v>
      </c>
      <c r="J59" s="11"/>
      <c r="K59" s="12">
        <v>3643.4</v>
      </c>
      <c r="L59" s="12">
        <v>-169.6</v>
      </c>
      <c r="M59" s="13">
        <v>-4.65E-2</v>
      </c>
      <c r="N59" s="11"/>
      <c r="O59" s="12">
        <v>32858.800000000003</v>
      </c>
      <c r="P59" s="12">
        <v>34011.300000000003</v>
      </c>
      <c r="Q59" s="12">
        <v>-1152.5</v>
      </c>
      <c r="R59" s="13">
        <v>-3.39E-2</v>
      </c>
      <c r="S59" s="11"/>
      <c r="T59" s="12">
        <v>32805.9</v>
      </c>
      <c r="U59" s="12">
        <v>52.9</v>
      </c>
      <c r="V59" s="13">
        <v>1.6000000000000001E-3</v>
      </c>
    </row>
    <row r="60" spans="2:22" x14ac:dyDescent="0.2">
      <c r="B60" s="11" t="s">
        <v>52</v>
      </c>
      <c r="C60" s="11"/>
      <c r="D60" s="11"/>
      <c r="E60" s="11"/>
      <c r="F60" s="12">
        <v>1191.5</v>
      </c>
      <c r="G60" s="12">
        <v>1592.5</v>
      </c>
      <c r="H60" s="12">
        <v>-401</v>
      </c>
      <c r="I60" s="13">
        <v>-0.25180000000000002</v>
      </c>
      <c r="J60" s="11"/>
      <c r="K60" s="12">
        <v>1580</v>
      </c>
      <c r="L60" s="12">
        <v>-388.5</v>
      </c>
      <c r="M60" s="13">
        <v>-0.24590000000000001</v>
      </c>
      <c r="N60" s="11"/>
      <c r="O60" s="12">
        <v>12936.3</v>
      </c>
      <c r="P60" s="12">
        <v>14576.2</v>
      </c>
      <c r="Q60" s="12">
        <v>-1639.9</v>
      </c>
      <c r="R60" s="13">
        <v>-0.1125</v>
      </c>
      <c r="S60" s="11"/>
      <c r="T60" s="12">
        <v>14453.6</v>
      </c>
      <c r="U60" s="12">
        <v>-1517.3</v>
      </c>
      <c r="V60" s="13">
        <v>-0.105</v>
      </c>
    </row>
    <row r="61" spans="2:22" x14ac:dyDescent="0.2">
      <c r="B61" s="11" t="s">
        <v>53</v>
      </c>
      <c r="C61" s="11"/>
      <c r="D61" s="11"/>
      <c r="E61" s="11"/>
      <c r="F61" s="13">
        <v>0.25539622317964539</v>
      </c>
      <c r="G61" s="13">
        <v>0.30000188384228471</v>
      </c>
      <c r="H61" s="13">
        <v>-4.4609999999999997E-2</v>
      </c>
      <c r="I61" s="11"/>
      <c r="J61" s="11"/>
      <c r="K61" s="13">
        <v>0.30248497147451853</v>
      </c>
      <c r="L61" s="13">
        <v>-4.709E-2</v>
      </c>
      <c r="M61" s="11"/>
      <c r="N61" s="11"/>
      <c r="O61" s="13">
        <v>0.28248218695886679</v>
      </c>
      <c r="P61" s="13">
        <v>0.29999897092873679</v>
      </c>
      <c r="Q61" s="13">
        <v>-1.7520000000000001E-2</v>
      </c>
      <c r="R61" s="11"/>
      <c r="S61" s="11"/>
      <c r="T61" s="13">
        <v>0.30583480570044119</v>
      </c>
      <c r="U61" s="13">
        <v>-2.3349999999999999E-2</v>
      </c>
      <c r="V61" s="11"/>
    </row>
    <row r="62" spans="2:22" x14ac:dyDescent="0.2">
      <c r="B62" t="s">
        <v>54</v>
      </c>
      <c r="F62" s="7">
        <v>159.69999999999999</v>
      </c>
      <c r="G62" s="7">
        <v>158.80000000000001</v>
      </c>
      <c r="H62" s="7">
        <v>0.9</v>
      </c>
      <c r="I62" s="8">
        <v>5.7000000000000002E-3</v>
      </c>
      <c r="K62" s="7">
        <v>158.30000000000001</v>
      </c>
      <c r="L62" s="7">
        <v>1.4</v>
      </c>
      <c r="M62" s="8">
        <v>8.8000000000000005E-3</v>
      </c>
      <c r="O62" s="7">
        <v>1434.2</v>
      </c>
      <c r="P62" s="7">
        <v>1453.7</v>
      </c>
      <c r="Q62" s="7">
        <v>-19.5</v>
      </c>
      <c r="R62" s="8">
        <v>-1.34E-2</v>
      </c>
      <c r="T62" s="7">
        <v>1418.8</v>
      </c>
      <c r="U62" s="7">
        <v>15.4</v>
      </c>
      <c r="V62" s="8">
        <v>1.09E-2</v>
      </c>
    </row>
    <row r="63" spans="2:22" x14ac:dyDescent="0.2">
      <c r="B63" t="s">
        <v>55</v>
      </c>
      <c r="F63" s="7">
        <v>48.7</v>
      </c>
      <c r="G63" s="7">
        <v>50.5</v>
      </c>
      <c r="H63" s="7">
        <v>-1.8</v>
      </c>
      <c r="I63" s="8">
        <v>-3.56E-2</v>
      </c>
      <c r="K63" s="7">
        <v>48.6</v>
      </c>
      <c r="L63" s="7">
        <v>0.1</v>
      </c>
      <c r="M63" s="8">
        <v>2.0999999999999999E-3</v>
      </c>
      <c r="O63" s="7">
        <v>437</v>
      </c>
      <c r="P63" s="7">
        <v>462.6</v>
      </c>
      <c r="Q63" s="7">
        <v>-25.6</v>
      </c>
      <c r="R63" s="8">
        <v>-5.5300000000000002E-2</v>
      </c>
      <c r="T63" s="7">
        <v>458</v>
      </c>
      <c r="U63" s="7">
        <v>-21</v>
      </c>
      <c r="V63" s="8">
        <v>-4.5900000000000003E-2</v>
      </c>
    </row>
    <row r="64" spans="2:22" x14ac:dyDescent="0.2">
      <c r="B64" t="s">
        <v>56</v>
      </c>
      <c r="F64" s="7">
        <v>17.8</v>
      </c>
      <c r="G64" s="7">
        <v>18</v>
      </c>
      <c r="H64" s="7">
        <v>-0.2</v>
      </c>
      <c r="I64" s="8">
        <v>-1.11E-2</v>
      </c>
      <c r="K64" s="7">
        <v>17.8</v>
      </c>
      <c r="L64" s="7">
        <v>0</v>
      </c>
      <c r="M64" s="8">
        <v>0</v>
      </c>
      <c r="O64" s="7">
        <v>161.4</v>
      </c>
      <c r="P64" s="7">
        <v>165.1</v>
      </c>
      <c r="Q64" s="7">
        <v>-3.7</v>
      </c>
      <c r="R64" s="8">
        <v>-2.24E-2</v>
      </c>
      <c r="T64" s="7">
        <v>160.69999999999999</v>
      </c>
      <c r="U64" s="7">
        <v>0.7</v>
      </c>
      <c r="V64" s="8">
        <v>4.4000000000000003E-3</v>
      </c>
    </row>
    <row r="65" spans="2:22" x14ac:dyDescent="0.2">
      <c r="B65" s="3" t="s">
        <v>57</v>
      </c>
      <c r="C65" s="3"/>
      <c r="D65" s="3"/>
      <c r="E65" s="3"/>
      <c r="F65" s="9">
        <v>226.2</v>
      </c>
      <c r="G65" s="9">
        <v>227.3</v>
      </c>
      <c r="H65" s="9">
        <v>-1.1000000000000001</v>
      </c>
      <c r="I65" s="10">
        <v>-4.7999999999999996E-3</v>
      </c>
      <c r="J65" s="3"/>
      <c r="K65" s="9">
        <v>224.7</v>
      </c>
      <c r="L65" s="9">
        <v>1.5</v>
      </c>
      <c r="M65" s="10">
        <v>6.7000000000000002E-3</v>
      </c>
      <c r="N65" s="3"/>
      <c r="O65" s="9">
        <v>2032.6</v>
      </c>
      <c r="P65" s="9">
        <v>2081.4</v>
      </c>
      <c r="Q65" s="9">
        <v>-48.8</v>
      </c>
      <c r="R65" s="10">
        <v>-2.3400000000000001E-2</v>
      </c>
      <c r="S65" s="3"/>
      <c r="T65" s="9">
        <v>2037.5</v>
      </c>
      <c r="U65" s="9">
        <v>-4.9000000000000004</v>
      </c>
      <c r="V65" s="10">
        <v>-2.3999999999999998E-3</v>
      </c>
    </row>
    <row r="66" spans="2:22" x14ac:dyDescent="0.2">
      <c r="B66" t="s">
        <v>58</v>
      </c>
      <c r="F66" s="7">
        <v>18.2</v>
      </c>
      <c r="G66" s="7">
        <v>18</v>
      </c>
      <c r="H66" s="7">
        <v>0.2</v>
      </c>
      <c r="I66" s="8">
        <v>1.11E-2</v>
      </c>
      <c r="K66" s="7">
        <v>17.8</v>
      </c>
      <c r="L66" s="7">
        <v>0.4</v>
      </c>
      <c r="M66" s="8">
        <v>2.2499999999999999E-2</v>
      </c>
      <c r="O66" s="7">
        <v>164.2</v>
      </c>
      <c r="P66" s="7">
        <v>165.1</v>
      </c>
      <c r="Q66" s="7">
        <v>-0.9</v>
      </c>
      <c r="R66" s="8">
        <v>-5.4999999999999997E-3</v>
      </c>
      <c r="T66" s="7">
        <v>162.69999999999999</v>
      </c>
      <c r="U66" s="7">
        <v>1.5</v>
      </c>
      <c r="V66" s="8">
        <v>9.1999999999999998E-3</v>
      </c>
    </row>
    <row r="67" spans="2:22" x14ac:dyDescent="0.2">
      <c r="B67" t="s">
        <v>59</v>
      </c>
      <c r="F67" s="7">
        <v>28.8</v>
      </c>
      <c r="G67" s="7">
        <v>28.9</v>
      </c>
      <c r="H67" s="7">
        <v>-0.1</v>
      </c>
      <c r="I67" s="8">
        <v>-3.5000000000000001E-3</v>
      </c>
      <c r="K67" s="7">
        <v>28.8</v>
      </c>
      <c r="L67" s="7">
        <v>0</v>
      </c>
      <c r="M67" s="8">
        <v>0</v>
      </c>
      <c r="O67" s="7">
        <v>258.10000000000002</v>
      </c>
      <c r="P67" s="7">
        <v>264.5</v>
      </c>
      <c r="Q67" s="7">
        <v>-6.4</v>
      </c>
      <c r="R67" s="8">
        <v>-2.4199999999999999E-2</v>
      </c>
      <c r="T67" s="7">
        <v>255.3</v>
      </c>
      <c r="U67" s="7">
        <v>2.8</v>
      </c>
      <c r="V67" s="8">
        <v>1.0999999999999999E-2</v>
      </c>
    </row>
    <row r="68" spans="2:22" x14ac:dyDescent="0.2">
      <c r="B68" s="3" t="s">
        <v>60</v>
      </c>
      <c r="C68" s="3"/>
      <c r="D68" s="3"/>
      <c r="E68" s="3"/>
      <c r="F68" s="9">
        <v>47</v>
      </c>
      <c r="G68" s="9">
        <v>46.9</v>
      </c>
      <c r="H68" s="9">
        <v>0.1</v>
      </c>
      <c r="I68" s="10">
        <v>2.0999999999999999E-3</v>
      </c>
      <c r="J68" s="3"/>
      <c r="K68" s="9">
        <v>46.6</v>
      </c>
      <c r="L68" s="9">
        <v>0.4</v>
      </c>
      <c r="M68" s="10">
        <v>8.6E-3</v>
      </c>
      <c r="N68" s="3"/>
      <c r="O68" s="9">
        <v>422.3</v>
      </c>
      <c r="P68" s="9">
        <v>429.6</v>
      </c>
      <c r="Q68" s="9">
        <v>-7.3</v>
      </c>
      <c r="R68" s="10">
        <v>-1.7000000000000001E-2</v>
      </c>
      <c r="S68" s="3"/>
      <c r="T68" s="9">
        <v>418</v>
      </c>
      <c r="U68" s="9">
        <v>4.3</v>
      </c>
      <c r="V68" s="10">
        <v>1.03E-2</v>
      </c>
    </row>
    <row r="69" spans="2:22" x14ac:dyDescent="0.2">
      <c r="B69" t="s">
        <v>61</v>
      </c>
      <c r="F69" s="7">
        <v>14.1</v>
      </c>
      <c r="G69" s="7">
        <v>14.4</v>
      </c>
      <c r="H69" s="7">
        <v>-0.3</v>
      </c>
      <c r="I69" s="8">
        <v>-2.0799999999999999E-2</v>
      </c>
      <c r="K69" s="7">
        <v>14.4</v>
      </c>
      <c r="L69" s="7">
        <v>-0.3</v>
      </c>
      <c r="M69" s="8">
        <v>-2.0799999999999999E-2</v>
      </c>
      <c r="O69" s="7">
        <v>130.1</v>
      </c>
      <c r="P69" s="7">
        <v>132</v>
      </c>
      <c r="Q69" s="7">
        <v>-1.9</v>
      </c>
      <c r="R69" s="8">
        <v>-1.44E-2</v>
      </c>
      <c r="T69" s="7">
        <v>129.19999999999999</v>
      </c>
      <c r="U69" s="7">
        <v>0.9</v>
      </c>
      <c r="V69" s="8">
        <v>7.0000000000000001E-3</v>
      </c>
    </row>
    <row r="70" spans="2:22" x14ac:dyDescent="0.2">
      <c r="B70" t="s">
        <v>62</v>
      </c>
      <c r="F70" s="7">
        <v>10.7</v>
      </c>
      <c r="G70" s="7">
        <v>10.8</v>
      </c>
      <c r="H70" s="7">
        <v>-0.1</v>
      </c>
      <c r="I70" s="8">
        <v>-9.2999999999999992E-3</v>
      </c>
      <c r="K70" s="7">
        <v>11</v>
      </c>
      <c r="L70" s="7">
        <v>-0.3</v>
      </c>
      <c r="M70" s="8">
        <v>-2.7300000000000001E-2</v>
      </c>
      <c r="O70" s="7">
        <v>97</v>
      </c>
      <c r="P70" s="7">
        <v>99.2</v>
      </c>
      <c r="Q70" s="7">
        <v>-2.2000000000000002</v>
      </c>
      <c r="R70" s="8">
        <v>-2.2200000000000001E-2</v>
      </c>
      <c r="T70" s="7">
        <v>97.9</v>
      </c>
      <c r="U70" s="7">
        <v>-0.9</v>
      </c>
      <c r="V70" s="8">
        <v>-9.1999999999999998E-3</v>
      </c>
    </row>
    <row r="71" spans="2:22" x14ac:dyDescent="0.2">
      <c r="B71" t="s">
        <v>63</v>
      </c>
      <c r="F71" s="7">
        <v>10.7</v>
      </c>
      <c r="G71" s="7">
        <v>10.8</v>
      </c>
      <c r="H71" s="7">
        <v>-0.1</v>
      </c>
      <c r="I71" s="8">
        <v>-9.2999999999999992E-3</v>
      </c>
      <c r="K71" s="7">
        <v>10.5</v>
      </c>
      <c r="L71" s="7">
        <v>0.2</v>
      </c>
      <c r="M71" s="8">
        <v>1.9E-2</v>
      </c>
      <c r="O71" s="7">
        <v>96.7</v>
      </c>
      <c r="P71" s="7">
        <v>99.2</v>
      </c>
      <c r="Q71" s="7">
        <v>-2.5</v>
      </c>
      <c r="R71" s="8">
        <v>-2.52E-2</v>
      </c>
      <c r="T71" s="7">
        <v>97.9</v>
      </c>
      <c r="U71" s="7">
        <v>-1.2</v>
      </c>
      <c r="V71" s="8">
        <v>-1.23E-2</v>
      </c>
    </row>
    <row r="72" spans="2:22" x14ac:dyDescent="0.2">
      <c r="B72" s="3" t="s">
        <v>64</v>
      </c>
      <c r="C72" s="3"/>
      <c r="D72" s="3"/>
      <c r="E72" s="3"/>
      <c r="F72" s="9">
        <v>35.5</v>
      </c>
      <c r="G72" s="9">
        <v>36</v>
      </c>
      <c r="H72" s="9">
        <v>-0.5</v>
      </c>
      <c r="I72" s="10">
        <v>-1.3899999999999999E-2</v>
      </c>
      <c r="J72" s="3"/>
      <c r="K72" s="9">
        <v>35.9</v>
      </c>
      <c r="L72" s="9">
        <v>-0.4</v>
      </c>
      <c r="M72" s="10">
        <v>-1.11E-2</v>
      </c>
      <c r="N72" s="3"/>
      <c r="O72" s="9">
        <v>323.8</v>
      </c>
      <c r="P72" s="9">
        <v>330.4</v>
      </c>
      <c r="Q72" s="9">
        <v>-6.6</v>
      </c>
      <c r="R72" s="10">
        <v>-0.02</v>
      </c>
      <c r="S72" s="3"/>
      <c r="T72" s="9">
        <v>325</v>
      </c>
      <c r="U72" s="9">
        <v>-1.2</v>
      </c>
      <c r="V72" s="10">
        <v>-3.7000000000000002E-3</v>
      </c>
    </row>
    <row r="73" spans="2:22" x14ac:dyDescent="0.2">
      <c r="B73" t="s">
        <v>65</v>
      </c>
      <c r="F73" s="7">
        <v>28</v>
      </c>
      <c r="G73" s="7">
        <v>28.9</v>
      </c>
      <c r="H73" s="7">
        <v>-0.9</v>
      </c>
      <c r="I73" s="8">
        <v>-3.1099999999999999E-2</v>
      </c>
      <c r="K73" s="7">
        <v>28.8</v>
      </c>
      <c r="L73" s="7">
        <v>-0.8</v>
      </c>
      <c r="M73" s="8">
        <v>-2.7799999999999998E-2</v>
      </c>
      <c r="O73" s="7">
        <v>253.2</v>
      </c>
      <c r="P73" s="7">
        <v>264.5</v>
      </c>
      <c r="Q73" s="7">
        <v>-11.3</v>
      </c>
      <c r="R73" s="8">
        <v>-4.2700000000000002E-2</v>
      </c>
      <c r="T73" s="7">
        <v>258.2</v>
      </c>
      <c r="U73" s="7">
        <v>-5</v>
      </c>
      <c r="V73" s="8">
        <v>-1.9400000000000001E-2</v>
      </c>
    </row>
    <row r="74" spans="2:22" x14ac:dyDescent="0.2">
      <c r="B74" s="3" t="s">
        <v>66</v>
      </c>
      <c r="C74" s="3"/>
      <c r="D74" s="3"/>
      <c r="E74" s="3"/>
      <c r="F74" s="9">
        <v>28</v>
      </c>
      <c r="G74" s="9">
        <v>28.9</v>
      </c>
      <c r="H74" s="9">
        <v>-0.9</v>
      </c>
      <c r="I74" s="10">
        <v>-3.1099999999999999E-2</v>
      </c>
      <c r="J74" s="3"/>
      <c r="K74" s="9">
        <v>28.8</v>
      </c>
      <c r="L74" s="9">
        <v>-0.8</v>
      </c>
      <c r="M74" s="10">
        <v>-2.7799999999999998E-2</v>
      </c>
      <c r="N74" s="3"/>
      <c r="O74" s="9">
        <v>253.2</v>
      </c>
      <c r="P74" s="9">
        <v>264.5</v>
      </c>
      <c r="Q74" s="9">
        <v>-11.3</v>
      </c>
      <c r="R74" s="10">
        <v>-4.2700000000000002E-2</v>
      </c>
      <c r="S74" s="3"/>
      <c r="T74" s="9">
        <v>258.2</v>
      </c>
      <c r="U74" s="9">
        <v>-5</v>
      </c>
      <c r="V74" s="10">
        <v>-1.9400000000000001E-2</v>
      </c>
    </row>
    <row r="75" spans="2:22" x14ac:dyDescent="0.2">
      <c r="B75" t="s">
        <v>67</v>
      </c>
      <c r="F75" s="7">
        <v>20.7</v>
      </c>
      <c r="G75" s="7">
        <v>21.7</v>
      </c>
      <c r="H75" s="7">
        <v>-1</v>
      </c>
      <c r="I75" s="8">
        <v>-4.6100000000000002E-2</v>
      </c>
      <c r="K75" s="7">
        <v>20.7</v>
      </c>
      <c r="L75" s="7">
        <v>0</v>
      </c>
      <c r="M75" s="8">
        <v>0</v>
      </c>
      <c r="O75" s="7">
        <v>195.3</v>
      </c>
      <c r="P75" s="7">
        <v>198.4</v>
      </c>
      <c r="Q75" s="7">
        <v>-3.1</v>
      </c>
      <c r="R75" s="8">
        <v>-1.5599999999999999E-2</v>
      </c>
      <c r="T75" s="7">
        <v>194.5</v>
      </c>
      <c r="U75" s="7">
        <v>0.8</v>
      </c>
      <c r="V75" s="8">
        <v>4.1000000000000003E-3</v>
      </c>
    </row>
    <row r="76" spans="2:22" x14ac:dyDescent="0.2">
      <c r="B76" s="3" t="s">
        <v>68</v>
      </c>
      <c r="C76" s="3"/>
      <c r="D76" s="3"/>
      <c r="E76" s="3"/>
      <c r="F76" s="9">
        <v>20.7</v>
      </c>
      <c r="G76" s="9">
        <v>21.7</v>
      </c>
      <c r="H76" s="9">
        <v>-1</v>
      </c>
      <c r="I76" s="10">
        <v>-4.6100000000000002E-2</v>
      </c>
      <c r="J76" s="3"/>
      <c r="K76" s="9">
        <v>20.7</v>
      </c>
      <c r="L76" s="9">
        <v>0</v>
      </c>
      <c r="M76" s="10">
        <v>0</v>
      </c>
      <c r="N76" s="3"/>
      <c r="O76" s="9">
        <v>195.3</v>
      </c>
      <c r="P76" s="9">
        <v>198.4</v>
      </c>
      <c r="Q76" s="9">
        <v>-3.1</v>
      </c>
      <c r="R76" s="10">
        <v>-1.5599999999999999E-2</v>
      </c>
      <c r="S76" s="3"/>
      <c r="T76" s="9">
        <v>194.5</v>
      </c>
      <c r="U76" s="9">
        <v>0.8</v>
      </c>
      <c r="V76" s="10">
        <v>4.1000000000000003E-3</v>
      </c>
    </row>
    <row r="77" spans="2:22" x14ac:dyDescent="0.2">
      <c r="B77" s="11" t="s">
        <v>69</v>
      </c>
      <c r="C77" s="11"/>
      <c r="D77" s="11"/>
      <c r="E77" s="11"/>
      <c r="F77" s="12">
        <v>357.4</v>
      </c>
      <c r="G77" s="12">
        <v>360.8</v>
      </c>
      <c r="H77" s="12">
        <v>-3.4</v>
      </c>
      <c r="I77" s="13">
        <v>-9.4000000000000004E-3</v>
      </c>
      <c r="J77" s="11"/>
      <c r="K77" s="12">
        <v>356.7</v>
      </c>
      <c r="L77" s="12">
        <v>0.7</v>
      </c>
      <c r="M77" s="13">
        <v>2E-3</v>
      </c>
      <c r="N77" s="11"/>
      <c r="O77" s="12">
        <v>3227.2</v>
      </c>
      <c r="P77" s="12">
        <v>3304.3</v>
      </c>
      <c r="Q77" s="12">
        <v>-77.099999999999994</v>
      </c>
      <c r="R77" s="13">
        <v>-2.3300000000000001E-2</v>
      </c>
      <c r="S77" s="11"/>
      <c r="T77" s="12">
        <v>3233.2</v>
      </c>
      <c r="U77" s="12">
        <v>-6</v>
      </c>
      <c r="V77" s="13">
        <v>-1.9E-3</v>
      </c>
    </row>
    <row r="78" spans="2:22" x14ac:dyDescent="0.2">
      <c r="B78" t="s">
        <v>70</v>
      </c>
      <c r="F78" s="7">
        <v>148.6</v>
      </c>
      <c r="G78" s="7">
        <v>152.9</v>
      </c>
      <c r="H78" s="7">
        <v>-4.3</v>
      </c>
      <c r="I78" s="8">
        <v>-2.81E-2</v>
      </c>
      <c r="K78" s="7">
        <v>146.9</v>
      </c>
      <c r="L78" s="7">
        <v>1.7</v>
      </c>
      <c r="M78" s="8">
        <v>1.1599999999999999E-2</v>
      </c>
      <c r="O78" s="7">
        <v>1373.6</v>
      </c>
      <c r="P78" s="7">
        <v>1399.4</v>
      </c>
      <c r="Q78" s="7">
        <v>-25.8</v>
      </c>
      <c r="R78" s="8">
        <v>-1.84E-2</v>
      </c>
      <c r="T78" s="7">
        <v>1369.5</v>
      </c>
      <c r="U78" s="7">
        <v>4.0999999999999996</v>
      </c>
      <c r="V78" s="8">
        <v>3.0000000000000001E-3</v>
      </c>
    </row>
    <row r="79" spans="2:22" x14ac:dyDescent="0.2">
      <c r="B79" t="s">
        <v>71</v>
      </c>
      <c r="F79" s="7">
        <v>2.8</v>
      </c>
      <c r="G79" s="7">
        <v>12.7</v>
      </c>
      <c r="H79" s="7">
        <v>-9.9</v>
      </c>
      <c r="I79" s="8">
        <v>-0.77949999999999997</v>
      </c>
      <c r="K79" s="7">
        <v>12.3</v>
      </c>
      <c r="L79" s="7">
        <v>-9.5</v>
      </c>
      <c r="M79" s="8">
        <v>-0.77239999999999998</v>
      </c>
      <c r="O79" s="7">
        <v>100.4</v>
      </c>
      <c r="P79" s="7">
        <v>116.5</v>
      </c>
      <c r="Q79" s="7">
        <v>-16.100000000000001</v>
      </c>
      <c r="R79" s="8">
        <v>-0.13819999999999999</v>
      </c>
      <c r="T79" s="7">
        <v>113.7</v>
      </c>
      <c r="U79" s="7">
        <v>-13.3</v>
      </c>
      <c r="V79" s="8">
        <v>-0.11700000000000001</v>
      </c>
    </row>
    <row r="80" spans="2:22" x14ac:dyDescent="0.2">
      <c r="B80" t="s">
        <v>72</v>
      </c>
      <c r="F80" s="7">
        <v>23.8</v>
      </c>
      <c r="G80" s="7">
        <v>12.7</v>
      </c>
      <c r="H80" s="7">
        <v>11.1</v>
      </c>
      <c r="I80" s="8">
        <v>0.874</v>
      </c>
      <c r="K80" s="7">
        <v>12.7</v>
      </c>
      <c r="L80" s="7">
        <v>11.1</v>
      </c>
      <c r="M80" s="8">
        <v>0.874</v>
      </c>
      <c r="O80" s="7">
        <v>122.7</v>
      </c>
      <c r="P80" s="7">
        <v>116.5</v>
      </c>
      <c r="Q80" s="7">
        <v>6.2</v>
      </c>
      <c r="R80" s="8">
        <v>5.3199999999999997E-2</v>
      </c>
      <c r="T80" s="7">
        <v>115.1</v>
      </c>
      <c r="U80" s="7">
        <v>7.6</v>
      </c>
      <c r="V80" s="8">
        <v>6.6000000000000003E-2</v>
      </c>
    </row>
    <row r="81" spans="2:22" x14ac:dyDescent="0.2">
      <c r="B81" s="3" t="s">
        <v>73</v>
      </c>
      <c r="C81" s="3"/>
      <c r="D81" s="3"/>
      <c r="E81" s="3"/>
      <c r="F81" s="9">
        <v>175.2</v>
      </c>
      <c r="G81" s="9">
        <v>178.3</v>
      </c>
      <c r="H81" s="9">
        <v>-3.1</v>
      </c>
      <c r="I81" s="10">
        <v>-1.7399999999999999E-2</v>
      </c>
      <c r="J81" s="3"/>
      <c r="K81" s="9">
        <v>171.9</v>
      </c>
      <c r="L81" s="9">
        <v>3.3</v>
      </c>
      <c r="M81" s="10">
        <v>1.9199999999999998E-2</v>
      </c>
      <c r="N81" s="3"/>
      <c r="O81" s="9">
        <v>1596.7</v>
      </c>
      <c r="P81" s="9">
        <v>1632.4</v>
      </c>
      <c r="Q81" s="9">
        <v>-35.700000000000003</v>
      </c>
      <c r="R81" s="10">
        <v>-2.1899999999999999E-2</v>
      </c>
      <c r="S81" s="3"/>
      <c r="T81" s="9">
        <v>1598.3</v>
      </c>
      <c r="U81" s="9">
        <v>-1.6</v>
      </c>
      <c r="V81" s="10">
        <v>-1E-3</v>
      </c>
    </row>
    <row r="82" spans="2:22" x14ac:dyDescent="0.2">
      <c r="B82" t="s">
        <v>74</v>
      </c>
      <c r="F82" s="7">
        <v>16.899999999999999</v>
      </c>
      <c r="G82" s="7">
        <v>17</v>
      </c>
      <c r="H82" s="7">
        <v>-0.1</v>
      </c>
      <c r="I82" s="8">
        <v>-5.8999999999999999E-3</v>
      </c>
      <c r="K82" s="7">
        <v>17.100000000000001</v>
      </c>
      <c r="L82" s="7">
        <v>-0.2</v>
      </c>
      <c r="M82" s="8">
        <v>-1.17E-2</v>
      </c>
      <c r="O82" s="7">
        <v>154.4</v>
      </c>
      <c r="P82" s="7">
        <v>155.5</v>
      </c>
      <c r="Q82" s="7">
        <v>-1.1000000000000001</v>
      </c>
      <c r="R82" s="8">
        <v>-7.1000000000000004E-3</v>
      </c>
      <c r="T82" s="7">
        <v>153.19999999999999</v>
      </c>
      <c r="U82" s="7">
        <v>1.2</v>
      </c>
      <c r="V82" s="8">
        <v>7.7999999999999996E-3</v>
      </c>
    </row>
    <row r="83" spans="2:22" x14ac:dyDescent="0.2">
      <c r="B83" t="s">
        <v>75</v>
      </c>
      <c r="F83" s="7">
        <v>29.1</v>
      </c>
      <c r="G83" s="7">
        <v>29.7</v>
      </c>
      <c r="H83" s="7">
        <v>-0.6</v>
      </c>
      <c r="I83" s="8">
        <v>-2.0199999999999999E-2</v>
      </c>
      <c r="K83" s="7">
        <v>29</v>
      </c>
      <c r="L83" s="7">
        <v>0.1</v>
      </c>
      <c r="M83" s="8">
        <v>3.3999999999999998E-3</v>
      </c>
      <c r="O83" s="7">
        <v>265.5</v>
      </c>
      <c r="P83" s="7">
        <v>271.89999999999998</v>
      </c>
      <c r="Q83" s="7">
        <v>-6.4</v>
      </c>
      <c r="R83" s="8">
        <v>-2.35E-2</v>
      </c>
      <c r="T83" s="7">
        <v>268.3</v>
      </c>
      <c r="U83" s="7">
        <v>-2.8</v>
      </c>
      <c r="V83" s="8">
        <v>-1.04E-2</v>
      </c>
    </row>
    <row r="84" spans="2:22" x14ac:dyDescent="0.2">
      <c r="B84" s="3" t="s">
        <v>76</v>
      </c>
      <c r="C84" s="3"/>
      <c r="D84" s="3"/>
      <c r="E84" s="3"/>
      <c r="F84" s="9">
        <v>46</v>
      </c>
      <c r="G84" s="9">
        <v>46.7</v>
      </c>
      <c r="H84" s="9">
        <v>-0.7</v>
      </c>
      <c r="I84" s="10">
        <v>-1.4999999999999999E-2</v>
      </c>
      <c r="J84" s="3"/>
      <c r="K84" s="9">
        <v>46.1</v>
      </c>
      <c r="L84" s="9">
        <v>-0.1</v>
      </c>
      <c r="M84" s="10">
        <v>-2.2000000000000001E-3</v>
      </c>
      <c r="N84" s="3"/>
      <c r="O84" s="9">
        <v>419.9</v>
      </c>
      <c r="P84" s="9">
        <v>427.4</v>
      </c>
      <c r="Q84" s="9">
        <v>-7.5</v>
      </c>
      <c r="R84" s="10">
        <v>-1.7500000000000002E-2</v>
      </c>
      <c r="S84" s="3"/>
      <c r="T84" s="9">
        <v>421.5</v>
      </c>
      <c r="U84" s="9">
        <v>-1.6</v>
      </c>
      <c r="V84" s="10">
        <v>-3.8E-3</v>
      </c>
    </row>
    <row r="85" spans="2:22" x14ac:dyDescent="0.2">
      <c r="B85" t="s">
        <v>77</v>
      </c>
      <c r="F85" s="7">
        <v>81.099999999999994</v>
      </c>
      <c r="G85" s="7">
        <v>84.9</v>
      </c>
      <c r="H85" s="7">
        <v>-3.8</v>
      </c>
      <c r="I85" s="8">
        <v>-4.48E-2</v>
      </c>
      <c r="K85" s="7">
        <v>83.8</v>
      </c>
      <c r="L85" s="7">
        <v>-2.7</v>
      </c>
      <c r="M85" s="8">
        <v>-3.2199999999999999E-2</v>
      </c>
      <c r="O85" s="7">
        <v>760.2</v>
      </c>
      <c r="P85" s="7">
        <v>777.4</v>
      </c>
      <c r="Q85" s="7">
        <v>-17.2</v>
      </c>
      <c r="R85" s="8">
        <v>-2.2100000000000002E-2</v>
      </c>
      <c r="T85" s="7">
        <v>759.3</v>
      </c>
      <c r="U85" s="7">
        <v>0.9</v>
      </c>
      <c r="V85" s="8">
        <v>1.1999999999999999E-3</v>
      </c>
    </row>
    <row r="86" spans="2:22" x14ac:dyDescent="0.2">
      <c r="B86" t="s">
        <v>78</v>
      </c>
      <c r="F86" s="7">
        <v>15.8</v>
      </c>
      <c r="G86" s="7">
        <v>17</v>
      </c>
      <c r="H86" s="7">
        <v>-1.2</v>
      </c>
      <c r="I86" s="8">
        <v>-7.0599999999999996E-2</v>
      </c>
      <c r="K86" s="7">
        <v>16.899999999999999</v>
      </c>
      <c r="L86" s="7">
        <v>-1.1000000000000001</v>
      </c>
      <c r="M86" s="8">
        <v>-6.5100000000000005E-2</v>
      </c>
      <c r="O86" s="7">
        <v>147.6</v>
      </c>
      <c r="P86" s="7">
        <v>155.5</v>
      </c>
      <c r="Q86" s="7">
        <v>-7.9</v>
      </c>
      <c r="R86" s="8">
        <v>-5.0799999999999998E-2</v>
      </c>
      <c r="T86" s="7">
        <v>153.6</v>
      </c>
      <c r="U86" s="7">
        <v>-6</v>
      </c>
      <c r="V86" s="8">
        <v>-3.9100000000000003E-2</v>
      </c>
    </row>
    <row r="87" spans="2:22" x14ac:dyDescent="0.2">
      <c r="B87" s="3" t="s">
        <v>79</v>
      </c>
      <c r="C87" s="3"/>
      <c r="D87" s="3"/>
      <c r="E87" s="3"/>
      <c r="F87" s="9">
        <v>96.9</v>
      </c>
      <c r="G87" s="9">
        <v>101.9</v>
      </c>
      <c r="H87" s="9">
        <v>-5</v>
      </c>
      <c r="I87" s="10">
        <v>-4.9099999999999998E-2</v>
      </c>
      <c r="J87" s="3"/>
      <c r="K87" s="9">
        <v>100.7</v>
      </c>
      <c r="L87" s="9">
        <v>-3.8</v>
      </c>
      <c r="M87" s="10">
        <v>-3.7699999999999997E-2</v>
      </c>
      <c r="N87" s="3"/>
      <c r="O87" s="9">
        <v>907.8</v>
      </c>
      <c r="P87" s="9">
        <v>932.9</v>
      </c>
      <c r="Q87" s="9">
        <v>-25.1</v>
      </c>
      <c r="R87" s="10">
        <v>-2.69E-2</v>
      </c>
      <c r="S87" s="3"/>
      <c r="T87" s="9">
        <v>912.9</v>
      </c>
      <c r="U87" s="9">
        <v>-5.0999999999999996</v>
      </c>
      <c r="V87" s="10">
        <v>-5.5999999999999999E-3</v>
      </c>
    </row>
    <row r="88" spans="2:22" x14ac:dyDescent="0.2">
      <c r="B88" t="s">
        <v>80</v>
      </c>
      <c r="F88" s="7">
        <v>-5.3</v>
      </c>
      <c r="G88" s="7">
        <v>17</v>
      </c>
      <c r="H88" s="7">
        <v>-22.3</v>
      </c>
      <c r="I88" s="8">
        <v>-1.3118000000000001</v>
      </c>
      <c r="K88" s="7">
        <v>16.2</v>
      </c>
      <c r="L88" s="7">
        <v>-21.5</v>
      </c>
      <c r="M88" s="8">
        <v>-1.3271999999999999</v>
      </c>
      <c r="O88" s="7">
        <v>125.3</v>
      </c>
      <c r="P88" s="7">
        <v>155.5</v>
      </c>
      <c r="Q88" s="7">
        <v>-30.2</v>
      </c>
      <c r="R88" s="8">
        <v>-0.19420000000000001</v>
      </c>
      <c r="T88" s="7">
        <v>152.1</v>
      </c>
      <c r="U88" s="7">
        <v>-26.8</v>
      </c>
      <c r="V88" s="8">
        <v>-0.1762</v>
      </c>
    </row>
    <row r="89" spans="2:22" x14ac:dyDescent="0.2">
      <c r="B89" t="s">
        <v>81</v>
      </c>
      <c r="F89" s="7">
        <v>12.3</v>
      </c>
      <c r="G89" s="7">
        <v>12.7</v>
      </c>
      <c r="H89" s="7">
        <v>-0.4</v>
      </c>
      <c r="I89" s="8">
        <v>-3.15E-2</v>
      </c>
      <c r="K89" s="7">
        <v>12.3</v>
      </c>
      <c r="L89" s="7">
        <v>0</v>
      </c>
      <c r="M89" s="8">
        <v>0</v>
      </c>
      <c r="O89" s="7">
        <v>115.1</v>
      </c>
      <c r="P89" s="7">
        <v>116.5</v>
      </c>
      <c r="Q89" s="7">
        <v>-1.4</v>
      </c>
      <c r="R89" s="8">
        <v>-1.2E-2</v>
      </c>
      <c r="T89" s="7">
        <v>114.3</v>
      </c>
      <c r="U89" s="7">
        <v>0.8</v>
      </c>
      <c r="V89" s="8">
        <v>7.0000000000000001E-3</v>
      </c>
    </row>
    <row r="90" spans="2:22" x14ac:dyDescent="0.2">
      <c r="B90" s="3" t="s">
        <v>82</v>
      </c>
      <c r="C90" s="3"/>
      <c r="D90" s="3"/>
      <c r="E90" s="3"/>
      <c r="F90" s="9">
        <v>7</v>
      </c>
      <c r="G90" s="9">
        <v>29.7</v>
      </c>
      <c r="H90" s="9">
        <v>-22.7</v>
      </c>
      <c r="I90" s="10">
        <v>-0.76429999999999998</v>
      </c>
      <c r="J90" s="3"/>
      <c r="K90" s="9">
        <v>28.5</v>
      </c>
      <c r="L90" s="9">
        <v>-21.5</v>
      </c>
      <c r="M90" s="10">
        <v>-0.75439999999999996</v>
      </c>
      <c r="N90" s="3"/>
      <c r="O90" s="9">
        <v>240.4</v>
      </c>
      <c r="P90" s="9">
        <v>272</v>
      </c>
      <c r="Q90" s="9">
        <v>-31.6</v>
      </c>
      <c r="R90" s="10">
        <v>-0.1162</v>
      </c>
      <c r="S90" s="3"/>
      <c r="T90" s="9">
        <v>266.39999999999998</v>
      </c>
      <c r="U90" s="9">
        <v>-26</v>
      </c>
      <c r="V90" s="10">
        <v>-9.7600000000000006E-2</v>
      </c>
    </row>
    <row r="91" spans="2:22" x14ac:dyDescent="0.2">
      <c r="B91" t="s">
        <v>83</v>
      </c>
      <c r="F91" s="7">
        <v>-52.2</v>
      </c>
      <c r="G91" s="7">
        <v>42.5</v>
      </c>
      <c r="H91" s="7">
        <v>-94.7</v>
      </c>
      <c r="I91" s="8">
        <v>-2.2282000000000002</v>
      </c>
      <c r="K91" s="7">
        <v>41.4</v>
      </c>
      <c r="L91" s="7">
        <v>-93.6</v>
      </c>
      <c r="M91" s="8">
        <v>-2.2608999999999999</v>
      </c>
      <c r="O91" s="7">
        <v>382</v>
      </c>
      <c r="P91" s="7">
        <v>388.7</v>
      </c>
      <c r="Q91" s="7">
        <v>-6.7</v>
      </c>
      <c r="R91" s="8">
        <v>-1.72E-2</v>
      </c>
      <c r="T91" s="7">
        <v>380.8</v>
      </c>
      <c r="U91" s="7">
        <v>1.2</v>
      </c>
      <c r="V91" s="8">
        <v>3.2000000000000002E-3</v>
      </c>
    </row>
    <row r="92" spans="2:22" x14ac:dyDescent="0.2">
      <c r="B92" t="s">
        <v>84</v>
      </c>
      <c r="F92" s="7">
        <v>8.1999999999999993</v>
      </c>
      <c r="G92" s="7">
        <v>8.5</v>
      </c>
      <c r="H92" s="7">
        <v>-0.3</v>
      </c>
      <c r="I92" s="8">
        <v>-3.5299999999999998E-2</v>
      </c>
      <c r="K92" s="7">
        <v>8.1</v>
      </c>
      <c r="L92" s="7">
        <v>0.1</v>
      </c>
      <c r="M92" s="8">
        <v>1.23E-2</v>
      </c>
      <c r="O92" s="7">
        <v>77</v>
      </c>
      <c r="P92" s="7">
        <v>77.8</v>
      </c>
      <c r="Q92" s="7">
        <v>-0.8</v>
      </c>
      <c r="R92" s="8">
        <v>-1.03E-2</v>
      </c>
      <c r="T92" s="7">
        <v>75.900000000000006</v>
      </c>
      <c r="U92" s="7">
        <v>1.1000000000000001</v>
      </c>
      <c r="V92" s="8">
        <v>1.4500000000000001E-2</v>
      </c>
    </row>
    <row r="93" spans="2:22" x14ac:dyDescent="0.2">
      <c r="B93" t="s">
        <v>85</v>
      </c>
      <c r="F93" s="7">
        <v>8.4</v>
      </c>
      <c r="G93" s="7">
        <v>8.5</v>
      </c>
      <c r="H93" s="7">
        <v>-0.1</v>
      </c>
      <c r="I93" s="8">
        <v>-1.18E-2</v>
      </c>
      <c r="K93" s="7">
        <v>8.4</v>
      </c>
      <c r="L93" s="7">
        <v>0</v>
      </c>
      <c r="M93" s="8">
        <v>0</v>
      </c>
      <c r="O93" s="7">
        <v>76.599999999999994</v>
      </c>
      <c r="P93" s="7">
        <v>77.8</v>
      </c>
      <c r="Q93" s="7">
        <v>-1.2</v>
      </c>
      <c r="R93" s="8">
        <v>-1.54E-2</v>
      </c>
      <c r="T93" s="7">
        <v>76.7</v>
      </c>
      <c r="U93" s="7">
        <v>-0.1</v>
      </c>
      <c r="V93" s="8">
        <v>-1.2999999999999999E-3</v>
      </c>
    </row>
    <row r="94" spans="2:22" x14ac:dyDescent="0.2">
      <c r="B94" s="3" t="s">
        <v>86</v>
      </c>
      <c r="C94" s="3"/>
      <c r="D94" s="3"/>
      <c r="E94" s="3"/>
      <c r="F94" s="9">
        <v>-35.6</v>
      </c>
      <c r="G94" s="9">
        <v>59.5</v>
      </c>
      <c r="H94" s="9">
        <v>-95.1</v>
      </c>
      <c r="I94" s="10">
        <v>-1.5983000000000001</v>
      </c>
      <c r="J94" s="3"/>
      <c r="K94" s="9">
        <v>57.9</v>
      </c>
      <c r="L94" s="9">
        <v>-93.5</v>
      </c>
      <c r="M94" s="10">
        <v>-1.6149</v>
      </c>
      <c r="N94" s="3"/>
      <c r="O94" s="9">
        <v>535.6</v>
      </c>
      <c r="P94" s="9">
        <v>544.29999999999995</v>
      </c>
      <c r="Q94" s="9">
        <v>-8.6999999999999993</v>
      </c>
      <c r="R94" s="10">
        <v>-1.6E-2</v>
      </c>
      <c r="S94" s="3"/>
      <c r="T94" s="9">
        <v>533.4</v>
      </c>
      <c r="U94" s="9">
        <v>2.2000000000000002</v>
      </c>
      <c r="V94" s="10">
        <v>4.1000000000000003E-3</v>
      </c>
    </row>
    <row r="95" spans="2:22" x14ac:dyDescent="0.2">
      <c r="B95" t="s">
        <v>87</v>
      </c>
      <c r="F95" s="7">
        <v>8.5</v>
      </c>
      <c r="G95" s="7">
        <v>8.5</v>
      </c>
      <c r="H95" s="7">
        <v>0</v>
      </c>
      <c r="I95" s="8">
        <v>0</v>
      </c>
      <c r="K95" s="7">
        <v>8.4</v>
      </c>
      <c r="L95" s="7">
        <v>0.1</v>
      </c>
      <c r="M95" s="8">
        <v>1.1900000000000001E-2</v>
      </c>
      <c r="O95" s="7">
        <v>76.900000000000006</v>
      </c>
      <c r="P95" s="7">
        <v>77.8</v>
      </c>
      <c r="Q95" s="7">
        <v>-0.9</v>
      </c>
      <c r="R95" s="8">
        <v>-1.1599999999999999E-2</v>
      </c>
      <c r="T95" s="7">
        <v>76.599999999999994</v>
      </c>
      <c r="U95" s="7">
        <v>0.3</v>
      </c>
      <c r="V95" s="8">
        <v>3.8999999999999998E-3</v>
      </c>
    </row>
    <row r="96" spans="2:22" x14ac:dyDescent="0.2">
      <c r="B96" s="3" t="s">
        <v>88</v>
      </c>
      <c r="C96" s="3"/>
      <c r="D96" s="3"/>
      <c r="E96" s="3"/>
      <c r="F96" s="9">
        <v>8.5</v>
      </c>
      <c r="G96" s="9">
        <v>8.5</v>
      </c>
      <c r="H96" s="9">
        <v>0</v>
      </c>
      <c r="I96" s="10">
        <v>0</v>
      </c>
      <c r="J96" s="3"/>
      <c r="K96" s="9">
        <v>8.4</v>
      </c>
      <c r="L96" s="9">
        <v>0.1</v>
      </c>
      <c r="M96" s="10">
        <v>1.1900000000000001E-2</v>
      </c>
      <c r="N96" s="3"/>
      <c r="O96" s="9">
        <v>76.900000000000006</v>
      </c>
      <c r="P96" s="9">
        <v>77.8</v>
      </c>
      <c r="Q96" s="9">
        <v>-0.9</v>
      </c>
      <c r="R96" s="10">
        <v>-1.1599999999999999E-2</v>
      </c>
      <c r="S96" s="3"/>
      <c r="T96" s="9">
        <v>76.599999999999994</v>
      </c>
      <c r="U96" s="9">
        <v>0.3</v>
      </c>
      <c r="V96" s="10">
        <v>3.8999999999999998E-3</v>
      </c>
    </row>
    <row r="97" spans="2:22" x14ac:dyDescent="0.2">
      <c r="B97" s="11" t="s">
        <v>89</v>
      </c>
      <c r="C97" s="11"/>
      <c r="D97" s="11"/>
      <c r="E97" s="11"/>
      <c r="F97" s="12">
        <v>298</v>
      </c>
      <c r="G97" s="12">
        <v>424.6</v>
      </c>
      <c r="H97" s="12">
        <v>-126.6</v>
      </c>
      <c r="I97" s="13">
        <v>-0.29820000000000002</v>
      </c>
      <c r="J97" s="11"/>
      <c r="K97" s="12">
        <v>413.5</v>
      </c>
      <c r="L97" s="12">
        <v>-115.5</v>
      </c>
      <c r="M97" s="13">
        <v>-0.27929999999999999</v>
      </c>
      <c r="N97" s="11"/>
      <c r="O97" s="12">
        <v>3777.3</v>
      </c>
      <c r="P97" s="12">
        <v>3886.8</v>
      </c>
      <c r="Q97" s="12">
        <v>-109.5</v>
      </c>
      <c r="R97" s="13">
        <v>-2.8199999999999999E-2</v>
      </c>
      <c r="S97" s="11"/>
      <c r="T97" s="12">
        <v>3809.1</v>
      </c>
      <c r="U97" s="12">
        <v>-31.8</v>
      </c>
      <c r="V97" s="13">
        <v>-8.3000000000000001E-3</v>
      </c>
    </row>
    <row r="98" spans="2:22" x14ac:dyDescent="0.2">
      <c r="B98" t="s">
        <v>90</v>
      </c>
      <c r="F98" s="7">
        <v>102.1</v>
      </c>
      <c r="G98" s="7">
        <v>131.6</v>
      </c>
      <c r="H98" s="7">
        <v>-29.5</v>
      </c>
      <c r="I98" s="8">
        <v>-0.22420000000000001</v>
      </c>
      <c r="K98" s="7">
        <v>130.1</v>
      </c>
      <c r="L98" s="7">
        <v>-28</v>
      </c>
      <c r="M98" s="8">
        <v>-0.2152</v>
      </c>
      <c r="O98" s="7">
        <v>1167.3</v>
      </c>
      <c r="P98" s="7">
        <v>1204.8</v>
      </c>
      <c r="Q98" s="7">
        <v>-37.5</v>
      </c>
      <c r="R98" s="8">
        <v>-3.1099999999999999E-2</v>
      </c>
      <c r="T98" s="7">
        <v>1176.0999999999999</v>
      </c>
      <c r="U98" s="7">
        <v>-8.8000000000000007</v>
      </c>
      <c r="V98" s="8">
        <v>-7.4999999999999997E-3</v>
      </c>
    </row>
    <row r="99" spans="2:22" x14ac:dyDescent="0.2">
      <c r="B99" t="s">
        <v>91</v>
      </c>
      <c r="F99" s="7">
        <v>16.3</v>
      </c>
      <c r="G99" s="7">
        <v>16.5</v>
      </c>
      <c r="H99" s="7">
        <v>-0.2</v>
      </c>
      <c r="I99" s="8">
        <v>-1.21E-2</v>
      </c>
      <c r="K99" s="7">
        <v>16.5</v>
      </c>
      <c r="L99" s="7">
        <v>-0.2</v>
      </c>
      <c r="M99" s="8">
        <v>-1.21E-2</v>
      </c>
      <c r="O99" s="7">
        <v>149</v>
      </c>
      <c r="P99" s="7">
        <v>150.69999999999999</v>
      </c>
      <c r="Q99" s="7">
        <v>-1.7</v>
      </c>
      <c r="R99" s="8">
        <v>-1.1299999999999999E-2</v>
      </c>
      <c r="T99" s="7">
        <v>147.69999999999999</v>
      </c>
      <c r="U99" s="7">
        <v>1.3</v>
      </c>
      <c r="V99" s="8">
        <v>8.8000000000000005E-3</v>
      </c>
    </row>
    <row r="100" spans="2:22" x14ac:dyDescent="0.2">
      <c r="B100" s="3" t="s">
        <v>92</v>
      </c>
      <c r="C100" s="3"/>
      <c r="D100" s="3"/>
      <c r="E100" s="3"/>
      <c r="F100" s="9">
        <v>118.4</v>
      </c>
      <c r="G100" s="9">
        <v>148.1</v>
      </c>
      <c r="H100" s="9">
        <v>-29.7</v>
      </c>
      <c r="I100" s="10">
        <v>-0.20050000000000001</v>
      </c>
      <c r="J100" s="3"/>
      <c r="K100" s="9">
        <v>146.6</v>
      </c>
      <c r="L100" s="9">
        <v>-28.2</v>
      </c>
      <c r="M100" s="10">
        <v>-0.19239999999999999</v>
      </c>
      <c r="N100" s="3"/>
      <c r="O100" s="9">
        <v>1316.3</v>
      </c>
      <c r="P100" s="9">
        <v>1355.5</v>
      </c>
      <c r="Q100" s="9">
        <v>-39.200000000000003</v>
      </c>
      <c r="R100" s="10">
        <v>-2.8899999999999999E-2</v>
      </c>
      <c r="S100" s="3"/>
      <c r="T100" s="9">
        <v>1323.8</v>
      </c>
      <c r="U100" s="9">
        <v>-7.5</v>
      </c>
      <c r="V100" s="10">
        <v>-5.7000000000000002E-3</v>
      </c>
    </row>
    <row r="101" spans="2:22" x14ac:dyDescent="0.2">
      <c r="B101" t="s">
        <v>93</v>
      </c>
      <c r="F101" s="7">
        <v>16.5</v>
      </c>
      <c r="G101" s="7">
        <v>16.5</v>
      </c>
      <c r="H101" s="7">
        <v>0</v>
      </c>
      <c r="I101" s="8">
        <v>0</v>
      </c>
      <c r="K101" s="7">
        <v>16.600000000000001</v>
      </c>
      <c r="L101" s="7">
        <v>-0.1</v>
      </c>
      <c r="M101" s="8">
        <v>-6.0000000000000001E-3</v>
      </c>
      <c r="O101" s="7">
        <v>148.30000000000001</v>
      </c>
      <c r="P101" s="7">
        <v>150.69999999999999</v>
      </c>
      <c r="Q101" s="7">
        <v>-2.4</v>
      </c>
      <c r="R101" s="8">
        <v>-1.5900000000000001E-2</v>
      </c>
      <c r="T101" s="7">
        <v>147.4</v>
      </c>
      <c r="U101" s="7">
        <v>0.9</v>
      </c>
      <c r="V101" s="8">
        <v>6.1000000000000004E-3</v>
      </c>
    </row>
    <row r="102" spans="2:22" x14ac:dyDescent="0.2">
      <c r="B102" t="s">
        <v>94</v>
      </c>
      <c r="F102" s="7">
        <v>26.6</v>
      </c>
      <c r="G102" s="7">
        <v>26.3</v>
      </c>
      <c r="H102" s="7">
        <v>0.3</v>
      </c>
      <c r="I102" s="8">
        <v>1.14E-2</v>
      </c>
      <c r="K102" s="7">
        <v>25.8</v>
      </c>
      <c r="L102" s="7">
        <v>0.8</v>
      </c>
      <c r="M102" s="8">
        <v>3.1E-2</v>
      </c>
      <c r="O102" s="7">
        <v>237</v>
      </c>
      <c r="P102" s="7">
        <v>241</v>
      </c>
      <c r="Q102" s="7">
        <v>-4</v>
      </c>
      <c r="R102" s="8">
        <v>-1.66E-2</v>
      </c>
      <c r="T102" s="7">
        <v>238</v>
      </c>
      <c r="U102" s="7">
        <v>-1</v>
      </c>
      <c r="V102" s="8">
        <v>-4.1999999999999997E-3</v>
      </c>
    </row>
    <row r="103" spans="2:22" x14ac:dyDescent="0.2">
      <c r="B103" s="3" t="s">
        <v>95</v>
      </c>
      <c r="C103" s="3"/>
      <c r="D103" s="3"/>
      <c r="E103" s="3"/>
      <c r="F103" s="9">
        <v>43.1</v>
      </c>
      <c r="G103" s="9">
        <v>42.8</v>
      </c>
      <c r="H103" s="9">
        <v>0.3</v>
      </c>
      <c r="I103" s="10">
        <v>7.0000000000000001E-3</v>
      </c>
      <c r="J103" s="3"/>
      <c r="K103" s="9">
        <v>42.4</v>
      </c>
      <c r="L103" s="9">
        <v>0.7</v>
      </c>
      <c r="M103" s="10">
        <v>1.6500000000000001E-2</v>
      </c>
      <c r="N103" s="3"/>
      <c r="O103" s="9">
        <v>385.3</v>
      </c>
      <c r="P103" s="9">
        <v>391.7</v>
      </c>
      <c r="Q103" s="9">
        <v>-6.4</v>
      </c>
      <c r="R103" s="10">
        <v>-1.6299999999999999E-2</v>
      </c>
      <c r="S103" s="3"/>
      <c r="T103" s="9">
        <v>385.4</v>
      </c>
      <c r="U103" s="9">
        <v>-0.1</v>
      </c>
      <c r="V103" s="10">
        <v>-2.9999999999999997E-4</v>
      </c>
    </row>
    <row r="104" spans="2:22" x14ac:dyDescent="0.2">
      <c r="B104" t="s">
        <v>96</v>
      </c>
      <c r="F104" s="7">
        <v>26.4</v>
      </c>
      <c r="G104" s="7">
        <v>26.3</v>
      </c>
      <c r="H104" s="7">
        <v>0.1</v>
      </c>
      <c r="I104" s="8">
        <v>3.8E-3</v>
      </c>
      <c r="K104" s="7">
        <v>25.7</v>
      </c>
      <c r="L104" s="7">
        <v>0.7</v>
      </c>
      <c r="M104" s="8">
        <v>2.7199999999999998E-2</v>
      </c>
      <c r="O104" s="7">
        <v>238.4</v>
      </c>
      <c r="P104" s="7">
        <v>241</v>
      </c>
      <c r="Q104" s="7">
        <v>-2.6</v>
      </c>
      <c r="R104" s="8">
        <v>-1.0800000000000001E-2</v>
      </c>
      <c r="T104" s="7">
        <v>239.4</v>
      </c>
      <c r="U104" s="7">
        <v>-1</v>
      </c>
      <c r="V104" s="8">
        <v>-4.1999999999999997E-3</v>
      </c>
    </row>
    <row r="105" spans="2:22" x14ac:dyDescent="0.2">
      <c r="B105" t="s">
        <v>97</v>
      </c>
      <c r="F105" s="7">
        <v>16.2</v>
      </c>
      <c r="G105" s="7">
        <v>16.5</v>
      </c>
      <c r="H105" s="7">
        <v>-0.3</v>
      </c>
      <c r="I105" s="8">
        <v>-1.8200000000000001E-2</v>
      </c>
      <c r="K105" s="7">
        <v>16.100000000000001</v>
      </c>
      <c r="L105" s="7">
        <v>0.1</v>
      </c>
      <c r="M105" s="8">
        <v>6.1999999999999998E-3</v>
      </c>
      <c r="O105" s="7">
        <v>147.6</v>
      </c>
      <c r="P105" s="7">
        <v>150.69999999999999</v>
      </c>
      <c r="Q105" s="7">
        <v>-3.1</v>
      </c>
      <c r="R105" s="8">
        <v>-2.06E-2</v>
      </c>
      <c r="T105" s="7">
        <v>149</v>
      </c>
      <c r="U105" s="7">
        <v>-1.4</v>
      </c>
      <c r="V105" s="8">
        <v>-9.4000000000000004E-3</v>
      </c>
    </row>
    <row r="106" spans="2:22" x14ac:dyDescent="0.2">
      <c r="B106" s="3" t="s">
        <v>98</v>
      </c>
      <c r="C106" s="3"/>
      <c r="D106" s="3"/>
      <c r="E106" s="3"/>
      <c r="F106" s="9">
        <v>42.6</v>
      </c>
      <c r="G106" s="9">
        <v>42.8</v>
      </c>
      <c r="H106" s="9">
        <v>-0.2</v>
      </c>
      <c r="I106" s="10">
        <v>-4.7000000000000002E-3</v>
      </c>
      <c r="J106" s="3"/>
      <c r="K106" s="9">
        <v>41.8</v>
      </c>
      <c r="L106" s="9">
        <v>0.8</v>
      </c>
      <c r="M106" s="10">
        <v>1.9099999999999999E-2</v>
      </c>
      <c r="N106" s="3"/>
      <c r="O106" s="9">
        <v>386</v>
      </c>
      <c r="P106" s="9">
        <v>391.7</v>
      </c>
      <c r="Q106" s="9">
        <v>-5.7</v>
      </c>
      <c r="R106" s="10">
        <v>-1.46E-2</v>
      </c>
      <c r="S106" s="3"/>
      <c r="T106" s="9">
        <v>388.4</v>
      </c>
      <c r="U106" s="9">
        <v>-2.4</v>
      </c>
      <c r="V106" s="10">
        <v>-6.1999999999999998E-3</v>
      </c>
    </row>
    <row r="107" spans="2:22" x14ac:dyDescent="0.2">
      <c r="B107" t="s">
        <v>99</v>
      </c>
      <c r="F107" s="7">
        <v>18.8</v>
      </c>
      <c r="G107" s="7">
        <v>19.7</v>
      </c>
      <c r="H107" s="7">
        <v>-0.9</v>
      </c>
      <c r="I107" s="8">
        <v>-4.5699999999999998E-2</v>
      </c>
      <c r="K107" s="7">
        <v>19.399999999999999</v>
      </c>
      <c r="L107" s="7">
        <v>-0.6</v>
      </c>
      <c r="M107" s="8">
        <v>-3.09E-2</v>
      </c>
      <c r="O107" s="7">
        <v>176.2</v>
      </c>
      <c r="P107" s="7">
        <v>180.8</v>
      </c>
      <c r="Q107" s="7">
        <v>-4.5999999999999996</v>
      </c>
      <c r="R107" s="8">
        <v>-2.5399999999999999E-2</v>
      </c>
      <c r="T107" s="7">
        <v>177.2</v>
      </c>
      <c r="U107" s="7">
        <v>-1</v>
      </c>
      <c r="V107" s="8">
        <v>-5.5999999999999999E-3</v>
      </c>
    </row>
    <row r="108" spans="2:22" x14ac:dyDescent="0.2">
      <c r="B108" s="3" t="s">
        <v>100</v>
      </c>
      <c r="C108" s="3"/>
      <c r="D108" s="3"/>
      <c r="E108" s="3"/>
      <c r="F108" s="9">
        <v>18.8</v>
      </c>
      <c r="G108" s="9">
        <v>19.7</v>
      </c>
      <c r="H108" s="9">
        <v>-0.9</v>
      </c>
      <c r="I108" s="10">
        <v>-4.5699999999999998E-2</v>
      </c>
      <c r="J108" s="3"/>
      <c r="K108" s="9">
        <v>19.399999999999999</v>
      </c>
      <c r="L108" s="9">
        <v>-0.6</v>
      </c>
      <c r="M108" s="10">
        <v>-3.09E-2</v>
      </c>
      <c r="N108" s="3"/>
      <c r="O108" s="9">
        <v>176.2</v>
      </c>
      <c r="P108" s="9">
        <v>180.8</v>
      </c>
      <c r="Q108" s="9">
        <v>-4.5999999999999996</v>
      </c>
      <c r="R108" s="10">
        <v>-2.5399999999999999E-2</v>
      </c>
      <c r="S108" s="3"/>
      <c r="T108" s="9">
        <v>177.2</v>
      </c>
      <c r="U108" s="9">
        <v>-1</v>
      </c>
      <c r="V108" s="10">
        <v>-5.5999999999999999E-3</v>
      </c>
    </row>
    <row r="109" spans="2:22" x14ac:dyDescent="0.2">
      <c r="B109" t="s">
        <v>101</v>
      </c>
      <c r="F109" s="7">
        <v>33.1</v>
      </c>
      <c r="G109" s="7">
        <v>32.9</v>
      </c>
      <c r="H109" s="7">
        <v>0.2</v>
      </c>
      <c r="I109" s="8">
        <v>6.1000000000000004E-3</v>
      </c>
      <c r="K109" s="7">
        <v>32.1</v>
      </c>
      <c r="L109" s="7">
        <v>1</v>
      </c>
      <c r="M109" s="8">
        <v>3.1199999999999999E-2</v>
      </c>
      <c r="O109" s="7">
        <v>295.89999999999998</v>
      </c>
      <c r="P109" s="7">
        <v>301.3</v>
      </c>
      <c r="Q109" s="7">
        <v>-5.4</v>
      </c>
      <c r="R109" s="8">
        <v>-1.7899999999999999E-2</v>
      </c>
      <c r="T109" s="7">
        <v>295.2</v>
      </c>
      <c r="U109" s="7">
        <v>0.7</v>
      </c>
      <c r="V109" s="8">
        <v>2.3999999999999998E-3</v>
      </c>
    </row>
    <row r="110" spans="2:22" x14ac:dyDescent="0.2">
      <c r="B110" s="3" t="s">
        <v>102</v>
      </c>
      <c r="C110" s="3"/>
      <c r="D110" s="3"/>
      <c r="E110" s="3"/>
      <c r="F110" s="9">
        <v>33.1</v>
      </c>
      <c r="G110" s="9">
        <v>32.9</v>
      </c>
      <c r="H110" s="9">
        <v>0.2</v>
      </c>
      <c r="I110" s="10">
        <v>6.1000000000000004E-3</v>
      </c>
      <c r="J110" s="3"/>
      <c r="K110" s="9">
        <v>32.1</v>
      </c>
      <c r="L110" s="9">
        <v>1</v>
      </c>
      <c r="M110" s="10">
        <v>3.1199999999999999E-2</v>
      </c>
      <c r="N110" s="3"/>
      <c r="O110" s="9">
        <v>295.89999999999998</v>
      </c>
      <c r="P110" s="9">
        <v>301.3</v>
      </c>
      <c r="Q110" s="9">
        <v>-5.4</v>
      </c>
      <c r="R110" s="10">
        <v>-1.7899999999999999E-2</v>
      </c>
      <c r="S110" s="3"/>
      <c r="T110" s="9">
        <v>295.2</v>
      </c>
      <c r="U110" s="9">
        <v>0.7</v>
      </c>
      <c r="V110" s="10">
        <v>2.3999999999999998E-3</v>
      </c>
    </row>
    <row r="111" spans="2:22" x14ac:dyDescent="0.2">
      <c r="B111" t="s">
        <v>103</v>
      </c>
      <c r="F111" s="7">
        <v>19.899999999999999</v>
      </c>
      <c r="G111" s="7">
        <v>19.7</v>
      </c>
      <c r="H111" s="7">
        <v>0.2</v>
      </c>
      <c r="I111" s="8">
        <v>1.0200000000000001E-2</v>
      </c>
      <c r="K111" s="7">
        <v>19.7</v>
      </c>
      <c r="L111" s="7">
        <v>0.2</v>
      </c>
      <c r="M111" s="8">
        <v>1.0200000000000001E-2</v>
      </c>
      <c r="O111" s="7">
        <v>178.3</v>
      </c>
      <c r="P111" s="7">
        <v>180.8</v>
      </c>
      <c r="Q111" s="7">
        <v>-2.5</v>
      </c>
      <c r="R111" s="8">
        <v>-1.38E-2</v>
      </c>
      <c r="T111" s="7">
        <v>179.1</v>
      </c>
      <c r="U111" s="7">
        <v>-0.8</v>
      </c>
      <c r="V111" s="8">
        <v>-4.4999999999999997E-3</v>
      </c>
    </row>
    <row r="112" spans="2:22" x14ac:dyDescent="0.2">
      <c r="B112" t="s">
        <v>104</v>
      </c>
      <c r="F112" s="7">
        <v>9.8000000000000007</v>
      </c>
      <c r="G112" s="7">
        <v>9.9</v>
      </c>
      <c r="H112" s="7">
        <v>-0.1</v>
      </c>
      <c r="I112" s="8">
        <v>-1.01E-2</v>
      </c>
      <c r="K112" s="7">
        <v>9.6</v>
      </c>
      <c r="L112" s="7">
        <v>0.2</v>
      </c>
      <c r="M112" s="8">
        <v>2.0799999999999999E-2</v>
      </c>
      <c r="O112" s="7">
        <v>89.3</v>
      </c>
      <c r="P112" s="7">
        <v>90.6</v>
      </c>
      <c r="Q112" s="7">
        <v>-1.3</v>
      </c>
      <c r="R112" s="8">
        <v>-1.43E-2</v>
      </c>
      <c r="T112" s="7">
        <v>88.1</v>
      </c>
      <c r="U112" s="7">
        <v>1.2</v>
      </c>
      <c r="V112" s="8">
        <v>1.3599999999999999E-2</v>
      </c>
    </row>
    <row r="113" spans="2:22" x14ac:dyDescent="0.2">
      <c r="B113" s="3" t="s">
        <v>105</v>
      </c>
      <c r="C113" s="3"/>
      <c r="D113" s="3"/>
      <c r="E113" s="3"/>
      <c r="F113" s="9">
        <v>29.7</v>
      </c>
      <c r="G113" s="9">
        <v>29.6</v>
      </c>
      <c r="H113" s="9">
        <v>0.1</v>
      </c>
      <c r="I113" s="10">
        <v>3.3999999999999998E-3</v>
      </c>
      <c r="J113" s="3"/>
      <c r="K113" s="9">
        <v>29.3</v>
      </c>
      <c r="L113" s="9">
        <v>0.4</v>
      </c>
      <c r="M113" s="10">
        <v>1.37E-2</v>
      </c>
      <c r="N113" s="3"/>
      <c r="O113" s="9">
        <v>267.60000000000002</v>
      </c>
      <c r="P113" s="9">
        <v>271.39999999999998</v>
      </c>
      <c r="Q113" s="9">
        <v>-3.8</v>
      </c>
      <c r="R113" s="10">
        <v>-1.4E-2</v>
      </c>
      <c r="S113" s="3"/>
      <c r="T113" s="9">
        <v>267.2</v>
      </c>
      <c r="U113" s="9">
        <v>0.4</v>
      </c>
      <c r="V113" s="10">
        <v>1.5E-3</v>
      </c>
    </row>
    <row r="114" spans="2:22" x14ac:dyDescent="0.2">
      <c r="B114" t="s">
        <v>106</v>
      </c>
      <c r="F114" s="7">
        <v>12.7</v>
      </c>
      <c r="G114" s="7">
        <v>13.2</v>
      </c>
      <c r="H114" s="7">
        <v>-0.5</v>
      </c>
      <c r="I114" s="8">
        <v>-3.7900000000000003E-2</v>
      </c>
      <c r="K114" s="7">
        <v>12.8</v>
      </c>
      <c r="L114" s="7">
        <v>-0.1</v>
      </c>
      <c r="M114" s="8">
        <v>-7.7999999999999996E-3</v>
      </c>
      <c r="O114" s="7">
        <v>117.7</v>
      </c>
      <c r="P114" s="7">
        <v>120.5</v>
      </c>
      <c r="Q114" s="7">
        <v>-2.8</v>
      </c>
      <c r="R114" s="8">
        <v>-2.3199999999999998E-2</v>
      </c>
      <c r="T114" s="7">
        <v>118.4</v>
      </c>
      <c r="U114" s="7">
        <v>-0.7</v>
      </c>
      <c r="V114" s="8">
        <v>-5.8999999999999999E-3</v>
      </c>
    </row>
    <row r="115" spans="2:22" x14ac:dyDescent="0.2">
      <c r="B115" s="3" t="s">
        <v>107</v>
      </c>
      <c r="C115" s="3"/>
      <c r="D115" s="3"/>
      <c r="E115" s="3"/>
      <c r="F115" s="9">
        <v>12.7</v>
      </c>
      <c r="G115" s="9">
        <v>13.2</v>
      </c>
      <c r="H115" s="9">
        <v>-0.5</v>
      </c>
      <c r="I115" s="10">
        <v>-3.7900000000000003E-2</v>
      </c>
      <c r="J115" s="3"/>
      <c r="K115" s="9">
        <v>12.8</v>
      </c>
      <c r="L115" s="9">
        <v>-0.1</v>
      </c>
      <c r="M115" s="10">
        <v>-7.7999999999999996E-3</v>
      </c>
      <c r="N115" s="3"/>
      <c r="O115" s="9">
        <v>117.7</v>
      </c>
      <c r="P115" s="9">
        <v>120.5</v>
      </c>
      <c r="Q115" s="9">
        <v>-2.8</v>
      </c>
      <c r="R115" s="10">
        <v>-2.3199999999999998E-2</v>
      </c>
      <c r="S115" s="3"/>
      <c r="T115" s="9">
        <v>118.4</v>
      </c>
      <c r="U115" s="9">
        <v>-0.7</v>
      </c>
      <c r="V115" s="10">
        <v>-5.8999999999999999E-3</v>
      </c>
    </row>
    <row r="116" spans="2:22" x14ac:dyDescent="0.2">
      <c r="B116" s="11" t="s">
        <v>108</v>
      </c>
      <c r="C116" s="11"/>
      <c r="D116" s="11"/>
      <c r="E116" s="11"/>
      <c r="F116" s="12">
        <v>298.39999999999998</v>
      </c>
      <c r="G116" s="12">
        <v>329.1</v>
      </c>
      <c r="H116" s="12">
        <v>-30.7</v>
      </c>
      <c r="I116" s="13">
        <v>-9.3299999999999994E-2</v>
      </c>
      <c r="J116" s="11"/>
      <c r="K116" s="12">
        <v>324.39999999999998</v>
      </c>
      <c r="L116" s="12">
        <v>-26</v>
      </c>
      <c r="M116" s="13">
        <v>-8.0100000000000005E-2</v>
      </c>
      <c r="N116" s="11"/>
      <c r="O116" s="12">
        <v>2945</v>
      </c>
      <c r="P116" s="12">
        <v>3012.9</v>
      </c>
      <c r="Q116" s="12">
        <v>-67.900000000000006</v>
      </c>
      <c r="R116" s="13">
        <v>-2.2499999999999999E-2</v>
      </c>
      <c r="S116" s="11"/>
      <c r="T116" s="12">
        <v>2955.6</v>
      </c>
      <c r="U116" s="12">
        <v>-10.6</v>
      </c>
      <c r="V116" s="13">
        <v>-3.5999999999999999E-3</v>
      </c>
    </row>
    <row r="117" spans="2:22" x14ac:dyDescent="0.2">
      <c r="B117" s="11" t="s">
        <v>109</v>
      </c>
      <c r="C117" s="11"/>
      <c r="D117" s="11"/>
      <c r="E117" s="11"/>
      <c r="F117" s="12">
        <v>953.8</v>
      </c>
      <c r="G117" s="12">
        <v>1114.5</v>
      </c>
      <c r="H117" s="12">
        <v>-160.69999999999999</v>
      </c>
      <c r="I117" s="13">
        <v>-0.14419999999999999</v>
      </c>
      <c r="J117" s="11"/>
      <c r="K117" s="12">
        <v>1094.5999999999999</v>
      </c>
      <c r="L117" s="12">
        <v>-140.80000000000001</v>
      </c>
      <c r="M117" s="13">
        <v>-0.12859999999999999</v>
      </c>
      <c r="N117" s="11"/>
      <c r="O117" s="12">
        <v>9949.5</v>
      </c>
      <c r="P117" s="12">
        <v>10204</v>
      </c>
      <c r="Q117" s="12">
        <v>-254.5</v>
      </c>
      <c r="R117" s="13">
        <v>-2.4899999999999999E-2</v>
      </c>
      <c r="S117" s="11"/>
      <c r="T117" s="12">
        <v>9997.9</v>
      </c>
      <c r="U117" s="12">
        <v>-48.4</v>
      </c>
      <c r="V117" s="13">
        <v>-4.7999999999999996E-3</v>
      </c>
    </row>
    <row r="118" spans="2:22" x14ac:dyDescent="0.2">
      <c r="B118" s="11" t="s">
        <v>110</v>
      </c>
      <c r="C118" s="11"/>
      <c r="D118" s="11"/>
      <c r="E118" s="11"/>
      <c r="F118" s="13">
        <v>0.20444558763637921</v>
      </c>
      <c r="G118" s="13">
        <v>0.2099542226324812</v>
      </c>
      <c r="H118" s="13">
        <v>-5.5100000000000001E-3</v>
      </c>
      <c r="I118" s="11"/>
      <c r="J118" s="11"/>
      <c r="K118" s="13">
        <v>0.209556993529119</v>
      </c>
      <c r="L118" s="13">
        <v>-5.11E-3</v>
      </c>
      <c r="M118" s="11"/>
      <c r="N118" s="11"/>
      <c r="O118" s="13">
        <v>0.21726123537234329</v>
      </c>
      <c r="P118" s="13">
        <v>0.21001286339078981</v>
      </c>
      <c r="Q118" s="13">
        <v>7.2500000000000004E-3</v>
      </c>
      <c r="R118" s="11"/>
      <c r="S118" s="11"/>
      <c r="T118" s="13">
        <v>0.21155323268337581</v>
      </c>
      <c r="U118" s="13">
        <v>5.7099999999999998E-3</v>
      </c>
      <c r="V118" s="11"/>
    </row>
    <row r="119" spans="2:22" x14ac:dyDescent="0.2">
      <c r="B119" s="11" t="s">
        <v>111</v>
      </c>
      <c r="C119" s="11"/>
      <c r="D119" s="11"/>
      <c r="E119" s="11"/>
      <c r="F119" s="12">
        <v>237.7</v>
      </c>
      <c r="G119" s="12">
        <v>478</v>
      </c>
      <c r="H119" s="12">
        <v>-240.3</v>
      </c>
      <c r="I119" s="13">
        <v>-0.50270000000000004</v>
      </c>
      <c r="J119" s="11"/>
      <c r="K119" s="12">
        <v>485.4</v>
      </c>
      <c r="L119" s="12">
        <v>-247.7</v>
      </c>
      <c r="M119" s="13">
        <v>-0.51029999999999998</v>
      </c>
      <c r="N119" s="11"/>
      <c r="O119" s="12">
        <v>2986.8</v>
      </c>
      <c r="P119" s="12">
        <v>4372.2</v>
      </c>
      <c r="Q119" s="12">
        <v>-1385.4</v>
      </c>
      <c r="R119" s="13">
        <v>-0.31690000000000002</v>
      </c>
      <c r="S119" s="11"/>
      <c r="T119" s="12">
        <v>4455.7</v>
      </c>
      <c r="U119" s="12">
        <v>-1468.9</v>
      </c>
      <c r="V119" s="13">
        <v>-0.32969999999999999</v>
      </c>
    </row>
    <row r="120" spans="2:22" x14ac:dyDescent="0.2">
      <c r="B120" t="s">
        <v>112</v>
      </c>
      <c r="F120" s="7">
        <v>0</v>
      </c>
      <c r="G120" s="7">
        <v>0</v>
      </c>
      <c r="H120" s="7">
        <v>0</v>
      </c>
      <c r="I120" s="8">
        <v>0</v>
      </c>
      <c r="K120" s="7">
        <v>0</v>
      </c>
      <c r="L120" s="7">
        <v>0</v>
      </c>
      <c r="M120" s="8">
        <v>0</v>
      </c>
      <c r="O120" s="7">
        <v>0</v>
      </c>
      <c r="P120" s="7">
        <v>0</v>
      </c>
      <c r="Q120" s="7">
        <v>0</v>
      </c>
      <c r="R120" s="8">
        <v>0</v>
      </c>
      <c r="T120" s="7">
        <v>0</v>
      </c>
      <c r="U120" s="7">
        <v>0</v>
      </c>
      <c r="V120" s="8">
        <v>0</v>
      </c>
    </row>
    <row r="121" spans="2:22" x14ac:dyDescent="0.2">
      <c r="B121" s="11" t="s">
        <v>113</v>
      </c>
      <c r="C121" s="11"/>
      <c r="D121" s="11"/>
      <c r="E121" s="11"/>
      <c r="F121" s="12">
        <v>237.7</v>
      </c>
      <c r="G121" s="12">
        <v>478</v>
      </c>
      <c r="H121" s="12">
        <v>-240.3</v>
      </c>
      <c r="I121" s="13">
        <v>-0.50270000000000004</v>
      </c>
      <c r="J121" s="11"/>
      <c r="K121" s="12">
        <v>485.4</v>
      </c>
      <c r="L121" s="12">
        <v>-247.7</v>
      </c>
      <c r="M121" s="13">
        <v>-0.51029999999999998</v>
      </c>
      <c r="N121" s="11"/>
      <c r="O121" s="12">
        <v>2986.8</v>
      </c>
      <c r="P121" s="12">
        <v>4372.2</v>
      </c>
      <c r="Q121" s="12">
        <v>-1385.4</v>
      </c>
      <c r="R121" s="13">
        <v>-0.31690000000000002</v>
      </c>
      <c r="S121" s="11"/>
      <c r="T121" s="12">
        <v>4455.7</v>
      </c>
      <c r="U121" s="12">
        <v>-1468.9</v>
      </c>
      <c r="V121" s="13">
        <v>-0.32969999999999999</v>
      </c>
    </row>
    <row r="122" spans="2:22" x14ac:dyDescent="0.2">
      <c r="B122" s="11" t="s">
        <v>114</v>
      </c>
      <c r="C122" s="11"/>
      <c r="D122" s="11"/>
      <c r="E122" s="11"/>
      <c r="F122" s="13">
        <v>5.0950635543266239E-2</v>
      </c>
      <c r="G122" s="13">
        <v>9.0047661209803509E-2</v>
      </c>
      <c r="H122" s="13">
        <v>-3.9100000000000003E-2</v>
      </c>
      <c r="I122" s="11"/>
      <c r="J122" s="11"/>
      <c r="K122" s="13">
        <v>9.2927977945399545E-2</v>
      </c>
      <c r="L122" s="13">
        <v>-4.1980000000000003E-2</v>
      </c>
      <c r="M122" s="11"/>
      <c r="N122" s="11"/>
      <c r="O122" s="13">
        <v>6.5220951586523454E-2</v>
      </c>
      <c r="P122" s="13">
        <v>8.9986107537947002E-2</v>
      </c>
      <c r="Q122" s="13">
        <v>-2.477E-2</v>
      </c>
      <c r="R122" s="11"/>
      <c r="S122" s="11"/>
      <c r="T122" s="13">
        <v>9.4281573017065343E-2</v>
      </c>
      <c r="U122" s="13">
        <v>-2.9059999999999999E-2</v>
      </c>
      <c r="V122" s="11"/>
    </row>
  </sheetData>
  <mergeCells count="9">
    <mergeCell ref="V32:V34"/>
    <mergeCell ref="I32:I34"/>
    <mergeCell ref="L32:L34"/>
    <mergeCell ref="B32:D34"/>
    <mergeCell ref="U32:U34"/>
    <mergeCell ref="H32:H34"/>
    <mergeCell ref="Q32:Q34"/>
    <mergeCell ref="R32:R34"/>
    <mergeCell ref="M32:M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70" customWidth="1"/>
    <col min="3" max="3" width="40" customWidth="1"/>
    <col min="4" max="4" width="14" customWidth="1"/>
    <col min="5" max="5" width="18" customWidth="1"/>
    <col min="6" max="6" width="60" customWidth="1"/>
  </cols>
  <sheetData>
    <row r="1" spans="1:6" ht="21" x14ac:dyDescent="0.25">
      <c r="A1" s="14" t="s">
        <v>115</v>
      </c>
    </row>
    <row r="2" spans="1:6" x14ac:dyDescent="0.2">
      <c r="A2" s="15" t="s">
        <v>116</v>
      </c>
    </row>
    <row r="3" spans="1:6" x14ac:dyDescent="0.2">
      <c r="A3" s="1" t="s">
        <v>0</v>
      </c>
    </row>
    <row r="4" spans="1:6" ht="16" x14ac:dyDescent="0.2">
      <c r="A4" s="16" t="s">
        <v>117</v>
      </c>
    </row>
    <row r="5" spans="1:6" ht="16" x14ac:dyDescent="0.2">
      <c r="A5" s="6" t="s">
        <v>118</v>
      </c>
      <c r="B5" s="6" t="s">
        <v>119</v>
      </c>
      <c r="C5" s="6" t="s">
        <v>120</v>
      </c>
    </row>
    <row r="6" spans="1:6" ht="46" customHeight="1" x14ac:dyDescent="0.2">
      <c r="A6" s="17">
        <v>1</v>
      </c>
      <c r="B6" s="17" t="s">
        <v>121</v>
      </c>
      <c r="C6" s="17" t="s">
        <v>122</v>
      </c>
    </row>
    <row r="7" spans="1:6" ht="46" customHeight="1" x14ac:dyDescent="0.2">
      <c r="A7" s="17">
        <v>2</v>
      </c>
      <c r="B7" s="17" t="s">
        <v>123</v>
      </c>
      <c r="C7" s="17" t="s">
        <v>124</v>
      </c>
    </row>
    <row r="8" spans="1:6" ht="46" customHeight="1" x14ac:dyDescent="0.2">
      <c r="A8" s="17">
        <v>3</v>
      </c>
      <c r="B8" s="17" t="s">
        <v>125</v>
      </c>
      <c r="C8" s="17" t="s">
        <v>126</v>
      </c>
    </row>
    <row r="9" spans="1:6" ht="46" customHeight="1" x14ac:dyDescent="0.2">
      <c r="A9" s="17">
        <v>4</v>
      </c>
      <c r="B9" s="17" t="s">
        <v>127</v>
      </c>
      <c r="C9" s="17" t="s">
        <v>128</v>
      </c>
    </row>
    <row r="10" spans="1:6" ht="46" customHeight="1" x14ac:dyDescent="0.2">
      <c r="A10" s="17">
        <v>5</v>
      </c>
      <c r="B10" s="17" t="s">
        <v>129</v>
      </c>
      <c r="C10" s="17" t="s">
        <v>130</v>
      </c>
    </row>
    <row r="11" spans="1:6" ht="46" customHeight="1" x14ac:dyDescent="0.2"/>
    <row r="12" spans="1:6" ht="46" customHeight="1" x14ac:dyDescent="0.2">
      <c r="A12" s="16" t="s">
        <v>131</v>
      </c>
    </row>
    <row r="13" spans="1:6" ht="46" customHeight="1" x14ac:dyDescent="0.2">
      <c r="A13" s="6" t="s">
        <v>132</v>
      </c>
      <c r="B13" s="6" t="s">
        <v>133</v>
      </c>
      <c r="C13" s="6" t="s">
        <v>134</v>
      </c>
      <c r="D13" s="6" t="s">
        <v>135</v>
      </c>
      <c r="E13" s="6" t="s">
        <v>136</v>
      </c>
      <c r="F13" s="6" t="s">
        <v>137</v>
      </c>
    </row>
    <row r="14" spans="1:6" ht="46" customHeight="1" x14ac:dyDescent="0.2">
      <c r="A14" s="17" t="s">
        <v>138</v>
      </c>
      <c r="B14" s="18">
        <v>-459</v>
      </c>
      <c r="C14" s="18">
        <v>-375.8</v>
      </c>
      <c r="D14" s="17" t="s">
        <v>139</v>
      </c>
      <c r="E14" s="17" t="s">
        <v>140</v>
      </c>
      <c r="F14" s="17" t="s">
        <v>141</v>
      </c>
    </row>
    <row r="15" spans="1:6" ht="46" customHeight="1" x14ac:dyDescent="0.2">
      <c r="A15" s="17" t="s">
        <v>142</v>
      </c>
      <c r="B15" s="18">
        <v>-235.2</v>
      </c>
      <c r="C15" s="18">
        <v>-165.7</v>
      </c>
      <c r="D15" s="17" t="s">
        <v>143</v>
      </c>
      <c r="E15" s="17" t="s">
        <v>144</v>
      </c>
      <c r="F15" s="17" t="s">
        <v>145</v>
      </c>
    </row>
    <row r="16" spans="1:6" ht="46" customHeight="1" x14ac:dyDescent="0.2">
      <c r="A16" s="17" t="s">
        <v>146</v>
      </c>
      <c r="B16" s="18">
        <v>-178.6</v>
      </c>
      <c r="C16" s="18">
        <v>-174.9</v>
      </c>
      <c r="D16" s="17" t="s">
        <v>139</v>
      </c>
      <c r="E16" s="17" t="s">
        <v>147</v>
      </c>
      <c r="F16" s="17" t="s">
        <v>148</v>
      </c>
    </row>
    <row r="17" spans="1:6" ht="46" customHeight="1" x14ac:dyDescent="0.2">
      <c r="A17" s="17" t="s">
        <v>149</v>
      </c>
      <c r="B17" s="18">
        <v>-94.7</v>
      </c>
      <c r="C17" s="18">
        <v>-93.6</v>
      </c>
      <c r="D17" s="17" t="s">
        <v>150</v>
      </c>
      <c r="E17" s="17" t="s">
        <v>151</v>
      </c>
      <c r="F17" s="17" t="s">
        <v>152</v>
      </c>
    </row>
    <row r="18" spans="1:6" ht="46" customHeight="1" x14ac:dyDescent="0.2">
      <c r="A18" s="17" t="s">
        <v>153</v>
      </c>
      <c r="B18" s="18">
        <v>-29.5</v>
      </c>
      <c r="C18" s="18">
        <v>-28</v>
      </c>
      <c r="D18" s="17" t="s">
        <v>150</v>
      </c>
      <c r="E18" s="17" t="s">
        <v>154</v>
      </c>
      <c r="F18" s="17" t="s">
        <v>155</v>
      </c>
    </row>
    <row r="19" spans="1:6" ht="46" customHeight="1" x14ac:dyDescent="0.2">
      <c r="A19" s="17" t="s">
        <v>156</v>
      </c>
      <c r="B19" s="18">
        <v>-22.3</v>
      </c>
      <c r="C19" s="18">
        <v>-21.5</v>
      </c>
      <c r="D19" s="17" t="s">
        <v>150</v>
      </c>
      <c r="E19" s="17" t="s">
        <v>144</v>
      </c>
      <c r="F19" s="17" t="s">
        <v>157</v>
      </c>
    </row>
    <row r="20" spans="1:6" ht="46" customHeight="1" x14ac:dyDescent="0.2">
      <c r="A20" s="17" t="s">
        <v>158</v>
      </c>
      <c r="B20" s="18">
        <v>11.1</v>
      </c>
      <c r="C20" s="18">
        <v>11.1</v>
      </c>
      <c r="D20" s="17" t="s">
        <v>139</v>
      </c>
      <c r="E20" s="17" t="s">
        <v>154</v>
      </c>
      <c r="F20" s="17" t="s">
        <v>159</v>
      </c>
    </row>
    <row r="21" spans="1:6" ht="46" customHeight="1" x14ac:dyDescent="0.2">
      <c r="A21" s="17" t="s">
        <v>160</v>
      </c>
      <c r="B21" s="18">
        <v>-9.9</v>
      </c>
      <c r="C21" s="18">
        <v>-9.5</v>
      </c>
      <c r="D21" s="17" t="s">
        <v>150</v>
      </c>
      <c r="E21" s="17" t="s">
        <v>154</v>
      </c>
      <c r="F21" s="17" t="s">
        <v>161</v>
      </c>
    </row>
    <row r="22" spans="1:6" ht="46" customHeight="1" x14ac:dyDescent="0.2">
      <c r="A22" s="5" t="s">
        <v>162</v>
      </c>
    </row>
    <row r="23" spans="1:6" ht="46" customHeight="1" x14ac:dyDescent="0.2"/>
    <row r="24" spans="1:6" ht="46" customHeight="1" x14ac:dyDescent="0.2">
      <c r="A24" s="16" t="s">
        <v>163</v>
      </c>
    </row>
    <row r="25" spans="1:6" ht="46" customHeight="1" x14ac:dyDescent="0.2">
      <c r="A25" s="6" t="s">
        <v>164</v>
      </c>
      <c r="B25" s="6" t="s">
        <v>165</v>
      </c>
      <c r="C25" s="6" t="s">
        <v>166</v>
      </c>
    </row>
    <row r="26" spans="1:6" ht="46" customHeight="1" x14ac:dyDescent="0.2">
      <c r="A26" s="17"/>
      <c r="B26" s="17"/>
      <c r="C26" s="17"/>
    </row>
    <row r="27" spans="1:6" ht="46" customHeight="1" x14ac:dyDescent="0.2">
      <c r="A27" s="17"/>
      <c r="B27" s="17"/>
      <c r="C27" s="17"/>
    </row>
    <row r="28" spans="1:6" ht="46" customHeight="1" x14ac:dyDescent="0.2">
      <c r="A28" s="17"/>
      <c r="B28" s="17"/>
      <c r="C28" s="17"/>
    </row>
    <row r="29" spans="1:6" ht="46" customHeight="1" x14ac:dyDescent="0.2">
      <c r="A29" s="17"/>
      <c r="B29" s="17"/>
      <c r="C29" s="17"/>
    </row>
    <row r="30" spans="1:6" ht="46" customHeight="1" x14ac:dyDescent="0.2">
      <c r="A30" s="17"/>
      <c r="B30" s="17"/>
      <c r="C30" s="17"/>
    </row>
    <row r="31" spans="1:6" ht="46" customHeight="1" x14ac:dyDescent="0.2">
      <c r="A31" s="17"/>
      <c r="B31" s="17"/>
      <c r="C31" s="17"/>
    </row>
    <row r="32" spans="1:6" ht="46" customHeight="1" x14ac:dyDescent="0.2">
      <c r="A32" s="17"/>
      <c r="B32" s="17"/>
      <c r="C32" s="17"/>
    </row>
    <row r="33" spans="1:3" ht="46" customHeight="1" x14ac:dyDescent="0.2">
      <c r="A33" s="17"/>
      <c r="B33" s="17"/>
      <c r="C33" s="17"/>
    </row>
    <row r="34" spans="1:3" ht="46" customHeight="1" x14ac:dyDescent="0.2"/>
    <row r="35" spans="1:3" ht="46" customHeight="1" x14ac:dyDescent="0.2">
      <c r="A35" s="16" t="s">
        <v>167</v>
      </c>
    </row>
    <row r="36" spans="1:3" ht="46" customHeight="1" x14ac:dyDescent="0.2">
      <c r="A36" s="6" t="s">
        <v>168</v>
      </c>
      <c r="B36" s="6" t="s">
        <v>169</v>
      </c>
      <c r="C36" s="6" t="s">
        <v>170</v>
      </c>
    </row>
    <row r="37" spans="1:3" ht="46" customHeight="1" x14ac:dyDescent="0.2">
      <c r="A37" s="17"/>
      <c r="B37" s="17"/>
      <c r="C37" s="17"/>
    </row>
    <row r="38" spans="1:3" ht="46" customHeight="1" x14ac:dyDescent="0.2">
      <c r="A38" s="17"/>
      <c r="B38" s="17"/>
      <c r="C38" s="17"/>
    </row>
    <row r="39" spans="1:3" ht="46" customHeight="1" x14ac:dyDescent="0.2">
      <c r="A39" s="17"/>
      <c r="B39" s="17"/>
      <c r="C39" s="17"/>
    </row>
    <row r="40" spans="1:3" ht="46" customHeight="1" x14ac:dyDescent="0.2">
      <c r="A40" s="17"/>
      <c r="B40" s="17"/>
      <c r="C40" s="17"/>
    </row>
    <row r="41" spans="1:3" ht="46" customHeight="1" x14ac:dyDescent="0.2">
      <c r="A41" s="17"/>
      <c r="B41" s="17"/>
      <c r="C41" s="17"/>
    </row>
    <row r="42" spans="1:3" ht="46" customHeight="1" x14ac:dyDescent="0.2">
      <c r="A42" s="17"/>
      <c r="B42" s="17"/>
      <c r="C42" s="17"/>
    </row>
    <row r="43" spans="1:3" ht="46" customHeight="1" x14ac:dyDescent="0.2">
      <c r="A43" s="17"/>
      <c r="B43" s="17"/>
      <c r="C43" s="17"/>
    </row>
    <row r="44" spans="1:3" ht="46" customHeight="1" x14ac:dyDescent="0.2">
      <c r="A44" s="17"/>
      <c r="B44" s="17"/>
      <c r="C44" s="17"/>
    </row>
    <row r="45" spans="1:3" ht="46" customHeight="1" x14ac:dyDescent="0.2">
      <c r="A45" s="17"/>
      <c r="B45" s="17"/>
      <c r="C45" s="17"/>
    </row>
    <row r="46" spans="1:3" ht="46" customHeight="1" x14ac:dyDescent="0.2">
      <c r="A46" s="17"/>
      <c r="B46" s="17"/>
      <c r="C46" s="17"/>
    </row>
    <row r="47" spans="1:3" ht="46" customHeight="1" x14ac:dyDescent="0.2">
      <c r="A47" s="17"/>
      <c r="B47" s="17"/>
      <c r="C47" s="17"/>
    </row>
    <row r="48" spans="1:3" ht="46" customHeight="1" x14ac:dyDescent="0.2"/>
    <row r="49" spans="1:3" ht="46" customHeight="1" x14ac:dyDescent="0.2">
      <c r="A49" s="16" t="s">
        <v>171</v>
      </c>
    </row>
    <row r="50" spans="1:3" ht="46" customHeight="1" x14ac:dyDescent="0.2">
      <c r="A50" s="6" t="s">
        <v>172</v>
      </c>
      <c r="B50" s="6" t="s">
        <v>173</v>
      </c>
      <c r="C50" s="6" t="s">
        <v>174</v>
      </c>
    </row>
    <row r="51" spans="1:3" ht="46" customHeight="1" x14ac:dyDescent="0.2">
      <c r="A51" s="17" t="s">
        <v>175</v>
      </c>
      <c r="B51" s="17"/>
      <c r="C51" s="17"/>
    </row>
    <row r="52" spans="1:3" ht="46" customHeight="1" x14ac:dyDescent="0.2">
      <c r="A52" s="17" t="s">
        <v>176</v>
      </c>
      <c r="B52" s="17"/>
      <c r="C52" s="17"/>
    </row>
    <row r="53" spans="1:3" ht="46" customHeight="1" x14ac:dyDescent="0.2">
      <c r="A53" s="17" t="s">
        <v>177</v>
      </c>
      <c r="B53" s="17"/>
      <c r="C53" s="17"/>
    </row>
  </sheetData>
  <dataValidations count="1">
    <dataValidation type="list" allowBlank="1" sqref="C37:C47" xr:uid="{00000000-0002-0000-0100-000000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1" customWidth="1"/>
    <col min="2" max="3" width="30" customWidth="1"/>
    <col min="4" max="4" width="14" customWidth="1"/>
    <col min="5" max="6" width="12" customWidth="1"/>
    <col min="7" max="7" width="14" customWidth="1"/>
    <col min="8" max="8" width="12" customWidth="1"/>
    <col min="9" max="9" width="14" customWidth="1"/>
    <col min="10" max="11" width="12" customWidth="1"/>
    <col min="12" max="12" width="14" customWidth="1"/>
    <col min="13" max="13" width="12" customWidth="1"/>
    <col min="14" max="14" width="14" customWidth="1"/>
  </cols>
  <sheetData>
    <row r="1" spans="1:14" ht="32" x14ac:dyDescent="0.2">
      <c r="A1" s="6" t="s">
        <v>132</v>
      </c>
      <c r="B1" s="6" t="s">
        <v>178</v>
      </c>
      <c r="C1" s="6" t="s">
        <v>179</v>
      </c>
      <c r="D1" s="6" t="s">
        <v>180</v>
      </c>
      <c r="E1" s="6" t="s">
        <v>181</v>
      </c>
      <c r="F1" s="6" t="s">
        <v>182</v>
      </c>
      <c r="G1" s="6" t="s">
        <v>133</v>
      </c>
      <c r="H1" s="6" t="s">
        <v>183</v>
      </c>
      <c r="I1" s="6" t="s">
        <v>134</v>
      </c>
      <c r="J1" s="6" t="s">
        <v>184</v>
      </c>
      <c r="K1" s="6" t="s">
        <v>185</v>
      </c>
      <c r="L1" s="6" t="s">
        <v>186</v>
      </c>
      <c r="M1" s="6" t="s">
        <v>187</v>
      </c>
      <c r="N1" s="6" t="s">
        <v>188</v>
      </c>
    </row>
    <row r="2" spans="1:14" x14ac:dyDescent="0.2">
      <c r="A2" t="s">
        <v>189</v>
      </c>
      <c r="B2" t="s">
        <v>190</v>
      </c>
      <c r="C2" t="s">
        <v>29</v>
      </c>
      <c r="D2" t="s">
        <v>191</v>
      </c>
      <c r="E2" s="7">
        <v>4751.6000000000004</v>
      </c>
      <c r="F2" s="7">
        <v>5210.6000000000004</v>
      </c>
      <c r="G2" s="7">
        <v>-459</v>
      </c>
      <c r="H2" s="7">
        <v>5127.3999999999996</v>
      </c>
      <c r="I2" s="7">
        <v>-375.8</v>
      </c>
      <c r="J2" s="7">
        <v>45124.5</v>
      </c>
      <c r="K2" s="7">
        <v>47693.2</v>
      </c>
      <c r="L2" s="7">
        <v>-2568.6999999999998</v>
      </c>
      <c r="M2" s="7">
        <v>46389.9</v>
      </c>
      <c r="N2" s="7">
        <v>-1265.4000000000001</v>
      </c>
    </row>
    <row r="3" spans="1:14" x14ac:dyDescent="0.2">
      <c r="A3" t="s">
        <v>192</v>
      </c>
      <c r="B3" t="s">
        <v>193</v>
      </c>
      <c r="C3" t="s">
        <v>31</v>
      </c>
      <c r="D3" t="s">
        <v>191</v>
      </c>
      <c r="E3" s="7">
        <v>208.4</v>
      </c>
      <c r="F3" s="7">
        <v>217.1</v>
      </c>
      <c r="G3" s="7">
        <v>-8.6999999999999993</v>
      </c>
      <c r="H3" s="7">
        <v>213.6</v>
      </c>
      <c r="I3" s="7">
        <v>-5.2</v>
      </c>
      <c r="J3" s="7">
        <v>1890.5</v>
      </c>
      <c r="K3" s="7">
        <v>1987.2</v>
      </c>
      <c r="L3" s="7">
        <v>-96.7</v>
      </c>
      <c r="M3" s="7">
        <v>1932.8</v>
      </c>
      <c r="N3" s="7">
        <v>-42.3</v>
      </c>
    </row>
    <row r="4" spans="1:14" x14ac:dyDescent="0.2">
      <c r="A4" t="s">
        <v>194</v>
      </c>
      <c r="B4" t="s">
        <v>195</v>
      </c>
      <c r="C4" t="s">
        <v>37</v>
      </c>
      <c r="D4" t="s">
        <v>191</v>
      </c>
      <c r="E4" s="7">
        <v>-35.5</v>
      </c>
      <c r="F4" s="7">
        <v>-37.799999999999997</v>
      </c>
      <c r="G4" s="7">
        <v>2.2999999999999998</v>
      </c>
      <c r="H4" s="7">
        <v>-33.200000000000003</v>
      </c>
      <c r="I4" s="7">
        <v>-2.2999999999999998</v>
      </c>
      <c r="J4" s="7">
        <v>-311.10000000000002</v>
      </c>
      <c r="K4" s="7">
        <v>-334.4</v>
      </c>
      <c r="L4" s="7">
        <v>23.3</v>
      </c>
      <c r="M4" s="7">
        <v>-311.3</v>
      </c>
      <c r="N4" s="7">
        <v>0.2</v>
      </c>
    </row>
    <row r="5" spans="1:14" x14ac:dyDescent="0.2">
      <c r="A5" t="s">
        <v>196</v>
      </c>
      <c r="B5" t="s">
        <v>197</v>
      </c>
      <c r="C5" t="s">
        <v>37</v>
      </c>
      <c r="D5" t="s">
        <v>191</v>
      </c>
      <c r="E5" s="7">
        <v>-26.6</v>
      </c>
      <c r="F5" s="7">
        <v>-27.8</v>
      </c>
      <c r="G5" s="7">
        <v>1.2</v>
      </c>
      <c r="H5" s="7">
        <v>-27.4</v>
      </c>
      <c r="I5" s="7">
        <v>0.8</v>
      </c>
      <c r="J5" s="7">
        <v>-227.6</v>
      </c>
      <c r="K5" s="7">
        <v>-243.2</v>
      </c>
      <c r="L5" s="7">
        <v>15.6</v>
      </c>
      <c r="M5" s="7">
        <v>-237.2</v>
      </c>
      <c r="N5" s="7">
        <v>9.6</v>
      </c>
    </row>
    <row r="6" spans="1:14" x14ac:dyDescent="0.2">
      <c r="A6" t="s">
        <v>198</v>
      </c>
      <c r="B6" t="s">
        <v>199</v>
      </c>
      <c r="C6" t="s">
        <v>37</v>
      </c>
      <c r="D6" t="s">
        <v>191</v>
      </c>
      <c r="E6" s="7">
        <v>-232.5</v>
      </c>
      <c r="F6" s="7">
        <v>-53.9</v>
      </c>
      <c r="G6" s="7">
        <v>-178.6</v>
      </c>
      <c r="H6" s="7">
        <v>-57.6</v>
      </c>
      <c r="I6" s="7">
        <v>-174.9</v>
      </c>
      <c r="J6" s="7">
        <v>-684.3</v>
      </c>
      <c r="K6" s="7">
        <v>-516.70000000000005</v>
      </c>
      <c r="L6" s="7">
        <v>-167.6</v>
      </c>
      <c r="M6" s="7">
        <v>-513.9</v>
      </c>
      <c r="N6" s="7">
        <v>-170.4</v>
      </c>
    </row>
    <row r="7" spans="1:14" x14ac:dyDescent="0.2">
      <c r="A7" t="s">
        <v>200</v>
      </c>
      <c r="B7" t="s">
        <v>201</v>
      </c>
      <c r="C7" t="s">
        <v>37</v>
      </c>
      <c r="D7" t="s">
        <v>191</v>
      </c>
      <c r="E7" s="7">
        <v>-6.6</v>
      </c>
      <c r="F7" s="7">
        <v>-6.8</v>
      </c>
      <c r="G7" s="7">
        <v>0.2</v>
      </c>
      <c r="H7" s="7">
        <v>-6.5</v>
      </c>
      <c r="I7" s="7">
        <v>-0.1</v>
      </c>
      <c r="J7" s="7">
        <v>-60.9</v>
      </c>
      <c r="K7" s="7">
        <v>-64.2</v>
      </c>
      <c r="L7" s="7">
        <v>3.3</v>
      </c>
      <c r="M7" s="7">
        <v>-63.3</v>
      </c>
      <c r="N7" s="7">
        <v>2.4</v>
      </c>
    </row>
    <row r="8" spans="1:14" x14ac:dyDescent="0.2">
      <c r="A8" t="s">
        <v>202</v>
      </c>
      <c r="B8" t="s">
        <v>203</v>
      </c>
      <c r="C8" t="s">
        <v>37</v>
      </c>
      <c r="D8" t="s">
        <v>191</v>
      </c>
      <c r="E8" s="7">
        <v>6.5</v>
      </c>
      <c r="F8" s="7">
        <v>6.9</v>
      </c>
      <c r="G8" s="7">
        <v>-0.4</v>
      </c>
      <c r="H8" s="7">
        <v>7.1</v>
      </c>
      <c r="I8" s="7">
        <v>-0.6</v>
      </c>
      <c r="J8" s="7">
        <v>64</v>
      </c>
      <c r="K8" s="7">
        <v>65.599999999999994</v>
      </c>
      <c r="L8" s="7">
        <v>-1.6</v>
      </c>
      <c r="M8" s="7">
        <v>62.5</v>
      </c>
      <c r="N8" s="7">
        <v>1.5</v>
      </c>
    </row>
    <row r="9" spans="1:14" x14ac:dyDescent="0.2">
      <c r="A9" t="s">
        <v>204</v>
      </c>
      <c r="B9" t="s">
        <v>190</v>
      </c>
      <c r="C9" t="s">
        <v>41</v>
      </c>
      <c r="D9" t="s">
        <v>205</v>
      </c>
      <c r="E9" s="7">
        <v>3272.8</v>
      </c>
      <c r="F9" s="7">
        <v>3508</v>
      </c>
      <c r="G9" s="7">
        <v>-235.2</v>
      </c>
      <c r="H9" s="7">
        <v>3438.5</v>
      </c>
      <c r="I9" s="7">
        <v>-165.7</v>
      </c>
      <c r="J9" s="7">
        <v>31051.3</v>
      </c>
      <c r="K9" s="7">
        <v>32115.7</v>
      </c>
      <c r="L9" s="7">
        <v>-1064.4000000000001</v>
      </c>
      <c r="M9" s="7">
        <v>30956.7</v>
      </c>
      <c r="N9" s="7">
        <v>94.6</v>
      </c>
    </row>
    <row r="10" spans="1:14" x14ac:dyDescent="0.2">
      <c r="A10" t="s">
        <v>206</v>
      </c>
      <c r="B10" t="s">
        <v>207</v>
      </c>
      <c r="C10" t="s">
        <v>41</v>
      </c>
      <c r="D10" t="s">
        <v>205</v>
      </c>
      <c r="E10" s="7">
        <v>12.9</v>
      </c>
      <c r="F10" s="7">
        <v>12.1</v>
      </c>
      <c r="G10" s="7">
        <v>0.8</v>
      </c>
      <c r="H10" s="7">
        <v>12.3</v>
      </c>
      <c r="I10" s="7">
        <v>0.6</v>
      </c>
      <c r="J10" s="7">
        <v>101.5</v>
      </c>
      <c r="K10" s="7">
        <v>104.2</v>
      </c>
      <c r="L10" s="7">
        <v>-2.7</v>
      </c>
      <c r="M10" s="7">
        <v>108</v>
      </c>
      <c r="N10" s="7">
        <v>-6.5</v>
      </c>
    </row>
    <row r="11" spans="1:14" x14ac:dyDescent="0.2">
      <c r="A11" t="s">
        <v>208</v>
      </c>
      <c r="B11" t="s">
        <v>193</v>
      </c>
      <c r="C11" t="s">
        <v>43</v>
      </c>
      <c r="D11" t="s">
        <v>205</v>
      </c>
      <c r="E11" s="7">
        <v>177.1</v>
      </c>
      <c r="F11" s="7">
        <v>184.5</v>
      </c>
      <c r="G11" s="7">
        <v>-7.4</v>
      </c>
      <c r="H11" s="7">
        <v>181.6</v>
      </c>
      <c r="I11" s="7">
        <v>-4.5</v>
      </c>
      <c r="J11" s="7">
        <v>1606.9</v>
      </c>
      <c r="K11" s="7">
        <v>1689.1</v>
      </c>
      <c r="L11" s="7">
        <v>-82.2</v>
      </c>
      <c r="M11" s="7">
        <v>1642.9</v>
      </c>
      <c r="N11" s="7">
        <v>-36</v>
      </c>
    </row>
    <row r="12" spans="1:14" x14ac:dyDescent="0.2">
      <c r="A12" t="s">
        <v>209</v>
      </c>
      <c r="B12" t="s">
        <v>210</v>
      </c>
      <c r="C12" t="s">
        <v>46</v>
      </c>
      <c r="D12" t="s">
        <v>205</v>
      </c>
      <c r="E12" s="7">
        <v>-29.1</v>
      </c>
      <c r="F12" s="7">
        <v>-29.7</v>
      </c>
      <c r="G12" s="7">
        <v>0.6</v>
      </c>
      <c r="H12" s="7">
        <v>-29.1</v>
      </c>
      <c r="I12" s="7">
        <v>0</v>
      </c>
      <c r="J12" s="7">
        <v>-264.2</v>
      </c>
      <c r="K12" s="7">
        <v>-271.89999999999998</v>
      </c>
      <c r="L12" s="7">
        <v>7.7</v>
      </c>
      <c r="M12" s="7">
        <v>-262.5</v>
      </c>
      <c r="N12" s="7">
        <v>-1.7</v>
      </c>
    </row>
    <row r="13" spans="1:14" x14ac:dyDescent="0.2">
      <c r="A13" t="s">
        <v>211</v>
      </c>
      <c r="B13" t="s">
        <v>212</v>
      </c>
      <c r="C13" t="s">
        <v>46</v>
      </c>
      <c r="D13" t="s">
        <v>205</v>
      </c>
      <c r="E13" s="7">
        <v>-91</v>
      </c>
      <c r="F13" s="7">
        <v>-92.9</v>
      </c>
      <c r="G13" s="7">
        <v>1.9</v>
      </c>
      <c r="H13" s="7">
        <v>-91.1</v>
      </c>
      <c r="I13" s="7">
        <v>0.1</v>
      </c>
      <c r="J13" s="7">
        <v>-825.7</v>
      </c>
      <c r="K13" s="7">
        <v>-850.4</v>
      </c>
      <c r="L13" s="7">
        <v>24.7</v>
      </c>
      <c r="M13" s="7">
        <v>-820.1</v>
      </c>
      <c r="N13" s="7">
        <v>-5.6</v>
      </c>
    </row>
    <row r="14" spans="1:14" x14ac:dyDescent="0.2">
      <c r="A14" t="s">
        <v>213</v>
      </c>
      <c r="B14" t="s">
        <v>214</v>
      </c>
      <c r="C14" t="s">
        <v>50</v>
      </c>
      <c r="D14" t="s">
        <v>205</v>
      </c>
      <c r="E14" s="7">
        <v>109.2</v>
      </c>
      <c r="F14" s="7">
        <v>111.5</v>
      </c>
      <c r="G14" s="7">
        <v>-2.2999999999999998</v>
      </c>
      <c r="H14" s="7">
        <v>109.3</v>
      </c>
      <c r="I14" s="7">
        <v>-0.1</v>
      </c>
      <c r="J14" s="7">
        <v>990.8</v>
      </c>
      <c r="K14" s="7">
        <v>1020.4</v>
      </c>
      <c r="L14" s="7">
        <v>-29.6</v>
      </c>
      <c r="M14" s="7">
        <v>984.1</v>
      </c>
      <c r="N14" s="7">
        <v>6.7</v>
      </c>
    </row>
    <row r="15" spans="1:14" x14ac:dyDescent="0.2">
      <c r="A15" t="s">
        <v>215</v>
      </c>
      <c r="B15" t="s">
        <v>216</v>
      </c>
      <c r="C15" t="s">
        <v>50</v>
      </c>
      <c r="D15" t="s">
        <v>205</v>
      </c>
      <c r="E15" s="7">
        <v>14.6</v>
      </c>
      <c r="F15" s="7">
        <v>14.9</v>
      </c>
      <c r="G15" s="7">
        <v>-0.3</v>
      </c>
      <c r="H15" s="7">
        <v>14.6</v>
      </c>
      <c r="I15" s="7">
        <v>0</v>
      </c>
      <c r="J15" s="7">
        <v>132.19999999999999</v>
      </c>
      <c r="K15" s="7">
        <v>136.19999999999999</v>
      </c>
      <c r="L15" s="7">
        <v>-4</v>
      </c>
      <c r="M15" s="7">
        <v>131.19999999999999</v>
      </c>
      <c r="N15" s="7">
        <v>1</v>
      </c>
    </row>
    <row r="16" spans="1:14" x14ac:dyDescent="0.2">
      <c r="A16" t="s">
        <v>217</v>
      </c>
      <c r="B16" t="s">
        <v>218</v>
      </c>
      <c r="C16" t="s">
        <v>50</v>
      </c>
      <c r="D16" t="s">
        <v>205</v>
      </c>
      <c r="E16" s="7">
        <v>7.3</v>
      </c>
      <c r="F16" s="7">
        <v>7.4</v>
      </c>
      <c r="G16" s="7">
        <v>-0.1</v>
      </c>
      <c r="H16" s="7">
        <v>7.3</v>
      </c>
      <c r="I16" s="7">
        <v>0</v>
      </c>
      <c r="J16" s="7">
        <v>66</v>
      </c>
      <c r="K16" s="7">
        <v>68</v>
      </c>
      <c r="L16" s="7">
        <v>-2</v>
      </c>
      <c r="M16" s="7">
        <v>65.599999999999994</v>
      </c>
      <c r="N16" s="7">
        <v>0.4</v>
      </c>
    </row>
    <row r="17" spans="1:14" x14ac:dyDescent="0.2">
      <c r="A17" t="s">
        <v>219</v>
      </c>
      <c r="B17" t="s">
        <v>220</v>
      </c>
      <c r="C17" t="s">
        <v>57</v>
      </c>
      <c r="D17" t="s">
        <v>221</v>
      </c>
      <c r="E17" s="7">
        <v>159.69999999999999</v>
      </c>
      <c r="F17" s="7">
        <v>158.80000000000001</v>
      </c>
      <c r="G17" s="7">
        <v>0.9</v>
      </c>
      <c r="H17" s="7">
        <v>158.30000000000001</v>
      </c>
      <c r="I17" s="7">
        <v>1.4</v>
      </c>
      <c r="J17" s="7">
        <v>1434.2</v>
      </c>
      <c r="K17" s="7">
        <v>1453.7</v>
      </c>
      <c r="L17" s="7">
        <v>-19.5</v>
      </c>
      <c r="M17" s="7">
        <v>1418.8</v>
      </c>
      <c r="N17" s="7">
        <v>15.4</v>
      </c>
    </row>
    <row r="18" spans="1:14" x14ac:dyDescent="0.2">
      <c r="A18" t="s">
        <v>222</v>
      </c>
      <c r="B18" t="s">
        <v>223</v>
      </c>
      <c r="C18" t="s">
        <v>57</v>
      </c>
      <c r="D18" t="s">
        <v>221</v>
      </c>
      <c r="E18" s="7">
        <v>48.7</v>
      </c>
      <c r="F18" s="7">
        <v>50.5</v>
      </c>
      <c r="G18" s="7">
        <v>-1.8</v>
      </c>
      <c r="H18" s="7">
        <v>48.6</v>
      </c>
      <c r="I18" s="7">
        <v>0.1</v>
      </c>
      <c r="J18" s="7">
        <v>437</v>
      </c>
      <c r="K18" s="7">
        <v>462.6</v>
      </c>
      <c r="L18" s="7">
        <v>-25.6</v>
      </c>
      <c r="M18" s="7">
        <v>458</v>
      </c>
      <c r="N18" s="7">
        <v>-21</v>
      </c>
    </row>
    <row r="19" spans="1:14" x14ac:dyDescent="0.2">
      <c r="A19" t="s">
        <v>224</v>
      </c>
      <c r="B19" t="s">
        <v>225</v>
      </c>
      <c r="C19" t="s">
        <v>57</v>
      </c>
      <c r="D19" t="s">
        <v>221</v>
      </c>
      <c r="E19" s="7">
        <v>17.8</v>
      </c>
      <c r="F19" s="7">
        <v>18</v>
      </c>
      <c r="G19" s="7">
        <v>-0.2</v>
      </c>
      <c r="H19" s="7">
        <v>17.8</v>
      </c>
      <c r="I19" s="7">
        <v>0</v>
      </c>
      <c r="J19" s="7">
        <v>161.4</v>
      </c>
      <c r="K19" s="7">
        <v>165.1</v>
      </c>
      <c r="L19" s="7">
        <v>-3.7</v>
      </c>
      <c r="M19" s="7">
        <v>160.69999999999999</v>
      </c>
      <c r="N19" s="7">
        <v>0.7</v>
      </c>
    </row>
    <row r="20" spans="1:14" x14ac:dyDescent="0.2">
      <c r="A20" t="s">
        <v>226</v>
      </c>
      <c r="B20" t="s">
        <v>227</v>
      </c>
      <c r="C20" t="s">
        <v>60</v>
      </c>
      <c r="D20" t="s">
        <v>221</v>
      </c>
      <c r="E20" s="7">
        <v>18.2</v>
      </c>
      <c r="F20" s="7">
        <v>18</v>
      </c>
      <c r="G20" s="7">
        <v>0.2</v>
      </c>
      <c r="H20" s="7">
        <v>17.8</v>
      </c>
      <c r="I20" s="7">
        <v>0.4</v>
      </c>
      <c r="J20" s="7">
        <v>164.2</v>
      </c>
      <c r="K20" s="7">
        <v>165.1</v>
      </c>
      <c r="L20" s="7">
        <v>-0.9</v>
      </c>
      <c r="M20" s="7">
        <v>162.69999999999999</v>
      </c>
      <c r="N20" s="7">
        <v>1.5</v>
      </c>
    </row>
    <row r="21" spans="1:14" x14ac:dyDescent="0.2">
      <c r="A21" t="s">
        <v>228</v>
      </c>
      <c r="B21" t="s">
        <v>229</v>
      </c>
      <c r="C21" t="s">
        <v>60</v>
      </c>
      <c r="D21" t="s">
        <v>221</v>
      </c>
      <c r="E21" s="7">
        <v>28.8</v>
      </c>
      <c r="F21" s="7">
        <v>28.9</v>
      </c>
      <c r="G21" s="7">
        <v>-0.1</v>
      </c>
      <c r="H21" s="7">
        <v>28.8</v>
      </c>
      <c r="I21" s="7">
        <v>0</v>
      </c>
      <c r="J21" s="7">
        <v>258.10000000000002</v>
      </c>
      <c r="K21" s="7">
        <v>264.5</v>
      </c>
      <c r="L21" s="7">
        <v>-6.4</v>
      </c>
      <c r="M21" s="7">
        <v>255.3</v>
      </c>
      <c r="N21" s="7">
        <v>2.8</v>
      </c>
    </row>
    <row r="22" spans="1:14" x14ac:dyDescent="0.2">
      <c r="A22" t="s">
        <v>230</v>
      </c>
      <c r="B22" t="s">
        <v>231</v>
      </c>
      <c r="C22" t="s">
        <v>64</v>
      </c>
      <c r="D22" t="s">
        <v>221</v>
      </c>
      <c r="E22" s="7">
        <v>14.1</v>
      </c>
      <c r="F22" s="7">
        <v>14.4</v>
      </c>
      <c r="G22" s="7">
        <v>-0.3</v>
      </c>
      <c r="H22" s="7">
        <v>14.4</v>
      </c>
      <c r="I22" s="7">
        <v>-0.3</v>
      </c>
      <c r="J22" s="7">
        <v>130.1</v>
      </c>
      <c r="K22" s="7">
        <v>132</v>
      </c>
      <c r="L22" s="7">
        <v>-1.9</v>
      </c>
      <c r="M22" s="7">
        <v>129.19999999999999</v>
      </c>
      <c r="N22" s="7">
        <v>0.9</v>
      </c>
    </row>
    <row r="23" spans="1:14" x14ac:dyDescent="0.2">
      <c r="A23" t="s">
        <v>232</v>
      </c>
      <c r="B23" t="s">
        <v>233</v>
      </c>
      <c r="C23" t="s">
        <v>64</v>
      </c>
      <c r="D23" t="s">
        <v>221</v>
      </c>
      <c r="E23" s="7">
        <v>10.7</v>
      </c>
      <c r="F23" s="7">
        <v>10.8</v>
      </c>
      <c r="G23" s="7">
        <v>-0.1</v>
      </c>
      <c r="H23" s="7">
        <v>11</v>
      </c>
      <c r="I23" s="7">
        <v>-0.3</v>
      </c>
      <c r="J23" s="7">
        <v>97</v>
      </c>
      <c r="K23" s="7">
        <v>99.2</v>
      </c>
      <c r="L23" s="7">
        <v>-2.2000000000000002</v>
      </c>
      <c r="M23" s="7">
        <v>97.9</v>
      </c>
      <c r="N23" s="7">
        <v>-0.9</v>
      </c>
    </row>
    <row r="24" spans="1:14" x14ac:dyDescent="0.2">
      <c r="A24" t="s">
        <v>234</v>
      </c>
      <c r="B24" t="s">
        <v>235</v>
      </c>
      <c r="C24" t="s">
        <v>64</v>
      </c>
      <c r="D24" t="s">
        <v>221</v>
      </c>
      <c r="E24" s="7">
        <v>10.7</v>
      </c>
      <c r="F24" s="7">
        <v>10.8</v>
      </c>
      <c r="G24" s="7">
        <v>-0.1</v>
      </c>
      <c r="H24" s="7">
        <v>10.5</v>
      </c>
      <c r="I24" s="7">
        <v>0.2</v>
      </c>
      <c r="J24" s="7">
        <v>96.7</v>
      </c>
      <c r="K24" s="7">
        <v>99.2</v>
      </c>
      <c r="L24" s="7">
        <v>-2.5</v>
      </c>
      <c r="M24" s="7">
        <v>97.9</v>
      </c>
      <c r="N24" s="7">
        <v>-1.2</v>
      </c>
    </row>
    <row r="25" spans="1:14" x14ac:dyDescent="0.2">
      <c r="A25" t="s">
        <v>236</v>
      </c>
      <c r="B25" t="s">
        <v>237</v>
      </c>
      <c r="C25" t="s">
        <v>66</v>
      </c>
      <c r="D25" t="s">
        <v>221</v>
      </c>
      <c r="E25" s="7">
        <v>28</v>
      </c>
      <c r="F25" s="7">
        <v>28.9</v>
      </c>
      <c r="G25" s="7">
        <v>-0.9</v>
      </c>
      <c r="H25" s="7">
        <v>28.8</v>
      </c>
      <c r="I25" s="7">
        <v>-0.8</v>
      </c>
      <c r="J25" s="7">
        <v>253.2</v>
      </c>
      <c r="K25" s="7">
        <v>264.5</v>
      </c>
      <c r="L25" s="7">
        <v>-11.3</v>
      </c>
      <c r="M25" s="7">
        <v>258.2</v>
      </c>
      <c r="N25" s="7">
        <v>-5</v>
      </c>
    </row>
    <row r="26" spans="1:14" x14ac:dyDescent="0.2">
      <c r="A26" t="s">
        <v>238</v>
      </c>
      <c r="B26" t="s">
        <v>239</v>
      </c>
      <c r="C26" t="s">
        <v>68</v>
      </c>
      <c r="D26" t="s">
        <v>221</v>
      </c>
      <c r="E26" s="7">
        <v>20.7</v>
      </c>
      <c r="F26" s="7">
        <v>21.7</v>
      </c>
      <c r="G26" s="7">
        <v>-1</v>
      </c>
      <c r="H26" s="7">
        <v>20.7</v>
      </c>
      <c r="I26" s="7">
        <v>0</v>
      </c>
      <c r="J26" s="7">
        <v>195.3</v>
      </c>
      <c r="K26" s="7">
        <v>198.4</v>
      </c>
      <c r="L26" s="7">
        <v>-3.1</v>
      </c>
      <c r="M26" s="7">
        <v>194.5</v>
      </c>
      <c r="N26" s="7">
        <v>0.8</v>
      </c>
    </row>
    <row r="27" spans="1:14" x14ac:dyDescent="0.2">
      <c r="A27" t="s">
        <v>240</v>
      </c>
      <c r="B27" t="s">
        <v>241</v>
      </c>
      <c r="C27" t="s">
        <v>73</v>
      </c>
      <c r="D27" t="s">
        <v>242</v>
      </c>
      <c r="E27" s="7">
        <v>148.6</v>
      </c>
      <c r="F27" s="7">
        <v>152.9</v>
      </c>
      <c r="G27" s="7">
        <v>-4.3</v>
      </c>
      <c r="H27" s="7">
        <v>146.9</v>
      </c>
      <c r="I27" s="7">
        <v>1.7</v>
      </c>
      <c r="J27" s="7">
        <v>1373.6</v>
      </c>
      <c r="K27" s="7">
        <v>1399.4</v>
      </c>
      <c r="L27" s="7">
        <v>-25.8</v>
      </c>
      <c r="M27" s="7">
        <v>1369.5</v>
      </c>
      <c r="N27" s="7">
        <v>4.0999999999999996</v>
      </c>
    </row>
    <row r="28" spans="1:14" x14ac:dyDescent="0.2">
      <c r="A28" t="s">
        <v>243</v>
      </c>
      <c r="B28" t="s">
        <v>244</v>
      </c>
      <c r="C28" t="s">
        <v>73</v>
      </c>
      <c r="D28" t="s">
        <v>242</v>
      </c>
      <c r="E28" s="7">
        <v>2.8</v>
      </c>
      <c r="F28" s="7">
        <v>12.7</v>
      </c>
      <c r="G28" s="7">
        <v>-9.9</v>
      </c>
      <c r="H28" s="7">
        <v>12.3</v>
      </c>
      <c r="I28" s="7">
        <v>-9.5</v>
      </c>
      <c r="J28" s="7">
        <v>100.4</v>
      </c>
      <c r="K28" s="7">
        <v>116.5</v>
      </c>
      <c r="L28" s="7">
        <v>-16.100000000000001</v>
      </c>
      <c r="M28" s="7">
        <v>113.7</v>
      </c>
      <c r="N28" s="7">
        <v>-13.3</v>
      </c>
    </row>
    <row r="29" spans="1:14" x14ac:dyDescent="0.2">
      <c r="A29" t="s">
        <v>245</v>
      </c>
      <c r="B29" t="s">
        <v>246</v>
      </c>
      <c r="C29" t="s">
        <v>73</v>
      </c>
      <c r="D29" t="s">
        <v>242</v>
      </c>
      <c r="E29" s="7">
        <v>23.8</v>
      </c>
      <c r="F29" s="7">
        <v>12.7</v>
      </c>
      <c r="G29" s="7">
        <v>11.1</v>
      </c>
      <c r="H29" s="7">
        <v>12.7</v>
      </c>
      <c r="I29" s="7">
        <v>11.1</v>
      </c>
      <c r="J29" s="7">
        <v>122.7</v>
      </c>
      <c r="K29" s="7">
        <v>116.5</v>
      </c>
      <c r="L29" s="7">
        <v>6.2</v>
      </c>
      <c r="M29" s="7">
        <v>115.1</v>
      </c>
      <c r="N29" s="7">
        <v>7.6</v>
      </c>
    </row>
    <row r="30" spans="1:14" x14ac:dyDescent="0.2">
      <c r="A30" t="s">
        <v>247</v>
      </c>
      <c r="B30" t="s">
        <v>227</v>
      </c>
      <c r="C30" t="s">
        <v>76</v>
      </c>
      <c r="D30" t="s">
        <v>242</v>
      </c>
      <c r="E30" s="7">
        <v>16.899999999999999</v>
      </c>
      <c r="F30" s="7">
        <v>17</v>
      </c>
      <c r="G30" s="7">
        <v>-0.1</v>
      </c>
      <c r="H30" s="7">
        <v>17.100000000000001</v>
      </c>
      <c r="I30" s="7">
        <v>-0.2</v>
      </c>
      <c r="J30" s="7">
        <v>154.4</v>
      </c>
      <c r="K30" s="7">
        <v>155.5</v>
      </c>
      <c r="L30" s="7">
        <v>-1.1000000000000001</v>
      </c>
      <c r="M30" s="7">
        <v>153.19999999999999</v>
      </c>
      <c r="N30" s="7">
        <v>1.2</v>
      </c>
    </row>
    <row r="31" spans="1:14" x14ac:dyDescent="0.2">
      <c r="A31" t="s">
        <v>248</v>
      </c>
      <c r="B31" t="s">
        <v>229</v>
      </c>
      <c r="C31" t="s">
        <v>76</v>
      </c>
      <c r="D31" t="s">
        <v>242</v>
      </c>
      <c r="E31" s="7">
        <v>29.1</v>
      </c>
      <c r="F31" s="7">
        <v>29.7</v>
      </c>
      <c r="G31" s="7">
        <v>-0.6</v>
      </c>
      <c r="H31" s="7">
        <v>29</v>
      </c>
      <c r="I31" s="7">
        <v>0.1</v>
      </c>
      <c r="J31" s="7">
        <v>265.5</v>
      </c>
      <c r="K31" s="7">
        <v>271.89999999999998</v>
      </c>
      <c r="L31" s="7">
        <v>-6.4</v>
      </c>
      <c r="M31" s="7">
        <v>268.3</v>
      </c>
      <c r="N31" s="7">
        <v>-2.8</v>
      </c>
    </row>
    <row r="32" spans="1:14" x14ac:dyDescent="0.2">
      <c r="A32" t="s">
        <v>249</v>
      </c>
      <c r="B32" t="s">
        <v>250</v>
      </c>
      <c r="C32" t="s">
        <v>79</v>
      </c>
      <c r="D32" t="s">
        <v>242</v>
      </c>
      <c r="E32" s="7">
        <v>81.099999999999994</v>
      </c>
      <c r="F32" s="7">
        <v>84.9</v>
      </c>
      <c r="G32" s="7">
        <v>-3.8</v>
      </c>
      <c r="H32" s="7">
        <v>83.8</v>
      </c>
      <c r="I32" s="7">
        <v>-2.7</v>
      </c>
      <c r="J32" s="7">
        <v>760.2</v>
      </c>
      <c r="K32" s="7">
        <v>777.4</v>
      </c>
      <c r="L32" s="7">
        <v>-17.2</v>
      </c>
      <c r="M32" s="7">
        <v>759.3</v>
      </c>
      <c r="N32" s="7">
        <v>0.9</v>
      </c>
    </row>
    <row r="33" spans="1:14" x14ac:dyDescent="0.2">
      <c r="A33" t="s">
        <v>251</v>
      </c>
      <c r="B33" t="s">
        <v>252</v>
      </c>
      <c r="C33" t="s">
        <v>79</v>
      </c>
      <c r="D33" t="s">
        <v>242</v>
      </c>
      <c r="E33" s="7">
        <v>15.8</v>
      </c>
      <c r="F33" s="7">
        <v>17</v>
      </c>
      <c r="G33" s="7">
        <v>-1.2</v>
      </c>
      <c r="H33" s="7">
        <v>16.899999999999999</v>
      </c>
      <c r="I33" s="7">
        <v>-1.1000000000000001</v>
      </c>
      <c r="J33" s="7">
        <v>147.6</v>
      </c>
      <c r="K33" s="7">
        <v>155.5</v>
      </c>
      <c r="L33" s="7">
        <v>-7.9</v>
      </c>
      <c r="M33" s="7">
        <v>153.6</v>
      </c>
      <c r="N33" s="7">
        <v>-6</v>
      </c>
    </row>
    <row r="34" spans="1:14" x14ac:dyDescent="0.2">
      <c r="A34" t="s">
        <v>253</v>
      </c>
      <c r="B34" t="s">
        <v>254</v>
      </c>
      <c r="C34" t="s">
        <v>82</v>
      </c>
      <c r="D34" t="s">
        <v>242</v>
      </c>
      <c r="E34" s="7">
        <v>-5.3</v>
      </c>
      <c r="F34" s="7">
        <v>17</v>
      </c>
      <c r="G34" s="7">
        <v>-22.3</v>
      </c>
      <c r="H34" s="7">
        <v>16.2</v>
      </c>
      <c r="I34" s="7">
        <v>-21.5</v>
      </c>
      <c r="J34" s="7">
        <v>125.3</v>
      </c>
      <c r="K34" s="7">
        <v>155.5</v>
      </c>
      <c r="L34" s="7">
        <v>-30.2</v>
      </c>
      <c r="M34" s="7">
        <v>152.1</v>
      </c>
      <c r="N34" s="7">
        <v>-26.8</v>
      </c>
    </row>
    <row r="35" spans="1:14" x14ac:dyDescent="0.2">
      <c r="A35" t="s">
        <v>255</v>
      </c>
      <c r="B35" t="s">
        <v>256</v>
      </c>
      <c r="C35" t="s">
        <v>82</v>
      </c>
      <c r="D35" t="s">
        <v>242</v>
      </c>
      <c r="E35" s="7">
        <v>12.3</v>
      </c>
      <c r="F35" s="7">
        <v>12.7</v>
      </c>
      <c r="G35" s="7">
        <v>-0.4</v>
      </c>
      <c r="H35" s="7">
        <v>12.3</v>
      </c>
      <c r="I35" s="7">
        <v>0</v>
      </c>
      <c r="J35" s="7">
        <v>115.1</v>
      </c>
      <c r="K35" s="7">
        <v>116.5</v>
      </c>
      <c r="L35" s="7">
        <v>-1.4</v>
      </c>
      <c r="M35" s="7">
        <v>114.3</v>
      </c>
      <c r="N35" s="7">
        <v>0.8</v>
      </c>
    </row>
    <row r="36" spans="1:14" x14ac:dyDescent="0.2">
      <c r="A36" t="s">
        <v>257</v>
      </c>
      <c r="B36" t="s">
        <v>258</v>
      </c>
      <c r="C36" t="s">
        <v>86</v>
      </c>
      <c r="D36" t="s">
        <v>242</v>
      </c>
      <c r="E36" s="7">
        <v>-52.2</v>
      </c>
      <c r="F36" s="7">
        <v>42.5</v>
      </c>
      <c r="G36" s="7">
        <v>-94.7</v>
      </c>
      <c r="H36" s="7">
        <v>41.4</v>
      </c>
      <c r="I36" s="7">
        <v>-93.6</v>
      </c>
      <c r="J36" s="7">
        <v>382</v>
      </c>
      <c r="K36" s="7">
        <v>388.7</v>
      </c>
      <c r="L36" s="7">
        <v>-6.7</v>
      </c>
      <c r="M36" s="7">
        <v>380.8</v>
      </c>
      <c r="N36" s="7">
        <v>1.2</v>
      </c>
    </row>
    <row r="37" spans="1:14" x14ac:dyDescent="0.2">
      <c r="A37" t="s">
        <v>259</v>
      </c>
      <c r="B37" t="s">
        <v>260</v>
      </c>
      <c r="C37" t="s">
        <v>86</v>
      </c>
      <c r="D37" t="s">
        <v>242</v>
      </c>
      <c r="E37" s="7">
        <v>8.1999999999999993</v>
      </c>
      <c r="F37" s="7">
        <v>8.5</v>
      </c>
      <c r="G37" s="7">
        <v>-0.3</v>
      </c>
      <c r="H37" s="7">
        <v>8.1</v>
      </c>
      <c r="I37" s="7">
        <v>0.1</v>
      </c>
      <c r="J37" s="7">
        <v>77</v>
      </c>
      <c r="K37" s="7">
        <v>77.8</v>
      </c>
      <c r="L37" s="7">
        <v>-0.8</v>
      </c>
      <c r="M37" s="7">
        <v>75.900000000000006</v>
      </c>
      <c r="N37" s="7">
        <v>1.1000000000000001</v>
      </c>
    </row>
    <row r="38" spans="1:14" x14ac:dyDescent="0.2">
      <c r="A38" t="s">
        <v>261</v>
      </c>
      <c r="B38" t="s">
        <v>262</v>
      </c>
      <c r="C38" t="s">
        <v>86</v>
      </c>
      <c r="D38" t="s">
        <v>242</v>
      </c>
      <c r="E38" s="7">
        <v>8.4</v>
      </c>
      <c r="F38" s="7">
        <v>8.5</v>
      </c>
      <c r="G38" s="7">
        <v>-0.1</v>
      </c>
      <c r="H38" s="7">
        <v>8.4</v>
      </c>
      <c r="I38" s="7">
        <v>0</v>
      </c>
      <c r="J38" s="7">
        <v>76.599999999999994</v>
      </c>
      <c r="K38" s="7">
        <v>77.8</v>
      </c>
      <c r="L38" s="7">
        <v>-1.2</v>
      </c>
      <c r="M38" s="7">
        <v>76.7</v>
      </c>
      <c r="N38" s="7">
        <v>-0.1</v>
      </c>
    </row>
    <row r="39" spans="1:14" x14ac:dyDescent="0.2">
      <c r="A39" t="s">
        <v>263</v>
      </c>
      <c r="B39" t="s">
        <v>264</v>
      </c>
      <c r="C39" t="s">
        <v>88</v>
      </c>
      <c r="D39" t="s">
        <v>242</v>
      </c>
      <c r="E39" s="7">
        <v>8.5</v>
      </c>
      <c r="F39" s="7">
        <v>8.5</v>
      </c>
      <c r="G39" s="7">
        <v>0</v>
      </c>
      <c r="H39" s="7">
        <v>8.4</v>
      </c>
      <c r="I39" s="7">
        <v>0.1</v>
      </c>
      <c r="J39" s="7">
        <v>76.900000000000006</v>
      </c>
      <c r="K39" s="7">
        <v>77.8</v>
      </c>
      <c r="L39" s="7">
        <v>-0.9</v>
      </c>
      <c r="M39" s="7">
        <v>76.599999999999994</v>
      </c>
      <c r="N39" s="7">
        <v>0.3</v>
      </c>
    </row>
    <row r="40" spans="1:14" x14ac:dyDescent="0.2">
      <c r="A40" t="s">
        <v>265</v>
      </c>
      <c r="B40" t="s">
        <v>266</v>
      </c>
      <c r="C40" t="s">
        <v>92</v>
      </c>
      <c r="D40" t="s">
        <v>267</v>
      </c>
      <c r="E40" s="7">
        <v>102.1</v>
      </c>
      <c r="F40" s="7">
        <v>131.6</v>
      </c>
      <c r="G40" s="7">
        <v>-29.5</v>
      </c>
      <c r="H40" s="7">
        <v>130.1</v>
      </c>
      <c r="I40" s="7">
        <v>-28</v>
      </c>
      <c r="J40" s="7">
        <v>1167.3</v>
      </c>
      <c r="K40" s="7">
        <v>1204.8</v>
      </c>
      <c r="L40" s="7">
        <v>-37.5</v>
      </c>
      <c r="M40" s="7">
        <v>1176.0999999999999</v>
      </c>
      <c r="N40" s="7">
        <v>-8.8000000000000007</v>
      </c>
    </row>
    <row r="41" spans="1:14" x14ac:dyDescent="0.2">
      <c r="A41" t="s">
        <v>268</v>
      </c>
      <c r="B41" t="s">
        <v>225</v>
      </c>
      <c r="C41" t="s">
        <v>92</v>
      </c>
      <c r="D41" t="s">
        <v>267</v>
      </c>
      <c r="E41" s="7">
        <v>16.3</v>
      </c>
      <c r="F41" s="7">
        <v>16.5</v>
      </c>
      <c r="G41" s="7">
        <v>-0.2</v>
      </c>
      <c r="H41" s="7">
        <v>16.5</v>
      </c>
      <c r="I41" s="7">
        <v>-0.2</v>
      </c>
      <c r="J41" s="7">
        <v>149</v>
      </c>
      <c r="K41" s="7">
        <v>150.69999999999999</v>
      </c>
      <c r="L41" s="7">
        <v>-1.7</v>
      </c>
      <c r="M41" s="7">
        <v>147.69999999999999</v>
      </c>
      <c r="N41" s="7">
        <v>1.3</v>
      </c>
    </row>
    <row r="42" spans="1:14" x14ac:dyDescent="0.2">
      <c r="A42" t="s">
        <v>269</v>
      </c>
      <c r="B42" t="s">
        <v>227</v>
      </c>
      <c r="C42" t="s">
        <v>95</v>
      </c>
      <c r="D42" t="s">
        <v>267</v>
      </c>
      <c r="E42" s="7">
        <v>16.5</v>
      </c>
      <c r="F42" s="7">
        <v>16.5</v>
      </c>
      <c r="G42" s="7">
        <v>0</v>
      </c>
      <c r="H42" s="7">
        <v>16.600000000000001</v>
      </c>
      <c r="I42" s="7">
        <v>-0.1</v>
      </c>
      <c r="J42" s="7">
        <v>148.30000000000001</v>
      </c>
      <c r="K42" s="7">
        <v>150.69999999999999</v>
      </c>
      <c r="L42" s="7">
        <v>-2.4</v>
      </c>
      <c r="M42" s="7">
        <v>147.4</v>
      </c>
      <c r="N42" s="7">
        <v>0.9</v>
      </c>
    </row>
    <row r="43" spans="1:14" x14ac:dyDescent="0.2">
      <c r="A43" t="s">
        <v>270</v>
      </c>
      <c r="B43" t="s">
        <v>229</v>
      </c>
      <c r="C43" t="s">
        <v>95</v>
      </c>
      <c r="D43" t="s">
        <v>267</v>
      </c>
      <c r="E43" s="7">
        <v>26.6</v>
      </c>
      <c r="F43" s="7">
        <v>26.3</v>
      </c>
      <c r="G43" s="7">
        <v>0.3</v>
      </c>
      <c r="H43" s="7">
        <v>25.8</v>
      </c>
      <c r="I43" s="7">
        <v>0.8</v>
      </c>
      <c r="J43" s="7">
        <v>237</v>
      </c>
      <c r="K43" s="7">
        <v>241</v>
      </c>
      <c r="L43" s="7">
        <v>-4</v>
      </c>
      <c r="M43" s="7">
        <v>238</v>
      </c>
      <c r="N43" s="7">
        <v>-1</v>
      </c>
    </row>
    <row r="44" spans="1:14" x14ac:dyDescent="0.2">
      <c r="A44" t="s">
        <v>271</v>
      </c>
      <c r="B44" t="s">
        <v>272</v>
      </c>
      <c r="C44" t="s">
        <v>98</v>
      </c>
      <c r="D44" t="s">
        <v>267</v>
      </c>
      <c r="E44" s="7">
        <v>26.4</v>
      </c>
      <c r="F44" s="7">
        <v>26.3</v>
      </c>
      <c r="G44" s="7">
        <v>0.1</v>
      </c>
      <c r="H44" s="7">
        <v>25.7</v>
      </c>
      <c r="I44" s="7">
        <v>0.7</v>
      </c>
      <c r="J44" s="7">
        <v>238.4</v>
      </c>
      <c r="K44" s="7">
        <v>241</v>
      </c>
      <c r="L44" s="7">
        <v>-2.6</v>
      </c>
      <c r="M44" s="7">
        <v>239.4</v>
      </c>
      <c r="N44" s="7">
        <v>-1</v>
      </c>
    </row>
    <row r="45" spans="1:14" x14ac:dyDescent="0.2">
      <c r="A45" t="s">
        <v>273</v>
      </c>
      <c r="B45" t="s">
        <v>274</v>
      </c>
      <c r="C45" t="s">
        <v>98</v>
      </c>
      <c r="D45" t="s">
        <v>267</v>
      </c>
      <c r="E45" s="7">
        <v>16.2</v>
      </c>
      <c r="F45" s="7">
        <v>16.5</v>
      </c>
      <c r="G45" s="7">
        <v>-0.3</v>
      </c>
      <c r="H45" s="7">
        <v>16.100000000000001</v>
      </c>
      <c r="I45" s="7">
        <v>0.1</v>
      </c>
      <c r="J45" s="7">
        <v>147.6</v>
      </c>
      <c r="K45" s="7">
        <v>150.69999999999999</v>
      </c>
      <c r="L45" s="7">
        <v>-3.1</v>
      </c>
      <c r="M45" s="7">
        <v>149</v>
      </c>
      <c r="N45" s="7">
        <v>-1.4</v>
      </c>
    </row>
    <row r="46" spans="1:14" x14ac:dyDescent="0.2">
      <c r="A46" t="s">
        <v>275</v>
      </c>
      <c r="B46" t="s">
        <v>276</v>
      </c>
      <c r="C46" t="s">
        <v>100</v>
      </c>
      <c r="D46" t="s">
        <v>267</v>
      </c>
      <c r="E46" s="7">
        <v>18.8</v>
      </c>
      <c r="F46" s="7">
        <v>19.7</v>
      </c>
      <c r="G46" s="7">
        <v>-0.9</v>
      </c>
      <c r="H46" s="7">
        <v>19.399999999999999</v>
      </c>
      <c r="I46" s="7">
        <v>-0.6</v>
      </c>
      <c r="J46" s="7">
        <v>176.2</v>
      </c>
      <c r="K46" s="7">
        <v>180.8</v>
      </c>
      <c r="L46" s="7">
        <v>-4.5999999999999996</v>
      </c>
      <c r="M46" s="7">
        <v>177.2</v>
      </c>
      <c r="N46" s="7">
        <v>-1</v>
      </c>
    </row>
    <row r="47" spans="1:14" x14ac:dyDescent="0.2">
      <c r="A47" t="s">
        <v>277</v>
      </c>
      <c r="B47" t="s">
        <v>278</v>
      </c>
      <c r="C47" t="s">
        <v>102</v>
      </c>
      <c r="D47" t="s">
        <v>267</v>
      </c>
      <c r="E47" s="7">
        <v>33.1</v>
      </c>
      <c r="F47" s="7">
        <v>32.9</v>
      </c>
      <c r="G47" s="7">
        <v>0.2</v>
      </c>
      <c r="H47" s="7">
        <v>32.1</v>
      </c>
      <c r="I47" s="7">
        <v>1</v>
      </c>
      <c r="J47" s="7">
        <v>295.89999999999998</v>
      </c>
      <c r="K47" s="7">
        <v>301.3</v>
      </c>
      <c r="L47" s="7">
        <v>-5.4</v>
      </c>
      <c r="M47" s="7">
        <v>295.2</v>
      </c>
      <c r="N47" s="7">
        <v>0.7</v>
      </c>
    </row>
    <row r="48" spans="1:14" x14ac:dyDescent="0.2">
      <c r="A48" t="s">
        <v>279</v>
      </c>
      <c r="B48" t="s">
        <v>258</v>
      </c>
      <c r="C48" t="s">
        <v>105</v>
      </c>
      <c r="D48" t="s">
        <v>267</v>
      </c>
      <c r="E48" s="7">
        <v>19.899999999999999</v>
      </c>
      <c r="F48" s="7">
        <v>19.7</v>
      </c>
      <c r="G48" s="7">
        <v>0.2</v>
      </c>
      <c r="H48" s="7">
        <v>19.7</v>
      </c>
      <c r="I48" s="7">
        <v>0.2</v>
      </c>
      <c r="J48" s="7">
        <v>178.3</v>
      </c>
      <c r="K48" s="7">
        <v>180.8</v>
      </c>
      <c r="L48" s="7">
        <v>-2.5</v>
      </c>
      <c r="M48" s="7">
        <v>179.1</v>
      </c>
      <c r="N48" s="7">
        <v>-0.8</v>
      </c>
    </row>
    <row r="49" spans="1:14" x14ac:dyDescent="0.2">
      <c r="A49" t="s">
        <v>280</v>
      </c>
      <c r="B49" t="s">
        <v>262</v>
      </c>
      <c r="C49" t="s">
        <v>105</v>
      </c>
      <c r="D49" t="s">
        <v>267</v>
      </c>
      <c r="E49" s="7">
        <v>9.8000000000000007</v>
      </c>
      <c r="F49" s="7">
        <v>9.9</v>
      </c>
      <c r="G49" s="7">
        <v>-0.1</v>
      </c>
      <c r="H49" s="7">
        <v>9.6</v>
      </c>
      <c r="I49" s="7">
        <v>0.2</v>
      </c>
      <c r="J49" s="7">
        <v>89.3</v>
      </c>
      <c r="K49" s="7">
        <v>90.6</v>
      </c>
      <c r="L49" s="7">
        <v>-1.3</v>
      </c>
      <c r="M49" s="7">
        <v>88.1</v>
      </c>
      <c r="N49" s="7">
        <v>1.2</v>
      </c>
    </row>
    <row r="50" spans="1:14" x14ac:dyDescent="0.2">
      <c r="A50" t="s">
        <v>281</v>
      </c>
      <c r="B50" t="s">
        <v>264</v>
      </c>
      <c r="C50" t="s">
        <v>107</v>
      </c>
      <c r="D50" t="s">
        <v>267</v>
      </c>
      <c r="E50" s="7">
        <v>12.7</v>
      </c>
      <c r="F50" s="7">
        <v>13.2</v>
      </c>
      <c r="G50" s="7">
        <v>-0.5</v>
      </c>
      <c r="H50" s="7">
        <v>12.8</v>
      </c>
      <c r="I50" s="7">
        <v>-0.1</v>
      </c>
      <c r="J50" s="7">
        <v>117.7</v>
      </c>
      <c r="K50" s="7">
        <v>120.5</v>
      </c>
      <c r="L50" s="7">
        <v>-2.8</v>
      </c>
      <c r="M50" s="7">
        <v>118.4</v>
      </c>
      <c r="N50" s="7">
        <v>-0.7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52" customWidth="1"/>
  </cols>
  <sheetData>
    <row r="1" spans="1:3" ht="17" x14ac:dyDescent="0.2">
      <c r="A1" s="19" t="s">
        <v>282</v>
      </c>
    </row>
    <row r="3" spans="1:3" ht="16" x14ac:dyDescent="0.2">
      <c r="A3" s="6" t="s">
        <v>283</v>
      </c>
      <c r="B3" s="6" t="s">
        <v>284</v>
      </c>
      <c r="C3" s="6" t="s">
        <v>285</v>
      </c>
    </row>
    <row r="4" spans="1:3" x14ac:dyDescent="0.2">
      <c r="A4" s="3" t="s">
        <v>286</v>
      </c>
      <c r="B4" s="7">
        <v>478</v>
      </c>
      <c r="C4" t="s">
        <v>286</v>
      </c>
    </row>
    <row r="5" spans="1:3" x14ac:dyDescent="0.2">
      <c r="A5" s="4" t="s">
        <v>287</v>
      </c>
      <c r="B5" s="7">
        <v>-192.9</v>
      </c>
      <c r="C5" t="s">
        <v>288</v>
      </c>
    </row>
    <row r="6" spans="1:3" x14ac:dyDescent="0.2">
      <c r="A6" s="4" t="s">
        <v>289</v>
      </c>
      <c r="B6" s="7">
        <v>-208.1</v>
      </c>
      <c r="C6" t="s">
        <v>290</v>
      </c>
    </row>
    <row r="7" spans="1:3" x14ac:dyDescent="0.2">
      <c r="A7" s="4" t="s">
        <v>291</v>
      </c>
      <c r="B7" s="7">
        <v>3.4</v>
      </c>
      <c r="C7" t="s">
        <v>292</v>
      </c>
    </row>
    <row r="8" spans="1:3" x14ac:dyDescent="0.2">
      <c r="A8" s="4" t="s">
        <v>293</v>
      </c>
      <c r="B8" s="7">
        <v>126.6</v>
      </c>
      <c r="C8" t="s">
        <v>294</v>
      </c>
    </row>
    <row r="9" spans="1:3" x14ac:dyDescent="0.2">
      <c r="A9" s="4" t="s">
        <v>295</v>
      </c>
      <c r="B9" s="7">
        <v>30.7</v>
      </c>
      <c r="C9" t="s">
        <v>296</v>
      </c>
    </row>
    <row r="10" spans="1:3" x14ac:dyDescent="0.2">
      <c r="A10" s="3" t="s">
        <v>297</v>
      </c>
      <c r="B10" s="7">
        <v>237.7</v>
      </c>
      <c r="C10" t="s">
        <v>297</v>
      </c>
    </row>
    <row r="12" spans="1:3" x14ac:dyDescent="0.2">
      <c r="A12" t="s">
        <v>298</v>
      </c>
      <c r="B12">
        <f>ROUND(B4+SUM(B5:B9)-B10,1)</f>
        <v>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"/>
  <sheetViews>
    <sheetView workbookViewId="0"/>
  </sheetViews>
  <sheetFormatPr baseColWidth="10" defaultColWidth="8.83203125" defaultRowHeight="15" x14ac:dyDescent="0.2"/>
  <sheetData>
    <row r="2" spans="2:2" x14ac:dyDescent="0.2">
      <c r="B2" t="s">
        <v>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</vt:lpstr>
      <vt:lpstr>Story</vt:lpstr>
      <vt:lpstr>PL_Flat</vt:lpstr>
      <vt:lpstr>PBIT_Bridge</vt:lpstr>
      <vt:lpstr>Picklist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MOD Administrator</cp:lastModifiedBy>
  <dcterms:created xsi:type="dcterms:W3CDTF">2026-10-21T22:00:30Z</dcterms:created>
  <dcterms:modified xsi:type="dcterms:W3CDTF">2026-10-22T14:02:34Z</dcterms:modified>
</cp:coreProperties>
</file>