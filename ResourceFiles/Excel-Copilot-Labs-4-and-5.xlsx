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functionCache.xml" ContentType="application/vnd.ms-excel.functionCach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3"/>
  <workbookPr/>
  <xr:revisionPtr revIDLastSave="9" documentId="11_F0720F8FD616D00EC54F131B55F77BF7461A13B2" xr6:coauthVersionLast="47" xr6:coauthVersionMax="47" xr10:uidLastSave="{73013536-5CB3-4F4A-B186-51F5E7DAAD6A}"/>
  <bookViews>
    <workbookView xWindow="0" yWindow="0" windowWidth="0" windowHeight="0" xr2:uid="{00000000-000D-0000-FFFF-FFFF00000000}"/>
  </bookViews>
  <sheets>
    <sheet name="README" sheetId="1" r:id="rId1"/>
    <sheet name="Feedback" sheetId="2" r:id="rId2"/>
    <sheet name="Category" sheetId="3" r:id="rId3"/>
    <sheet name="Sentiment" sheetId="4" r:id="rId4"/>
    <sheet name="Pivot Table" sheetId="5" r:id="rId5"/>
    <sheet name="Transactions" sheetId="6" r:id="rId6"/>
    <sheet name="Customer Feedback" sheetId="7" r:id="rId7"/>
    <sheet name="Financial Report" sheetId="8" r:id="rId8"/>
  </sheets>
  <calcPr calcId="191028"/>
  <xlsfc:functionCachesPresent xmlns:mc="http://schemas.openxmlformats.org/markup-compatibility/2006" xmlns:xlsfc="http://schemas.microsoft.com/office/spreadsheetml/2025/functionCache" mc:Ignorable="xlsfc"/>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4" l="1"/>
  <c r="E6" i="3"/>
  <c r="D6" i="2"/>
</calcChain>
</file>

<file path=xl/functionCache.xml><?xml version="1.0" encoding="utf-8"?>
<functionCaches xmlns="http://schemas.microsoft.com/office/spreadsheetml/2025/functionCache">
  <functionCache id="0">
    <entry>
      <references>
        <reference sheetId="3" ref="E6"/>
      </references>
      <arguments>
        <argument>
          <s>Categorize this feedback [["The coffee tastes rich and flavorful, just like at a cafe."],["Very easy to operate, even for beginners."],["A bit noisy when brewing, but the results are worth it."],["Love the programmable timer feature!"],["The machine is compact and fits well on my counter."],["Cleaning is straightforward and doesn't take much time."],["Brews coffee quickly, perfect for busy mornings."],["The milk frother works great for lattes."],["Water reservoir is large enough for several cups."],["Sometimes the coffee is not hot enough."],["Buttons are clearly labeled and intuitive."],["The grinder is a little loud but efficient."],["I wish the carafe kept coffee warmer for longer."],["Stylish design matches my kitchen decor."],["Produces consistent results every time."],["The filter is reusable and eco-friendly."],["Instructions were clear and easy to follow."],["The drip tray is easy to remove and clean."],["Steam wand gets a bit hot to touch."],["Excellent value for the price."],["Coffee strength adjustment is a nice touch."],["Takes a few minutes to preheat."],["The aroma while brewing is fantastic."],["Wish it had a quieter operation mode."],["Customer support was helpful with setup."]] into one of these categories[["Taste"],["Ease of Use"],["Noise"],["Other"]]:c448c81051415426aee14f5111a009dd</s>
        </argument>
      </arguments>
      <result>
        <a rows="25" cols="1">
          <r>
            <s>Taste</s>
          </r>
          <r>
            <s>Ease of Use</s>
          </r>
          <r>
            <s>Noise</s>
          </r>
          <r>
            <s>Other</s>
          </r>
          <r>
            <s>Other</s>
          </r>
          <r>
            <s>Ease of Use</s>
          </r>
          <r>
            <s>Other</s>
          </r>
          <r>
            <s>Other</s>
          </r>
          <r>
            <s>Other</s>
          </r>
          <r>
            <s>Taste</s>
          </r>
          <r>
            <s>Ease of Use</s>
          </r>
          <r>
            <s>Noise</s>
          </r>
          <r>
            <s>Other</s>
          </r>
          <r>
            <s>Other</s>
          </r>
          <r>
            <s>Taste</s>
          </r>
          <r>
            <s>Other</s>
          </r>
          <r>
            <s>Ease of Use</s>
          </r>
          <r>
            <s>Ease of Use</s>
          </r>
          <r>
            <s>Noise</s>
          </r>
          <r>
            <s>Other</s>
          </r>
          <r>
            <s>Other</s>
          </r>
          <r>
            <s>Other</s>
          </r>
          <r>
            <s>Taste</s>
          </r>
          <r>
            <s>Noise</s>
          </r>
          <r>
            <s>Other</s>
          </r>
        </a>
      </result>
    </entry>
    <entry>
      <references>
        <reference sheetId="4" ref="G6"/>
      </references>
      <arguments>
        <argument>
          <s>Categorize this feedback [["The coffee tastes rich and flavorful, just like at a cafe."],["Very easy to operate, even for beginners."],["A bit noisy when brewing, but the results are worth it."],["Love the programmable timer feature!"],["The machine is compact and fits well on my counter."],["Cleaning is straightforward and doesn't take much time."],["Brews coffee quickly, perfect for busy mornings."],["The milk frother works great for lattes."],["Water reservoir is large enough for several cups."],["Sometimes the coffee is not hot enough."],["Buttons are clearly labeled and intuitive."],["The grinder is a little loud but efficient."],["I wish the carafe kept coffee warmer for longer."],["Stylish design matches my kitchen decor."],["Produces consistent results every time."],["The filter is reusable and eco-friendly."],["Instructions were clear and easy to follow."],["The drip tray is easy to remove and clean."],["Steam wand gets a bit hot to touch."],["Excellent value for the price."],["Coffee strength adjustment is a nice touch."],["Takes a few minutes to preheat."],["The aroma while brewing is fantastic."],["Wish it had a quieter operation mode."],["Customer support was helpful with setup."]] into one of these categories [["Taste"],["Ease of Use"],["Noise"],["Other"]] return these columns[["Category","Sentiment","Emoji"]]:8d04bcb0b97c537c8d25caacd6b39afa</s>
        </argument>
      </arguments>
      <result>
        <a rows="25" cols="3">
          <r>
            <s>Taste</s>
            <s>Positive</s>
            <s>😊</s>
          </r>
          <r>
            <s>Ease of Use</s>
            <s>Positive</s>
            <s>👍</s>
          </r>
          <r>
            <s>Noise</s>
            <s>Negative</s>
            <s>😕</s>
          </r>
          <r>
            <s>Ease of Use</s>
            <s>Positive</s>
            <s>😊</s>
          </r>
          <r>
            <s>Other</s>
            <s>Positive</s>
            <s>👌</s>
          </r>
          <r>
            <s>Ease of Use</s>
            <s>Positive</s>
            <s>😊</s>
          </r>
          <r>
            <s>Ease of Use</s>
            <s>Positive</s>
            <s>👍</s>
          </r>
          <r>
            <s>Other</s>
            <s>Positive</s>
            <s>😊</s>
          </r>
          <r>
            <s>Other</s>
            <s>Positive</s>
            <s>😊</s>
          </r>
          <r>
            <s>Taste</s>
            <s>Negative</s>
            <s>😕</s>
          </r>
          <r>
            <s>Ease of Use</s>
            <s>Positive</s>
            <s>😊</s>
          </r>
          <r>
            <s>Noise</s>
            <s>Negative</s>
            <s>😕</s>
          </r>
          <r>
            <s>Other</s>
            <s>Negative</s>
            <s>😕</s>
          </r>
          <r>
            <s>Other</s>
            <s>Positive</s>
            <s>😊</s>
          </r>
          <r>
            <s>Taste</s>
            <s>Positive</s>
            <s>😊</s>
          </r>
          <r>
            <s>Other</s>
            <s>Positive</s>
            <s>😊</s>
          </r>
          <r>
            <s>Ease of Use</s>
            <s>Positive</s>
            <s>😊</s>
          </r>
          <r>
            <s>Ease of Use</s>
            <s>Positive</s>
            <s>😊</s>
          </r>
          <r>
            <s>Other</s>
            <s>Negative</s>
            <s>😕</s>
          </r>
          <r>
            <s>Other</s>
            <s>Positive</s>
            <s>😊</s>
          </r>
          <r>
            <s>Taste</s>
            <s>Positive</s>
            <s>😊</s>
          </r>
          <r>
            <s>Other</s>
            <s>Negative</s>
            <s>😕</s>
          </r>
          <r>
            <s>Taste</s>
            <s>Positive</s>
            <s>😊</s>
          </r>
          <r>
            <s>Noise</s>
            <s>Negative</s>
            <s>😕</s>
          </r>
          <r>
            <s>Other</s>
            <s>Positive</s>
            <s>😊</s>
          </r>
        </a>
      </result>
    </entry>
    <entry>
      <references>
        <reference sheetId="2" ref="D6"/>
      </references>
      <arguments>
        <argument>
          <s>summarize this feedback into a parragraph[["The coffee tastes rich and flavorful, just like at a cafe."],["Very easy to operate, even for beginners."],["A bit noisy when brewing, but the results are worth it."],["Love the programmable timer feature!"],["The machine is compact and fits well on my counter."],["Cleaning is straightforward and doesn't take much time."],["Brews coffee quickly, perfect for busy mornings."],["The milk frother works great for lattes."],["Water reservoir is large enough for several cups."],["Sometimes the coffee is not hot enough."],["Buttons are clearly labeled and intuitive."],["The grinder is a little loud but efficient."],["I wish the carafe kept coffee warmer for longer."],["Stylish design matches my kitchen decor."],["Produces consistent results every time."],["The filter is reusable and eco-friendly."],["Instructions were clear and easy to follow."],["The drip tray is easy to remove and clean."],["Steam wand gets a bit hot to touch."],["Excellent value for the price."],["Coffee strength adjustment is a nice touch."],["Takes a few minutes to preheat."],["The aroma while brewing is fantastic."],["Wish it had a quieter operation mode."],["Customer support was helpful with setup."]]:aae6b67fcabe5b1fb5b38d0e966e04a0</s>
        </argument>
      </arguments>
      <result>
        <a rows="1" cols="1">
          <r>
            <s>Summary of Customer Feedback on Coffee Machine : Customers generally find the coffee machine easy to use, with clearly labeled buttons, straightforward cleaning, and helpful customer support. The machine brews coffee quickly and produces rich, flavorful coffee with consistent results. Features like the programmable timer, coffee strength adjustment, and reusable filter are appreciated. Some users note the machine is a bit noisy during grinding and brewing, and the steam wand can get hot to the touch. While the design is compact and stylish, fitting well in kitchens, a few customers wish for quieter operation, longer heat retention in the carafe, and hotter coffee. Overall, the machine offers excellent value for its price.</s>
          </r>
        </a>
      </result>
    </entry>
  </functionCache>
</functionCaches>
</file>

<file path=xl/sharedStrings.xml><?xml version="1.0" encoding="utf-8"?>
<sst xmlns="http://schemas.openxmlformats.org/spreadsheetml/2006/main" count="327" uniqueCount="174">
  <si>
    <t>Excel Copilot Training — Labs 4 &amp; 5</t>
  </si>
  <si>
    <t>What this workbook contains</t>
  </si>
  <si>
    <t>This workbook supports Labs 4 and 5 of the Excel Copilot Training. Lab 4 demonstrates the new COPILOT() function (Preview). Lab 5 walks through a real Budget-vs-Actuals variance analysis.</t>
  </si>
  <si>
    <t>Lab 4 — Copilot becomes part of Excel formulas (Preview)</t>
  </si>
  <si>
    <t>• Feedback — coffee machine reviews (summarize + generate)</t>
  </si>
  <si>
    <t>• Category — assign feedback to a defined category list</t>
  </si>
  <si>
    <t>• Sentiment — multi-column output: category + sentiment + emoji</t>
  </si>
  <si>
    <t>• Pivot Table — PIVOTBY + FORMULATEXT + COPILOT() for self-explaining formulas</t>
  </si>
  <si>
    <t>• Transactions — derive categories from data, then auto-classify</t>
  </si>
  <si>
    <t>• Customer Feedback — generate messages, then extract name/phone/urgency</t>
  </si>
  <si>
    <t>Lab 5 — Copilot solves a real business problem</t>
  </si>
  <si>
    <t>• Financial Report — P&amp;L statement with Actual, Budget, Variance ($), Variance % across Revenue, COGS, Gross Profit, Expenses, Net Profit</t>
  </si>
  <si>
    <t>IMPORTANT — Preview feature</t>
  </si>
  <si>
    <t>The COPILOT() function used in Lab 4 is currently in Preview. You need a Microsoft 365 Copilot license AND the right update channel (Beta / Current Channel Preview). If you get a #NAME? error when typing =COPILOT(...), that function is not available in your Excel build yet.</t>
  </si>
  <si>
    <t>Before you start</t>
  </si>
  <si>
    <t>• Save this file to OneDrive or SharePoint (Copilot does not work with locally-saved files).</t>
  </si>
  <si>
    <t>• Make sure you have a Microsoft 365 Copilot license enabled.</t>
  </si>
  <si>
    <t>• Open in Excel for the web, Excel for Windows (Microsoft 365), Excel for Mac, or Excel for iPad.</t>
  </si>
  <si>
    <t>Coffee Machine Feedback</t>
  </si>
  <si>
    <t>Coffee Machine feedback</t>
  </si>
  <si>
    <t>Summary</t>
  </si>
  <si>
    <t>The coffee tastes rich and flavorful, just like at a cafe.</t>
  </si>
  <si>
    <t>Very easy to operate, even for beginners.</t>
  </si>
  <si>
    <t>Try this formula in cell D4:</t>
  </si>
  <si>
    <t>A bit noisy when brewing, but the results are worth it.</t>
  </si>
  <si>
    <t>Love the programmable timer feature!</t>
  </si>
  <si>
    <t>The machine is compact and fits well on my counter.</t>
  </si>
  <si>
    <t>Cleaning is straightforward and doesn't take much time.</t>
  </si>
  <si>
    <t>Brews coffee quickly, perfect for busy mornings.</t>
  </si>
  <si>
    <t>The milk frother works great for lattes.</t>
  </si>
  <si>
    <t>Water reservoir is large enough for several cups.</t>
  </si>
  <si>
    <t>Sometimes the coffee is not hot enough.</t>
  </si>
  <si>
    <t>Buttons are clearly labeled and intuitive.</t>
  </si>
  <si>
    <t>The grinder is a little loud but efficient.</t>
  </si>
  <si>
    <t>I wish the carafe kept coffee warmer for longer.</t>
  </si>
  <si>
    <t>Stylish design matches my kitchen decor.</t>
  </si>
  <si>
    <t>Produces consistent results every time.</t>
  </si>
  <si>
    <t>The filter is reusable and eco-friendly.</t>
  </si>
  <si>
    <t>Instructions were clear and easy to follow.</t>
  </si>
  <si>
    <t>The drip tray is easy to remove and clean.</t>
  </si>
  <si>
    <t>Steam wand gets a bit hot to touch.</t>
  </si>
  <si>
    <t>Excellent value for the price.</t>
  </si>
  <si>
    <t>Coffee strength adjustment is a nice touch.</t>
  </si>
  <si>
    <t>Takes a few minutes to preheat.</t>
  </si>
  <si>
    <t>The aroma while brewing is fantastic.</t>
  </si>
  <si>
    <t>Wish it had a quieter operation mode.</t>
  </si>
  <si>
    <t>Customer support was helpful with setup.</t>
  </si>
  <si>
    <t>Categories</t>
  </si>
  <si>
    <t>Category</t>
  </si>
  <si>
    <t>Taste</t>
  </si>
  <si>
    <t>Ease of Use</t>
  </si>
  <si>
    <t>Noise</t>
  </si>
  <si>
    <t>Other</t>
  </si>
  <si>
    <t>Sentiment</t>
  </si>
  <si>
    <t>Emoji</t>
  </si>
  <si>
    <t>Try these formulas:</t>
  </si>
  <si>
    <t>Positive</t>
  </si>
  <si>
    <t>☕</t>
  </si>
  <si>
    <t>In G4:  =PIVOTBY(D4:D28,F4:F28,F4:F28,COUNTA)</t>
  </si>
  <si>
    <t>👍</t>
  </si>
  <si>
    <t>In G16: =COPILOT("Explain in plain English what this formula is doing",FORMULATEXT(G4))</t>
  </si>
  <si>
    <t>Negative</t>
  </si>
  <si>
    <t>🔊</t>
  </si>
  <si>
    <t>❤️</t>
  </si>
  <si>
    <t>🏠</t>
  </si>
  <si>
    <t>🧼</t>
  </si>
  <si>
    <t>⚡</t>
  </si>
  <si>
    <t>🥛</t>
  </si>
  <si>
    <t>💧</t>
  </si>
  <si>
    <t>❄️</t>
  </si>
  <si>
    <t>👌</t>
  </si>
  <si>
    <t>🥶</t>
  </si>
  <si>
    <t>🎨</t>
  </si>
  <si>
    <t>✅</t>
  </si>
  <si>
    <t>🌿</t>
  </si>
  <si>
    <t>📖</t>
  </si>
  <si>
    <t>🧽</t>
  </si>
  <si>
    <t>🔥</t>
  </si>
  <si>
    <t>💰</t>
  </si>
  <si>
    <t>🎚️</t>
  </si>
  <si>
    <t>⏳</t>
  </si>
  <si>
    <t>🌸</t>
  </si>
  <si>
    <t>🤫</t>
  </si>
  <si>
    <t>📞</t>
  </si>
  <si>
    <t>Transactions</t>
  </si>
  <si>
    <t>Date</t>
  </si>
  <si>
    <t>Description</t>
  </si>
  <si>
    <t>Debit</t>
  </si>
  <si>
    <t>In G5:  =COPILOT("analyze the transactions",B5#,"and provide with a short list of categories I can use to group the expenses")</t>
  </si>
  <si>
    <t>Starbucks Coffee</t>
  </si>
  <si>
    <t>In D5:  =COPILOT("using this categories",G5#," please assign to each transaction",B5#)</t>
  </si>
  <si>
    <t>Walmart Supercenter</t>
  </si>
  <si>
    <t>Apple Store</t>
  </si>
  <si>
    <t>Netflix Subscription</t>
  </si>
  <si>
    <t>Uber Ride</t>
  </si>
  <si>
    <t>Target Store</t>
  </si>
  <si>
    <t>Costco Wholesale</t>
  </si>
  <si>
    <t>McDonald's</t>
  </si>
  <si>
    <t>Shell Gas Station</t>
  </si>
  <si>
    <t>Spotify Premium</t>
  </si>
  <si>
    <t>Best Buy</t>
  </si>
  <si>
    <t>Home Depot</t>
  </si>
  <si>
    <t>Airbnb Rental</t>
  </si>
  <si>
    <t>Delta Airlines</t>
  </si>
  <si>
    <t>Whole Foods Market</t>
  </si>
  <si>
    <t>eBay Purchase</t>
  </si>
  <si>
    <t>Lyft Ride</t>
  </si>
  <si>
    <t>CVS Pharmacy</t>
  </si>
  <si>
    <t>Nike Store</t>
  </si>
  <si>
    <t>Google Play Store</t>
  </si>
  <si>
    <t>Subway Restaurant</t>
  </si>
  <si>
    <t>AT&amp;T Wireless</t>
  </si>
  <si>
    <t>Sephora</t>
  </si>
  <si>
    <t>FedEx Shipping</t>
  </si>
  <si>
    <t>Domino's Pizza</t>
  </si>
  <si>
    <t>Customer Feedback — Contact Center</t>
  </si>
  <si>
    <t>Customer Callback Request</t>
  </si>
  <si>
    <t>Name</t>
  </si>
  <si>
    <t>Phone number</t>
  </si>
  <si>
    <t>Urgency</t>
  </si>
  <si>
    <t>Hello, Sarah here. The coffee machine is working great! Call me at (234) 567-8901 for more details.</t>
  </si>
  <si>
    <t>In B4: =COPILOT("Extract the name",A4#)</t>
  </si>
  <si>
    <t>This is Mike. I have some suggestions for the coffee machine. Contact me at (345) 678-9012.</t>
  </si>
  <si>
    <t>In C2: =COPILOT("return a regex pattern to match",C3,"from this example",A4)</t>
  </si>
  <si>
    <t>Hi, Anna speaking. The coffee machine needs maintenance. Please call (456) 789-0123.</t>
  </si>
  <si>
    <t>In D4: =COPILOT("rate these messages based on how urgent they are as !, !!, !!!, !!!!",A4#)</t>
  </si>
  <si>
    <t>Hello, David here. I love the new coffee machine features. Reach me at (567) 890-1234.</t>
  </si>
  <si>
    <t>This is Emily. The coffee machine is too slow. Call me at (678) 901-2345.</t>
  </si>
  <si>
    <t>Hi, Robert here. The coffee machine is leaking water. Contact (789) 012-3456.</t>
  </si>
  <si>
    <t>Hello, Jessica speaking. The coffee machine makes great coffee! Reach me at (890) 123-4567.</t>
  </si>
  <si>
    <t>This is Daniel. The coffee machine buttons are unresponsive. Call (901) 234-5678.</t>
  </si>
  <si>
    <t>Hi, Laura here. The coffee machine needs more cleaning. Contact me at (012) 345-6789.</t>
  </si>
  <si>
    <t>Hello, James speaking. The coffee machine is noisy. Call me at (123) 456-7891.</t>
  </si>
  <si>
    <t>This is Megan. The coffee machine is out of order. Reach me at (234) 567-8902.</t>
  </si>
  <si>
    <t>Hi, Kevin here. The coffee machine temperature is inconsistent. Contact (345) 678-9013.</t>
  </si>
  <si>
    <t>Hello, Olivia speaking. The coffee machine is user-friendly. Call me at (456) 789-0124.</t>
  </si>
  <si>
    <t>This is Brian. The coffee machine needs a new filter. Reach me at (567) 890-1235.</t>
  </si>
  <si>
    <t>Hi, Sophia here. The coffee machine is perfect for our needs. Contact (678) 901-2346.</t>
  </si>
  <si>
    <t>Hello, Mark speaking. The coffee machine display is hard to read. Call me at (789) 012-3457.</t>
  </si>
  <si>
    <t>This is Rachel. The coffee machine water tank is small. Reach me at (890) 123-4568.</t>
  </si>
  <si>
    <t>Hi, Tom here. The coffee machine brews too weak coffee. Contact (901) 234-5679.</t>
  </si>
  <si>
    <t>Hello, Linda speaking. The coffee machine is easy to clean. Call me at (012) 345-6790.</t>
  </si>
  <si>
    <t>Profit &amp; Loss Statement</t>
  </si>
  <si>
    <t>Period: Current Quarter</t>
  </si>
  <si>
    <t>Revenue</t>
  </si>
  <si>
    <t>Actual</t>
  </si>
  <si>
    <t>Budget</t>
  </si>
  <si>
    <t>Variance ($)</t>
  </si>
  <si>
    <t>Variance %</t>
  </si>
  <si>
    <t>In H5:  =COPILOT("Analyze the profit and loss statement and give me a summary of notable points",B2:F33)</t>
  </si>
  <si>
    <t>Consultancy Income</t>
  </si>
  <si>
    <t>In H7:  =TEXTJOIN(CHAR(10)&amp;CHAR(10),TRUE,COPILOT("Analyze the profit and loss statement and give me a summary of notable points organized into these sections: Revenue Analysis, Cost Analysis, Profitability, Expenses, Net Profit. Each section should be one short paragraph.",B2:F33))</t>
  </si>
  <si>
    <t>Domestic Sales</t>
  </si>
  <si>
    <t>Export Sales</t>
  </si>
  <si>
    <t>Other Revenue</t>
  </si>
  <si>
    <t>Revenue Total</t>
  </si>
  <si>
    <t>Cost of Goods Sold</t>
  </si>
  <si>
    <t>COGS</t>
  </si>
  <si>
    <t>Delivery Costs</t>
  </si>
  <si>
    <t>Cost of Goods Sold Total</t>
  </si>
  <si>
    <t>Gross Profit</t>
  </si>
  <si>
    <t>Expenses</t>
  </si>
  <si>
    <t>Accounting</t>
  </si>
  <si>
    <t>Depreciation</t>
  </si>
  <si>
    <t>Merchant Fees</t>
  </si>
  <si>
    <t>Motor Vehicle</t>
  </si>
  <si>
    <t>Postage</t>
  </si>
  <si>
    <t>Staff</t>
  </si>
  <si>
    <t>Stationery</t>
  </si>
  <si>
    <t>Telephony</t>
  </si>
  <si>
    <t>Training</t>
  </si>
  <si>
    <t>Travel</t>
  </si>
  <si>
    <t>Expenses Total</t>
  </si>
  <si>
    <t>Net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</si>
</sst>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Red]\-#,##0"/>
    <numFmt numFmtId="167" formatCode="0.0%"/>
  </numFmts>
  <fonts count="11">
    <font>
      <sz val="11"/>
      <color theme="1"/>
      <name val="Calibri"/>
      <family val="2"/>
      <scheme val="minor"/>
    </font>
    <font>
      <b/>
      <sz val="16"/>
      <color rgb="FF217346"/>
      <name val="Calibri"/>
    </font>
    <font>
      <b/>
      <sz val="12"/>
      <color rgb="FF185A36"/>
      <name val="Calibri"/>
    </font>
    <font>
      <b/>
      <sz val="14"/>
      <color rgb="FF185A36"/>
      <name val="Calibri"/>
    </font>
    <font>
      <b/>
      <sz val="11"/>
      <color rgb="FFFFFFFF"/>
      <name val="Calibri"/>
    </font>
    <font>
      <sz val="10"/>
      <name val="Consolas"/>
    </font>
    <font>
      <b/>
      <sz val="11"/>
      <color rgb="FF185A36"/>
      <name val="Calibri"/>
    </font>
    <font>
      <b/>
      <sz val="16"/>
      <color rgb="FF185A36"/>
      <name val="Calibri"/>
    </font>
    <font>
      <i/>
      <sz val="11"/>
      <color rgb="FF57606A"/>
      <name val="Calibri"/>
    </font>
    <font>
      <b/>
      <sz val="11"/>
      <name val="Calibri"/>
    </font>
    <font>
      <b/>
      <sz val="12"/>
      <name val="Calibri"/>
    </font>
  </fonts>
  <fills count="3">
    <fill>
      <patternFill patternType="none"/>
    </fill>
    <fill>
      <patternFill patternType="gray125"/>
    </fill>
    <fill>
      <patternFill patternType="solid">
        <fgColor rgb="FF21734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2" borderId="0" xfId="0" applyFont="1" applyFill="1"/>
    <xf numFmtId="0" fontId="5" fillId="0" borderId="0" xfId="0" applyFont="1"/>
    <xf numFmtId="0" fontId="6" fillId="0" borderId="0" xfId="0" applyFont="1"/>
    <xf numFmtId="164" fontId="0" fillId="0" borderId="0" xfId="0" applyNumberFormat="1"/>
    <xf numFmtId="165" fontId="0" fillId="0" borderId="0" xfId="0" applyNumberFormat="1"/>
    <xf numFmtId="0" fontId="7" fillId="0" borderId="0" xfId="0" applyFont="1"/>
    <xf numFmtId="0" fontId="8" fillId="0" borderId="0" xfId="0" applyFont="1"/>
    <xf numFmtId="0" fontId="4" fillId="2" borderId="1" xfId="0" applyFont="1" applyFill="1" applyBorder="1" applyAlignment="1">
      <alignment horizontal="left" vertical="center"/>
    </xf>
    <xf numFmtId="3" fontId="0" fillId="0" borderId="0" xfId="0" applyNumberFormat="1"/>
    <xf numFmtId="166" fontId="0" fillId="0" borderId="0" xfId="0" applyNumberFormat="1"/>
    <xf numFmtId="167" fontId="0" fillId="0" borderId="0" xfId="0" applyNumberFormat="1"/>
    <xf numFmtId="0" fontId="9" fillId="0" borderId="0" xfId="0" applyFont="1"/>
    <xf numFmtId="3" fontId="9" fillId="0" borderId="0" xfId="0" applyNumberFormat="1" applyFont="1"/>
    <xf numFmtId="166" fontId="9" fillId="0" borderId="0" xfId="0" applyNumberFormat="1" applyFont="1"/>
    <xf numFmtId="167" fontId="9" fillId="0" borderId="0" xfId="0" applyNumberFormat="1" applyFont="1"/>
    <xf numFmtId="0" fontId="10" fillId="0" borderId="0" xfId="0" applyFont="1"/>
    <xf numFmtId="3" fontId="10" fillId="0" borderId="0" xfId="0" applyNumberFormat="1" applyFont="1"/>
    <xf numFmtId="166" fontId="10" fillId="0" borderId="0" xfId="0" applyNumberFormat="1" applyFont="1"/>
    <xf numFmtId="167" fontId="10"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5/05/relationships/FunctionCache" Target="functionCach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tabSelected="1" workbookViewId="0"/>
  </sheetViews>
  <sheetFormatPr defaultRowHeight="15"/>
  <cols>
    <col min="1" max="1" width="110" customWidth="1"/>
  </cols>
  <sheetData>
    <row r="1" spans="1:1" ht="26.1" customHeight="1">
      <c r="A1" s="1" t="s">
        <v>0</v>
      </c>
    </row>
    <row r="3" spans="1:1">
      <c r="A3" s="2" t="s">
        <v>1</v>
      </c>
    </row>
    <row r="4" spans="1:1">
      <c r="A4" s="3" t="s">
        <v>2</v>
      </c>
    </row>
    <row r="6" spans="1:1">
      <c r="A6" s="2" t="s">
        <v>3</v>
      </c>
    </row>
    <row r="7" spans="1:1">
      <c r="A7" s="3" t="s">
        <v>4</v>
      </c>
    </row>
    <row r="8" spans="1:1">
      <c r="A8" s="3" t="s">
        <v>5</v>
      </c>
    </row>
    <row r="9" spans="1:1">
      <c r="A9" s="3" t="s">
        <v>6</v>
      </c>
    </row>
    <row r="10" spans="1:1">
      <c r="A10" s="3" t="s">
        <v>7</v>
      </c>
    </row>
    <row r="11" spans="1:1">
      <c r="A11" s="3" t="s">
        <v>8</v>
      </c>
    </row>
    <row r="12" spans="1:1">
      <c r="A12" s="3" t="s">
        <v>9</v>
      </c>
    </row>
    <row r="14" spans="1:1">
      <c r="A14" s="2" t="s">
        <v>10</v>
      </c>
    </row>
    <row r="15" spans="1:1">
      <c r="A15" s="3" t="s">
        <v>11</v>
      </c>
    </row>
    <row r="17" spans="1:1">
      <c r="A17" s="2" t="s">
        <v>12</v>
      </c>
    </row>
    <row r="18" spans="1:1">
      <c r="A18" s="3" t="s">
        <v>13</v>
      </c>
    </row>
    <row r="20" spans="1:1">
      <c r="A20" s="2" t="s">
        <v>14</v>
      </c>
    </row>
    <row r="21" spans="1:1">
      <c r="A21" s="3" t="s">
        <v>15</v>
      </c>
    </row>
    <row r="22" spans="1:1">
      <c r="A22" s="3" t="s">
        <v>16</v>
      </c>
    </row>
    <row r="23" spans="1:1">
      <c r="A23" s="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28"/>
  <sheetViews>
    <sheetView workbookViewId="0"/>
  </sheetViews>
  <sheetFormatPr defaultRowHeight="15"/>
  <cols>
    <col min="2" max="2" width="70" customWidth="1"/>
    <col min="4" max="4" width="70" customWidth="1"/>
  </cols>
  <sheetData>
    <row r="1" spans="2:4">
      <c r="B1" s="4" t="s">
        <v>18</v>
      </c>
    </row>
    <row r="3" spans="2:4">
      <c r="B3" s="5" t="s">
        <v>19</v>
      </c>
      <c r="D3" s="5" t="s">
        <v>20</v>
      </c>
    </row>
    <row r="4" spans="2:4">
      <c r="B4" t="s">
        <v>21</v>
      </c>
    </row>
    <row r="5" spans="2:4">
      <c r="B5" t="s">
        <v>22</v>
      </c>
      <c r="D5" t="s">
        <v>23</v>
      </c>
    </row>
    <row r="6" spans="2:4">
      <c r="B6" t="s">
        <v>24</v>
      </c>
      <c r="D6" s="6" t="str">
        <f>_xlfn._xlws.COPILOT("summarize this feedback into a parragraph", B4:B28)</f>
        <v>Summary of Customer Feedback on Coffee Machine : Customers generally find the coffee machine easy to use, with clearly labeled buttons, straightforward cleaning, and helpful customer support. The machine brews coffee quickly and produces rich, flavorful coffee with consistent results. Features like the programmable timer, coffee strength adjustment, and reusable filter are appreciated. Some users note the machine is a bit noisy during grinding and brewing, and the steam wand can get hot to the touch. While the design is compact and stylish, fitting well in kitchens, a few customers wish for quieter operation, longer heat retention in the carafe, and hotter coffee. Overall, the machine offers excellent value for its price.</v>
      </c>
    </row>
    <row r="7" spans="2:4">
      <c r="B7" t="s">
        <v>25</v>
      </c>
    </row>
    <row r="8" spans="2:4">
      <c r="B8" t="s">
        <v>26</v>
      </c>
    </row>
    <row r="9" spans="2:4">
      <c r="B9" t="s">
        <v>27</v>
      </c>
    </row>
    <row r="10" spans="2:4">
      <c r="B10" t="s">
        <v>28</v>
      </c>
    </row>
    <row r="11" spans="2:4">
      <c r="B11" t="s">
        <v>29</v>
      </c>
    </row>
    <row r="12" spans="2:4">
      <c r="B12" t="s">
        <v>30</v>
      </c>
    </row>
    <row r="13" spans="2:4">
      <c r="B13" t="s">
        <v>31</v>
      </c>
    </row>
    <row r="14" spans="2:4">
      <c r="B14" t="s">
        <v>32</v>
      </c>
    </row>
    <row r="15" spans="2:4">
      <c r="B15" t="s">
        <v>33</v>
      </c>
    </row>
    <row r="16" spans="2:4">
      <c r="B16" t="s">
        <v>34</v>
      </c>
    </row>
    <row r="17" spans="2:2">
      <c r="B17" t="s">
        <v>35</v>
      </c>
    </row>
    <row r="18" spans="2:2">
      <c r="B18" t="s">
        <v>36</v>
      </c>
    </row>
    <row r="19" spans="2:2">
      <c r="B19" t="s">
        <v>37</v>
      </c>
    </row>
    <row r="20" spans="2:2">
      <c r="B20" t="s">
        <v>38</v>
      </c>
    </row>
    <row r="21" spans="2:2">
      <c r="B21" t="s">
        <v>39</v>
      </c>
    </row>
    <row r="22" spans="2:2">
      <c r="B22" t="s">
        <v>40</v>
      </c>
    </row>
    <row r="23" spans="2:2">
      <c r="B23" t="s">
        <v>41</v>
      </c>
    </row>
    <row r="24" spans="2:2">
      <c r="B24" t="s">
        <v>42</v>
      </c>
    </row>
    <row r="25" spans="2:2">
      <c r="B25" t="s">
        <v>43</v>
      </c>
    </row>
    <row r="26" spans="2:2">
      <c r="B26" t="s">
        <v>44</v>
      </c>
    </row>
    <row r="27" spans="2:2">
      <c r="B27" t="s">
        <v>45</v>
      </c>
    </row>
    <row r="28" spans="2:2">
      <c r="B28"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8"/>
  <sheetViews>
    <sheetView workbookViewId="0"/>
  </sheetViews>
  <sheetFormatPr defaultRowHeight="15"/>
  <cols>
    <col min="2" max="2" width="18" customWidth="1"/>
    <col min="3" max="3" width="65" customWidth="1"/>
    <col min="4" max="4" width="18" customWidth="1"/>
  </cols>
  <sheetData>
    <row r="1" spans="2:5">
      <c r="C1" s="4" t="s">
        <v>18</v>
      </c>
    </row>
    <row r="3" spans="2:5">
      <c r="B3" s="5" t="s">
        <v>47</v>
      </c>
      <c r="C3" s="5" t="s">
        <v>18</v>
      </c>
      <c r="D3" s="5" t="s">
        <v>48</v>
      </c>
    </row>
    <row r="4" spans="2:5">
      <c r="B4" t="s">
        <v>49</v>
      </c>
      <c r="C4" t="s">
        <v>21</v>
      </c>
    </row>
    <row r="5" spans="2:5">
      <c r="B5" t="s">
        <v>50</v>
      </c>
      <c r="C5" t="s">
        <v>22</v>
      </c>
      <c r="E5" t="s">
        <v>23</v>
      </c>
    </row>
    <row r="6" spans="2:5">
      <c r="B6" t="s">
        <v>51</v>
      </c>
      <c r="C6" t="s">
        <v>24</v>
      </c>
      <c r="E6" s="6" t="str">
        <f>_xlfn._xlws.COPILOT("Categorize this feedback", C4:C28, "into one of these categories", B4:B7)</f>
        <v>Taste</v>
      </c>
    </row>
    <row r="7" spans="2:5">
      <c r="B7" t="s">
        <v>52</v>
      </c>
      <c r="C7" t="s">
        <v>25</v>
      </c>
    </row>
    <row r="8" spans="2:5">
      <c r="C8" t="s">
        <v>26</v>
      </c>
    </row>
    <row r="9" spans="2:5">
      <c r="C9" t="s">
        <v>27</v>
      </c>
    </row>
    <row r="10" spans="2:5">
      <c r="C10" t="s">
        <v>28</v>
      </c>
    </row>
    <row r="11" spans="2:5">
      <c r="C11" t="s">
        <v>29</v>
      </c>
    </row>
    <row r="12" spans="2:5">
      <c r="C12" t="s">
        <v>30</v>
      </c>
    </row>
    <row r="13" spans="2:5">
      <c r="C13" t="s">
        <v>31</v>
      </c>
    </row>
    <row r="14" spans="2:5">
      <c r="C14" t="s">
        <v>32</v>
      </c>
    </row>
    <row r="15" spans="2:5">
      <c r="C15" t="s">
        <v>33</v>
      </c>
    </row>
    <row r="16" spans="2:5">
      <c r="C16" t="s">
        <v>34</v>
      </c>
    </row>
    <row r="17" spans="3:3">
      <c r="C17" t="s">
        <v>35</v>
      </c>
    </row>
    <row r="18" spans="3:3">
      <c r="C18" t="s">
        <v>36</v>
      </c>
    </row>
    <row r="19" spans="3:3">
      <c r="C19" t="s">
        <v>37</v>
      </c>
    </row>
    <row r="20" spans="3:3">
      <c r="C20" t="s">
        <v>38</v>
      </c>
    </row>
    <row r="21" spans="3:3">
      <c r="C21" t="s">
        <v>39</v>
      </c>
    </row>
    <row r="22" spans="3:3">
      <c r="C22" t="s">
        <v>40</v>
      </c>
    </row>
    <row r="23" spans="3:3">
      <c r="C23" t="s">
        <v>41</v>
      </c>
    </row>
    <row r="24" spans="3:3">
      <c r="C24" t="s">
        <v>42</v>
      </c>
    </row>
    <row r="25" spans="3:3">
      <c r="C25" t="s">
        <v>43</v>
      </c>
    </row>
    <row r="26" spans="3:3">
      <c r="C26" t="s">
        <v>44</v>
      </c>
    </row>
    <row r="27" spans="3:3">
      <c r="C27" t="s">
        <v>45</v>
      </c>
    </row>
    <row r="28" spans="3:3">
      <c r="C28" t="s">
        <v>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28"/>
  <sheetViews>
    <sheetView workbookViewId="0"/>
  </sheetViews>
  <sheetFormatPr defaultRowHeight="15"/>
  <cols>
    <col min="2" max="2" width="18" customWidth="1"/>
    <col min="3" max="3" width="65" customWidth="1"/>
    <col min="4" max="4" width="16" customWidth="1"/>
    <col min="5" max="5" width="14" customWidth="1"/>
    <col min="6" max="6" width="10" customWidth="1"/>
    <col min="7" max="7" width="90" customWidth="1"/>
  </cols>
  <sheetData>
    <row r="1" spans="2:7">
      <c r="C1" s="4" t="s">
        <v>18</v>
      </c>
    </row>
    <row r="3" spans="2:7">
      <c r="B3" s="5" t="s">
        <v>47</v>
      </c>
      <c r="C3" s="5" t="s">
        <v>18</v>
      </c>
      <c r="D3" s="5" t="s">
        <v>48</v>
      </c>
      <c r="E3" s="5" t="s">
        <v>53</v>
      </c>
      <c r="F3" s="5" t="s">
        <v>54</v>
      </c>
    </row>
    <row r="4" spans="2:7">
      <c r="B4" t="s">
        <v>49</v>
      </c>
      <c r="C4" t="s">
        <v>21</v>
      </c>
    </row>
    <row r="5" spans="2:7">
      <c r="B5" t="s">
        <v>50</v>
      </c>
      <c r="C5" t="s">
        <v>22</v>
      </c>
      <c r="G5" t="s">
        <v>23</v>
      </c>
    </row>
    <row r="6" spans="2:7">
      <c r="B6" t="s">
        <v>51</v>
      </c>
      <c r="C6" t="s">
        <v>24</v>
      </c>
      <c r="G6" s="6" t="str">
        <f>_xlfn._xlws.COPILOT("Categorize this feedback", C4:C28, "into one of these categories", B4:B7, "return these columns", D3:F3)</f>
        <v>Taste</v>
      </c>
    </row>
    <row r="7" spans="2:7">
      <c r="B7" t="s">
        <v>52</v>
      </c>
      <c r="C7" t="s">
        <v>25</v>
      </c>
    </row>
    <row r="8" spans="2:7">
      <c r="C8" t="s">
        <v>26</v>
      </c>
    </row>
    <row r="9" spans="2:7">
      <c r="C9" t="s">
        <v>27</v>
      </c>
    </row>
    <row r="10" spans="2:7">
      <c r="C10" t="s">
        <v>28</v>
      </c>
    </row>
    <row r="11" spans="2:7">
      <c r="C11" t="s">
        <v>29</v>
      </c>
    </row>
    <row r="12" spans="2:7">
      <c r="C12" t="s">
        <v>30</v>
      </c>
    </row>
    <row r="13" spans="2:7">
      <c r="C13" t="s">
        <v>31</v>
      </c>
    </row>
    <row r="14" spans="2:7">
      <c r="C14" t="s">
        <v>32</v>
      </c>
    </row>
    <row r="15" spans="2:7">
      <c r="C15" t="s">
        <v>33</v>
      </c>
    </row>
    <row r="16" spans="2:7">
      <c r="C16" t="s">
        <v>34</v>
      </c>
    </row>
    <row r="17" spans="3:3">
      <c r="C17" t="s">
        <v>35</v>
      </c>
    </row>
    <row r="18" spans="3:3">
      <c r="C18" t="s">
        <v>36</v>
      </c>
    </row>
    <row r="19" spans="3:3">
      <c r="C19" t="s">
        <v>37</v>
      </c>
    </row>
    <row r="20" spans="3:3">
      <c r="C20" t="s">
        <v>38</v>
      </c>
    </row>
    <row r="21" spans="3:3">
      <c r="C21" t="s">
        <v>39</v>
      </c>
    </row>
    <row r="22" spans="3:3">
      <c r="C22" t="s">
        <v>40</v>
      </c>
    </row>
    <row r="23" spans="3:3">
      <c r="C23" t="s">
        <v>41</v>
      </c>
    </row>
    <row r="24" spans="3:3">
      <c r="C24" t="s">
        <v>42</v>
      </c>
    </row>
    <row r="25" spans="3:3">
      <c r="C25" t="s">
        <v>43</v>
      </c>
    </row>
    <row r="26" spans="3:3">
      <c r="C26" t="s">
        <v>44</v>
      </c>
    </row>
    <row r="27" spans="3:3">
      <c r="C27" t="s">
        <v>45</v>
      </c>
    </row>
    <row r="28" spans="3:3">
      <c r="C28" t="s">
        <v>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8"/>
  <sheetViews>
    <sheetView workbookViewId="0"/>
  </sheetViews>
  <sheetFormatPr defaultRowHeight="15"/>
  <cols>
    <col min="2" max="2" width="16" customWidth="1"/>
    <col min="3" max="3" width="65" customWidth="1"/>
    <col min="4" max="4" width="16" customWidth="1"/>
    <col min="5" max="5" width="14" customWidth="1"/>
    <col min="6" max="6" width="10" customWidth="1"/>
    <col min="8" max="8" width="90" customWidth="1"/>
  </cols>
  <sheetData>
    <row r="1" spans="2:8">
      <c r="C1" s="4" t="s">
        <v>18</v>
      </c>
    </row>
    <row r="3" spans="2:8">
      <c r="B3" s="5" t="s">
        <v>47</v>
      </c>
      <c r="C3" s="5" t="s">
        <v>18</v>
      </c>
      <c r="D3" s="5" t="s">
        <v>48</v>
      </c>
      <c r="E3" s="5" t="s">
        <v>53</v>
      </c>
      <c r="F3" s="5" t="s">
        <v>54</v>
      </c>
      <c r="H3" s="7" t="s">
        <v>55</v>
      </c>
    </row>
    <row r="4" spans="2:8">
      <c r="B4" t="s">
        <v>49</v>
      </c>
      <c r="C4" t="s">
        <v>21</v>
      </c>
      <c r="D4" t="s">
        <v>49</v>
      </c>
      <c r="E4" t="s">
        <v>56</v>
      </c>
      <c r="F4" t="s">
        <v>57</v>
      </c>
      <c r="H4" s="6" t="s">
        <v>58</v>
      </c>
    </row>
    <row r="5" spans="2:8">
      <c r="B5" t="s">
        <v>50</v>
      </c>
      <c r="C5" t="s">
        <v>22</v>
      </c>
      <c r="D5" t="s">
        <v>50</v>
      </c>
      <c r="E5" t="s">
        <v>56</v>
      </c>
      <c r="F5" t="s">
        <v>59</v>
      </c>
      <c r="H5" s="6" t="s">
        <v>60</v>
      </c>
    </row>
    <row r="6" spans="2:8">
      <c r="B6" t="s">
        <v>51</v>
      </c>
      <c r="C6" t="s">
        <v>24</v>
      </c>
      <c r="D6" t="s">
        <v>51</v>
      </c>
      <c r="E6" t="s">
        <v>61</v>
      </c>
      <c r="F6" t="s">
        <v>62</v>
      </c>
    </row>
    <row r="7" spans="2:8">
      <c r="B7" t="s">
        <v>52</v>
      </c>
      <c r="C7" t="s">
        <v>25</v>
      </c>
      <c r="D7" t="s">
        <v>50</v>
      </c>
      <c r="E7" t="s">
        <v>56</v>
      </c>
      <c r="F7" t="s">
        <v>63</v>
      </c>
    </row>
    <row r="8" spans="2:8">
      <c r="C8" t="s">
        <v>26</v>
      </c>
      <c r="D8" t="s">
        <v>52</v>
      </c>
      <c r="E8" t="s">
        <v>56</v>
      </c>
      <c r="F8" t="s">
        <v>64</v>
      </c>
    </row>
    <row r="9" spans="2:8">
      <c r="C9" t="s">
        <v>27</v>
      </c>
      <c r="D9" t="s">
        <v>50</v>
      </c>
      <c r="E9" t="s">
        <v>56</v>
      </c>
      <c r="F9" t="s">
        <v>65</v>
      </c>
    </row>
    <row r="10" spans="2:8">
      <c r="C10" t="s">
        <v>28</v>
      </c>
      <c r="D10" t="s">
        <v>49</v>
      </c>
      <c r="E10" t="s">
        <v>56</v>
      </c>
      <c r="F10" t="s">
        <v>66</v>
      </c>
    </row>
    <row r="11" spans="2:8">
      <c r="C11" t="s">
        <v>29</v>
      </c>
      <c r="D11" t="s">
        <v>52</v>
      </c>
      <c r="E11" t="s">
        <v>56</v>
      </c>
      <c r="F11" t="s">
        <v>67</v>
      </c>
    </row>
    <row r="12" spans="2:8">
      <c r="C12" t="s">
        <v>30</v>
      </c>
      <c r="D12" t="s">
        <v>52</v>
      </c>
      <c r="E12" t="s">
        <v>56</v>
      </c>
      <c r="F12" t="s">
        <v>68</v>
      </c>
    </row>
    <row r="13" spans="2:8">
      <c r="C13" t="s">
        <v>31</v>
      </c>
      <c r="D13" t="s">
        <v>49</v>
      </c>
      <c r="E13" t="s">
        <v>61</v>
      </c>
      <c r="F13" t="s">
        <v>69</v>
      </c>
    </row>
    <row r="14" spans="2:8">
      <c r="C14" t="s">
        <v>32</v>
      </c>
      <c r="D14" t="s">
        <v>50</v>
      </c>
      <c r="E14" t="s">
        <v>56</v>
      </c>
      <c r="F14" t="s">
        <v>70</v>
      </c>
    </row>
    <row r="15" spans="2:8">
      <c r="C15" t="s">
        <v>33</v>
      </c>
      <c r="D15" t="s">
        <v>51</v>
      </c>
      <c r="E15" t="s">
        <v>61</v>
      </c>
      <c r="F15" t="s">
        <v>62</v>
      </c>
    </row>
    <row r="16" spans="2:8">
      <c r="C16" t="s">
        <v>34</v>
      </c>
      <c r="D16" t="s">
        <v>52</v>
      </c>
      <c r="E16" t="s">
        <v>61</v>
      </c>
      <c r="F16" t="s">
        <v>71</v>
      </c>
    </row>
    <row r="17" spans="3:6">
      <c r="C17" t="s">
        <v>35</v>
      </c>
      <c r="D17" t="s">
        <v>52</v>
      </c>
      <c r="E17" t="s">
        <v>56</v>
      </c>
      <c r="F17" t="s">
        <v>72</v>
      </c>
    </row>
    <row r="18" spans="3:6">
      <c r="C18" t="s">
        <v>36</v>
      </c>
      <c r="D18" t="s">
        <v>49</v>
      </c>
      <c r="E18" t="s">
        <v>56</v>
      </c>
      <c r="F18" t="s">
        <v>73</v>
      </c>
    </row>
    <row r="19" spans="3:6">
      <c r="C19" t="s">
        <v>37</v>
      </c>
      <c r="D19" t="s">
        <v>52</v>
      </c>
      <c r="E19" t="s">
        <v>56</v>
      </c>
      <c r="F19" t="s">
        <v>74</v>
      </c>
    </row>
    <row r="20" spans="3:6">
      <c r="C20" t="s">
        <v>38</v>
      </c>
      <c r="D20" t="s">
        <v>50</v>
      </c>
      <c r="E20" t="s">
        <v>56</v>
      </c>
      <c r="F20" t="s">
        <v>75</v>
      </c>
    </row>
    <row r="21" spans="3:6">
      <c r="C21" t="s">
        <v>39</v>
      </c>
      <c r="D21" t="s">
        <v>50</v>
      </c>
      <c r="E21" t="s">
        <v>56</v>
      </c>
      <c r="F21" t="s">
        <v>76</v>
      </c>
    </row>
    <row r="22" spans="3:6">
      <c r="C22" t="s">
        <v>40</v>
      </c>
      <c r="D22" t="s">
        <v>52</v>
      </c>
      <c r="E22" t="s">
        <v>61</v>
      </c>
      <c r="F22" t="s">
        <v>77</v>
      </c>
    </row>
    <row r="23" spans="3:6">
      <c r="C23" t="s">
        <v>41</v>
      </c>
      <c r="D23" t="s">
        <v>52</v>
      </c>
      <c r="E23" t="s">
        <v>56</v>
      </c>
      <c r="F23" t="s">
        <v>78</v>
      </c>
    </row>
    <row r="24" spans="3:6">
      <c r="C24" t="s">
        <v>42</v>
      </c>
      <c r="D24" t="s">
        <v>49</v>
      </c>
      <c r="E24" t="s">
        <v>56</v>
      </c>
      <c r="F24" t="s">
        <v>79</v>
      </c>
    </row>
    <row r="25" spans="3:6">
      <c r="C25" t="s">
        <v>43</v>
      </c>
      <c r="D25" t="s">
        <v>52</v>
      </c>
      <c r="E25" t="s">
        <v>61</v>
      </c>
      <c r="F25" t="s">
        <v>80</v>
      </c>
    </row>
    <row r="26" spans="3:6">
      <c r="C26" t="s">
        <v>44</v>
      </c>
      <c r="D26" t="s">
        <v>49</v>
      </c>
      <c r="E26" t="s">
        <v>56</v>
      </c>
      <c r="F26" t="s">
        <v>81</v>
      </c>
    </row>
    <row r="27" spans="3:6">
      <c r="C27" t="s">
        <v>45</v>
      </c>
      <c r="D27" t="s">
        <v>51</v>
      </c>
      <c r="E27" t="s">
        <v>61</v>
      </c>
      <c r="F27" t="s">
        <v>82</v>
      </c>
    </row>
    <row r="28" spans="3:6">
      <c r="C28" t="s">
        <v>46</v>
      </c>
      <c r="D28" t="s">
        <v>52</v>
      </c>
      <c r="E28" t="s">
        <v>56</v>
      </c>
      <c r="F28" t="s">
        <v>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heetViews>
  <sheetFormatPr defaultRowHeight="15"/>
  <cols>
    <col min="1" max="1" width="14" customWidth="1"/>
    <col min="2" max="2" width="28" customWidth="1"/>
    <col min="3" max="3" width="12" customWidth="1"/>
    <col min="4" max="4" width="18" customWidth="1"/>
    <col min="6" max="6" width="110" customWidth="1"/>
    <col min="7" max="7" width="22" customWidth="1"/>
  </cols>
  <sheetData>
    <row r="1" spans="1:7">
      <c r="A1" s="4" t="s">
        <v>84</v>
      </c>
    </row>
    <row r="3" spans="1:7">
      <c r="A3" s="5" t="s">
        <v>85</v>
      </c>
      <c r="B3" s="5" t="s">
        <v>86</v>
      </c>
      <c r="C3" s="5" t="s">
        <v>87</v>
      </c>
      <c r="D3" s="5" t="s">
        <v>48</v>
      </c>
      <c r="F3" s="7" t="s">
        <v>55</v>
      </c>
      <c r="G3" s="5" t="s">
        <v>47</v>
      </c>
    </row>
    <row r="4" spans="1:7">
      <c r="F4" s="6" t="s">
        <v>88</v>
      </c>
    </row>
    <row r="5" spans="1:7">
      <c r="A5" s="8">
        <v>45448</v>
      </c>
      <c r="B5" t="s">
        <v>89</v>
      </c>
      <c r="C5" s="9">
        <v>12.34</v>
      </c>
      <c r="F5" s="6" t="s">
        <v>90</v>
      </c>
    </row>
    <row r="6" spans="1:7">
      <c r="A6" s="8">
        <v>45450</v>
      </c>
      <c r="B6" t="s">
        <v>91</v>
      </c>
      <c r="C6" s="9">
        <v>78.900000000000006</v>
      </c>
    </row>
    <row r="7" spans="1:7">
      <c r="A7" s="8">
        <v>45453</v>
      </c>
      <c r="B7" t="s">
        <v>92</v>
      </c>
      <c r="C7" s="9">
        <v>299.99</v>
      </c>
    </row>
    <row r="8" spans="1:7">
      <c r="A8" s="8">
        <v>45455</v>
      </c>
      <c r="B8" t="s">
        <v>93</v>
      </c>
      <c r="C8" s="9">
        <v>15.99</v>
      </c>
    </row>
    <row r="9" spans="1:7">
      <c r="A9" s="8">
        <v>45458</v>
      </c>
      <c r="B9" t="s">
        <v>94</v>
      </c>
      <c r="C9" s="9">
        <v>23.45</v>
      </c>
    </row>
    <row r="10" spans="1:7">
      <c r="A10" s="8">
        <v>45461</v>
      </c>
      <c r="B10" t="s">
        <v>95</v>
      </c>
      <c r="C10" s="9">
        <v>56.78</v>
      </c>
    </row>
    <row r="11" spans="1:7">
      <c r="A11" s="8">
        <v>45463</v>
      </c>
      <c r="B11" t="s">
        <v>96</v>
      </c>
      <c r="C11" s="9">
        <v>89.01</v>
      </c>
    </row>
    <row r="12" spans="1:7">
      <c r="A12" s="8">
        <v>45465</v>
      </c>
      <c r="B12" t="s">
        <v>97</v>
      </c>
      <c r="C12" s="9">
        <v>10.5</v>
      </c>
    </row>
    <row r="13" spans="1:7">
      <c r="A13" s="8">
        <v>45468</v>
      </c>
      <c r="B13" t="s">
        <v>98</v>
      </c>
      <c r="C13" s="9">
        <v>40</v>
      </c>
    </row>
    <row r="14" spans="1:7">
      <c r="A14" s="8">
        <v>45413</v>
      </c>
      <c r="B14" t="s">
        <v>99</v>
      </c>
      <c r="C14" s="9">
        <v>9.99</v>
      </c>
    </row>
    <row r="15" spans="1:7">
      <c r="A15" s="8">
        <v>45415</v>
      </c>
      <c r="B15" t="s">
        <v>100</v>
      </c>
      <c r="C15" s="9">
        <v>120</v>
      </c>
    </row>
    <row r="16" spans="1:7">
      <c r="A16" s="8">
        <v>45418</v>
      </c>
      <c r="B16" t="s">
        <v>101</v>
      </c>
      <c r="C16" s="9">
        <v>75.25</v>
      </c>
    </row>
    <row r="17" spans="1:3">
      <c r="A17" s="8">
        <v>45420</v>
      </c>
      <c r="B17" t="s">
        <v>102</v>
      </c>
      <c r="C17" s="9">
        <v>150</v>
      </c>
    </row>
    <row r="18" spans="1:3">
      <c r="A18" s="8">
        <v>45423</v>
      </c>
      <c r="B18" t="s">
        <v>103</v>
      </c>
      <c r="C18" s="9">
        <v>350</v>
      </c>
    </row>
    <row r="19" spans="1:3">
      <c r="A19" s="8">
        <v>45426</v>
      </c>
      <c r="B19" t="s">
        <v>104</v>
      </c>
      <c r="C19" s="9">
        <v>65.430000000000007</v>
      </c>
    </row>
    <row r="20" spans="1:3">
      <c r="A20" s="8">
        <v>45428</v>
      </c>
      <c r="B20" t="s">
        <v>105</v>
      </c>
      <c r="C20" s="9">
        <v>22.1</v>
      </c>
    </row>
    <row r="21" spans="1:3">
      <c r="A21" s="8">
        <v>45431</v>
      </c>
      <c r="B21" t="s">
        <v>106</v>
      </c>
      <c r="C21" s="9">
        <v>18.75</v>
      </c>
    </row>
    <row r="22" spans="1:3">
      <c r="A22" s="8">
        <v>45433</v>
      </c>
      <c r="B22" t="s">
        <v>107</v>
      </c>
      <c r="C22" s="9">
        <v>30</v>
      </c>
    </row>
    <row r="23" spans="1:3">
      <c r="A23" s="8">
        <v>45436</v>
      </c>
      <c r="B23" t="s">
        <v>108</v>
      </c>
      <c r="C23" s="9">
        <v>85</v>
      </c>
    </row>
    <row r="24" spans="1:3">
      <c r="A24" s="8">
        <v>45439</v>
      </c>
      <c r="B24" t="s">
        <v>109</v>
      </c>
      <c r="C24" s="9">
        <v>12.99</v>
      </c>
    </row>
    <row r="25" spans="1:3">
      <c r="A25" s="8">
        <v>45441</v>
      </c>
      <c r="B25" t="s">
        <v>110</v>
      </c>
      <c r="C25" s="9">
        <v>14.5</v>
      </c>
    </row>
    <row r="26" spans="1:3">
      <c r="A26" s="8">
        <v>45442</v>
      </c>
      <c r="B26" t="s">
        <v>111</v>
      </c>
      <c r="C26" s="9">
        <v>60</v>
      </c>
    </row>
    <row r="27" spans="1:3">
      <c r="A27" s="8">
        <v>45444</v>
      </c>
      <c r="B27" t="s">
        <v>112</v>
      </c>
      <c r="C27" s="9">
        <v>55.55</v>
      </c>
    </row>
    <row r="28" spans="1:3">
      <c r="A28" s="8">
        <v>45446</v>
      </c>
      <c r="B28" t="s">
        <v>113</v>
      </c>
      <c r="C28" s="9">
        <v>25</v>
      </c>
    </row>
    <row r="29" spans="1:3">
      <c r="A29" s="8">
        <v>45447</v>
      </c>
      <c r="B29" t="s">
        <v>114</v>
      </c>
      <c r="C29" s="9">
        <v>19.989999999999998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2"/>
  <sheetViews>
    <sheetView workbookViewId="0"/>
  </sheetViews>
  <sheetFormatPr defaultRowHeight="15"/>
  <cols>
    <col min="1" max="1" width="70" customWidth="1"/>
    <col min="2" max="2" width="12" customWidth="1"/>
    <col min="3" max="3" width="18" customWidth="1"/>
    <col min="4" max="4" width="10" customWidth="1"/>
    <col min="6" max="6" width="100" customWidth="1"/>
  </cols>
  <sheetData>
    <row r="1" spans="1:6">
      <c r="A1" s="4" t="s">
        <v>115</v>
      </c>
    </row>
    <row r="3" spans="1:6">
      <c r="A3" s="5" t="s">
        <v>116</v>
      </c>
      <c r="B3" s="5" t="s">
        <v>117</v>
      </c>
      <c r="C3" s="5" t="s">
        <v>118</v>
      </c>
      <c r="D3" s="5" t="s">
        <v>119</v>
      </c>
      <c r="F3" s="7" t="s">
        <v>55</v>
      </c>
    </row>
    <row r="4" spans="1:6">
      <c r="A4" t="s">
        <v>120</v>
      </c>
      <c r="F4" s="6" t="s">
        <v>121</v>
      </c>
    </row>
    <row r="5" spans="1:6">
      <c r="A5" t="s">
        <v>122</v>
      </c>
      <c r="F5" s="6" t="s">
        <v>123</v>
      </c>
    </row>
    <row r="6" spans="1:6">
      <c r="A6" t="s">
        <v>124</v>
      </c>
      <c r="F6" s="6" t="s">
        <v>125</v>
      </c>
    </row>
    <row r="7" spans="1:6">
      <c r="A7" t="s">
        <v>126</v>
      </c>
    </row>
    <row r="8" spans="1:6">
      <c r="A8" t="s">
        <v>127</v>
      </c>
    </row>
    <row r="9" spans="1:6">
      <c r="A9" t="s">
        <v>128</v>
      </c>
    </row>
    <row r="10" spans="1:6">
      <c r="A10" t="s">
        <v>129</v>
      </c>
    </row>
    <row r="11" spans="1:6">
      <c r="A11" t="s">
        <v>130</v>
      </c>
    </row>
    <row r="12" spans="1:6">
      <c r="A12" t="s">
        <v>131</v>
      </c>
    </row>
    <row r="13" spans="1:6">
      <c r="A13" t="s">
        <v>132</v>
      </c>
    </row>
    <row r="14" spans="1:6">
      <c r="A14" t="s">
        <v>133</v>
      </c>
    </row>
    <row r="15" spans="1:6">
      <c r="A15" t="s">
        <v>134</v>
      </c>
    </row>
    <row r="16" spans="1:6">
      <c r="A16" t="s">
        <v>135</v>
      </c>
    </row>
    <row r="17" spans="1:1">
      <c r="A17" t="s">
        <v>136</v>
      </c>
    </row>
    <row r="18" spans="1:1">
      <c r="A18" t="s">
        <v>137</v>
      </c>
    </row>
    <row r="19" spans="1:1">
      <c r="A19" t="s">
        <v>138</v>
      </c>
    </row>
    <row r="20" spans="1:1">
      <c r="A20" t="s">
        <v>139</v>
      </c>
    </row>
    <row r="21" spans="1:1">
      <c r="A21" t="s">
        <v>140</v>
      </c>
    </row>
    <row r="22" spans="1:1">
      <c r="A22" t="s">
        <v>141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3"/>
  <sheetViews>
    <sheetView workbookViewId="0"/>
  </sheetViews>
  <sheetFormatPr defaultRowHeight="15"/>
  <cols>
    <col min="1" max="1" width="2" customWidth="1"/>
    <col min="2" max="2" width="30" customWidth="1"/>
    <col min="3" max="5" width="14" customWidth="1"/>
    <col min="6" max="6" width="12" customWidth="1"/>
    <col min="8" max="8" width="110" customWidth="1"/>
  </cols>
  <sheetData>
    <row r="1" spans="1:8">
      <c r="A1" s="10" t="s">
        <v>142</v>
      </c>
    </row>
    <row r="2" spans="1:8">
      <c r="A2" s="11" t="s">
        <v>143</v>
      </c>
    </row>
    <row r="3" spans="1:8">
      <c r="B3" s="2" t="s">
        <v>144</v>
      </c>
      <c r="H3" s="7" t="s">
        <v>55</v>
      </c>
    </row>
    <row r="4" spans="1:8">
      <c r="A4" s="12"/>
      <c r="B4" s="12"/>
      <c r="C4" s="12" t="s">
        <v>145</v>
      </c>
      <c r="D4" s="12" t="s">
        <v>146</v>
      </c>
      <c r="E4" s="12" t="s">
        <v>147</v>
      </c>
      <c r="F4" s="12" t="s">
        <v>148</v>
      </c>
      <c r="H4" s="6" t="s">
        <v>149</v>
      </c>
    </row>
    <row r="5" spans="1:8">
      <c r="B5" t="s">
        <v>150</v>
      </c>
      <c r="C5" s="13">
        <v>668</v>
      </c>
      <c r="D5" s="13">
        <v>1766</v>
      </c>
      <c r="E5" s="14">
        <v>-1098</v>
      </c>
      <c r="F5" s="15">
        <v>-0.62174405436013591</v>
      </c>
      <c r="H5" s="6" t="s">
        <v>151</v>
      </c>
    </row>
    <row r="6" spans="1:8">
      <c r="B6" t="s">
        <v>152</v>
      </c>
      <c r="C6" s="13">
        <v>98344</v>
      </c>
      <c r="D6" s="13">
        <v>82295</v>
      </c>
      <c r="E6" s="14">
        <v>16049</v>
      </c>
      <c r="F6" s="15">
        <v>0.19501792332462481</v>
      </c>
    </row>
    <row r="7" spans="1:8">
      <c r="B7" t="s">
        <v>153</v>
      </c>
      <c r="C7" s="13">
        <v>582004</v>
      </c>
      <c r="D7" s="13">
        <v>702338</v>
      </c>
      <c r="E7" s="14">
        <v>-120334</v>
      </c>
      <c r="F7" s="15">
        <v>-0.1713334605275523</v>
      </c>
    </row>
    <row r="8" spans="1:8">
      <c r="B8" t="s">
        <v>154</v>
      </c>
      <c r="C8" s="13">
        <v>17462</v>
      </c>
      <c r="D8" s="13">
        <v>32736</v>
      </c>
      <c r="E8" s="14">
        <v>-15274</v>
      </c>
      <c r="F8" s="15">
        <v>-0.46658113391984363</v>
      </c>
    </row>
    <row r="9" spans="1:8">
      <c r="B9" s="16" t="s">
        <v>155</v>
      </c>
      <c r="C9" s="17">
        <v>698477</v>
      </c>
      <c r="D9" s="17">
        <v>819135</v>
      </c>
      <c r="E9" s="18">
        <v>-120658</v>
      </c>
      <c r="F9" s="19">
        <v>-0.14729928522160571</v>
      </c>
    </row>
    <row r="11" spans="1:8">
      <c r="B11" s="2" t="s">
        <v>156</v>
      </c>
    </row>
    <row r="12" spans="1:8">
      <c r="B12" t="s">
        <v>157</v>
      </c>
      <c r="C12" s="13">
        <v>383298</v>
      </c>
      <c r="D12" s="13">
        <v>393380</v>
      </c>
      <c r="E12" s="14">
        <v>-10082</v>
      </c>
      <c r="F12" s="15">
        <v>-2.5629162641720469E-2</v>
      </c>
    </row>
    <row r="13" spans="1:8">
      <c r="B13" t="s">
        <v>158</v>
      </c>
      <c r="C13" s="13">
        <v>3818</v>
      </c>
      <c r="D13" s="13">
        <v>2536</v>
      </c>
      <c r="E13" s="14">
        <v>1282</v>
      </c>
      <c r="F13" s="15">
        <v>0.50552050473186116</v>
      </c>
    </row>
    <row r="14" spans="1:8">
      <c r="B14" s="16" t="s">
        <v>159</v>
      </c>
      <c r="C14" s="17">
        <v>387115</v>
      </c>
      <c r="D14" s="17">
        <v>395916</v>
      </c>
      <c r="E14" s="18">
        <v>-8801</v>
      </c>
      <c r="F14" s="19">
        <v>-2.2229462815344669E-2</v>
      </c>
    </row>
    <row r="16" spans="1:8">
      <c r="B16" s="2" t="s">
        <v>160</v>
      </c>
    </row>
    <row r="17" spans="2:6">
      <c r="B17" s="16" t="s">
        <v>160</v>
      </c>
      <c r="C17" s="17">
        <v>311362</v>
      </c>
      <c r="D17" s="17">
        <v>423218</v>
      </c>
      <c r="E17" s="18">
        <v>-111856</v>
      </c>
      <c r="F17" s="19">
        <v>-0.26429877746220631</v>
      </c>
    </row>
    <row r="19" spans="2:6">
      <c r="B19" s="2" t="s">
        <v>161</v>
      </c>
    </row>
    <row r="20" spans="2:6">
      <c r="B20" t="s">
        <v>162</v>
      </c>
      <c r="C20" s="13">
        <v>3990</v>
      </c>
      <c r="D20" s="13">
        <v>4200</v>
      </c>
      <c r="E20" s="14">
        <v>-210</v>
      </c>
      <c r="F20" s="15">
        <v>-0.05</v>
      </c>
    </row>
    <row r="21" spans="2:6">
      <c r="B21" t="s">
        <v>163</v>
      </c>
      <c r="C21" s="13">
        <v>14369</v>
      </c>
      <c r="D21" s="13">
        <v>13062</v>
      </c>
      <c r="E21" s="14">
        <v>1307</v>
      </c>
      <c r="F21" s="15">
        <v>0.1000612463634972</v>
      </c>
    </row>
    <row r="22" spans="2:6">
      <c r="B22" t="s">
        <v>164</v>
      </c>
      <c r="C22" s="13">
        <v>17228</v>
      </c>
      <c r="D22" s="13">
        <v>20076</v>
      </c>
      <c r="E22" s="14">
        <v>-2848</v>
      </c>
      <c r="F22" s="15">
        <v>-0.14186092847180709</v>
      </c>
    </row>
    <row r="23" spans="2:6">
      <c r="B23" t="s">
        <v>165</v>
      </c>
      <c r="C23" s="13">
        <v>5363</v>
      </c>
      <c r="D23" s="13">
        <v>5075</v>
      </c>
      <c r="E23" s="14">
        <v>288</v>
      </c>
      <c r="F23" s="15">
        <v>5.6748768472906413E-2</v>
      </c>
    </row>
    <row r="24" spans="2:6">
      <c r="B24" t="s">
        <v>166</v>
      </c>
      <c r="C24" s="13">
        <v>246</v>
      </c>
      <c r="D24" s="13">
        <v>234</v>
      </c>
      <c r="E24" s="14">
        <v>12</v>
      </c>
      <c r="F24" s="15">
        <v>5.128205128205128E-2</v>
      </c>
    </row>
    <row r="25" spans="2:6">
      <c r="B25" t="s">
        <v>167</v>
      </c>
      <c r="C25" s="13">
        <v>13912</v>
      </c>
      <c r="D25" s="13">
        <v>12838</v>
      </c>
      <c r="E25" s="14">
        <v>1074</v>
      </c>
      <c r="F25" s="15">
        <v>8.3657890637170898E-2</v>
      </c>
    </row>
    <row r="26" spans="2:6">
      <c r="B26" t="s">
        <v>168</v>
      </c>
      <c r="C26" s="13">
        <v>181</v>
      </c>
      <c r="D26" s="13">
        <v>289</v>
      </c>
      <c r="E26" s="14">
        <v>-108</v>
      </c>
      <c r="F26" s="15">
        <v>-0.37370242214532873</v>
      </c>
    </row>
    <row r="27" spans="2:6">
      <c r="B27" t="s">
        <v>169</v>
      </c>
      <c r="C27" s="13">
        <v>4870</v>
      </c>
      <c r="D27" s="13">
        <v>5612</v>
      </c>
      <c r="E27" s="14">
        <v>-742</v>
      </c>
      <c r="F27" s="15">
        <v>-0.13221667854597291</v>
      </c>
    </row>
    <row r="28" spans="2:6">
      <c r="B28" t="s">
        <v>170</v>
      </c>
      <c r="C28" s="13">
        <v>756</v>
      </c>
      <c r="D28" s="13">
        <v>4038</v>
      </c>
      <c r="E28" s="14">
        <v>-3282</v>
      </c>
      <c r="F28" s="15">
        <v>-0.81277860326894502</v>
      </c>
    </row>
    <row r="29" spans="2:6">
      <c r="B29" t="s">
        <v>171</v>
      </c>
      <c r="C29" s="13">
        <v>20489</v>
      </c>
      <c r="D29" s="13">
        <v>30951</v>
      </c>
      <c r="E29" s="14">
        <v>-10462</v>
      </c>
      <c r="F29" s="15">
        <v>-0.33801815773319122</v>
      </c>
    </row>
    <row r="30" spans="2:6">
      <c r="B30" s="16" t="s">
        <v>172</v>
      </c>
      <c r="C30" s="17">
        <v>81405</v>
      </c>
      <c r="D30" s="17">
        <v>96374</v>
      </c>
      <c r="E30" s="18">
        <v>-14969</v>
      </c>
      <c r="F30" s="19">
        <v>-0.1553219748064831</v>
      </c>
    </row>
    <row r="32" spans="2:6">
      <c r="B32" s="2" t="s">
        <v>173</v>
      </c>
    </row>
    <row r="33" spans="2:6">
      <c r="B33" s="20" t="s">
        <v>173</v>
      </c>
      <c r="C33" s="21">
        <v>229957</v>
      </c>
      <c r="D33" s="21">
        <v>326844</v>
      </c>
      <c r="E33" s="22">
        <v>-96887</v>
      </c>
      <c r="F33" s="23">
        <v>-0.29643193694851372</v>
      </c>
    </row>
  </sheetData>
  <pageMargins left="0.75" right="0.75" top="1" bottom="1" header="0.5" footer="0.5"/>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Erik Montes</cp:lastModifiedBy>
  <cp:revision/>
  <dcterms:created xsi:type="dcterms:W3CDTF">2026-05-14T18:02:59Z</dcterms:created>
  <dcterms:modified xsi:type="dcterms:W3CDTF">2026-05-14T19:40:16Z</dcterms:modified>
  <cp:category/>
  <cp:contentStatus/>
</cp:coreProperties>
</file>