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xr:revisionPtr revIDLastSave="1" documentId="11_8B41ED505FAA02755271DA28A5FE84DE27197AC5" xr6:coauthVersionLast="47" xr6:coauthVersionMax="47" xr10:uidLastSave="{530005F9-B74B-4597-9E41-932C6E3E1296}"/>
  <bookViews>
    <workbookView xWindow="0" yWindow="0" windowWidth="0" windowHeight="0" xr2:uid="{00000000-000D-0000-FFFF-FFFF00000000}"/>
  </bookViews>
  <sheets>
    <sheet name="{HFM Defaults}" sheetId="1" r:id="rId1"/>
    <sheet name="Billing Days" sheetId="2" r:id="rId2"/>
    <sheet name="Variances Summary" sheetId="3" r:id="rId3"/>
    <sheet name="Exec Smry Safety" sheetId="4" r:id="rId4"/>
    <sheet name="Safety-Var" sheetId="5" r:id="rId5"/>
    <sheet name="Safety-Adj" sheetId="6" r:id="rId6"/>
    <sheet name="Safety" sheetId="7" r:id="rId7"/>
    <sheet name="Alder-Var" sheetId="8" r:id="rId8"/>
    <sheet name="Alder-Adj" sheetId="9" r:id="rId9"/>
    <sheet name="Alder" sheetId="10" r:id="rId10"/>
    <sheet name="Beacon-Var" sheetId="11" r:id="rId11"/>
    <sheet name="Beacon-Adj" sheetId="12" r:id="rId12"/>
    <sheet name="Beacon" sheetId="13" r:id="rId13"/>
    <sheet name="Cobalt-Var" sheetId="14" r:id="rId14"/>
    <sheet name="Cobalt-Adj" sheetId="15" r:id="rId15"/>
    <sheet name="Cobalt" sheetId="16" r:id="rId16"/>
    <sheet name="Delta-Var" sheetId="17" r:id="rId17"/>
    <sheet name="Delta-Adj" sheetId="18" r:id="rId18"/>
    <sheet name="Delta" sheetId="19" r:id="rId19"/>
    <sheet name="Ember-Var" sheetId="20" r:id="rId20"/>
    <sheet name="Ember-Adj" sheetId="21" r:id="rId21"/>
    <sheet name="Ember" sheetId="22" r:id="rId22"/>
    <sheet name="Falcon-Var" sheetId="23" r:id="rId23"/>
    <sheet name="Falcon-Adj" sheetId="24" r:id="rId24"/>
    <sheet name="Falcon" sheetId="25" r:id="rId25"/>
    <sheet name="Granite-Var" sheetId="26" r:id="rId26"/>
    <sheet name="Granite-Adj" sheetId="27" r:id="rId27"/>
    <sheet name="Granite" sheetId="28" r:id="rId28"/>
    <sheet name="Hollis-Var" sheetId="29" r:id="rId29"/>
    <sheet name="Hollis-Adj" sheetId="30" r:id="rId30"/>
    <sheet name="Hollis" sheetId="31" r:id="rId31"/>
    <sheet name="SAFEREG-Var" sheetId="32" r:id="rId32"/>
    <sheet name="SAFEREG-Adj" sheetId="33" r:id="rId33"/>
    <sheet name="SAFEREG" sheetId="34" r:id="rId34"/>
    <sheet name="R&amp;Os" sheetId="35" state="hidden" r:id="rId3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35" l="1"/>
  <c r="G19" i="35"/>
  <c r="H19" i="35" s="1"/>
  <c r="G18" i="35"/>
  <c r="H18" i="35" s="1"/>
  <c r="G17" i="35"/>
  <c r="H17" i="35" s="1"/>
  <c r="G16" i="35"/>
  <c r="H16" i="35" s="1"/>
  <c r="G15" i="35"/>
  <c r="H15" i="35" s="1"/>
  <c r="G14" i="35"/>
  <c r="H14" i="35" s="1"/>
  <c r="G13" i="35"/>
  <c r="H13" i="35" s="1"/>
  <c r="G12" i="35"/>
  <c r="H12" i="35" s="1"/>
  <c r="G11" i="35"/>
  <c r="H11" i="35" s="1"/>
  <c r="H20" i="35" s="1"/>
  <c r="N73" i="34"/>
  <c r="O73" i="34" s="1"/>
  <c r="M73" i="34"/>
  <c r="L73" i="34"/>
  <c r="K73" i="34"/>
  <c r="J73" i="34"/>
  <c r="I73" i="34"/>
  <c r="H73" i="34"/>
  <c r="G73" i="34"/>
  <c r="F73" i="34"/>
  <c r="E73" i="34"/>
  <c r="D73" i="34"/>
  <c r="C73" i="34"/>
  <c r="O72" i="34"/>
  <c r="O71" i="34"/>
  <c r="O70" i="34"/>
  <c r="O69" i="34"/>
  <c r="O68" i="34"/>
  <c r="N67" i="34"/>
  <c r="M67" i="34"/>
  <c r="L67" i="34"/>
  <c r="K67" i="34"/>
  <c r="J67" i="34"/>
  <c r="I67" i="34"/>
  <c r="H67" i="34"/>
  <c r="G67" i="34"/>
  <c r="F67" i="34"/>
  <c r="E67" i="34"/>
  <c r="D67" i="34"/>
  <c r="C67" i="34"/>
  <c r="O67" i="34" s="1"/>
  <c r="O66" i="34"/>
  <c r="O65" i="34"/>
  <c r="O64" i="34"/>
  <c r="N60" i="34"/>
  <c r="O60" i="34" s="1"/>
  <c r="M60" i="34"/>
  <c r="L60" i="34"/>
  <c r="K60" i="34"/>
  <c r="J60" i="34"/>
  <c r="I60" i="34"/>
  <c r="H60" i="34"/>
  <c r="G60" i="34"/>
  <c r="F60" i="34"/>
  <c r="E60" i="34"/>
  <c r="D60" i="34"/>
  <c r="C60" i="34"/>
  <c r="O59" i="34"/>
  <c r="O58" i="34"/>
  <c r="O57" i="34"/>
  <c r="O56" i="34"/>
  <c r="O55" i="34"/>
  <c r="N54" i="34"/>
  <c r="M54" i="34"/>
  <c r="L54" i="34"/>
  <c r="K54" i="34"/>
  <c r="J54" i="34"/>
  <c r="I54" i="34"/>
  <c r="H54" i="34"/>
  <c r="G54" i="34"/>
  <c r="F54" i="34"/>
  <c r="E54" i="34"/>
  <c r="D54" i="34"/>
  <c r="C54" i="34"/>
  <c r="O54" i="34" s="1"/>
  <c r="O53" i="34"/>
  <c r="O52" i="34"/>
  <c r="O51" i="34"/>
  <c r="AB45" i="34"/>
  <c r="AA45" i="34"/>
  <c r="AA46" i="34" s="1"/>
  <c r="Z45" i="34"/>
  <c r="Z46" i="34" s="1"/>
  <c r="Y45" i="34"/>
  <c r="Y46" i="34" s="1"/>
  <c r="X45" i="34"/>
  <c r="X46" i="34" s="1"/>
  <c r="W45" i="34"/>
  <c r="W46" i="34" s="1"/>
  <c r="V45" i="34"/>
  <c r="V46" i="34" s="1"/>
  <c r="U45" i="34"/>
  <c r="U46" i="34" s="1"/>
  <c r="T45" i="34"/>
  <c r="T46" i="34" s="1"/>
  <c r="S45" i="34"/>
  <c r="S46" i="34" s="1"/>
  <c r="R45" i="34"/>
  <c r="R46" i="34" s="1"/>
  <c r="Q45" i="34"/>
  <c r="Q46" i="34" s="1"/>
  <c r="N45" i="34"/>
  <c r="M45" i="34"/>
  <c r="M46" i="34" s="1"/>
  <c r="L45" i="34"/>
  <c r="L46" i="34" s="1"/>
  <c r="K45" i="34"/>
  <c r="K46" i="34" s="1"/>
  <c r="J45" i="34"/>
  <c r="J46" i="34" s="1"/>
  <c r="I45" i="34"/>
  <c r="I46" i="34" s="1"/>
  <c r="H45" i="34"/>
  <c r="H46" i="34" s="1"/>
  <c r="G45" i="34"/>
  <c r="G46" i="34" s="1"/>
  <c r="F45" i="34"/>
  <c r="F46" i="34" s="1"/>
  <c r="E45" i="34"/>
  <c r="E46" i="34" s="1"/>
  <c r="D45" i="34"/>
  <c r="D46" i="34" s="1"/>
  <c r="C45" i="34"/>
  <c r="C46" i="34" s="1"/>
  <c r="BD44" i="34"/>
  <c r="BE44" i="34" s="1"/>
  <c r="BC44" i="34"/>
  <c r="BB44" i="34"/>
  <c r="BA44" i="34"/>
  <c r="AZ44" i="34"/>
  <c r="AY44" i="34"/>
  <c r="AX44" i="34"/>
  <c r="AW44" i="34"/>
  <c r="AV44" i="34"/>
  <c r="AU44" i="34"/>
  <c r="AT44" i="34"/>
  <c r="AS44" i="34"/>
  <c r="AP44" i="34"/>
  <c r="AO44" i="34"/>
  <c r="BQ44" i="34" s="1"/>
  <c r="AN44" i="34"/>
  <c r="BP44" i="34" s="1"/>
  <c r="AM44" i="34"/>
  <c r="BO44" i="34" s="1"/>
  <c r="AL44" i="34"/>
  <c r="BN44" i="34" s="1"/>
  <c r="AK44" i="34"/>
  <c r="BM44" i="34" s="1"/>
  <c r="AJ44" i="34"/>
  <c r="BL44" i="34" s="1"/>
  <c r="AI44" i="34"/>
  <c r="BK44" i="34" s="1"/>
  <c r="AH44" i="34"/>
  <c r="BJ44" i="34" s="1"/>
  <c r="AG44" i="34"/>
  <c r="BI44" i="34" s="1"/>
  <c r="AF44" i="34"/>
  <c r="BH44" i="34" s="1"/>
  <c r="AE44" i="34"/>
  <c r="BG44" i="34" s="1"/>
  <c r="AC44" i="34"/>
  <c r="O44" i="34"/>
  <c r="BD43" i="34"/>
  <c r="BE43" i="34" s="1"/>
  <c r="BC43" i="34"/>
  <c r="BB43" i="34"/>
  <c r="BA43" i="34"/>
  <c r="AZ43" i="34"/>
  <c r="AY43" i="34"/>
  <c r="AX43" i="34"/>
  <c r="AW43" i="34"/>
  <c r="AV43" i="34"/>
  <c r="AU43" i="34"/>
  <c r="AT43" i="34"/>
  <c r="AS43" i="34"/>
  <c r="AP43" i="34"/>
  <c r="AO43" i="34"/>
  <c r="BQ43" i="34" s="1"/>
  <c r="AN43" i="34"/>
  <c r="BP43" i="34" s="1"/>
  <c r="AM43" i="34"/>
  <c r="BO43" i="34" s="1"/>
  <c r="AL43" i="34"/>
  <c r="BN43" i="34" s="1"/>
  <c r="AK43" i="34"/>
  <c r="BM43" i="34" s="1"/>
  <c r="AJ43" i="34"/>
  <c r="BL43" i="34" s="1"/>
  <c r="AI43" i="34"/>
  <c r="BK43" i="34" s="1"/>
  <c r="AH43" i="34"/>
  <c r="BJ43" i="34" s="1"/>
  <c r="AG43" i="34"/>
  <c r="BI43" i="34" s="1"/>
  <c r="AF43" i="34"/>
  <c r="BH43" i="34" s="1"/>
  <c r="AE43" i="34"/>
  <c r="BG43" i="34" s="1"/>
  <c r="AC43" i="34"/>
  <c r="O43" i="34"/>
  <c r="BD42" i="34"/>
  <c r="BE42" i="34" s="1"/>
  <c r="BC42" i="34"/>
  <c r="BB42" i="34"/>
  <c r="BA42" i="34"/>
  <c r="AZ42" i="34"/>
  <c r="AY42" i="34"/>
  <c r="AX42" i="34"/>
  <c r="AW42" i="34"/>
  <c r="AV42" i="34"/>
  <c r="AU42" i="34"/>
  <c r="AT42" i="34"/>
  <c r="AS42" i="34"/>
  <c r="AP42" i="34"/>
  <c r="AO42" i="34"/>
  <c r="BQ42" i="34" s="1"/>
  <c r="AN42" i="34"/>
  <c r="BP42" i="34" s="1"/>
  <c r="AM42" i="34"/>
  <c r="BO42" i="34" s="1"/>
  <c r="AL42" i="34"/>
  <c r="BN42" i="34" s="1"/>
  <c r="AK42" i="34"/>
  <c r="BM42" i="34" s="1"/>
  <c r="AJ42" i="34"/>
  <c r="BL42" i="34" s="1"/>
  <c r="AI42" i="34"/>
  <c r="BK42" i="34" s="1"/>
  <c r="AH42" i="34"/>
  <c r="BJ42" i="34" s="1"/>
  <c r="AG42" i="34"/>
  <c r="BI42" i="34" s="1"/>
  <c r="AF42" i="34"/>
  <c r="BH42" i="34" s="1"/>
  <c r="AE42" i="34"/>
  <c r="BG42" i="34" s="1"/>
  <c r="AC42" i="34"/>
  <c r="O42" i="34"/>
  <c r="BD41" i="34"/>
  <c r="BE41" i="34" s="1"/>
  <c r="BC41" i="34"/>
  <c r="BB41" i="34"/>
  <c r="BA41" i="34"/>
  <c r="AZ41" i="34"/>
  <c r="AY41" i="34"/>
  <c r="AX41" i="34"/>
  <c r="AW41" i="34"/>
  <c r="AV41" i="34"/>
  <c r="AU41" i="34"/>
  <c r="AT41" i="34"/>
  <c r="AS41" i="34"/>
  <c r="AP41" i="34"/>
  <c r="AO41" i="34"/>
  <c r="BQ41" i="34" s="1"/>
  <c r="AN41" i="34"/>
  <c r="BP41" i="34" s="1"/>
  <c r="AM41" i="34"/>
  <c r="BO41" i="34" s="1"/>
  <c r="AL41" i="34"/>
  <c r="BN41" i="34" s="1"/>
  <c r="AK41" i="34"/>
  <c r="BM41" i="34" s="1"/>
  <c r="AJ41" i="34"/>
  <c r="BL41" i="34" s="1"/>
  <c r="AI41" i="34"/>
  <c r="BK41" i="34" s="1"/>
  <c r="AH41" i="34"/>
  <c r="BJ41" i="34" s="1"/>
  <c r="AG41" i="34"/>
  <c r="BI41" i="34" s="1"/>
  <c r="AF41" i="34"/>
  <c r="BH41" i="34" s="1"/>
  <c r="AE41" i="34"/>
  <c r="BG41" i="34" s="1"/>
  <c r="AC41" i="34"/>
  <c r="O41" i="34"/>
  <c r="BD40" i="34"/>
  <c r="BC40" i="34"/>
  <c r="BC45" i="34" s="1"/>
  <c r="BB40" i="34"/>
  <c r="BB45" i="34" s="1"/>
  <c r="BA40" i="34"/>
  <c r="BA45" i="34" s="1"/>
  <c r="AZ40" i="34"/>
  <c r="AZ45" i="34" s="1"/>
  <c r="AY40" i="34"/>
  <c r="AY45" i="34" s="1"/>
  <c r="AX40" i="34"/>
  <c r="AX45" i="34" s="1"/>
  <c r="AW40" i="34"/>
  <c r="AW45" i="34" s="1"/>
  <c r="AV40" i="34"/>
  <c r="AV45" i="34" s="1"/>
  <c r="AU40" i="34"/>
  <c r="AU45" i="34" s="1"/>
  <c r="AT40" i="34"/>
  <c r="AT45" i="34" s="1"/>
  <c r="AS40" i="34"/>
  <c r="AS45" i="34" s="1"/>
  <c r="AP40" i="34"/>
  <c r="AO40" i="34"/>
  <c r="AN40" i="34"/>
  <c r="AM40" i="34"/>
  <c r="AL40" i="34"/>
  <c r="AK40" i="34"/>
  <c r="AJ40" i="34"/>
  <c r="AI40" i="34"/>
  <c r="AH40" i="34"/>
  <c r="AG40" i="34"/>
  <c r="AF40" i="34"/>
  <c r="AE40" i="34"/>
  <c r="AC40" i="34"/>
  <c r="O40" i="34"/>
  <c r="AB38" i="34"/>
  <c r="AA38" i="34"/>
  <c r="Z38" i="34"/>
  <c r="Y38" i="34"/>
  <c r="X38" i="34"/>
  <c r="W38" i="34"/>
  <c r="V38" i="34"/>
  <c r="U38" i="34"/>
  <c r="T38" i="34"/>
  <c r="S38" i="34"/>
  <c r="R38" i="34"/>
  <c r="Q38" i="34"/>
  <c r="N38" i="34"/>
  <c r="M38" i="34"/>
  <c r="L38" i="34"/>
  <c r="K38" i="34"/>
  <c r="J38" i="34"/>
  <c r="I38" i="34"/>
  <c r="H38" i="34"/>
  <c r="G38" i="34"/>
  <c r="F38" i="34"/>
  <c r="E38" i="34"/>
  <c r="D38" i="34"/>
  <c r="C38" i="34"/>
  <c r="AB36" i="34"/>
  <c r="AA36" i="34"/>
  <c r="Z36" i="34"/>
  <c r="Y36" i="34"/>
  <c r="X36" i="34"/>
  <c r="W36" i="34"/>
  <c r="V36" i="34"/>
  <c r="U36" i="34"/>
  <c r="T36" i="34"/>
  <c r="S36" i="34"/>
  <c r="R36" i="34"/>
  <c r="Q36" i="34"/>
  <c r="N36" i="34"/>
  <c r="M36" i="34"/>
  <c r="L36" i="34"/>
  <c r="K36" i="34"/>
  <c r="J36" i="34"/>
  <c r="I36" i="34"/>
  <c r="H36" i="34"/>
  <c r="G36" i="34"/>
  <c r="F36" i="34"/>
  <c r="E36" i="34"/>
  <c r="D36" i="34"/>
  <c r="C36" i="34"/>
  <c r="AB35" i="34"/>
  <c r="AA35" i="34"/>
  <c r="Z35" i="34"/>
  <c r="Y35" i="34"/>
  <c r="X35" i="34"/>
  <c r="W35" i="34"/>
  <c r="V35" i="34"/>
  <c r="U35" i="34"/>
  <c r="T35" i="34"/>
  <c r="S35" i="34"/>
  <c r="R35" i="34"/>
  <c r="Q35" i="34"/>
  <c r="N35" i="34"/>
  <c r="M35" i="34"/>
  <c r="L35" i="34"/>
  <c r="K35" i="34"/>
  <c r="J35" i="34"/>
  <c r="I35" i="34"/>
  <c r="H35" i="34"/>
  <c r="G35" i="34"/>
  <c r="F35" i="34"/>
  <c r="E35" i="34"/>
  <c r="D35" i="34"/>
  <c r="C35" i="34"/>
  <c r="AB31" i="34"/>
  <c r="AB37" i="34" s="1"/>
  <c r="AA31" i="34"/>
  <c r="AA37" i="34" s="1"/>
  <c r="Z31" i="34"/>
  <c r="Z37" i="34" s="1"/>
  <c r="Y31" i="34"/>
  <c r="Y37" i="34" s="1"/>
  <c r="X31" i="34"/>
  <c r="X37" i="34" s="1"/>
  <c r="W31" i="34"/>
  <c r="W37" i="34" s="1"/>
  <c r="V31" i="34"/>
  <c r="V37" i="34" s="1"/>
  <c r="U31" i="34"/>
  <c r="U37" i="34" s="1"/>
  <c r="T31" i="34"/>
  <c r="T37" i="34" s="1"/>
  <c r="S31" i="34"/>
  <c r="S37" i="34" s="1"/>
  <c r="R31" i="34"/>
  <c r="R37" i="34" s="1"/>
  <c r="Q31" i="34"/>
  <c r="N31" i="34"/>
  <c r="N37" i="34" s="1"/>
  <c r="M31" i="34"/>
  <c r="M37" i="34" s="1"/>
  <c r="L31" i="34"/>
  <c r="L37" i="34" s="1"/>
  <c r="K31" i="34"/>
  <c r="K37" i="34" s="1"/>
  <c r="J31" i="34"/>
  <c r="J37" i="34" s="1"/>
  <c r="I31" i="34"/>
  <c r="I37" i="34" s="1"/>
  <c r="H31" i="34"/>
  <c r="H37" i="34" s="1"/>
  <c r="G31" i="34"/>
  <c r="G37" i="34" s="1"/>
  <c r="F31" i="34"/>
  <c r="F37" i="34" s="1"/>
  <c r="E31" i="34"/>
  <c r="E37" i="34" s="1"/>
  <c r="D31" i="34"/>
  <c r="D37" i="34" s="1"/>
  <c r="C31" i="34"/>
  <c r="AP30" i="34"/>
  <c r="AO30" i="34"/>
  <c r="AN30" i="34"/>
  <c r="AM30" i="34"/>
  <c r="AL30" i="34"/>
  <c r="AK30" i="34"/>
  <c r="AJ30" i="34"/>
  <c r="AI30" i="34"/>
  <c r="AH30" i="34"/>
  <c r="AG30" i="34"/>
  <c r="AF30" i="34"/>
  <c r="AE30" i="34"/>
  <c r="AC30" i="34"/>
  <c r="AC36" i="34" s="1"/>
  <c r="O30" i="34"/>
  <c r="O36" i="34" s="1"/>
  <c r="AP29" i="34"/>
  <c r="AO29" i="34"/>
  <c r="AN29" i="34"/>
  <c r="AM29" i="34"/>
  <c r="AL29" i="34"/>
  <c r="AK29" i="34"/>
  <c r="AJ29" i="34"/>
  <c r="AI29" i="34"/>
  <c r="AH29" i="34"/>
  <c r="AG29" i="34"/>
  <c r="AF29" i="34"/>
  <c r="AE29" i="34"/>
  <c r="AC29" i="34"/>
  <c r="AC35" i="34" s="1"/>
  <c r="O29" i="34"/>
  <c r="O35" i="34" s="1"/>
  <c r="AP28" i="34"/>
  <c r="AO28" i="34"/>
  <c r="AN28" i="34"/>
  <c r="AM28" i="34"/>
  <c r="AL28" i="34"/>
  <c r="AK28" i="34"/>
  <c r="AJ28" i="34"/>
  <c r="AI28" i="34"/>
  <c r="AH28" i="34"/>
  <c r="AG28" i="34"/>
  <c r="AF28" i="34"/>
  <c r="AE28" i="34"/>
  <c r="AC28" i="34"/>
  <c r="AC38" i="34" s="1"/>
  <c r="O28" i="34"/>
  <c r="O38" i="34" s="1"/>
  <c r="N95" i="33"/>
  <c r="M95" i="33"/>
  <c r="L95" i="33"/>
  <c r="K95" i="33"/>
  <c r="J95" i="33"/>
  <c r="I95" i="33"/>
  <c r="H95" i="33"/>
  <c r="G95" i="33"/>
  <c r="F95" i="33"/>
  <c r="E95" i="33"/>
  <c r="D95" i="33"/>
  <c r="C95" i="33"/>
  <c r="N84" i="33"/>
  <c r="M84" i="33"/>
  <c r="L84" i="33"/>
  <c r="K84" i="33"/>
  <c r="J84" i="33"/>
  <c r="I84" i="33"/>
  <c r="H84" i="33"/>
  <c r="G84" i="33"/>
  <c r="F84" i="33"/>
  <c r="E84" i="33"/>
  <c r="D84" i="33"/>
  <c r="C84" i="33"/>
  <c r="O84" i="33" s="1"/>
  <c r="N82" i="33"/>
  <c r="N85" i="33" s="1"/>
  <c r="M82" i="33"/>
  <c r="M85" i="33" s="1"/>
  <c r="L82" i="33"/>
  <c r="L85" i="33" s="1"/>
  <c r="K82" i="33"/>
  <c r="K85" i="33" s="1"/>
  <c r="J82" i="33"/>
  <c r="J85" i="33" s="1"/>
  <c r="I82" i="33"/>
  <c r="I85" i="33" s="1"/>
  <c r="H82" i="33"/>
  <c r="H85" i="33" s="1"/>
  <c r="G82" i="33"/>
  <c r="G85" i="33" s="1"/>
  <c r="F82" i="33"/>
  <c r="F85" i="33" s="1"/>
  <c r="E82" i="33"/>
  <c r="E85" i="33" s="1"/>
  <c r="D82" i="33"/>
  <c r="D85" i="33" s="1"/>
  <c r="C82" i="33"/>
  <c r="C85" i="33" s="1"/>
  <c r="N77" i="33"/>
  <c r="M77" i="33"/>
  <c r="L77" i="33"/>
  <c r="K77" i="33"/>
  <c r="J77" i="33"/>
  <c r="I77" i="33"/>
  <c r="H77" i="33"/>
  <c r="G77" i="33"/>
  <c r="F77" i="33"/>
  <c r="E77" i="33"/>
  <c r="D77" i="33"/>
  <c r="C77" i="33"/>
  <c r="O77" i="33" s="1"/>
  <c r="N75" i="33"/>
  <c r="N78" i="33" s="1"/>
  <c r="M75" i="33"/>
  <c r="M78" i="33" s="1"/>
  <c r="L75" i="33"/>
  <c r="L78" i="33" s="1"/>
  <c r="K75" i="33"/>
  <c r="K78" i="33" s="1"/>
  <c r="J75" i="33"/>
  <c r="J78" i="33" s="1"/>
  <c r="I75" i="33"/>
  <c r="I78" i="33" s="1"/>
  <c r="H75" i="33"/>
  <c r="H78" i="33" s="1"/>
  <c r="G75" i="33"/>
  <c r="G78" i="33" s="1"/>
  <c r="F75" i="33"/>
  <c r="F78" i="33" s="1"/>
  <c r="E75" i="33"/>
  <c r="E78" i="33" s="1"/>
  <c r="D75" i="33"/>
  <c r="D78" i="33" s="1"/>
  <c r="C75" i="33"/>
  <c r="C78" i="33" s="1"/>
  <c r="N68" i="33"/>
  <c r="M68" i="33"/>
  <c r="L68" i="33"/>
  <c r="K68" i="33"/>
  <c r="J68" i="33"/>
  <c r="I68" i="33"/>
  <c r="H68" i="33"/>
  <c r="G68" i="33"/>
  <c r="F68" i="33"/>
  <c r="E68" i="33"/>
  <c r="D68" i="33"/>
  <c r="C68" i="33"/>
  <c r="O68" i="33" s="1"/>
  <c r="B68" i="33"/>
  <c r="N67" i="33"/>
  <c r="M67" i="33"/>
  <c r="L67" i="33"/>
  <c r="K67" i="33"/>
  <c r="J67" i="33"/>
  <c r="I67" i="33"/>
  <c r="H67" i="33"/>
  <c r="G67" i="33"/>
  <c r="F67" i="33"/>
  <c r="E67" i="33"/>
  <c r="D67" i="33"/>
  <c r="C67" i="33"/>
  <c r="O67" i="33" s="1"/>
  <c r="B67" i="33"/>
  <c r="N66" i="33"/>
  <c r="M66" i="33"/>
  <c r="L66" i="33"/>
  <c r="K66" i="33"/>
  <c r="J66" i="33"/>
  <c r="I66" i="33"/>
  <c r="H66" i="33"/>
  <c r="G66" i="33"/>
  <c r="F66" i="33"/>
  <c r="E66" i="33"/>
  <c r="D66" i="33"/>
  <c r="C66" i="33"/>
  <c r="O66" i="33" s="1"/>
  <c r="B66" i="33"/>
  <c r="N65" i="33"/>
  <c r="M65" i="33"/>
  <c r="L65" i="33"/>
  <c r="K65" i="33"/>
  <c r="J65" i="33"/>
  <c r="I65" i="33"/>
  <c r="H65" i="33"/>
  <c r="G65" i="33"/>
  <c r="F65" i="33"/>
  <c r="E65" i="33"/>
  <c r="D65" i="33"/>
  <c r="C65" i="33"/>
  <c r="O65" i="33" s="1"/>
  <c r="B65" i="33"/>
  <c r="N64" i="33"/>
  <c r="M64" i="33"/>
  <c r="L64" i="33"/>
  <c r="K64" i="33"/>
  <c r="J64" i="33"/>
  <c r="I64" i="33"/>
  <c r="H64" i="33"/>
  <c r="G64" i="33"/>
  <c r="F64" i="33"/>
  <c r="E64" i="33"/>
  <c r="D64" i="33"/>
  <c r="C64" i="33"/>
  <c r="O64" i="33" s="1"/>
  <c r="B64" i="33"/>
  <c r="N63" i="33"/>
  <c r="M63" i="33"/>
  <c r="L63" i="33"/>
  <c r="K63" i="33"/>
  <c r="J63" i="33"/>
  <c r="I63" i="33"/>
  <c r="H63" i="33"/>
  <c r="G63" i="33"/>
  <c r="F63" i="33"/>
  <c r="E63" i="33"/>
  <c r="D63" i="33"/>
  <c r="C63" i="33"/>
  <c r="O63" i="33" s="1"/>
  <c r="B63" i="33"/>
  <c r="N62" i="33"/>
  <c r="M62" i="33"/>
  <c r="L62" i="33"/>
  <c r="K62" i="33"/>
  <c r="J62" i="33"/>
  <c r="I62" i="33"/>
  <c r="H62" i="33"/>
  <c r="G62" i="33"/>
  <c r="F62" i="33"/>
  <c r="E62" i="33"/>
  <c r="D62" i="33"/>
  <c r="C62" i="33"/>
  <c r="O62" i="33" s="1"/>
  <c r="B62" i="33"/>
  <c r="N61" i="33"/>
  <c r="N69" i="33" s="1"/>
  <c r="M61" i="33"/>
  <c r="M69" i="33" s="1"/>
  <c r="L61" i="33"/>
  <c r="L69" i="33" s="1"/>
  <c r="K61" i="33"/>
  <c r="K69" i="33" s="1"/>
  <c r="J61" i="33"/>
  <c r="J69" i="33" s="1"/>
  <c r="I61" i="33"/>
  <c r="I69" i="33" s="1"/>
  <c r="H61" i="33"/>
  <c r="H69" i="33" s="1"/>
  <c r="G61" i="33"/>
  <c r="G69" i="33" s="1"/>
  <c r="F61" i="33"/>
  <c r="F69" i="33" s="1"/>
  <c r="E61" i="33"/>
  <c r="E69" i="33" s="1"/>
  <c r="D61" i="33"/>
  <c r="D69" i="33" s="1"/>
  <c r="C61" i="33"/>
  <c r="B61" i="33"/>
  <c r="N58" i="33"/>
  <c r="BD30" i="34" s="1"/>
  <c r="M58" i="33"/>
  <c r="BC30" i="34" s="1"/>
  <c r="L58" i="33"/>
  <c r="BB30" i="34" s="1"/>
  <c r="K58" i="33"/>
  <c r="BA30" i="34" s="1"/>
  <c r="J58" i="33"/>
  <c r="AZ30" i="34" s="1"/>
  <c r="I58" i="33"/>
  <c r="AY30" i="34" s="1"/>
  <c r="H58" i="33"/>
  <c r="AX30" i="34" s="1"/>
  <c r="G58" i="33"/>
  <c r="AW30" i="34" s="1"/>
  <c r="F58" i="33"/>
  <c r="AV30" i="34" s="1"/>
  <c r="E58" i="33"/>
  <c r="AU30" i="34" s="1"/>
  <c r="D58" i="33"/>
  <c r="AT30" i="34" s="1"/>
  <c r="C58" i="33"/>
  <c r="AS30" i="34" s="1"/>
  <c r="O57" i="33"/>
  <c r="O56" i="33"/>
  <c r="O55" i="33"/>
  <c r="O54" i="33"/>
  <c r="O53" i="33"/>
  <c r="O52" i="33"/>
  <c r="O51" i="33"/>
  <c r="O50" i="33"/>
  <c r="O58" i="33" s="1"/>
  <c r="N46" i="33"/>
  <c r="M46" i="33"/>
  <c r="L46" i="33"/>
  <c r="K46" i="33"/>
  <c r="J46" i="33"/>
  <c r="I46" i="33"/>
  <c r="H46" i="33"/>
  <c r="G46" i="33"/>
  <c r="F46" i="33"/>
  <c r="E46" i="33"/>
  <c r="D46" i="33"/>
  <c r="C46" i="33"/>
  <c r="B46" i="33"/>
  <c r="N45" i="33"/>
  <c r="M45" i="33"/>
  <c r="L45" i="33"/>
  <c r="K45" i="33"/>
  <c r="J45" i="33"/>
  <c r="I45" i="33"/>
  <c r="H45" i="33"/>
  <c r="G45" i="33"/>
  <c r="F45" i="33"/>
  <c r="E45" i="33"/>
  <c r="D45" i="33"/>
  <c r="C45" i="33"/>
  <c r="B45" i="33"/>
  <c r="N44" i="33"/>
  <c r="M44" i="33"/>
  <c r="L44" i="33"/>
  <c r="K44" i="33"/>
  <c r="J44" i="33"/>
  <c r="I44" i="33"/>
  <c r="H44" i="33"/>
  <c r="G44" i="33"/>
  <c r="F44" i="33"/>
  <c r="E44" i="33"/>
  <c r="D44" i="33"/>
  <c r="C44" i="33"/>
  <c r="B44" i="33"/>
  <c r="N43" i="33"/>
  <c r="M43" i="33"/>
  <c r="L43" i="33"/>
  <c r="K43" i="33"/>
  <c r="J43" i="33"/>
  <c r="I43" i="33"/>
  <c r="H43" i="33"/>
  <c r="G43" i="33"/>
  <c r="F43" i="33"/>
  <c r="E43" i="33"/>
  <c r="D43" i="33"/>
  <c r="C43" i="33"/>
  <c r="B43" i="33"/>
  <c r="N42" i="33"/>
  <c r="M42" i="33"/>
  <c r="L42" i="33"/>
  <c r="K42" i="33"/>
  <c r="J42" i="33"/>
  <c r="I42" i="33"/>
  <c r="H42" i="33"/>
  <c r="G42" i="33"/>
  <c r="F42" i="33"/>
  <c r="E42" i="33"/>
  <c r="D42" i="33"/>
  <c r="C42" i="33"/>
  <c r="B42" i="33"/>
  <c r="N41" i="33"/>
  <c r="M41" i="33"/>
  <c r="L41" i="33"/>
  <c r="K41" i="33"/>
  <c r="J41" i="33"/>
  <c r="I41" i="33"/>
  <c r="H41" i="33"/>
  <c r="G41" i="33"/>
  <c r="F41" i="33"/>
  <c r="E41" i="33"/>
  <c r="D41" i="33"/>
  <c r="C41" i="33"/>
  <c r="B41" i="33"/>
  <c r="N40" i="33"/>
  <c r="M40" i="33"/>
  <c r="L40" i="33"/>
  <c r="K40" i="33"/>
  <c r="J40" i="33"/>
  <c r="I40" i="33"/>
  <c r="H40" i="33"/>
  <c r="G40" i="33"/>
  <c r="F40" i="33"/>
  <c r="E40" i="33"/>
  <c r="D40" i="33"/>
  <c r="C40" i="33"/>
  <c r="B40" i="33"/>
  <c r="N39" i="33"/>
  <c r="M39" i="33"/>
  <c r="L39" i="33"/>
  <c r="K39" i="33"/>
  <c r="J39" i="33"/>
  <c r="I39" i="33"/>
  <c r="H39" i="33"/>
  <c r="G39" i="33"/>
  <c r="F39" i="33"/>
  <c r="E39" i="33"/>
  <c r="D39" i="33"/>
  <c r="C39" i="33"/>
  <c r="B39" i="33"/>
  <c r="N36" i="33"/>
  <c r="BD29" i="34" s="1"/>
  <c r="M36" i="33"/>
  <c r="BC29" i="34" s="1"/>
  <c r="L36" i="33"/>
  <c r="BB29" i="34" s="1"/>
  <c r="K36" i="33"/>
  <c r="BA29" i="34" s="1"/>
  <c r="J36" i="33"/>
  <c r="AZ29" i="34" s="1"/>
  <c r="I36" i="33"/>
  <c r="AY29" i="34" s="1"/>
  <c r="H36" i="33"/>
  <c r="AX29" i="34" s="1"/>
  <c r="G36" i="33"/>
  <c r="AW29" i="34" s="1"/>
  <c r="F36" i="33"/>
  <c r="AV29" i="34" s="1"/>
  <c r="E36" i="33"/>
  <c r="AU29" i="34" s="1"/>
  <c r="D36" i="33"/>
  <c r="AT29" i="34" s="1"/>
  <c r="C36" i="33"/>
  <c r="AS29" i="34" s="1"/>
  <c r="O35" i="33"/>
  <c r="O34" i="33"/>
  <c r="O33" i="33"/>
  <c r="O32" i="33"/>
  <c r="O31" i="33"/>
  <c r="O30" i="33"/>
  <c r="O29" i="33"/>
  <c r="O28" i="33"/>
  <c r="O36" i="33" s="1"/>
  <c r="N24" i="33"/>
  <c r="M24" i="33"/>
  <c r="L24" i="33"/>
  <c r="K24" i="33"/>
  <c r="J24" i="33"/>
  <c r="I24" i="33"/>
  <c r="H24" i="33"/>
  <c r="G24" i="33"/>
  <c r="F24" i="33"/>
  <c r="E24" i="33"/>
  <c r="D24" i="33"/>
  <c r="C24" i="33"/>
  <c r="B24" i="33"/>
  <c r="N23" i="33"/>
  <c r="M23" i="33"/>
  <c r="L23" i="33"/>
  <c r="K23" i="33"/>
  <c r="J23" i="33"/>
  <c r="I23" i="33"/>
  <c r="H23" i="33"/>
  <c r="G23" i="33"/>
  <c r="F23" i="33"/>
  <c r="E23" i="33"/>
  <c r="D23" i="33"/>
  <c r="C23" i="33"/>
  <c r="B23" i="33"/>
  <c r="N22" i="33"/>
  <c r="M22" i="33"/>
  <c r="L22" i="33"/>
  <c r="K22" i="33"/>
  <c r="J22" i="33"/>
  <c r="I22" i="33"/>
  <c r="H22" i="33"/>
  <c r="G22" i="33"/>
  <c r="F22" i="33"/>
  <c r="E22" i="33"/>
  <c r="D22" i="33"/>
  <c r="C22" i="33"/>
  <c r="B22" i="33"/>
  <c r="N21" i="33"/>
  <c r="M21" i="33"/>
  <c r="L21" i="33"/>
  <c r="K21" i="33"/>
  <c r="J21" i="33"/>
  <c r="I21" i="33"/>
  <c r="H21" i="33"/>
  <c r="G21" i="33"/>
  <c r="F21" i="33"/>
  <c r="E21" i="33"/>
  <c r="D21" i="33"/>
  <c r="C21" i="33"/>
  <c r="B21" i="33"/>
  <c r="N20" i="33"/>
  <c r="M20" i="33"/>
  <c r="L20" i="33"/>
  <c r="K20" i="33"/>
  <c r="J20" i="33"/>
  <c r="I20" i="33"/>
  <c r="H20" i="33"/>
  <c r="G20" i="33"/>
  <c r="F20" i="33"/>
  <c r="E20" i="33"/>
  <c r="D20" i="33"/>
  <c r="C20" i="33"/>
  <c r="B20" i="33"/>
  <c r="N19" i="33"/>
  <c r="M19" i="33"/>
  <c r="L19" i="33"/>
  <c r="K19" i="33"/>
  <c r="J19" i="33"/>
  <c r="I19" i="33"/>
  <c r="H19" i="33"/>
  <c r="G19" i="33"/>
  <c r="F19" i="33"/>
  <c r="E19" i="33"/>
  <c r="D19" i="33"/>
  <c r="C19" i="33"/>
  <c r="B19" i="33"/>
  <c r="N18" i="33"/>
  <c r="M18" i="33"/>
  <c r="L18" i="33"/>
  <c r="K18" i="33"/>
  <c r="J18" i="33"/>
  <c r="I18" i="33"/>
  <c r="H18" i="33"/>
  <c r="G18" i="33"/>
  <c r="F18" i="33"/>
  <c r="E18" i="33"/>
  <c r="D18" i="33"/>
  <c r="C18" i="33"/>
  <c r="B18" i="33"/>
  <c r="N17" i="33"/>
  <c r="M17" i="33"/>
  <c r="L17" i="33"/>
  <c r="K17" i="33"/>
  <c r="J17" i="33"/>
  <c r="I17" i="33"/>
  <c r="H17" i="33"/>
  <c r="G17" i="33"/>
  <c r="F17" i="33"/>
  <c r="E17" i="33"/>
  <c r="D17" i="33"/>
  <c r="C17" i="33"/>
  <c r="B17" i="33"/>
  <c r="N14" i="33"/>
  <c r="M14" i="33"/>
  <c r="L14" i="33"/>
  <c r="K14" i="33"/>
  <c r="J14" i="33"/>
  <c r="I14" i="33"/>
  <c r="H14" i="33"/>
  <c r="G14" i="33"/>
  <c r="F14" i="33"/>
  <c r="E14" i="33"/>
  <c r="D14" i="33"/>
  <c r="C14" i="33"/>
  <c r="O13" i="33"/>
  <c r="O12" i="33"/>
  <c r="O11" i="33"/>
  <c r="O10" i="33"/>
  <c r="O9" i="33"/>
  <c r="O8" i="33"/>
  <c r="O7" i="33"/>
  <c r="O6" i="33"/>
  <c r="O1" i="33"/>
  <c r="N73" i="31"/>
  <c r="O73" i="31" s="1"/>
  <c r="M73" i="31"/>
  <c r="L73" i="31"/>
  <c r="K73" i="31"/>
  <c r="J73" i="31"/>
  <c r="I73" i="31"/>
  <c r="H73" i="31"/>
  <c r="G73" i="31"/>
  <c r="F73" i="31"/>
  <c r="E73" i="31"/>
  <c r="D73" i="31"/>
  <c r="C73" i="31"/>
  <c r="O72" i="31"/>
  <c r="O71" i="31"/>
  <c r="O70" i="31"/>
  <c r="O69" i="31"/>
  <c r="O68" i="31"/>
  <c r="N67" i="31"/>
  <c r="M67" i="31"/>
  <c r="L67" i="31"/>
  <c r="K67" i="31"/>
  <c r="J67" i="31"/>
  <c r="I67" i="31"/>
  <c r="H67" i="31"/>
  <c r="G67" i="31"/>
  <c r="F67" i="31"/>
  <c r="E67" i="31"/>
  <c r="D67" i="31"/>
  <c r="C67" i="31"/>
  <c r="O67" i="31" s="1"/>
  <c r="O66" i="31"/>
  <c r="O65" i="31"/>
  <c r="O64" i="31"/>
  <c r="N60" i="31"/>
  <c r="O60" i="31" s="1"/>
  <c r="M60" i="31"/>
  <c r="L60" i="31"/>
  <c r="K60" i="31"/>
  <c r="J60" i="31"/>
  <c r="I60" i="31"/>
  <c r="H60" i="31"/>
  <c r="G60" i="31"/>
  <c r="F60" i="31"/>
  <c r="E60" i="31"/>
  <c r="D60" i="31"/>
  <c r="C60" i="31"/>
  <c r="O59" i="31"/>
  <c r="O58" i="31"/>
  <c r="O57" i="31"/>
  <c r="O56" i="31"/>
  <c r="O55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O54" i="31" s="1"/>
  <c r="O53" i="31"/>
  <c r="O52" i="31"/>
  <c r="O51" i="31"/>
  <c r="AB45" i="31"/>
  <c r="AA45" i="31"/>
  <c r="AA46" i="31" s="1"/>
  <c r="Z45" i="31"/>
  <c r="Z46" i="31" s="1"/>
  <c r="Y45" i="31"/>
  <c r="Y46" i="31" s="1"/>
  <c r="X45" i="31"/>
  <c r="X46" i="31" s="1"/>
  <c r="W45" i="31"/>
  <c r="W46" i="31" s="1"/>
  <c r="V45" i="31"/>
  <c r="V46" i="31" s="1"/>
  <c r="U45" i="31"/>
  <c r="U46" i="31" s="1"/>
  <c r="T45" i="31"/>
  <c r="T46" i="31" s="1"/>
  <c r="S45" i="31"/>
  <c r="S46" i="31" s="1"/>
  <c r="R45" i="31"/>
  <c r="R46" i="31" s="1"/>
  <c r="Q45" i="31"/>
  <c r="Q46" i="31" s="1"/>
  <c r="N45" i="31"/>
  <c r="M45" i="31"/>
  <c r="M46" i="31" s="1"/>
  <c r="L45" i="31"/>
  <c r="L46" i="31" s="1"/>
  <c r="K45" i="31"/>
  <c r="K46" i="31" s="1"/>
  <c r="J45" i="31"/>
  <c r="J46" i="31" s="1"/>
  <c r="I45" i="31"/>
  <c r="I46" i="31" s="1"/>
  <c r="H45" i="31"/>
  <c r="H46" i="31" s="1"/>
  <c r="G45" i="31"/>
  <c r="G46" i="31" s="1"/>
  <c r="F45" i="31"/>
  <c r="F46" i="31" s="1"/>
  <c r="E45" i="31"/>
  <c r="E46" i="31" s="1"/>
  <c r="D45" i="31"/>
  <c r="D46" i="31" s="1"/>
  <c r="C45" i="31"/>
  <c r="C46" i="31" s="1"/>
  <c r="BD44" i="31"/>
  <c r="BE44" i="31" s="1"/>
  <c r="BC44" i="31"/>
  <c r="BB44" i="31"/>
  <c r="BA44" i="31"/>
  <c r="AZ44" i="31"/>
  <c r="AY44" i="31"/>
  <c r="AX44" i="31"/>
  <c r="AW44" i="31"/>
  <c r="AV44" i="31"/>
  <c r="AU44" i="31"/>
  <c r="AT44" i="31"/>
  <c r="AS44" i="31"/>
  <c r="AP44" i="31"/>
  <c r="AO44" i="31"/>
  <c r="BQ44" i="31" s="1"/>
  <c r="AN44" i="31"/>
  <c r="BP44" i="31" s="1"/>
  <c r="AM44" i="31"/>
  <c r="BO44" i="31" s="1"/>
  <c r="AL44" i="31"/>
  <c r="BN44" i="31" s="1"/>
  <c r="AK44" i="31"/>
  <c r="BM44" i="31" s="1"/>
  <c r="AJ44" i="31"/>
  <c r="BL44" i="31" s="1"/>
  <c r="AI44" i="31"/>
  <c r="BK44" i="31" s="1"/>
  <c r="AH44" i="31"/>
  <c r="BJ44" i="31" s="1"/>
  <c r="AG44" i="31"/>
  <c r="BI44" i="31" s="1"/>
  <c r="AF44" i="31"/>
  <c r="BH44" i="31" s="1"/>
  <c r="AE44" i="31"/>
  <c r="BG44" i="31" s="1"/>
  <c r="AC44" i="31"/>
  <c r="O44" i="31"/>
  <c r="BD43" i="31"/>
  <c r="BE43" i="31" s="1"/>
  <c r="BC43" i="31"/>
  <c r="BB43" i="31"/>
  <c r="BA43" i="31"/>
  <c r="AZ43" i="31"/>
  <c r="AY43" i="31"/>
  <c r="AX43" i="31"/>
  <c r="AW43" i="31"/>
  <c r="AV43" i="31"/>
  <c r="AU43" i="31"/>
  <c r="AT43" i="31"/>
  <c r="AS43" i="31"/>
  <c r="AP43" i="31"/>
  <c r="AO43" i="31"/>
  <c r="BQ43" i="31" s="1"/>
  <c r="AN43" i="31"/>
  <c r="BP43" i="31" s="1"/>
  <c r="AM43" i="31"/>
  <c r="BO43" i="31" s="1"/>
  <c r="AL43" i="31"/>
  <c r="BN43" i="31" s="1"/>
  <c r="AK43" i="31"/>
  <c r="BM43" i="31" s="1"/>
  <c r="AJ43" i="31"/>
  <c r="BL43" i="31" s="1"/>
  <c r="AI43" i="31"/>
  <c r="BK43" i="31" s="1"/>
  <c r="AH43" i="31"/>
  <c r="BJ43" i="31" s="1"/>
  <c r="AG43" i="31"/>
  <c r="BI43" i="31" s="1"/>
  <c r="AF43" i="31"/>
  <c r="BH43" i="31" s="1"/>
  <c r="AE43" i="31"/>
  <c r="BG43" i="31" s="1"/>
  <c r="AC43" i="31"/>
  <c r="O43" i="31"/>
  <c r="BD42" i="31"/>
  <c r="BE42" i="31" s="1"/>
  <c r="BC42" i="31"/>
  <c r="BB42" i="31"/>
  <c r="BA42" i="31"/>
  <c r="AZ42" i="31"/>
  <c r="AY42" i="31"/>
  <c r="AX42" i="31"/>
  <c r="AW42" i="31"/>
  <c r="AV42" i="31"/>
  <c r="AU42" i="31"/>
  <c r="AT42" i="31"/>
  <c r="AS42" i="31"/>
  <c r="AP42" i="31"/>
  <c r="AO42" i="31"/>
  <c r="BQ42" i="31" s="1"/>
  <c r="AN42" i="31"/>
  <c r="BP42" i="31" s="1"/>
  <c r="AM42" i="31"/>
  <c r="BO42" i="31" s="1"/>
  <c r="AL42" i="31"/>
  <c r="BN42" i="31" s="1"/>
  <c r="AK42" i="31"/>
  <c r="BM42" i="31" s="1"/>
  <c r="AJ42" i="31"/>
  <c r="BL42" i="31" s="1"/>
  <c r="AI42" i="31"/>
  <c r="BK42" i="31" s="1"/>
  <c r="AH42" i="31"/>
  <c r="BJ42" i="31" s="1"/>
  <c r="AG42" i="31"/>
  <c r="BI42" i="31" s="1"/>
  <c r="AF42" i="31"/>
  <c r="BH42" i="31" s="1"/>
  <c r="AE42" i="31"/>
  <c r="BG42" i="31" s="1"/>
  <c r="AC42" i="31"/>
  <c r="O42" i="31"/>
  <c r="BD41" i="31"/>
  <c r="BE41" i="31" s="1"/>
  <c r="BC41" i="31"/>
  <c r="BB41" i="31"/>
  <c r="BA41" i="31"/>
  <c r="AZ41" i="31"/>
  <c r="AY41" i="31"/>
  <c r="AX41" i="31"/>
  <c r="AW41" i="31"/>
  <c r="AV41" i="31"/>
  <c r="AU41" i="31"/>
  <c r="AT41" i="31"/>
  <c r="AS41" i="31"/>
  <c r="AP41" i="31"/>
  <c r="AO41" i="31"/>
  <c r="BQ41" i="31" s="1"/>
  <c r="AN41" i="31"/>
  <c r="BP41" i="31" s="1"/>
  <c r="AM41" i="31"/>
  <c r="BO41" i="31" s="1"/>
  <c r="AL41" i="31"/>
  <c r="BN41" i="31" s="1"/>
  <c r="AK41" i="31"/>
  <c r="BM41" i="31" s="1"/>
  <c r="AJ41" i="31"/>
  <c r="BL41" i="31" s="1"/>
  <c r="AI41" i="31"/>
  <c r="BK41" i="31" s="1"/>
  <c r="AH41" i="31"/>
  <c r="BJ41" i="31" s="1"/>
  <c r="AG41" i="31"/>
  <c r="BI41" i="31" s="1"/>
  <c r="AF41" i="31"/>
  <c r="BH41" i="31" s="1"/>
  <c r="AE41" i="31"/>
  <c r="BG41" i="31" s="1"/>
  <c r="AC41" i="31"/>
  <c r="O41" i="31"/>
  <c r="BD40" i="31"/>
  <c r="BC40" i="31"/>
  <c r="BC45" i="31" s="1"/>
  <c r="BB40" i="31"/>
  <c r="BB45" i="31" s="1"/>
  <c r="BA40" i="31"/>
  <c r="BA45" i="31" s="1"/>
  <c r="AZ40" i="31"/>
  <c r="AZ45" i="31" s="1"/>
  <c r="AY40" i="31"/>
  <c r="AY45" i="31" s="1"/>
  <c r="AX40" i="31"/>
  <c r="AX45" i="31" s="1"/>
  <c r="AW40" i="31"/>
  <c r="AW45" i="31" s="1"/>
  <c r="AV40" i="31"/>
  <c r="AV45" i="31" s="1"/>
  <c r="AU40" i="31"/>
  <c r="AU45" i="31" s="1"/>
  <c r="AT40" i="31"/>
  <c r="AT45" i="31" s="1"/>
  <c r="AS40" i="31"/>
  <c r="AS45" i="31" s="1"/>
  <c r="AP40" i="31"/>
  <c r="AO40" i="31"/>
  <c r="AN40" i="31"/>
  <c r="AM40" i="31"/>
  <c r="AL40" i="31"/>
  <c r="AK40" i="31"/>
  <c r="AJ40" i="31"/>
  <c r="AI40" i="31"/>
  <c r="AH40" i="31"/>
  <c r="AG40" i="31"/>
  <c r="AF40" i="31"/>
  <c r="AE40" i="31"/>
  <c r="AC40" i="31"/>
  <c r="O40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AB36" i="31"/>
  <c r="AA36" i="31"/>
  <c r="Z36" i="31"/>
  <c r="Y36" i="31"/>
  <c r="X36" i="31"/>
  <c r="W36" i="31"/>
  <c r="V36" i="31"/>
  <c r="U36" i="31"/>
  <c r="T36" i="31"/>
  <c r="S36" i="31"/>
  <c r="R36" i="31"/>
  <c r="Q36" i="31"/>
  <c r="N36" i="31"/>
  <c r="M36" i="31"/>
  <c r="L36" i="31"/>
  <c r="K36" i="31"/>
  <c r="J36" i="31"/>
  <c r="I36" i="31"/>
  <c r="H36" i="31"/>
  <c r="G36" i="31"/>
  <c r="F36" i="31"/>
  <c r="E36" i="31"/>
  <c r="D36" i="31"/>
  <c r="C36" i="31"/>
  <c r="AB35" i="31"/>
  <c r="AA35" i="31"/>
  <c r="Z35" i="31"/>
  <c r="Y35" i="31"/>
  <c r="X35" i="31"/>
  <c r="W35" i="31"/>
  <c r="V35" i="31"/>
  <c r="U35" i="31"/>
  <c r="T35" i="31"/>
  <c r="S35" i="31"/>
  <c r="R35" i="31"/>
  <c r="Q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AB31" i="31"/>
  <c r="AB37" i="31" s="1"/>
  <c r="AA31" i="31"/>
  <c r="AA37" i="31" s="1"/>
  <c r="Z31" i="31"/>
  <c r="Z37" i="31" s="1"/>
  <c r="Y31" i="31"/>
  <c r="Y37" i="31" s="1"/>
  <c r="X31" i="31"/>
  <c r="X37" i="31" s="1"/>
  <c r="W31" i="31"/>
  <c r="W37" i="31" s="1"/>
  <c r="V31" i="31"/>
  <c r="V37" i="31" s="1"/>
  <c r="U31" i="31"/>
  <c r="U37" i="31" s="1"/>
  <c r="T31" i="31"/>
  <c r="T37" i="31" s="1"/>
  <c r="S31" i="31"/>
  <c r="S37" i="31" s="1"/>
  <c r="R31" i="31"/>
  <c r="R37" i="31" s="1"/>
  <c r="Q31" i="31"/>
  <c r="N31" i="31"/>
  <c r="N37" i="31" s="1"/>
  <c r="M31" i="31"/>
  <c r="M37" i="31" s="1"/>
  <c r="L31" i="31"/>
  <c r="L37" i="31" s="1"/>
  <c r="K31" i="31"/>
  <c r="K37" i="31" s="1"/>
  <c r="J31" i="31"/>
  <c r="J37" i="31" s="1"/>
  <c r="I31" i="31"/>
  <c r="I37" i="31" s="1"/>
  <c r="H31" i="31"/>
  <c r="H37" i="31" s="1"/>
  <c r="G31" i="31"/>
  <c r="G37" i="31" s="1"/>
  <c r="F31" i="31"/>
  <c r="F37" i="31" s="1"/>
  <c r="E31" i="31"/>
  <c r="E37" i="31" s="1"/>
  <c r="D31" i="31"/>
  <c r="D37" i="31" s="1"/>
  <c r="C31" i="31"/>
  <c r="AP30" i="31"/>
  <c r="AO30" i="31"/>
  <c r="AN30" i="31"/>
  <c r="AM30" i="31"/>
  <c r="AL30" i="31"/>
  <c r="AK30" i="31"/>
  <c r="AJ30" i="31"/>
  <c r="AI30" i="31"/>
  <c r="AH30" i="31"/>
  <c r="AG30" i="31"/>
  <c r="AF30" i="31"/>
  <c r="AE30" i="31"/>
  <c r="AC30" i="31"/>
  <c r="AC36" i="31" s="1"/>
  <c r="O30" i="31"/>
  <c r="O36" i="31" s="1"/>
  <c r="AP29" i="31"/>
  <c r="AO29" i="31"/>
  <c r="AN29" i="31"/>
  <c r="AM29" i="31"/>
  <c r="AL29" i="31"/>
  <c r="AK29" i="31"/>
  <c r="AJ29" i="31"/>
  <c r="AI29" i="31"/>
  <c r="AH29" i="31"/>
  <c r="AG29" i="31"/>
  <c r="AF29" i="31"/>
  <c r="AE29" i="31"/>
  <c r="AC29" i="31"/>
  <c r="AC35" i="31" s="1"/>
  <c r="O29" i="31"/>
  <c r="O35" i="31" s="1"/>
  <c r="AP28" i="31"/>
  <c r="AO28" i="31"/>
  <c r="AN28" i="31"/>
  <c r="AM28" i="31"/>
  <c r="AL28" i="31"/>
  <c r="AK28" i="31"/>
  <c r="AJ28" i="31"/>
  <c r="AI28" i="31"/>
  <c r="AH28" i="31"/>
  <c r="AG28" i="31"/>
  <c r="AF28" i="31"/>
  <c r="AE28" i="31"/>
  <c r="AC28" i="31"/>
  <c r="AC38" i="31" s="1"/>
  <c r="O28" i="31"/>
  <c r="O38" i="31" s="1"/>
  <c r="N95" i="30"/>
  <c r="M95" i="30"/>
  <c r="L95" i="30"/>
  <c r="K95" i="30"/>
  <c r="J95" i="30"/>
  <c r="I95" i="30"/>
  <c r="H95" i="30"/>
  <c r="G95" i="30"/>
  <c r="F95" i="30"/>
  <c r="E95" i="30"/>
  <c r="D95" i="30"/>
  <c r="C95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O84" i="30" s="1"/>
  <c r="N82" i="30"/>
  <c r="N85" i="30" s="1"/>
  <c r="M82" i="30"/>
  <c r="M85" i="30" s="1"/>
  <c r="L82" i="30"/>
  <c r="L85" i="30" s="1"/>
  <c r="K82" i="30"/>
  <c r="K85" i="30" s="1"/>
  <c r="J82" i="30"/>
  <c r="J85" i="30" s="1"/>
  <c r="I82" i="30"/>
  <c r="I85" i="30" s="1"/>
  <c r="H82" i="30"/>
  <c r="H85" i="30" s="1"/>
  <c r="G82" i="30"/>
  <c r="G85" i="30" s="1"/>
  <c r="F82" i="30"/>
  <c r="F85" i="30" s="1"/>
  <c r="E82" i="30"/>
  <c r="E85" i="30" s="1"/>
  <c r="D82" i="30"/>
  <c r="D85" i="30" s="1"/>
  <c r="C82" i="30"/>
  <c r="C85" i="30" s="1"/>
  <c r="N77" i="30"/>
  <c r="M77" i="30"/>
  <c r="L77" i="30"/>
  <c r="K77" i="30"/>
  <c r="J77" i="30"/>
  <c r="I77" i="30"/>
  <c r="H77" i="30"/>
  <c r="G77" i="30"/>
  <c r="F77" i="30"/>
  <c r="E77" i="30"/>
  <c r="D77" i="30"/>
  <c r="C77" i="30"/>
  <c r="O77" i="30" s="1"/>
  <c r="N75" i="30"/>
  <c r="N78" i="30" s="1"/>
  <c r="M75" i="30"/>
  <c r="M78" i="30" s="1"/>
  <c r="L75" i="30"/>
  <c r="L78" i="30" s="1"/>
  <c r="K75" i="30"/>
  <c r="K78" i="30" s="1"/>
  <c r="J75" i="30"/>
  <c r="J78" i="30" s="1"/>
  <c r="I75" i="30"/>
  <c r="I78" i="30" s="1"/>
  <c r="H75" i="30"/>
  <c r="H78" i="30" s="1"/>
  <c r="G75" i="30"/>
  <c r="G78" i="30" s="1"/>
  <c r="F75" i="30"/>
  <c r="F78" i="30" s="1"/>
  <c r="E75" i="30"/>
  <c r="E78" i="30" s="1"/>
  <c r="D75" i="30"/>
  <c r="D78" i="30" s="1"/>
  <c r="C75" i="30"/>
  <c r="C78" i="30" s="1"/>
  <c r="N68" i="30"/>
  <c r="M68" i="30"/>
  <c r="L68" i="30"/>
  <c r="K68" i="30"/>
  <c r="J68" i="30"/>
  <c r="I68" i="30"/>
  <c r="H68" i="30"/>
  <c r="G68" i="30"/>
  <c r="F68" i="30"/>
  <c r="E68" i="30"/>
  <c r="D68" i="30"/>
  <c r="C68" i="30"/>
  <c r="O68" i="30" s="1"/>
  <c r="B68" i="30"/>
  <c r="N67" i="30"/>
  <c r="M67" i="30"/>
  <c r="L67" i="30"/>
  <c r="K67" i="30"/>
  <c r="J67" i="30"/>
  <c r="I67" i="30"/>
  <c r="H67" i="30"/>
  <c r="G67" i="30"/>
  <c r="F67" i="30"/>
  <c r="E67" i="30"/>
  <c r="D67" i="30"/>
  <c r="C67" i="30"/>
  <c r="O67" i="30" s="1"/>
  <c r="B67" i="30"/>
  <c r="N66" i="30"/>
  <c r="M66" i="30"/>
  <c r="L66" i="30"/>
  <c r="K66" i="30"/>
  <c r="J66" i="30"/>
  <c r="I66" i="30"/>
  <c r="H66" i="30"/>
  <c r="G66" i="30"/>
  <c r="F66" i="30"/>
  <c r="E66" i="30"/>
  <c r="D66" i="30"/>
  <c r="C66" i="30"/>
  <c r="O66" i="30" s="1"/>
  <c r="B66" i="30"/>
  <c r="N65" i="30"/>
  <c r="M65" i="30"/>
  <c r="L65" i="30"/>
  <c r="K65" i="30"/>
  <c r="J65" i="30"/>
  <c r="I65" i="30"/>
  <c r="H65" i="30"/>
  <c r="G65" i="30"/>
  <c r="F65" i="30"/>
  <c r="E65" i="30"/>
  <c r="D65" i="30"/>
  <c r="C65" i="30"/>
  <c r="O65" i="30" s="1"/>
  <c r="B65" i="30"/>
  <c r="N64" i="30"/>
  <c r="M64" i="30"/>
  <c r="L64" i="30"/>
  <c r="K64" i="30"/>
  <c r="J64" i="30"/>
  <c r="I64" i="30"/>
  <c r="H64" i="30"/>
  <c r="G64" i="30"/>
  <c r="F64" i="30"/>
  <c r="E64" i="30"/>
  <c r="D64" i="30"/>
  <c r="C64" i="30"/>
  <c r="O64" i="30" s="1"/>
  <c r="B64" i="30"/>
  <c r="N63" i="30"/>
  <c r="M63" i="30"/>
  <c r="L63" i="30"/>
  <c r="K63" i="30"/>
  <c r="J63" i="30"/>
  <c r="I63" i="30"/>
  <c r="H63" i="30"/>
  <c r="G63" i="30"/>
  <c r="F63" i="30"/>
  <c r="E63" i="30"/>
  <c r="D63" i="30"/>
  <c r="C63" i="30"/>
  <c r="O63" i="30" s="1"/>
  <c r="B63" i="30"/>
  <c r="N62" i="30"/>
  <c r="M62" i="30"/>
  <c r="L62" i="30"/>
  <c r="K62" i="30"/>
  <c r="J62" i="30"/>
  <c r="I62" i="30"/>
  <c r="H62" i="30"/>
  <c r="G62" i="30"/>
  <c r="F62" i="30"/>
  <c r="E62" i="30"/>
  <c r="D62" i="30"/>
  <c r="C62" i="30"/>
  <c r="O62" i="30" s="1"/>
  <c r="B62" i="30"/>
  <c r="N61" i="30"/>
  <c r="N69" i="30" s="1"/>
  <c r="M61" i="30"/>
  <c r="M69" i="30" s="1"/>
  <c r="L61" i="30"/>
  <c r="L69" i="30" s="1"/>
  <c r="K61" i="30"/>
  <c r="K69" i="30" s="1"/>
  <c r="J61" i="30"/>
  <c r="J69" i="30" s="1"/>
  <c r="I61" i="30"/>
  <c r="I69" i="30" s="1"/>
  <c r="H61" i="30"/>
  <c r="H69" i="30" s="1"/>
  <c r="G61" i="30"/>
  <c r="G69" i="30" s="1"/>
  <c r="F61" i="30"/>
  <c r="F69" i="30" s="1"/>
  <c r="E61" i="30"/>
  <c r="E69" i="30" s="1"/>
  <c r="D61" i="30"/>
  <c r="D69" i="30" s="1"/>
  <c r="C61" i="30"/>
  <c r="B61" i="30"/>
  <c r="N58" i="30"/>
  <c r="BD30" i="31" s="1"/>
  <c r="M58" i="30"/>
  <c r="BC30" i="31" s="1"/>
  <c r="L58" i="30"/>
  <c r="BB30" i="31" s="1"/>
  <c r="K58" i="30"/>
  <c r="BA30" i="31" s="1"/>
  <c r="J58" i="30"/>
  <c r="AZ30" i="31" s="1"/>
  <c r="I58" i="30"/>
  <c r="AY30" i="31" s="1"/>
  <c r="H58" i="30"/>
  <c r="AX30" i="31" s="1"/>
  <c r="G58" i="30"/>
  <c r="AW30" i="31" s="1"/>
  <c r="F58" i="30"/>
  <c r="AV30" i="31" s="1"/>
  <c r="E58" i="30"/>
  <c r="AU30" i="31" s="1"/>
  <c r="D58" i="30"/>
  <c r="AT30" i="31" s="1"/>
  <c r="C58" i="30"/>
  <c r="AS30" i="31" s="1"/>
  <c r="O57" i="30"/>
  <c r="O56" i="30"/>
  <c r="O55" i="30"/>
  <c r="O54" i="30"/>
  <c r="O53" i="30"/>
  <c r="O52" i="30"/>
  <c r="O51" i="30"/>
  <c r="O50" i="30"/>
  <c r="O58" i="30" s="1"/>
  <c r="N46" i="30"/>
  <c r="M46" i="30"/>
  <c r="L46" i="30"/>
  <c r="K46" i="30"/>
  <c r="J46" i="30"/>
  <c r="I46" i="30"/>
  <c r="H46" i="30"/>
  <c r="G46" i="30"/>
  <c r="F46" i="30"/>
  <c r="E46" i="30"/>
  <c r="D46" i="30"/>
  <c r="C46" i="30"/>
  <c r="B46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N36" i="30"/>
  <c r="BD29" i="31" s="1"/>
  <c r="M36" i="30"/>
  <c r="BC29" i="31" s="1"/>
  <c r="L36" i="30"/>
  <c r="BB29" i="31" s="1"/>
  <c r="K36" i="30"/>
  <c r="BA29" i="31" s="1"/>
  <c r="J36" i="30"/>
  <c r="AZ29" i="31" s="1"/>
  <c r="I36" i="30"/>
  <c r="AY29" i="31" s="1"/>
  <c r="H36" i="30"/>
  <c r="AX29" i="31" s="1"/>
  <c r="G36" i="30"/>
  <c r="AW29" i="31" s="1"/>
  <c r="F36" i="30"/>
  <c r="AV29" i="31" s="1"/>
  <c r="E36" i="30"/>
  <c r="AU29" i="31" s="1"/>
  <c r="D36" i="30"/>
  <c r="AT29" i="31" s="1"/>
  <c r="C36" i="30"/>
  <c r="AS29" i="31" s="1"/>
  <c r="O35" i="30"/>
  <c r="O34" i="30"/>
  <c r="O33" i="30"/>
  <c r="O32" i="30"/>
  <c r="O31" i="30"/>
  <c r="O30" i="30"/>
  <c r="O29" i="30"/>
  <c r="O28" i="30"/>
  <c r="O36" i="30" s="1"/>
  <c r="N24" i="30"/>
  <c r="M24" i="30"/>
  <c r="L24" i="30"/>
  <c r="K24" i="30"/>
  <c r="J24" i="30"/>
  <c r="I24" i="30"/>
  <c r="H24" i="30"/>
  <c r="G24" i="30"/>
  <c r="F24" i="30"/>
  <c r="E24" i="30"/>
  <c r="D24" i="30"/>
  <c r="C24" i="30"/>
  <c r="B24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N14" i="30"/>
  <c r="M14" i="30"/>
  <c r="L14" i="30"/>
  <c r="K14" i="30"/>
  <c r="J14" i="30"/>
  <c r="I14" i="30"/>
  <c r="H14" i="30"/>
  <c r="G14" i="30"/>
  <c r="F14" i="30"/>
  <c r="E14" i="30"/>
  <c r="D14" i="30"/>
  <c r="C14" i="30"/>
  <c r="O13" i="30"/>
  <c r="O12" i="30"/>
  <c r="O11" i="30"/>
  <c r="O10" i="30"/>
  <c r="O9" i="30"/>
  <c r="O8" i="30"/>
  <c r="O7" i="30"/>
  <c r="O6" i="30"/>
  <c r="O1" i="30"/>
  <c r="N73" i="28"/>
  <c r="O73" i="28" s="1"/>
  <c r="M73" i="28"/>
  <c r="L73" i="28"/>
  <c r="K73" i="28"/>
  <c r="J73" i="28"/>
  <c r="I73" i="28"/>
  <c r="H73" i="28"/>
  <c r="G73" i="28"/>
  <c r="F73" i="28"/>
  <c r="E73" i="28"/>
  <c r="D73" i="28"/>
  <c r="C73" i="28"/>
  <c r="O72" i="28"/>
  <c r="O71" i="28"/>
  <c r="O70" i="28"/>
  <c r="O69" i="28"/>
  <c r="O68" i="28"/>
  <c r="N67" i="28"/>
  <c r="M67" i="28"/>
  <c r="L67" i="28"/>
  <c r="K67" i="28"/>
  <c r="J67" i="28"/>
  <c r="I67" i="28"/>
  <c r="H67" i="28"/>
  <c r="G67" i="28"/>
  <c r="F67" i="28"/>
  <c r="E67" i="28"/>
  <c r="D67" i="28"/>
  <c r="C67" i="28"/>
  <c r="O67" i="28" s="1"/>
  <c r="O66" i="28"/>
  <c r="O65" i="28"/>
  <c r="O64" i="28"/>
  <c r="N60" i="28"/>
  <c r="O60" i="28" s="1"/>
  <c r="M60" i="28"/>
  <c r="L60" i="28"/>
  <c r="K60" i="28"/>
  <c r="J60" i="28"/>
  <c r="I60" i="28"/>
  <c r="H60" i="28"/>
  <c r="G60" i="28"/>
  <c r="F60" i="28"/>
  <c r="E60" i="28"/>
  <c r="D60" i="28"/>
  <c r="C60" i="28"/>
  <c r="O59" i="28"/>
  <c r="O58" i="28"/>
  <c r="O57" i="28"/>
  <c r="O56" i="28"/>
  <c r="O55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O54" i="28" s="1"/>
  <c r="O53" i="28"/>
  <c r="O52" i="28"/>
  <c r="O51" i="28"/>
  <c r="AB45" i="28"/>
  <c r="AA45" i="28"/>
  <c r="AA46" i="28" s="1"/>
  <c r="Z45" i="28"/>
  <c r="Z46" i="28" s="1"/>
  <c r="Y45" i="28"/>
  <c r="Y46" i="28" s="1"/>
  <c r="X45" i="28"/>
  <c r="X46" i="28" s="1"/>
  <c r="W45" i="28"/>
  <c r="W46" i="28" s="1"/>
  <c r="V45" i="28"/>
  <c r="V46" i="28" s="1"/>
  <c r="U45" i="28"/>
  <c r="U46" i="28" s="1"/>
  <c r="T45" i="28"/>
  <c r="T46" i="28" s="1"/>
  <c r="S45" i="28"/>
  <c r="S46" i="28" s="1"/>
  <c r="R45" i="28"/>
  <c r="R46" i="28" s="1"/>
  <c r="Q45" i="28"/>
  <c r="Q46" i="28" s="1"/>
  <c r="N45" i="28"/>
  <c r="M45" i="28"/>
  <c r="M46" i="28" s="1"/>
  <c r="L45" i="28"/>
  <c r="L46" i="28" s="1"/>
  <c r="K45" i="28"/>
  <c r="K46" i="28" s="1"/>
  <c r="J45" i="28"/>
  <c r="J46" i="28" s="1"/>
  <c r="I45" i="28"/>
  <c r="I46" i="28" s="1"/>
  <c r="H45" i="28"/>
  <c r="H46" i="28" s="1"/>
  <c r="G45" i="28"/>
  <c r="G46" i="28" s="1"/>
  <c r="F45" i="28"/>
  <c r="F46" i="28" s="1"/>
  <c r="E45" i="28"/>
  <c r="E46" i="28" s="1"/>
  <c r="D45" i="28"/>
  <c r="D46" i="28" s="1"/>
  <c r="C45" i="28"/>
  <c r="C46" i="28" s="1"/>
  <c r="BD44" i="28"/>
  <c r="BE44" i="28" s="1"/>
  <c r="BC44" i="28"/>
  <c r="BB44" i="28"/>
  <c r="BA44" i="28"/>
  <c r="AZ44" i="28"/>
  <c r="AY44" i="28"/>
  <c r="AX44" i="28"/>
  <c r="AW44" i="28"/>
  <c r="AV44" i="28"/>
  <c r="AU44" i="28"/>
  <c r="AT44" i="28"/>
  <c r="AS44" i="28"/>
  <c r="AP44" i="28"/>
  <c r="AO44" i="28"/>
  <c r="BQ44" i="28" s="1"/>
  <c r="AN44" i="28"/>
  <c r="BP44" i="28" s="1"/>
  <c r="AM44" i="28"/>
  <c r="BO44" i="28" s="1"/>
  <c r="AL44" i="28"/>
  <c r="BN44" i="28" s="1"/>
  <c r="AK44" i="28"/>
  <c r="BM44" i="28" s="1"/>
  <c r="AJ44" i="28"/>
  <c r="BL44" i="28" s="1"/>
  <c r="AI44" i="28"/>
  <c r="BK44" i="28" s="1"/>
  <c r="AH44" i="28"/>
  <c r="BJ44" i="28" s="1"/>
  <c r="AG44" i="28"/>
  <c r="BI44" i="28" s="1"/>
  <c r="AF44" i="28"/>
  <c r="BH44" i="28" s="1"/>
  <c r="AE44" i="28"/>
  <c r="BG44" i="28" s="1"/>
  <c r="AC44" i="28"/>
  <c r="O44" i="28"/>
  <c r="BD43" i="28"/>
  <c r="BE43" i="28" s="1"/>
  <c r="BC43" i="28"/>
  <c r="BB43" i="28"/>
  <c r="BA43" i="28"/>
  <c r="AZ43" i="28"/>
  <c r="AY43" i="28"/>
  <c r="AX43" i="28"/>
  <c r="AW43" i="28"/>
  <c r="AV43" i="28"/>
  <c r="AU43" i="28"/>
  <c r="AT43" i="28"/>
  <c r="AS43" i="28"/>
  <c r="AP43" i="28"/>
  <c r="AO43" i="28"/>
  <c r="BQ43" i="28" s="1"/>
  <c r="AN43" i="28"/>
  <c r="BP43" i="28" s="1"/>
  <c r="AM43" i="28"/>
  <c r="BO43" i="28" s="1"/>
  <c r="AL43" i="28"/>
  <c r="BN43" i="28" s="1"/>
  <c r="AK43" i="28"/>
  <c r="BM43" i="28" s="1"/>
  <c r="AJ43" i="28"/>
  <c r="BL43" i="28" s="1"/>
  <c r="AI43" i="28"/>
  <c r="BK43" i="28" s="1"/>
  <c r="AH43" i="28"/>
  <c r="BJ43" i="28" s="1"/>
  <c r="AG43" i="28"/>
  <c r="BI43" i="28" s="1"/>
  <c r="AF43" i="28"/>
  <c r="BH43" i="28" s="1"/>
  <c r="AE43" i="28"/>
  <c r="BG43" i="28" s="1"/>
  <c r="AC43" i="28"/>
  <c r="O43" i="28"/>
  <c r="BD42" i="28"/>
  <c r="BE42" i="28" s="1"/>
  <c r="BC42" i="28"/>
  <c r="BB42" i="28"/>
  <c r="BA42" i="28"/>
  <c r="AZ42" i="28"/>
  <c r="AY42" i="28"/>
  <c r="AX42" i="28"/>
  <c r="AW42" i="28"/>
  <c r="AV42" i="28"/>
  <c r="AU42" i="28"/>
  <c r="AT42" i="28"/>
  <c r="AS42" i="28"/>
  <c r="AP42" i="28"/>
  <c r="AO42" i="28"/>
  <c r="BQ42" i="28" s="1"/>
  <c r="AN42" i="28"/>
  <c r="BP42" i="28" s="1"/>
  <c r="AM42" i="28"/>
  <c r="BO42" i="28" s="1"/>
  <c r="AL42" i="28"/>
  <c r="BN42" i="28" s="1"/>
  <c r="AK42" i="28"/>
  <c r="BM42" i="28" s="1"/>
  <c r="AJ42" i="28"/>
  <c r="BL42" i="28" s="1"/>
  <c r="AI42" i="28"/>
  <c r="BK42" i="28" s="1"/>
  <c r="AH42" i="28"/>
  <c r="BJ42" i="28" s="1"/>
  <c r="AG42" i="28"/>
  <c r="BI42" i="28" s="1"/>
  <c r="AF42" i="28"/>
  <c r="BH42" i="28" s="1"/>
  <c r="AE42" i="28"/>
  <c r="BG42" i="28" s="1"/>
  <c r="AC42" i="28"/>
  <c r="O42" i="28"/>
  <c r="BD41" i="28"/>
  <c r="BE41" i="28" s="1"/>
  <c r="BC41" i="28"/>
  <c r="BB41" i="28"/>
  <c r="BA41" i="28"/>
  <c r="AZ41" i="28"/>
  <c r="AY41" i="28"/>
  <c r="AX41" i="28"/>
  <c r="AW41" i="28"/>
  <c r="AV41" i="28"/>
  <c r="AU41" i="28"/>
  <c r="AT41" i="28"/>
  <c r="AS41" i="28"/>
  <c r="AP41" i="28"/>
  <c r="AO41" i="28"/>
  <c r="BQ41" i="28" s="1"/>
  <c r="AN41" i="28"/>
  <c r="BP41" i="28" s="1"/>
  <c r="AM41" i="28"/>
  <c r="BO41" i="28" s="1"/>
  <c r="AL41" i="28"/>
  <c r="BN41" i="28" s="1"/>
  <c r="AK41" i="28"/>
  <c r="BM41" i="28" s="1"/>
  <c r="AJ41" i="28"/>
  <c r="BL41" i="28" s="1"/>
  <c r="AI41" i="28"/>
  <c r="BK41" i="28" s="1"/>
  <c r="AH41" i="28"/>
  <c r="BJ41" i="28" s="1"/>
  <c r="AG41" i="28"/>
  <c r="BI41" i="28" s="1"/>
  <c r="AF41" i="28"/>
  <c r="BH41" i="28" s="1"/>
  <c r="AE41" i="28"/>
  <c r="BG41" i="28" s="1"/>
  <c r="AC41" i="28"/>
  <c r="O41" i="28"/>
  <c r="BD40" i="28"/>
  <c r="BC40" i="28"/>
  <c r="BC45" i="28" s="1"/>
  <c r="BB40" i="28"/>
  <c r="BB45" i="28" s="1"/>
  <c r="BA40" i="28"/>
  <c r="BA45" i="28" s="1"/>
  <c r="AZ40" i="28"/>
  <c r="AZ45" i="28" s="1"/>
  <c r="AY40" i="28"/>
  <c r="AY45" i="28" s="1"/>
  <c r="AX40" i="28"/>
  <c r="AX45" i="28" s="1"/>
  <c r="AW40" i="28"/>
  <c r="AW45" i="28" s="1"/>
  <c r="AV40" i="28"/>
  <c r="AV45" i="28" s="1"/>
  <c r="AU40" i="28"/>
  <c r="AU45" i="28" s="1"/>
  <c r="AT40" i="28"/>
  <c r="AT45" i="28" s="1"/>
  <c r="AS40" i="28"/>
  <c r="AS45" i="28" s="1"/>
  <c r="AP40" i="28"/>
  <c r="AO40" i="28"/>
  <c r="AN40" i="28"/>
  <c r="AM40" i="28"/>
  <c r="AL40" i="28"/>
  <c r="AK40" i="28"/>
  <c r="AJ40" i="28"/>
  <c r="AI40" i="28"/>
  <c r="AH40" i="28"/>
  <c r="AG40" i="28"/>
  <c r="AF40" i="28"/>
  <c r="AE40" i="28"/>
  <c r="AC40" i="28"/>
  <c r="O40" i="28"/>
  <c r="AB38" i="28"/>
  <c r="AA38" i="28"/>
  <c r="Z38" i="28"/>
  <c r="Y38" i="28"/>
  <c r="X38" i="28"/>
  <c r="W38" i="28"/>
  <c r="V38" i="28"/>
  <c r="U38" i="28"/>
  <c r="T38" i="28"/>
  <c r="S38" i="28"/>
  <c r="R38" i="28"/>
  <c r="Q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AB36" i="28"/>
  <c r="AA36" i="28"/>
  <c r="Z36" i="28"/>
  <c r="Y36" i="28"/>
  <c r="X36" i="28"/>
  <c r="W36" i="28"/>
  <c r="V36" i="28"/>
  <c r="U36" i="28"/>
  <c r="T36" i="28"/>
  <c r="S36" i="28"/>
  <c r="R36" i="28"/>
  <c r="Q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AB35" i="28"/>
  <c r="AA35" i="28"/>
  <c r="Z35" i="28"/>
  <c r="Y35" i="28"/>
  <c r="X35" i="28"/>
  <c r="W35" i="28"/>
  <c r="V35" i="28"/>
  <c r="U35" i="28"/>
  <c r="T35" i="28"/>
  <c r="S35" i="28"/>
  <c r="R35" i="28"/>
  <c r="Q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AB31" i="28"/>
  <c r="AB37" i="28" s="1"/>
  <c r="AA31" i="28"/>
  <c r="AA37" i="28" s="1"/>
  <c r="Z31" i="28"/>
  <c r="Z37" i="28" s="1"/>
  <c r="Y31" i="28"/>
  <c r="Y37" i="28" s="1"/>
  <c r="X31" i="28"/>
  <c r="X37" i="28" s="1"/>
  <c r="W31" i="28"/>
  <c r="W37" i="28" s="1"/>
  <c r="V31" i="28"/>
  <c r="V37" i="28" s="1"/>
  <c r="U31" i="28"/>
  <c r="U37" i="28" s="1"/>
  <c r="T31" i="28"/>
  <c r="T37" i="28" s="1"/>
  <c r="S31" i="28"/>
  <c r="S37" i="28" s="1"/>
  <c r="R31" i="28"/>
  <c r="R37" i="28" s="1"/>
  <c r="Q31" i="28"/>
  <c r="N31" i="28"/>
  <c r="N37" i="28" s="1"/>
  <c r="M31" i="28"/>
  <c r="M37" i="28" s="1"/>
  <c r="L31" i="28"/>
  <c r="L37" i="28" s="1"/>
  <c r="K31" i="28"/>
  <c r="K37" i="28" s="1"/>
  <c r="J31" i="28"/>
  <c r="J37" i="28" s="1"/>
  <c r="I31" i="28"/>
  <c r="I37" i="28" s="1"/>
  <c r="H31" i="28"/>
  <c r="H37" i="28" s="1"/>
  <c r="G31" i="28"/>
  <c r="G37" i="28" s="1"/>
  <c r="F31" i="28"/>
  <c r="F37" i="28" s="1"/>
  <c r="E31" i="28"/>
  <c r="E37" i="28" s="1"/>
  <c r="D31" i="28"/>
  <c r="D37" i="28" s="1"/>
  <c r="C31" i="28"/>
  <c r="AP30" i="28"/>
  <c r="AO30" i="28"/>
  <c r="AN30" i="28"/>
  <c r="AM30" i="28"/>
  <c r="AL30" i="28"/>
  <c r="AK30" i="28"/>
  <c r="AJ30" i="28"/>
  <c r="AI30" i="28"/>
  <c r="AH30" i="28"/>
  <c r="AG30" i="28"/>
  <c r="AF30" i="28"/>
  <c r="AE30" i="28"/>
  <c r="AC30" i="28"/>
  <c r="AC36" i="28" s="1"/>
  <c r="O30" i="28"/>
  <c r="O36" i="28" s="1"/>
  <c r="AP29" i="28"/>
  <c r="AO29" i="28"/>
  <c r="AN29" i="28"/>
  <c r="AM29" i="28"/>
  <c r="AL29" i="28"/>
  <c r="AK29" i="28"/>
  <c r="AJ29" i="28"/>
  <c r="AI29" i="28"/>
  <c r="AH29" i="28"/>
  <c r="AG29" i="28"/>
  <c r="AF29" i="28"/>
  <c r="AE29" i="28"/>
  <c r="AC29" i="28"/>
  <c r="AC35" i="28" s="1"/>
  <c r="O29" i="28"/>
  <c r="O35" i="28" s="1"/>
  <c r="AP28" i="28"/>
  <c r="AO28" i="28"/>
  <c r="AN28" i="28"/>
  <c r="AM28" i="28"/>
  <c r="AL28" i="28"/>
  <c r="AK28" i="28"/>
  <c r="AJ28" i="28"/>
  <c r="AI28" i="28"/>
  <c r="AH28" i="28"/>
  <c r="AG28" i="28"/>
  <c r="AF28" i="28"/>
  <c r="AE28" i="28"/>
  <c r="AC28" i="28"/>
  <c r="AC38" i="28" s="1"/>
  <c r="O28" i="28"/>
  <c r="O38" i="28" s="1"/>
  <c r="N95" i="27"/>
  <c r="M95" i="27"/>
  <c r="L95" i="27"/>
  <c r="K95" i="27"/>
  <c r="J95" i="27"/>
  <c r="I95" i="27"/>
  <c r="H95" i="27"/>
  <c r="G95" i="27"/>
  <c r="F95" i="27"/>
  <c r="E95" i="27"/>
  <c r="D95" i="27"/>
  <c r="C95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O84" i="27" s="1"/>
  <c r="N82" i="27"/>
  <c r="N85" i="27" s="1"/>
  <c r="M82" i="27"/>
  <c r="M85" i="27" s="1"/>
  <c r="L82" i="27"/>
  <c r="L85" i="27" s="1"/>
  <c r="K82" i="27"/>
  <c r="K85" i="27" s="1"/>
  <c r="J82" i="27"/>
  <c r="J85" i="27" s="1"/>
  <c r="I82" i="27"/>
  <c r="I85" i="27" s="1"/>
  <c r="H82" i="27"/>
  <c r="H85" i="27" s="1"/>
  <c r="G82" i="27"/>
  <c r="G85" i="27" s="1"/>
  <c r="F82" i="27"/>
  <c r="F85" i="27" s="1"/>
  <c r="E82" i="27"/>
  <c r="E85" i="27" s="1"/>
  <c r="D82" i="27"/>
  <c r="D85" i="27" s="1"/>
  <c r="C82" i="27"/>
  <c r="C85" i="27" s="1"/>
  <c r="N77" i="27"/>
  <c r="M77" i="27"/>
  <c r="L77" i="27"/>
  <c r="K77" i="27"/>
  <c r="J77" i="27"/>
  <c r="I77" i="27"/>
  <c r="H77" i="27"/>
  <c r="G77" i="27"/>
  <c r="F77" i="27"/>
  <c r="E77" i="27"/>
  <c r="D77" i="27"/>
  <c r="C77" i="27"/>
  <c r="O77" i="27" s="1"/>
  <c r="N75" i="27"/>
  <c r="N78" i="27" s="1"/>
  <c r="M75" i="27"/>
  <c r="M78" i="27" s="1"/>
  <c r="L75" i="27"/>
  <c r="L78" i="27" s="1"/>
  <c r="K75" i="27"/>
  <c r="K78" i="27" s="1"/>
  <c r="J75" i="27"/>
  <c r="J78" i="27" s="1"/>
  <c r="I75" i="27"/>
  <c r="I78" i="27" s="1"/>
  <c r="H75" i="27"/>
  <c r="H78" i="27" s="1"/>
  <c r="G75" i="27"/>
  <c r="G78" i="27" s="1"/>
  <c r="F75" i="27"/>
  <c r="F78" i="27" s="1"/>
  <c r="E75" i="27"/>
  <c r="E78" i="27" s="1"/>
  <c r="D75" i="27"/>
  <c r="D78" i="27" s="1"/>
  <c r="C75" i="27"/>
  <c r="C78" i="27" s="1"/>
  <c r="N68" i="27"/>
  <c r="M68" i="27"/>
  <c r="L68" i="27"/>
  <c r="K68" i="27"/>
  <c r="J68" i="27"/>
  <c r="I68" i="27"/>
  <c r="H68" i="27"/>
  <c r="G68" i="27"/>
  <c r="F68" i="27"/>
  <c r="E68" i="27"/>
  <c r="D68" i="27"/>
  <c r="C68" i="27"/>
  <c r="O68" i="27" s="1"/>
  <c r="B68" i="27"/>
  <c r="N67" i="27"/>
  <c r="M67" i="27"/>
  <c r="L67" i="27"/>
  <c r="K67" i="27"/>
  <c r="J67" i="27"/>
  <c r="I67" i="27"/>
  <c r="H67" i="27"/>
  <c r="G67" i="27"/>
  <c r="F67" i="27"/>
  <c r="E67" i="27"/>
  <c r="D67" i="27"/>
  <c r="C67" i="27"/>
  <c r="O67" i="27" s="1"/>
  <c r="B67" i="27"/>
  <c r="N66" i="27"/>
  <c r="M66" i="27"/>
  <c r="L66" i="27"/>
  <c r="K66" i="27"/>
  <c r="J66" i="27"/>
  <c r="I66" i="27"/>
  <c r="H66" i="27"/>
  <c r="G66" i="27"/>
  <c r="F66" i="27"/>
  <c r="E66" i="27"/>
  <c r="D66" i="27"/>
  <c r="C66" i="27"/>
  <c r="O66" i="27" s="1"/>
  <c r="B66" i="27"/>
  <c r="N65" i="27"/>
  <c r="M65" i="27"/>
  <c r="L65" i="27"/>
  <c r="K65" i="27"/>
  <c r="J65" i="27"/>
  <c r="I65" i="27"/>
  <c r="H65" i="27"/>
  <c r="G65" i="27"/>
  <c r="F65" i="27"/>
  <c r="E65" i="27"/>
  <c r="D65" i="27"/>
  <c r="C65" i="27"/>
  <c r="O65" i="27" s="1"/>
  <c r="B65" i="27"/>
  <c r="N64" i="27"/>
  <c r="M64" i="27"/>
  <c r="L64" i="27"/>
  <c r="K64" i="27"/>
  <c r="J64" i="27"/>
  <c r="I64" i="27"/>
  <c r="H64" i="27"/>
  <c r="G64" i="27"/>
  <c r="F64" i="27"/>
  <c r="E64" i="27"/>
  <c r="D64" i="27"/>
  <c r="C64" i="27"/>
  <c r="O64" i="27" s="1"/>
  <c r="B64" i="27"/>
  <c r="N63" i="27"/>
  <c r="M63" i="27"/>
  <c r="L63" i="27"/>
  <c r="K63" i="27"/>
  <c r="J63" i="27"/>
  <c r="I63" i="27"/>
  <c r="H63" i="27"/>
  <c r="G63" i="27"/>
  <c r="F63" i="27"/>
  <c r="E63" i="27"/>
  <c r="D63" i="27"/>
  <c r="C63" i="27"/>
  <c r="O63" i="27" s="1"/>
  <c r="B63" i="27"/>
  <c r="N62" i="27"/>
  <c r="M62" i="27"/>
  <c r="L62" i="27"/>
  <c r="K62" i="27"/>
  <c r="J62" i="27"/>
  <c r="I62" i="27"/>
  <c r="H62" i="27"/>
  <c r="G62" i="27"/>
  <c r="F62" i="27"/>
  <c r="E62" i="27"/>
  <c r="D62" i="27"/>
  <c r="C62" i="27"/>
  <c r="O62" i="27" s="1"/>
  <c r="B62" i="27"/>
  <c r="N61" i="27"/>
  <c r="N69" i="27" s="1"/>
  <c r="M61" i="27"/>
  <c r="M69" i="27" s="1"/>
  <c r="L61" i="27"/>
  <c r="L69" i="27" s="1"/>
  <c r="K61" i="27"/>
  <c r="K69" i="27" s="1"/>
  <c r="J61" i="27"/>
  <c r="J69" i="27" s="1"/>
  <c r="I61" i="27"/>
  <c r="I69" i="27" s="1"/>
  <c r="H61" i="27"/>
  <c r="H69" i="27" s="1"/>
  <c r="G61" i="27"/>
  <c r="G69" i="27" s="1"/>
  <c r="F61" i="27"/>
  <c r="F69" i="27" s="1"/>
  <c r="E61" i="27"/>
  <c r="E69" i="27" s="1"/>
  <c r="D61" i="27"/>
  <c r="D69" i="27" s="1"/>
  <c r="C61" i="27"/>
  <c r="B61" i="27"/>
  <c r="N58" i="27"/>
  <c r="BD30" i="28" s="1"/>
  <c r="M58" i="27"/>
  <c r="BC30" i="28" s="1"/>
  <c r="L58" i="27"/>
  <c r="BB30" i="28" s="1"/>
  <c r="K58" i="27"/>
  <c r="BA30" i="28" s="1"/>
  <c r="J58" i="27"/>
  <c r="AZ30" i="28" s="1"/>
  <c r="I58" i="27"/>
  <c r="AY30" i="28" s="1"/>
  <c r="H58" i="27"/>
  <c r="AX30" i="28" s="1"/>
  <c r="G58" i="27"/>
  <c r="AW30" i="28" s="1"/>
  <c r="F58" i="27"/>
  <c r="AV30" i="28" s="1"/>
  <c r="E58" i="27"/>
  <c r="AU30" i="28" s="1"/>
  <c r="D58" i="27"/>
  <c r="AT30" i="28" s="1"/>
  <c r="C58" i="27"/>
  <c r="AS30" i="28" s="1"/>
  <c r="O57" i="27"/>
  <c r="O56" i="27"/>
  <c r="O55" i="27"/>
  <c r="O54" i="27"/>
  <c r="O53" i="27"/>
  <c r="O52" i="27"/>
  <c r="O51" i="27"/>
  <c r="O50" i="27"/>
  <c r="O58" i="27" s="1"/>
  <c r="N46" i="27"/>
  <c r="M46" i="27"/>
  <c r="L46" i="27"/>
  <c r="K46" i="27"/>
  <c r="J46" i="27"/>
  <c r="I46" i="27"/>
  <c r="H46" i="27"/>
  <c r="G46" i="27"/>
  <c r="F46" i="27"/>
  <c r="E46" i="27"/>
  <c r="D46" i="27"/>
  <c r="C46" i="27"/>
  <c r="B46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N36" i="27"/>
  <c r="BD29" i="28" s="1"/>
  <c r="M36" i="27"/>
  <c r="BC29" i="28" s="1"/>
  <c r="L36" i="27"/>
  <c r="BB29" i="28" s="1"/>
  <c r="K36" i="27"/>
  <c r="BA29" i="28" s="1"/>
  <c r="J36" i="27"/>
  <c r="AZ29" i="28" s="1"/>
  <c r="I36" i="27"/>
  <c r="AY29" i="28" s="1"/>
  <c r="H36" i="27"/>
  <c r="AX29" i="28" s="1"/>
  <c r="G36" i="27"/>
  <c r="AW29" i="28" s="1"/>
  <c r="F36" i="27"/>
  <c r="AV29" i="28" s="1"/>
  <c r="E36" i="27"/>
  <c r="AU29" i="28" s="1"/>
  <c r="D36" i="27"/>
  <c r="AT29" i="28" s="1"/>
  <c r="C36" i="27"/>
  <c r="AS29" i="28" s="1"/>
  <c r="O35" i="27"/>
  <c r="O34" i="27"/>
  <c r="O33" i="27"/>
  <c r="O32" i="27"/>
  <c r="O31" i="27"/>
  <c r="O30" i="27"/>
  <c r="O29" i="27"/>
  <c r="O28" i="27"/>
  <c r="O36" i="27" s="1"/>
  <c r="N24" i="27"/>
  <c r="M24" i="27"/>
  <c r="L24" i="27"/>
  <c r="K24" i="27"/>
  <c r="J24" i="27"/>
  <c r="I24" i="27"/>
  <c r="H24" i="27"/>
  <c r="G24" i="27"/>
  <c r="F24" i="27"/>
  <c r="E24" i="27"/>
  <c r="D24" i="27"/>
  <c r="C24" i="27"/>
  <c r="B24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N14" i="27"/>
  <c r="M14" i="27"/>
  <c r="L14" i="27"/>
  <c r="K14" i="27"/>
  <c r="J14" i="27"/>
  <c r="I14" i="27"/>
  <c r="H14" i="27"/>
  <c r="G14" i="27"/>
  <c r="F14" i="27"/>
  <c r="E14" i="27"/>
  <c r="D14" i="27"/>
  <c r="C14" i="27"/>
  <c r="O13" i="27"/>
  <c r="O12" i="27"/>
  <c r="O11" i="27"/>
  <c r="O10" i="27"/>
  <c r="O9" i="27"/>
  <c r="O8" i="27"/>
  <c r="O7" i="27"/>
  <c r="O6" i="27"/>
  <c r="O1" i="27"/>
  <c r="N73" i="25"/>
  <c r="O73" i="25" s="1"/>
  <c r="M73" i="25"/>
  <c r="L73" i="25"/>
  <c r="K73" i="25"/>
  <c r="J73" i="25"/>
  <c r="I73" i="25"/>
  <c r="H73" i="25"/>
  <c r="G73" i="25"/>
  <c r="F73" i="25"/>
  <c r="E73" i="25"/>
  <c r="D73" i="25"/>
  <c r="C73" i="25"/>
  <c r="O72" i="25"/>
  <c r="O71" i="25"/>
  <c r="O70" i="25"/>
  <c r="O69" i="25"/>
  <c r="O68" i="25"/>
  <c r="N67" i="25"/>
  <c r="M67" i="25"/>
  <c r="L67" i="25"/>
  <c r="K67" i="25"/>
  <c r="J67" i="25"/>
  <c r="I67" i="25"/>
  <c r="H67" i="25"/>
  <c r="G67" i="25"/>
  <c r="F67" i="25"/>
  <c r="E67" i="25"/>
  <c r="D67" i="25"/>
  <c r="C67" i="25"/>
  <c r="O67" i="25" s="1"/>
  <c r="O66" i="25"/>
  <c r="O65" i="25"/>
  <c r="O64" i="25"/>
  <c r="N60" i="25"/>
  <c r="O60" i="25" s="1"/>
  <c r="M60" i="25"/>
  <c r="L60" i="25"/>
  <c r="K60" i="25"/>
  <c r="J60" i="25"/>
  <c r="I60" i="25"/>
  <c r="H60" i="25"/>
  <c r="G60" i="25"/>
  <c r="F60" i="25"/>
  <c r="E60" i="25"/>
  <c r="D60" i="25"/>
  <c r="C60" i="25"/>
  <c r="O59" i="25"/>
  <c r="O58" i="25"/>
  <c r="O57" i="25"/>
  <c r="O56" i="25"/>
  <c r="O55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O54" i="25" s="1"/>
  <c r="O53" i="25"/>
  <c r="O52" i="25"/>
  <c r="O51" i="25"/>
  <c r="AB45" i="25"/>
  <c r="AA45" i="25"/>
  <c r="AA46" i="25" s="1"/>
  <c r="Z45" i="25"/>
  <c r="Z46" i="25" s="1"/>
  <c r="Y45" i="25"/>
  <c r="Y46" i="25" s="1"/>
  <c r="X45" i="25"/>
  <c r="X46" i="25" s="1"/>
  <c r="W45" i="25"/>
  <c r="W46" i="25" s="1"/>
  <c r="V45" i="25"/>
  <c r="V46" i="25" s="1"/>
  <c r="U45" i="25"/>
  <c r="U46" i="25" s="1"/>
  <c r="T45" i="25"/>
  <c r="T46" i="25" s="1"/>
  <c r="S45" i="25"/>
  <c r="S46" i="25" s="1"/>
  <c r="R45" i="25"/>
  <c r="R46" i="25" s="1"/>
  <c r="Q45" i="25"/>
  <c r="Q46" i="25" s="1"/>
  <c r="N45" i="25"/>
  <c r="M45" i="25"/>
  <c r="M46" i="25" s="1"/>
  <c r="L45" i="25"/>
  <c r="L46" i="25" s="1"/>
  <c r="K45" i="25"/>
  <c r="K46" i="25" s="1"/>
  <c r="J45" i="25"/>
  <c r="J46" i="25" s="1"/>
  <c r="I45" i="25"/>
  <c r="I46" i="25" s="1"/>
  <c r="H45" i="25"/>
  <c r="H46" i="25" s="1"/>
  <c r="G45" i="25"/>
  <c r="G46" i="25" s="1"/>
  <c r="F45" i="25"/>
  <c r="F46" i="25" s="1"/>
  <c r="E45" i="25"/>
  <c r="E46" i="25" s="1"/>
  <c r="D45" i="25"/>
  <c r="D46" i="25" s="1"/>
  <c r="C45" i="25"/>
  <c r="C46" i="25" s="1"/>
  <c r="BD44" i="25"/>
  <c r="BE44" i="25" s="1"/>
  <c r="BC44" i="25"/>
  <c r="BB44" i="25"/>
  <c r="BA44" i="25"/>
  <c r="AZ44" i="25"/>
  <c r="AY44" i="25"/>
  <c r="AX44" i="25"/>
  <c r="AW44" i="25"/>
  <c r="AV44" i="25"/>
  <c r="AU44" i="25"/>
  <c r="AT44" i="25"/>
  <c r="AS44" i="25"/>
  <c r="AP44" i="25"/>
  <c r="AO44" i="25"/>
  <c r="BQ44" i="25" s="1"/>
  <c r="AN44" i="25"/>
  <c r="BP44" i="25" s="1"/>
  <c r="AM44" i="25"/>
  <c r="BO44" i="25" s="1"/>
  <c r="AL44" i="25"/>
  <c r="BN44" i="25" s="1"/>
  <c r="AK44" i="25"/>
  <c r="BM44" i="25" s="1"/>
  <c r="AJ44" i="25"/>
  <c r="BL44" i="25" s="1"/>
  <c r="AI44" i="25"/>
  <c r="BK44" i="25" s="1"/>
  <c r="AH44" i="25"/>
  <c r="BJ44" i="25" s="1"/>
  <c r="AG44" i="25"/>
  <c r="BI44" i="25" s="1"/>
  <c r="AF44" i="25"/>
  <c r="BH44" i="25" s="1"/>
  <c r="AE44" i="25"/>
  <c r="BG44" i="25" s="1"/>
  <c r="AC44" i="25"/>
  <c r="O44" i="25"/>
  <c r="BD43" i="25"/>
  <c r="BE43" i="25" s="1"/>
  <c r="BC43" i="25"/>
  <c r="BB43" i="25"/>
  <c r="BA43" i="25"/>
  <c r="AZ43" i="25"/>
  <c r="AY43" i="25"/>
  <c r="AX43" i="25"/>
  <c r="AW43" i="25"/>
  <c r="AV43" i="25"/>
  <c r="AU43" i="25"/>
  <c r="AT43" i="25"/>
  <c r="AS43" i="25"/>
  <c r="AP43" i="25"/>
  <c r="AO43" i="25"/>
  <c r="BQ43" i="25" s="1"/>
  <c r="AN43" i="25"/>
  <c r="BP43" i="25" s="1"/>
  <c r="AM43" i="25"/>
  <c r="BO43" i="25" s="1"/>
  <c r="AL43" i="25"/>
  <c r="BN43" i="25" s="1"/>
  <c r="AK43" i="25"/>
  <c r="BM43" i="25" s="1"/>
  <c r="AJ43" i="25"/>
  <c r="BL43" i="25" s="1"/>
  <c r="AI43" i="25"/>
  <c r="BK43" i="25" s="1"/>
  <c r="AH43" i="25"/>
  <c r="BJ43" i="25" s="1"/>
  <c r="AG43" i="25"/>
  <c r="BI43" i="25" s="1"/>
  <c r="AF43" i="25"/>
  <c r="BH43" i="25" s="1"/>
  <c r="AE43" i="25"/>
  <c r="BG43" i="25" s="1"/>
  <c r="AC43" i="25"/>
  <c r="O43" i="25"/>
  <c r="BD42" i="25"/>
  <c r="BE42" i="25" s="1"/>
  <c r="BC42" i="25"/>
  <c r="BB42" i="25"/>
  <c r="BA42" i="25"/>
  <c r="AZ42" i="25"/>
  <c r="AY42" i="25"/>
  <c r="AX42" i="25"/>
  <c r="AW42" i="25"/>
  <c r="AV42" i="25"/>
  <c r="AU42" i="25"/>
  <c r="AT42" i="25"/>
  <c r="AS42" i="25"/>
  <c r="AP42" i="25"/>
  <c r="AO42" i="25"/>
  <c r="BQ42" i="25" s="1"/>
  <c r="AN42" i="25"/>
  <c r="BP42" i="25" s="1"/>
  <c r="AM42" i="25"/>
  <c r="BO42" i="25" s="1"/>
  <c r="AL42" i="25"/>
  <c r="BN42" i="25" s="1"/>
  <c r="AK42" i="25"/>
  <c r="BM42" i="25" s="1"/>
  <c r="AJ42" i="25"/>
  <c r="BL42" i="25" s="1"/>
  <c r="AI42" i="25"/>
  <c r="BK42" i="25" s="1"/>
  <c r="AH42" i="25"/>
  <c r="BJ42" i="25" s="1"/>
  <c r="AG42" i="25"/>
  <c r="BI42" i="25" s="1"/>
  <c r="AF42" i="25"/>
  <c r="BH42" i="25" s="1"/>
  <c r="AE42" i="25"/>
  <c r="BG42" i="25" s="1"/>
  <c r="AC42" i="25"/>
  <c r="O42" i="25"/>
  <c r="BD41" i="25"/>
  <c r="BE41" i="25" s="1"/>
  <c r="BC41" i="25"/>
  <c r="BB41" i="25"/>
  <c r="BA41" i="25"/>
  <c r="AZ41" i="25"/>
  <c r="AY41" i="25"/>
  <c r="AX41" i="25"/>
  <c r="AW41" i="25"/>
  <c r="AV41" i="25"/>
  <c r="AU41" i="25"/>
  <c r="AT41" i="25"/>
  <c r="AS41" i="25"/>
  <c r="AP41" i="25"/>
  <c r="AO41" i="25"/>
  <c r="BQ41" i="25" s="1"/>
  <c r="AN41" i="25"/>
  <c r="BP41" i="25" s="1"/>
  <c r="AM41" i="25"/>
  <c r="BO41" i="25" s="1"/>
  <c r="AL41" i="25"/>
  <c r="BN41" i="25" s="1"/>
  <c r="AK41" i="25"/>
  <c r="BM41" i="25" s="1"/>
  <c r="AJ41" i="25"/>
  <c r="BL41" i="25" s="1"/>
  <c r="AI41" i="25"/>
  <c r="BK41" i="25" s="1"/>
  <c r="AH41" i="25"/>
  <c r="BJ41" i="25" s="1"/>
  <c r="AG41" i="25"/>
  <c r="BI41" i="25" s="1"/>
  <c r="AF41" i="25"/>
  <c r="BH41" i="25" s="1"/>
  <c r="AE41" i="25"/>
  <c r="BG41" i="25" s="1"/>
  <c r="AC41" i="25"/>
  <c r="O41" i="25"/>
  <c r="BD40" i="25"/>
  <c r="BC40" i="25"/>
  <c r="BC45" i="25" s="1"/>
  <c r="BB40" i="25"/>
  <c r="BB45" i="25" s="1"/>
  <c r="BA40" i="25"/>
  <c r="BA45" i="25" s="1"/>
  <c r="AZ40" i="25"/>
  <c r="AZ45" i="25" s="1"/>
  <c r="AY40" i="25"/>
  <c r="AY45" i="25" s="1"/>
  <c r="AX40" i="25"/>
  <c r="AX45" i="25" s="1"/>
  <c r="AW40" i="25"/>
  <c r="AW45" i="25" s="1"/>
  <c r="AV40" i="25"/>
  <c r="AV45" i="25" s="1"/>
  <c r="AU40" i="25"/>
  <c r="AU45" i="25" s="1"/>
  <c r="AT40" i="25"/>
  <c r="AT45" i="25" s="1"/>
  <c r="AS40" i="25"/>
  <c r="AS45" i="25" s="1"/>
  <c r="AP40" i="25"/>
  <c r="AO40" i="25"/>
  <c r="AN40" i="25"/>
  <c r="AM40" i="25"/>
  <c r="AL40" i="25"/>
  <c r="AK40" i="25"/>
  <c r="AJ40" i="25"/>
  <c r="AI40" i="25"/>
  <c r="AH40" i="25"/>
  <c r="AG40" i="25"/>
  <c r="AF40" i="25"/>
  <c r="AE40" i="25"/>
  <c r="AC40" i="25"/>
  <c r="O40" i="25"/>
  <c r="AB38" i="25"/>
  <c r="AA38" i="25"/>
  <c r="Z38" i="25"/>
  <c r="Y38" i="25"/>
  <c r="X38" i="25"/>
  <c r="W38" i="25"/>
  <c r="V38" i="25"/>
  <c r="U38" i="25"/>
  <c r="T38" i="25"/>
  <c r="S38" i="25"/>
  <c r="R38" i="25"/>
  <c r="Q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AB36" i="25"/>
  <c r="AA36" i="25"/>
  <c r="Z36" i="25"/>
  <c r="Y36" i="25"/>
  <c r="X36" i="25"/>
  <c r="W36" i="25"/>
  <c r="V36" i="25"/>
  <c r="U36" i="25"/>
  <c r="T36" i="25"/>
  <c r="S36" i="25"/>
  <c r="R36" i="25"/>
  <c r="Q36" i="25"/>
  <c r="N36" i="25"/>
  <c r="M36" i="25"/>
  <c r="L36" i="25"/>
  <c r="K36" i="25"/>
  <c r="J36" i="25"/>
  <c r="I36" i="25"/>
  <c r="H36" i="25"/>
  <c r="G36" i="25"/>
  <c r="F36" i="25"/>
  <c r="E36" i="25"/>
  <c r="D36" i="25"/>
  <c r="C36" i="25"/>
  <c r="AB35" i="25"/>
  <c r="AA35" i="25"/>
  <c r="Z35" i="25"/>
  <c r="Y35" i="25"/>
  <c r="X35" i="25"/>
  <c r="W35" i="25"/>
  <c r="V35" i="25"/>
  <c r="U35" i="25"/>
  <c r="T35" i="25"/>
  <c r="S35" i="25"/>
  <c r="R35" i="25"/>
  <c r="Q35" i="25"/>
  <c r="N35" i="25"/>
  <c r="M35" i="25"/>
  <c r="L35" i="25"/>
  <c r="K35" i="25"/>
  <c r="J35" i="25"/>
  <c r="I35" i="25"/>
  <c r="H35" i="25"/>
  <c r="G35" i="25"/>
  <c r="F35" i="25"/>
  <c r="E35" i="25"/>
  <c r="D35" i="25"/>
  <c r="C35" i="25"/>
  <c r="AB31" i="25"/>
  <c r="AB37" i="25" s="1"/>
  <c r="AA31" i="25"/>
  <c r="AA37" i="25" s="1"/>
  <c r="Z31" i="25"/>
  <c r="Z37" i="25" s="1"/>
  <c r="Y31" i="25"/>
  <c r="Y37" i="25" s="1"/>
  <c r="X31" i="25"/>
  <c r="X37" i="25" s="1"/>
  <c r="W31" i="25"/>
  <c r="W37" i="25" s="1"/>
  <c r="V31" i="25"/>
  <c r="V37" i="25" s="1"/>
  <c r="U31" i="25"/>
  <c r="U37" i="25" s="1"/>
  <c r="T31" i="25"/>
  <c r="T37" i="25" s="1"/>
  <c r="S31" i="25"/>
  <c r="S37" i="25" s="1"/>
  <c r="R31" i="25"/>
  <c r="R37" i="25" s="1"/>
  <c r="Q31" i="25"/>
  <c r="N31" i="25"/>
  <c r="N37" i="25" s="1"/>
  <c r="M31" i="25"/>
  <c r="M37" i="25" s="1"/>
  <c r="L31" i="25"/>
  <c r="L37" i="25" s="1"/>
  <c r="K31" i="25"/>
  <c r="K37" i="25" s="1"/>
  <c r="J31" i="25"/>
  <c r="J37" i="25" s="1"/>
  <c r="I31" i="25"/>
  <c r="I37" i="25" s="1"/>
  <c r="H31" i="25"/>
  <c r="H37" i="25" s="1"/>
  <c r="G31" i="25"/>
  <c r="G37" i="25" s="1"/>
  <c r="F31" i="25"/>
  <c r="F37" i="25" s="1"/>
  <c r="E31" i="25"/>
  <c r="E37" i="25" s="1"/>
  <c r="D31" i="25"/>
  <c r="D37" i="25" s="1"/>
  <c r="C31" i="25"/>
  <c r="AP30" i="25"/>
  <c r="AO30" i="25"/>
  <c r="AN30" i="25"/>
  <c r="AM30" i="25"/>
  <c r="AL30" i="25"/>
  <c r="AK30" i="25"/>
  <c r="AJ30" i="25"/>
  <c r="AI30" i="25"/>
  <c r="AH30" i="25"/>
  <c r="AG30" i="25"/>
  <c r="AF30" i="25"/>
  <c r="AE30" i="25"/>
  <c r="AC30" i="25"/>
  <c r="AC36" i="25" s="1"/>
  <c r="O30" i="25"/>
  <c r="O36" i="25" s="1"/>
  <c r="AP29" i="25"/>
  <c r="AO29" i="25"/>
  <c r="AN29" i="25"/>
  <c r="AM29" i="25"/>
  <c r="AL29" i="25"/>
  <c r="AK29" i="25"/>
  <c r="AJ29" i="25"/>
  <c r="AI29" i="25"/>
  <c r="AH29" i="25"/>
  <c r="AG29" i="25"/>
  <c r="AF29" i="25"/>
  <c r="AE29" i="25"/>
  <c r="AC29" i="25"/>
  <c r="AC35" i="25" s="1"/>
  <c r="O29" i="25"/>
  <c r="O35" i="25" s="1"/>
  <c r="AP28" i="25"/>
  <c r="AO28" i="25"/>
  <c r="AN28" i="25"/>
  <c r="AM28" i="25"/>
  <c r="AL28" i="25"/>
  <c r="AK28" i="25"/>
  <c r="AJ28" i="25"/>
  <c r="AI28" i="25"/>
  <c r="AH28" i="25"/>
  <c r="AG28" i="25"/>
  <c r="AF28" i="25"/>
  <c r="AE28" i="25"/>
  <c r="AC28" i="25"/>
  <c r="AC38" i="25" s="1"/>
  <c r="O28" i="25"/>
  <c r="O38" i="25" s="1"/>
  <c r="N95" i="24"/>
  <c r="M95" i="24"/>
  <c r="L95" i="24"/>
  <c r="K95" i="24"/>
  <c r="J95" i="24"/>
  <c r="I95" i="24"/>
  <c r="H95" i="24"/>
  <c r="G95" i="24"/>
  <c r="F95" i="24"/>
  <c r="E95" i="24"/>
  <c r="D95" i="24"/>
  <c r="C95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O84" i="24" s="1"/>
  <c r="N82" i="24"/>
  <c r="N85" i="24" s="1"/>
  <c r="M82" i="24"/>
  <c r="M85" i="24" s="1"/>
  <c r="L82" i="24"/>
  <c r="L85" i="24" s="1"/>
  <c r="K82" i="24"/>
  <c r="K85" i="24" s="1"/>
  <c r="J82" i="24"/>
  <c r="J85" i="24" s="1"/>
  <c r="I82" i="24"/>
  <c r="I85" i="24" s="1"/>
  <c r="H82" i="24"/>
  <c r="H85" i="24" s="1"/>
  <c r="G82" i="24"/>
  <c r="G85" i="24" s="1"/>
  <c r="F82" i="24"/>
  <c r="F85" i="24" s="1"/>
  <c r="E82" i="24"/>
  <c r="E85" i="24" s="1"/>
  <c r="D82" i="24"/>
  <c r="D85" i="24" s="1"/>
  <c r="C82" i="24"/>
  <c r="C85" i="24" s="1"/>
  <c r="N77" i="24"/>
  <c r="M77" i="24"/>
  <c r="L77" i="24"/>
  <c r="K77" i="24"/>
  <c r="J77" i="24"/>
  <c r="I77" i="24"/>
  <c r="H77" i="24"/>
  <c r="G77" i="24"/>
  <c r="F77" i="24"/>
  <c r="E77" i="24"/>
  <c r="D77" i="24"/>
  <c r="C77" i="24"/>
  <c r="O77" i="24" s="1"/>
  <c r="N75" i="24"/>
  <c r="N78" i="24" s="1"/>
  <c r="M75" i="24"/>
  <c r="M78" i="24" s="1"/>
  <c r="L75" i="24"/>
  <c r="L78" i="24" s="1"/>
  <c r="K75" i="24"/>
  <c r="K78" i="24" s="1"/>
  <c r="J75" i="24"/>
  <c r="J78" i="24" s="1"/>
  <c r="I75" i="24"/>
  <c r="I78" i="24" s="1"/>
  <c r="H75" i="24"/>
  <c r="H78" i="24" s="1"/>
  <c r="G75" i="24"/>
  <c r="G78" i="24" s="1"/>
  <c r="F75" i="24"/>
  <c r="F78" i="24" s="1"/>
  <c r="E75" i="24"/>
  <c r="E78" i="24" s="1"/>
  <c r="D75" i="24"/>
  <c r="D78" i="24" s="1"/>
  <c r="C75" i="24"/>
  <c r="C78" i="24" s="1"/>
  <c r="N68" i="24"/>
  <c r="M68" i="24"/>
  <c r="L68" i="24"/>
  <c r="K68" i="24"/>
  <c r="J68" i="24"/>
  <c r="I68" i="24"/>
  <c r="H68" i="24"/>
  <c r="G68" i="24"/>
  <c r="F68" i="24"/>
  <c r="E68" i="24"/>
  <c r="D68" i="24"/>
  <c r="C68" i="24"/>
  <c r="O68" i="24" s="1"/>
  <c r="B68" i="24"/>
  <c r="N67" i="24"/>
  <c r="M67" i="24"/>
  <c r="L67" i="24"/>
  <c r="K67" i="24"/>
  <c r="J67" i="24"/>
  <c r="I67" i="24"/>
  <c r="H67" i="24"/>
  <c r="G67" i="24"/>
  <c r="F67" i="24"/>
  <c r="E67" i="24"/>
  <c r="D67" i="24"/>
  <c r="C67" i="24"/>
  <c r="O67" i="24" s="1"/>
  <c r="B67" i="24"/>
  <c r="N66" i="24"/>
  <c r="M66" i="24"/>
  <c r="L66" i="24"/>
  <c r="K66" i="24"/>
  <c r="J66" i="24"/>
  <c r="I66" i="24"/>
  <c r="H66" i="24"/>
  <c r="G66" i="24"/>
  <c r="F66" i="24"/>
  <c r="E66" i="24"/>
  <c r="D66" i="24"/>
  <c r="C66" i="24"/>
  <c r="O66" i="24" s="1"/>
  <c r="B66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O65" i="24" s="1"/>
  <c r="B65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O64" i="24" s="1"/>
  <c r="B64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O63" i="24" s="1"/>
  <c r="B63" i="24"/>
  <c r="N62" i="24"/>
  <c r="M62" i="24"/>
  <c r="L62" i="24"/>
  <c r="K62" i="24"/>
  <c r="J62" i="24"/>
  <c r="I62" i="24"/>
  <c r="H62" i="24"/>
  <c r="G62" i="24"/>
  <c r="F62" i="24"/>
  <c r="E62" i="24"/>
  <c r="D62" i="24"/>
  <c r="C62" i="24"/>
  <c r="O62" i="24" s="1"/>
  <c r="B62" i="24"/>
  <c r="N61" i="24"/>
  <c r="N69" i="24" s="1"/>
  <c r="M61" i="24"/>
  <c r="M69" i="24" s="1"/>
  <c r="L61" i="24"/>
  <c r="L69" i="24" s="1"/>
  <c r="K61" i="24"/>
  <c r="K69" i="24" s="1"/>
  <c r="J61" i="24"/>
  <c r="J69" i="24" s="1"/>
  <c r="I61" i="24"/>
  <c r="I69" i="24" s="1"/>
  <c r="H61" i="24"/>
  <c r="H69" i="24" s="1"/>
  <c r="G61" i="24"/>
  <c r="G69" i="24" s="1"/>
  <c r="F61" i="24"/>
  <c r="F69" i="24" s="1"/>
  <c r="E61" i="24"/>
  <c r="E69" i="24" s="1"/>
  <c r="D61" i="24"/>
  <c r="D69" i="24" s="1"/>
  <c r="C61" i="24"/>
  <c r="B61" i="24"/>
  <c r="N58" i="24"/>
  <c r="BD30" i="25" s="1"/>
  <c r="M58" i="24"/>
  <c r="BC30" i="25" s="1"/>
  <c r="L58" i="24"/>
  <c r="BB30" i="25" s="1"/>
  <c r="K58" i="24"/>
  <c r="BA30" i="25" s="1"/>
  <c r="J58" i="24"/>
  <c r="AZ30" i="25" s="1"/>
  <c r="I58" i="24"/>
  <c r="AY30" i="25" s="1"/>
  <c r="H58" i="24"/>
  <c r="AX30" i="25" s="1"/>
  <c r="G58" i="24"/>
  <c r="AW30" i="25" s="1"/>
  <c r="F58" i="24"/>
  <c r="AV30" i="25" s="1"/>
  <c r="E58" i="24"/>
  <c r="AU30" i="25" s="1"/>
  <c r="D58" i="24"/>
  <c r="AT30" i="25" s="1"/>
  <c r="C58" i="24"/>
  <c r="AS30" i="25" s="1"/>
  <c r="O57" i="24"/>
  <c r="O56" i="24"/>
  <c r="O55" i="24"/>
  <c r="O54" i="24"/>
  <c r="O53" i="24"/>
  <c r="O52" i="24"/>
  <c r="O51" i="24"/>
  <c r="O50" i="24"/>
  <c r="O58" i="24" s="1"/>
  <c r="N46" i="24"/>
  <c r="M46" i="24"/>
  <c r="L46" i="24"/>
  <c r="K46" i="24"/>
  <c r="J46" i="24"/>
  <c r="I46" i="24"/>
  <c r="H46" i="24"/>
  <c r="G46" i="24"/>
  <c r="F46" i="24"/>
  <c r="E46" i="24"/>
  <c r="D46" i="24"/>
  <c r="C46" i="24"/>
  <c r="B46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N36" i="24"/>
  <c r="BD29" i="25" s="1"/>
  <c r="M36" i="24"/>
  <c r="BC29" i="25" s="1"/>
  <c r="L36" i="24"/>
  <c r="BB29" i="25" s="1"/>
  <c r="K36" i="24"/>
  <c r="BA29" i="25" s="1"/>
  <c r="J36" i="24"/>
  <c r="AZ29" i="25" s="1"/>
  <c r="I36" i="24"/>
  <c r="AY29" i="25" s="1"/>
  <c r="H36" i="24"/>
  <c r="AX29" i="25" s="1"/>
  <c r="G36" i="24"/>
  <c r="AW29" i="25" s="1"/>
  <c r="F36" i="24"/>
  <c r="AV29" i="25" s="1"/>
  <c r="E36" i="24"/>
  <c r="AU29" i="25" s="1"/>
  <c r="D36" i="24"/>
  <c r="AT29" i="25" s="1"/>
  <c r="C36" i="24"/>
  <c r="AS29" i="25" s="1"/>
  <c r="O35" i="24"/>
  <c r="O34" i="24"/>
  <c r="O33" i="24"/>
  <c r="O32" i="24"/>
  <c r="O31" i="24"/>
  <c r="O30" i="24"/>
  <c r="O29" i="24"/>
  <c r="O28" i="24"/>
  <c r="O36" i="24" s="1"/>
  <c r="N24" i="24"/>
  <c r="M24" i="24"/>
  <c r="L24" i="24"/>
  <c r="K24" i="24"/>
  <c r="J24" i="24"/>
  <c r="I24" i="24"/>
  <c r="H24" i="24"/>
  <c r="G24" i="24"/>
  <c r="F24" i="24"/>
  <c r="E24" i="24"/>
  <c r="D24" i="24"/>
  <c r="C24" i="24"/>
  <c r="B24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N14" i="24"/>
  <c r="M14" i="24"/>
  <c r="L14" i="24"/>
  <c r="K14" i="24"/>
  <c r="J14" i="24"/>
  <c r="I14" i="24"/>
  <c r="H14" i="24"/>
  <c r="G14" i="24"/>
  <c r="F14" i="24"/>
  <c r="E14" i="24"/>
  <c r="D14" i="24"/>
  <c r="C14" i="24"/>
  <c r="O13" i="24"/>
  <c r="O12" i="24"/>
  <c r="O11" i="24"/>
  <c r="O10" i="24"/>
  <c r="O9" i="24"/>
  <c r="O8" i="24"/>
  <c r="O7" i="24"/>
  <c r="O6" i="24"/>
  <c r="O1" i="24"/>
  <c r="N73" i="22"/>
  <c r="O73" i="22" s="1"/>
  <c r="M73" i="22"/>
  <c r="L73" i="22"/>
  <c r="K73" i="22"/>
  <c r="J73" i="22"/>
  <c r="I73" i="22"/>
  <c r="H73" i="22"/>
  <c r="G73" i="22"/>
  <c r="F73" i="22"/>
  <c r="E73" i="22"/>
  <c r="D73" i="22"/>
  <c r="C73" i="22"/>
  <c r="O72" i="22"/>
  <c r="O71" i="22"/>
  <c r="O70" i="22"/>
  <c r="O69" i="22"/>
  <c r="O68" i="22"/>
  <c r="N67" i="22"/>
  <c r="M67" i="22"/>
  <c r="L67" i="22"/>
  <c r="K67" i="22"/>
  <c r="J67" i="22"/>
  <c r="I67" i="22"/>
  <c r="H67" i="22"/>
  <c r="G67" i="22"/>
  <c r="F67" i="22"/>
  <c r="E67" i="22"/>
  <c r="D67" i="22"/>
  <c r="C67" i="22"/>
  <c r="O67" i="22" s="1"/>
  <c r="O66" i="22"/>
  <c r="O65" i="22"/>
  <c r="O64" i="22"/>
  <c r="N60" i="22"/>
  <c r="O60" i="22" s="1"/>
  <c r="M60" i="22"/>
  <c r="L60" i="22"/>
  <c r="K60" i="22"/>
  <c r="J60" i="22"/>
  <c r="I60" i="22"/>
  <c r="H60" i="22"/>
  <c r="G60" i="22"/>
  <c r="F60" i="22"/>
  <c r="E60" i="22"/>
  <c r="D60" i="22"/>
  <c r="C60" i="22"/>
  <c r="O59" i="22"/>
  <c r="O58" i="22"/>
  <c r="O57" i="22"/>
  <c r="O56" i="22"/>
  <c r="O55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O54" i="22" s="1"/>
  <c r="O53" i="22"/>
  <c r="O52" i="22"/>
  <c r="O51" i="22"/>
  <c r="AB45" i="22"/>
  <c r="AA45" i="22"/>
  <c r="AA46" i="22" s="1"/>
  <c r="Z45" i="22"/>
  <c r="Z46" i="22" s="1"/>
  <c r="Y45" i="22"/>
  <c r="Y46" i="22" s="1"/>
  <c r="X45" i="22"/>
  <c r="X46" i="22" s="1"/>
  <c r="W45" i="22"/>
  <c r="W46" i="22" s="1"/>
  <c r="V45" i="22"/>
  <c r="V46" i="22" s="1"/>
  <c r="U45" i="22"/>
  <c r="U46" i="22" s="1"/>
  <c r="T45" i="22"/>
  <c r="T46" i="22" s="1"/>
  <c r="S45" i="22"/>
  <c r="S46" i="22" s="1"/>
  <c r="R45" i="22"/>
  <c r="R46" i="22" s="1"/>
  <c r="Q45" i="22"/>
  <c r="Q46" i="22" s="1"/>
  <c r="N45" i="22"/>
  <c r="M45" i="22"/>
  <c r="M46" i="22" s="1"/>
  <c r="L45" i="22"/>
  <c r="L46" i="22" s="1"/>
  <c r="K45" i="22"/>
  <c r="K46" i="22" s="1"/>
  <c r="J45" i="22"/>
  <c r="J46" i="22" s="1"/>
  <c r="I45" i="22"/>
  <c r="I46" i="22" s="1"/>
  <c r="H45" i="22"/>
  <c r="H46" i="22" s="1"/>
  <c r="G45" i="22"/>
  <c r="G46" i="22" s="1"/>
  <c r="F45" i="22"/>
  <c r="F46" i="22" s="1"/>
  <c r="E45" i="22"/>
  <c r="E46" i="22" s="1"/>
  <c r="D45" i="22"/>
  <c r="D46" i="22" s="1"/>
  <c r="C45" i="22"/>
  <c r="C46" i="22" s="1"/>
  <c r="BD44" i="22"/>
  <c r="BE44" i="22" s="1"/>
  <c r="BC44" i="22"/>
  <c r="BB44" i="22"/>
  <c r="BA44" i="22"/>
  <c r="AZ44" i="22"/>
  <c r="AY44" i="22"/>
  <c r="AX44" i="22"/>
  <c r="AW44" i="22"/>
  <c r="AV44" i="22"/>
  <c r="AU44" i="22"/>
  <c r="AT44" i="22"/>
  <c r="AS44" i="22"/>
  <c r="AP44" i="22"/>
  <c r="AO44" i="22"/>
  <c r="BQ44" i="22" s="1"/>
  <c r="AN44" i="22"/>
  <c r="BP44" i="22" s="1"/>
  <c r="AM44" i="22"/>
  <c r="BO44" i="22" s="1"/>
  <c r="AL44" i="22"/>
  <c r="BN44" i="22" s="1"/>
  <c r="AK44" i="22"/>
  <c r="BM44" i="22" s="1"/>
  <c r="AJ44" i="22"/>
  <c r="BL44" i="22" s="1"/>
  <c r="AI44" i="22"/>
  <c r="BK44" i="22" s="1"/>
  <c r="AH44" i="22"/>
  <c r="BJ44" i="22" s="1"/>
  <c r="AG44" i="22"/>
  <c r="BI44" i="22" s="1"/>
  <c r="AF44" i="22"/>
  <c r="BH44" i="22" s="1"/>
  <c r="AE44" i="22"/>
  <c r="BG44" i="22" s="1"/>
  <c r="AC44" i="22"/>
  <c r="O44" i="22"/>
  <c r="BD43" i="22"/>
  <c r="BE43" i="22" s="1"/>
  <c r="BC43" i="22"/>
  <c r="BB43" i="22"/>
  <c r="BA43" i="22"/>
  <c r="AZ43" i="22"/>
  <c r="AY43" i="22"/>
  <c r="AX43" i="22"/>
  <c r="AW43" i="22"/>
  <c r="AV43" i="22"/>
  <c r="AU43" i="22"/>
  <c r="AT43" i="22"/>
  <c r="AS43" i="22"/>
  <c r="AP43" i="22"/>
  <c r="AO43" i="22"/>
  <c r="BQ43" i="22" s="1"/>
  <c r="AN43" i="22"/>
  <c r="BP43" i="22" s="1"/>
  <c r="AM43" i="22"/>
  <c r="BO43" i="22" s="1"/>
  <c r="AL43" i="22"/>
  <c r="BN43" i="22" s="1"/>
  <c r="AK43" i="22"/>
  <c r="BM43" i="22" s="1"/>
  <c r="AJ43" i="22"/>
  <c r="BL43" i="22" s="1"/>
  <c r="AI43" i="22"/>
  <c r="BK43" i="22" s="1"/>
  <c r="AH43" i="22"/>
  <c r="BJ43" i="22" s="1"/>
  <c r="AG43" i="22"/>
  <c r="BI43" i="22" s="1"/>
  <c r="AF43" i="22"/>
  <c r="BH43" i="22" s="1"/>
  <c r="AE43" i="22"/>
  <c r="BG43" i="22" s="1"/>
  <c r="AC43" i="22"/>
  <c r="O43" i="22"/>
  <c r="BD42" i="22"/>
  <c r="BE42" i="22" s="1"/>
  <c r="BC42" i="22"/>
  <c r="BB42" i="22"/>
  <c r="BA42" i="22"/>
  <c r="AZ42" i="22"/>
  <c r="AY42" i="22"/>
  <c r="AX42" i="22"/>
  <c r="AW42" i="22"/>
  <c r="AV42" i="22"/>
  <c r="AU42" i="22"/>
  <c r="AT42" i="22"/>
  <c r="AS42" i="22"/>
  <c r="AP42" i="22"/>
  <c r="AO42" i="22"/>
  <c r="BQ42" i="22" s="1"/>
  <c r="AN42" i="22"/>
  <c r="BP42" i="22" s="1"/>
  <c r="AM42" i="22"/>
  <c r="BO42" i="22" s="1"/>
  <c r="AL42" i="22"/>
  <c r="BN42" i="22" s="1"/>
  <c r="AK42" i="22"/>
  <c r="BM42" i="22" s="1"/>
  <c r="AJ42" i="22"/>
  <c r="BL42" i="22" s="1"/>
  <c r="AI42" i="22"/>
  <c r="BK42" i="22" s="1"/>
  <c r="AH42" i="22"/>
  <c r="BJ42" i="22" s="1"/>
  <c r="AG42" i="22"/>
  <c r="BI42" i="22" s="1"/>
  <c r="AF42" i="22"/>
  <c r="BH42" i="22" s="1"/>
  <c r="AE42" i="22"/>
  <c r="BG42" i="22" s="1"/>
  <c r="AC42" i="22"/>
  <c r="O42" i="22"/>
  <c r="BD41" i="22"/>
  <c r="BE41" i="22" s="1"/>
  <c r="BC41" i="22"/>
  <c r="BB41" i="22"/>
  <c r="BA41" i="22"/>
  <c r="AZ41" i="22"/>
  <c r="AY41" i="22"/>
  <c r="AX41" i="22"/>
  <c r="AW41" i="22"/>
  <c r="AV41" i="22"/>
  <c r="AU41" i="22"/>
  <c r="AT41" i="22"/>
  <c r="AS41" i="22"/>
  <c r="AP41" i="22"/>
  <c r="AO41" i="22"/>
  <c r="BQ41" i="22" s="1"/>
  <c r="AN41" i="22"/>
  <c r="BP41" i="22" s="1"/>
  <c r="AM41" i="22"/>
  <c r="BO41" i="22" s="1"/>
  <c r="AL41" i="22"/>
  <c r="BN41" i="22" s="1"/>
  <c r="AK41" i="22"/>
  <c r="BM41" i="22" s="1"/>
  <c r="AJ41" i="22"/>
  <c r="BL41" i="22" s="1"/>
  <c r="AI41" i="22"/>
  <c r="BK41" i="22" s="1"/>
  <c r="AH41" i="22"/>
  <c r="BJ41" i="22" s="1"/>
  <c r="AG41" i="22"/>
  <c r="BI41" i="22" s="1"/>
  <c r="AF41" i="22"/>
  <c r="BH41" i="22" s="1"/>
  <c r="AE41" i="22"/>
  <c r="BG41" i="22" s="1"/>
  <c r="AC41" i="22"/>
  <c r="O41" i="22"/>
  <c r="BD40" i="22"/>
  <c r="BC40" i="22"/>
  <c r="BC45" i="22" s="1"/>
  <c r="BB40" i="22"/>
  <c r="BB45" i="22" s="1"/>
  <c r="BA40" i="22"/>
  <c r="BA45" i="22" s="1"/>
  <c r="AZ40" i="22"/>
  <c r="AZ45" i="22" s="1"/>
  <c r="AY40" i="22"/>
  <c r="AY45" i="22" s="1"/>
  <c r="AX40" i="22"/>
  <c r="AX45" i="22" s="1"/>
  <c r="AW40" i="22"/>
  <c r="AW45" i="22" s="1"/>
  <c r="AV40" i="22"/>
  <c r="AV45" i="22" s="1"/>
  <c r="AU40" i="22"/>
  <c r="AU45" i="22" s="1"/>
  <c r="AT40" i="22"/>
  <c r="AT45" i="22" s="1"/>
  <c r="AS40" i="22"/>
  <c r="AS45" i="22" s="1"/>
  <c r="AP40" i="22"/>
  <c r="AO40" i="22"/>
  <c r="AN40" i="22"/>
  <c r="AM40" i="22"/>
  <c r="AL40" i="22"/>
  <c r="AK40" i="22"/>
  <c r="AJ40" i="22"/>
  <c r="AI40" i="22"/>
  <c r="AH40" i="22"/>
  <c r="AG40" i="22"/>
  <c r="AF40" i="22"/>
  <c r="AE40" i="22"/>
  <c r="AC40" i="22"/>
  <c r="O40" i="22"/>
  <c r="AB38" i="22"/>
  <c r="AA38" i="22"/>
  <c r="Z38" i="22"/>
  <c r="Y38" i="22"/>
  <c r="X38" i="22"/>
  <c r="W38" i="22"/>
  <c r="V38" i="22"/>
  <c r="U38" i="22"/>
  <c r="T38" i="22"/>
  <c r="S38" i="22"/>
  <c r="R38" i="22"/>
  <c r="Q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AB36" i="22"/>
  <c r="AA36" i="22"/>
  <c r="Z36" i="22"/>
  <c r="Y36" i="22"/>
  <c r="X36" i="22"/>
  <c r="W36" i="22"/>
  <c r="V36" i="22"/>
  <c r="U36" i="22"/>
  <c r="T36" i="22"/>
  <c r="S36" i="22"/>
  <c r="R36" i="22"/>
  <c r="Q36" i="22"/>
  <c r="N36" i="22"/>
  <c r="M36" i="22"/>
  <c r="L36" i="22"/>
  <c r="K36" i="22"/>
  <c r="J36" i="22"/>
  <c r="I36" i="22"/>
  <c r="H36" i="22"/>
  <c r="G36" i="22"/>
  <c r="F36" i="22"/>
  <c r="E36" i="22"/>
  <c r="D36" i="22"/>
  <c r="C36" i="22"/>
  <c r="AB35" i="22"/>
  <c r="AA35" i="22"/>
  <c r="Z35" i="22"/>
  <c r="Y35" i="22"/>
  <c r="X35" i="22"/>
  <c r="W35" i="22"/>
  <c r="V35" i="22"/>
  <c r="U35" i="22"/>
  <c r="T35" i="22"/>
  <c r="S35" i="22"/>
  <c r="R35" i="22"/>
  <c r="Q35" i="22"/>
  <c r="N35" i="22"/>
  <c r="M35" i="22"/>
  <c r="L35" i="22"/>
  <c r="K35" i="22"/>
  <c r="J35" i="22"/>
  <c r="I35" i="22"/>
  <c r="H35" i="22"/>
  <c r="G35" i="22"/>
  <c r="F35" i="22"/>
  <c r="E35" i="22"/>
  <c r="D35" i="22"/>
  <c r="C35" i="22"/>
  <c r="AB31" i="22"/>
  <c r="AB37" i="22" s="1"/>
  <c r="AA31" i="22"/>
  <c r="AA37" i="22" s="1"/>
  <c r="Z31" i="22"/>
  <c r="Z37" i="22" s="1"/>
  <c r="Y31" i="22"/>
  <c r="Y37" i="22" s="1"/>
  <c r="X31" i="22"/>
  <c r="X37" i="22" s="1"/>
  <c r="W31" i="22"/>
  <c r="W37" i="22" s="1"/>
  <c r="V31" i="22"/>
  <c r="V37" i="22" s="1"/>
  <c r="U31" i="22"/>
  <c r="U37" i="22" s="1"/>
  <c r="T31" i="22"/>
  <c r="T37" i="22" s="1"/>
  <c r="S31" i="22"/>
  <c r="S37" i="22" s="1"/>
  <c r="R31" i="22"/>
  <c r="R37" i="22" s="1"/>
  <c r="Q31" i="22"/>
  <c r="N31" i="22"/>
  <c r="N37" i="22" s="1"/>
  <c r="M31" i="22"/>
  <c r="M37" i="22" s="1"/>
  <c r="L31" i="22"/>
  <c r="L37" i="22" s="1"/>
  <c r="K31" i="22"/>
  <c r="K37" i="22" s="1"/>
  <c r="J31" i="22"/>
  <c r="J37" i="22" s="1"/>
  <c r="I31" i="22"/>
  <c r="I37" i="22" s="1"/>
  <c r="H31" i="22"/>
  <c r="H37" i="22" s="1"/>
  <c r="G31" i="22"/>
  <c r="G37" i="22" s="1"/>
  <c r="F31" i="22"/>
  <c r="F37" i="22" s="1"/>
  <c r="E31" i="22"/>
  <c r="E37" i="22" s="1"/>
  <c r="D31" i="22"/>
  <c r="D37" i="22" s="1"/>
  <c r="C31" i="22"/>
  <c r="AP30" i="22"/>
  <c r="AO30" i="22"/>
  <c r="AN30" i="22"/>
  <c r="AM30" i="22"/>
  <c r="AL30" i="22"/>
  <c r="AK30" i="22"/>
  <c r="AJ30" i="22"/>
  <c r="AI30" i="22"/>
  <c r="AH30" i="22"/>
  <c r="AG30" i="22"/>
  <c r="AF30" i="22"/>
  <c r="AE30" i="22"/>
  <c r="AC30" i="22"/>
  <c r="AC36" i="22" s="1"/>
  <c r="O30" i="22"/>
  <c r="O36" i="22" s="1"/>
  <c r="AP29" i="22"/>
  <c r="AO29" i="22"/>
  <c r="AN29" i="22"/>
  <c r="AM29" i="22"/>
  <c r="AL29" i="22"/>
  <c r="AK29" i="22"/>
  <c r="AJ29" i="22"/>
  <c r="AI29" i="22"/>
  <c r="AH29" i="22"/>
  <c r="AG29" i="22"/>
  <c r="AF29" i="22"/>
  <c r="AE29" i="22"/>
  <c r="AC29" i="22"/>
  <c r="AC35" i="22" s="1"/>
  <c r="O29" i="22"/>
  <c r="O35" i="22" s="1"/>
  <c r="AP28" i="22"/>
  <c r="AO28" i="22"/>
  <c r="AN28" i="22"/>
  <c r="AM28" i="22"/>
  <c r="AL28" i="22"/>
  <c r="AK28" i="22"/>
  <c r="AJ28" i="22"/>
  <c r="AI28" i="22"/>
  <c r="AH28" i="22"/>
  <c r="AG28" i="22"/>
  <c r="AF28" i="22"/>
  <c r="AE28" i="22"/>
  <c r="AC28" i="22"/>
  <c r="AC38" i="22" s="1"/>
  <c r="O28" i="22"/>
  <c r="O38" i="22" s="1"/>
  <c r="N95" i="21"/>
  <c r="M95" i="21"/>
  <c r="L95" i="21"/>
  <c r="K95" i="21"/>
  <c r="J95" i="21"/>
  <c r="I95" i="21"/>
  <c r="H95" i="21"/>
  <c r="G95" i="21"/>
  <c r="F95" i="21"/>
  <c r="E95" i="21"/>
  <c r="D95" i="21"/>
  <c r="C95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O84" i="21" s="1"/>
  <c r="N82" i="21"/>
  <c r="N85" i="21" s="1"/>
  <c r="M82" i="21"/>
  <c r="M85" i="21" s="1"/>
  <c r="L82" i="21"/>
  <c r="L85" i="21" s="1"/>
  <c r="K82" i="21"/>
  <c r="K85" i="21" s="1"/>
  <c r="J82" i="21"/>
  <c r="J85" i="21" s="1"/>
  <c r="I82" i="21"/>
  <c r="I85" i="21" s="1"/>
  <c r="H82" i="21"/>
  <c r="H85" i="21" s="1"/>
  <c r="G82" i="21"/>
  <c r="G85" i="21" s="1"/>
  <c r="F82" i="21"/>
  <c r="F85" i="21" s="1"/>
  <c r="E82" i="21"/>
  <c r="E85" i="21" s="1"/>
  <c r="D82" i="21"/>
  <c r="D85" i="21" s="1"/>
  <c r="C82" i="21"/>
  <c r="C85" i="21" s="1"/>
  <c r="N77" i="21"/>
  <c r="M77" i="21"/>
  <c r="L77" i="21"/>
  <c r="K77" i="21"/>
  <c r="J77" i="21"/>
  <c r="I77" i="21"/>
  <c r="H77" i="21"/>
  <c r="G77" i="21"/>
  <c r="F77" i="21"/>
  <c r="E77" i="21"/>
  <c r="D77" i="21"/>
  <c r="C77" i="21"/>
  <c r="O77" i="21" s="1"/>
  <c r="N75" i="21"/>
  <c r="N78" i="21" s="1"/>
  <c r="M75" i="21"/>
  <c r="M78" i="21" s="1"/>
  <c r="L75" i="21"/>
  <c r="L78" i="21" s="1"/>
  <c r="K75" i="21"/>
  <c r="K78" i="21" s="1"/>
  <c r="J75" i="21"/>
  <c r="J78" i="21" s="1"/>
  <c r="I75" i="21"/>
  <c r="I78" i="21" s="1"/>
  <c r="H75" i="21"/>
  <c r="H78" i="21" s="1"/>
  <c r="G75" i="21"/>
  <c r="G78" i="21" s="1"/>
  <c r="F75" i="21"/>
  <c r="F78" i="21" s="1"/>
  <c r="E75" i="21"/>
  <c r="E78" i="21" s="1"/>
  <c r="D75" i="21"/>
  <c r="D78" i="21" s="1"/>
  <c r="C75" i="21"/>
  <c r="C78" i="21" s="1"/>
  <c r="N68" i="21"/>
  <c r="M68" i="21"/>
  <c r="L68" i="21"/>
  <c r="K68" i="21"/>
  <c r="J68" i="21"/>
  <c r="I68" i="21"/>
  <c r="H68" i="21"/>
  <c r="G68" i="21"/>
  <c r="F68" i="21"/>
  <c r="E68" i="21"/>
  <c r="D68" i="21"/>
  <c r="C68" i="21"/>
  <c r="O68" i="21" s="1"/>
  <c r="B68" i="21"/>
  <c r="N67" i="21"/>
  <c r="M67" i="21"/>
  <c r="L67" i="21"/>
  <c r="K67" i="21"/>
  <c r="J67" i="21"/>
  <c r="I67" i="21"/>
  <c r="H67" i="21"/>
  <c r="G67" i="21"/>
  <c r="F67" i="21"/>
  <c r="E67" i="21"/>
  <c r="D67" i="21"/>
  <c r="C67" i="21"/>
  <c r="O67" i="21" s="1"/>
  <c r="B67" i="21"/>
  <c r="N66" i="21"/>
  <c r="M66" i="21"/>
  <c r="L66" i="21"/>
  <c r="K66" i="21"/>
  <c r="J66" i="21"/>
  <c r="I66" i="21"/>
  <c r="H66" i="21"/>
  <c r="G66" i="21"/>
  <c r="F66" i="21"/>
  <c r="E66" i="21"/>
  <c r="D66" i="21"/>
  <c r="C66" i="21"/>
  <c r="O66" i="21" s="1"/>
  <c r="B66" i="21"/>
  <c r="N65" i="21"/>
  <c r="M65" i="21"/>
  <c r="L65" i="21"/>
  <c r="K65" i="21"/>
  <c r="J65" i="21"/>
  <c r="I65" i="21"/>
  <c r="H65" i="21"/>
  <c r="G65" i="21"/>
  <c r="F65" i="21"/>
  <c r="E65" i="21"/>
  <c r="D65" i="21"/>
  <c r="C65" i="21"/>
  <c r="O65" i="21" s="1"/>
  <c r="B65" i="21"/>
  <c r="N64" i="21"/>
  <c r="M64" i="21"/>
  <c r="L64" i="21"/>
  <c r="K64" i="21"/>
  <c r="J64" i="21"/>
  <c r="I64" i="21"/>
  <c r="H64" i="21"/>
  <c r="G64" i="21"/>
  <c r="F64" i="21"/>
  <c r="E64" i="21"/>
  <c r="D64" i="21"/>
  <c r="C64" i="21"/>
  <c r="O64" i="21" s="1"/>
  <c r="B64" i="21"/>
  <c r="N63" i="21"/>
  <c r="M63" i="21"/>
  <c r="L63" i="21"/>
  <c r="K63" i="21"/>
  <c r="J63" i="21"/>
  <c r="I63" i="21"/>
  <c r="H63" i="21"/>
  <c r="G63" i="21"/>
  <c r="F63" i="21"/>
  <c r="E63" i="21"/>
  <c r="D63" i="21"/>
  <c r="C63" i="21"/>
  <c r="O63" i="21" s="1"/>
  <c r="B63" i="21"/>
  <c r="N62" i="21"/>
  <c r="M62" i="21"/>
  <c r="L62" i="21"/>
  <c r="K62" i="21"/>
  <c r="J62" i="21"/>
  <c r="I62" i="21"/>
  <c r="H62" i="21"/>
  <c r="G62" i="21"/>
  <c r="F62" i="21"/>
  <c r="E62" i="21"/>
  <c r="D62" i="21"/>
  <c r="C62" i="21"/>
  <c r="O62" i="21" s="1"/>
  <c r="B62" i="21"/>
  <c r="N61" i="21"/>
  <c r="N69" i="21" s="1"/>
  <c r="M61" i="21"/>
  <c r="M69" i="21" s="1"/>
  <c r="L61" i="21"/>
  <c r="L69" i="21" s="1"/>
  <c r="K61" i="21"/>
  <c r="K69" i="21" s="1"/>
  <c r="J61" i="21"/>
  <c r="J69" i="21" s="1"/>
  <c r="I61" i="21"/>
  <c r="I69" i="21" s="1"/>
  <c r="H61" i="21"/>
  <c r="H69" i="21" s="1"/>
  <c r="G61" i="21"/>
  <c r="G69" i="21" s="1"/>
  <c r="F61" i="21"/>
  <c r="F69" i="21" s="1"/>
  <c r="E61" i="21"/>
  <c r="E69" i="21" s="1"/>
  <c r="D61" i="21"/>
  <c r="D69" i="21" s="1"/>
  <c r="C61" i="21"/>
  <c r="B61" i="21"/>
  <c r="N58" i="21"/>
  <c r="BD30" i="22" s="1"/>
  <c r="M58" i="21"/>
  <c r="BC30" i="22" s="1"/>
  <c r="L58" i="21"/>
  <c r="BB30" i="22" s="1"/>
  <c r="K58" i="21"/>
  <c r="BA30" i="22" s="1"/>
  <c r="J58" i="21"/>
  <c r="AZ30" i="22" s="1"/>
  <c r="I58" i="21"/>
  <c r="AY30" i="22" s="1"/>
  <c r="H58" i="21"/>
  <c r="AX30" i="22" s="1"/>
  <c r="G58" i="21"/>
  <c r="AW30" i="22" s="1"/>
  <c r="F58" i="21"/>
  <c r="AV30" i="22" s="1"/>
  <c r="E58" i="21"/>
  <c r="AU30" i="22" s="1"/>
  <c r="D58" i="21"/>
  <c r="AT30" i="22" s="1"/>
  <c r="C58" i="21"/>
  <c r="AS30" i="22" s="1"/>
  <c r="O57" i="21"/>
  <c r="O56" i="21"/>
  <c r="O55" i="21"/>
  <c r="O54" i="21"/>
  <c r="O53" i="21"/>
  <c r="O52" i="21"/>
  <c r="O51" i="21"/>
  <c r="O50" i="21"/>
  <c r="O58" i="21" s="1"/>
  <c r="N46" i="21"/>
  <c r="M46" i="21"/>
  <c r="L46" i="21"/>
  <c r="K46" i="21"/>
  <c r="J46" i="21"/>
  <c r="I46" i="21"/>
  <c r="H46" i="21"/>
  <c r="G46" i="21"/>
  <c r="F46" i="21"/>
  <c r="E46" i="21"/>
  <c r="D46" i="21"/>
  <c r="C46" i="21"/>
  <c r="B46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N36" i="21"/>
  <c r="BD29" i="22" s="1"/>
  <c r="M36" i="21"/>
  <c r="BC29" i="22" s="1"/>
  <c r="L36" i="21"/>
  <c r="BB29" i="22" s="1"/>
  <c r="K36" i="21"/>
  <c r="BA29" i="22" s="1"/>
  <c r="J36" i="21"/>
  <c r="AZ29" i="22" s="1"/>
  <c r="I36" i="21"/>
  <c r="AY29" i="22" s="1"/>
  <c r="H36" i="21"/>
  <c r="AX29" i="22" s="1"/>
  <c r="G36" i="21"/>
  <c r="AW29" i="22" s="1"/>
  <c r="F36" i="21"/>
  <c r="AV29" i="22" s="1"/>
  <c r="E36" i="21"/>
  <c r="AU29" i="22" s="1"/>
  <c r="D36" i="21"/>
  <c r="AT29" i="22" s="1"/>
  <c r="C36" i="21"/>
  <c r="AS29" i="22" s="1"/>
  <c r="O35" i="21"/>
  <c r="O34" i="21"/>
  <c r="O33" i="21"/>
  <c r="O32" i="21"/>
  <c r="O31" i="21"/>
  <c r="O30" i="21"/>
  <c r="O29" i="21"/>
  <c r="O28" i="21"/>
  <c r="O36" i="21" s="1"/>
  <c r="N24" i="21"/>
  <c r="M24" i="21"/>
  <c r="L24" i="21"/>
  <c r="K24" i="21"/>
  <c r="J24" i="21"/>
  <c r="I24" i="21"/>
  <c r="H24" i="21"/>
  <c r="G24" i="21"/>
  <c r="F24" i="21"/>
  <c r="E24" i="21"/>
  <c r="D24" i="21"/>
  <c r="C24" i="21"/>
  <c r="B24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N14" i="21"/>
  <c r="M14" i="21"/>
  <c r="L14" i="21"/>
  <c r="K14" i="21"/>
  <c r="J14" i="21"/>
  <c r="I14" i="21"/>
  <c r="H14" i="21"/>
  <c r="G14" i="21"/>
  <c r="F14" i="21"/>
  <c r="E14" i="21"/>
  <c r="D14" i="21"/>
  <c r="C14" i="21"/>
  <c r="O13" i="21"/>
  <c r="O12" i="21"/>
  <c r="O11" i="21"/>
  <c r="O10" i="21"/>
  <c r="O9" i="21"/>
  <c r="O8" i="21"/>
  <c r="O7" i="21"/>
  <c r="O6" i="21"/>
  <c r="O1" i="21"/>
  <c r="N73" i="19"/>
  <c r="O73" i="19" s="1"/>
  <c r="M73" i="19"/>
  <c r="L73" i="19"/>
  <c r="K73" i="19"/>
  <c r="J73" i="19"/>
  <c r="I73" i="19"/>
  <c r="H73" i="19"/>
  <c r="G73" i="19"/>
  <c r="F73" i="19"/>
  <c r="E73" i="19"/>
  <c r="D73" i="19"/>
  <c r="C73" i="19"/>
  <c r="O72" i="19"/>
  <c r="O71" i="19"/>
  <c r="O70" i="19"/>
  <c r="O69" i="19"/>
  <c r="O68" i="19"/>
  <c r="N67" i="19"/>
  <c r="M67" i="19"/>
  <c r="L67" i="19"/>
  <c r="K67" i="19"/>
  <c r="J67" i="19"/>
  <c r="I67" i="19"/>
  <c r="H67" i="19"/>
  <c r="G67" i="19"/>
  <c r="F67" i="19"/>
  <c r="E67" i="19"/>
  <c r="D67" i="19"/>
  <c r="C67" i="19"/>
  <c r="O67" i="19" s="1"/>
  <c r="O66" i="19"/>
  <c r="O65" i="19"/>
  <c r="O64" i="19"/>
  <c r="N60" i="19"/>
  <c r="O60" i="19" s="1"/>
  <c r="M60" i="19"/>
  <c r="L60" i="19"/>
  <c r="K60" i="19"/>
  <c r="J60" i="19"/>
  <c r="I60" i="19"/>
  <c r="H60" i="19"/>
  <c r="G60" i="19"/>
  <c r="F60" i="19"/>
  <c r="E60" i="19"/>
  <c r="D60" i="19"/>
  <c r="C60" i="19"/>
  <c r="O59" i="19"/>
  <c r="O58" i="19"/>
  <c r="O57" i="19"/>
  <c r="O56" i="19"/>
  <c r="O55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O54" i="19" s="1"/>
  <c r="O53" i="19"/>
  <c r="O52" i="19"/>
  <c r="O51" i="19"/>
  <c r="AB45" i="19"/>
  <c r="AA45" i="19"/>
  <c r="AA46" i="19" s="1"/>
  <c r="Z45" i="19"/>
  <c r="Z46" i="19" s="1"/>
  <c r="Y45" i="19"/>
  <c r="Y46" i="19" s="1"/>
  <c r="X45" i="19"/>
  <c r="X46" i="19" s="1"/>
  <c r="W45" i="19"/>
  <c r="W46" i="19" s="1"/>
  <c r="V45" i="19"/>
  <c r="V46" i="19" s="1"/>
  <c r="U45" i="19"/>
  <c r="U46" i="19" s="1"/>
  <c r="T45" i="19"/>
  <c r="T46" i="19" s="1"/>
  <c r="S45" i="19"/>
  <c r="S46" i="19" s="1"/>
  <c r="R45" i="19"/>
  <c r="R46" i="19" s="1"/>
  <c r="Q45" i="19"/>
  <c r="Q46" i="19" s="1"/>
  <c r="N45" i="19"/>
  <c r="M45" i="19"/>
  <c r="M46" i="19" s="1"/>
  <c r="L45" i="19"/>
  <c r="L46" i="19" s="1"/>
  <c r="K45" i="19"/>
  <c r="K46" i="19" s="1"/>
  <c r="J45" i="19"/>
  <c r="J46" i="19" s="1"/>
  <c r="I45" i="19"/>
  <c r="I46" i="19" s="1"/>
  <c r="H45" i="19"/>
  <c r="H46" i="19" s="1"/>
  <c r="G45" i="19"/>
  <c r="G46" i="19" s="1"/>
  <c r="F45" i="19"/>
  <c r="F46" i="19" s="1"/>
  <c r="E45" i="19"/>
  <c r="E46" i="19" s="1"/>
  <c r="D45" i="19"/>
  <c r="D46" i="19" s="1"/>
  <c r="C45" i="19"/>
  <c r="C46" i="19" s="1"/>
  <c r="BD44" i="19"/>
  <c r="BE44" i="19" s="1"/>
  <c r="BC44" i="19"/>
  <c r="BB44" i="19"/>
  <c r="BA44" i="19"/>
  <c r="AZ44" i="19"/>
  <c r="AY44" i="19"/>
  <c r="AX44" i="19"/>
  <c r="AW44" i="19"/>
  <c r="AV44" i="19"/>
  <c r="AU44" i="19"/>
  <c r="AT44" i="19"/>
  <c r="AS44" i="19"/>
  <c r="AP44" i="19"/>
  <c r="AO44" i="19"/>
  <c r="BQ44" i="19" s="1"/>
  <c r="AN44" i="19"/>
  <c r="BP44" i="19" s="1"/>
  <c r="AM44" i="19"/>
  <c r="BO44" i="19" s="1"/>
  <c r="AL44" i="19"/>
  <c r="BN44" i="19" s="1"/>
  <c r="AK44" i="19"/>
  <c r="BM44" i="19" s="1"/>
  <c r="AJ44" i="19"/>
  <c r="BL44" i="19" s="1"/>
  <c r="AI44" i="19"/>
  <c r="BK44" i="19" s="1"/>
  <c r="AH44" i="19"/>
  <c r="BJ44" i="19" s="1"/>
  <c r="AG44" i="19"/>
  <c r="BI44" i="19" s="1"/>
  <c r="AF44" i="19"/>
  <c r="BH44" i="19" s="1"/>
  <c r="AE44" i="19"/>
  <c r="BG44" i="19" s="1"/>
  <c r="AC44" i="19"/>
  <c r="O44" i="19"/>
  <c r="BD43" i="19"/>
  <c r="BE43" i="19" s="1"/>
  <c r="BC43" i="19"/>
  <c r="BB43" i="19"/>
  <c r="BA43" i="19"/>
  <c r="AZ43" i="19"/>
  <c r="AY43" i="19"/>
  <c r="AX43" i="19"/>
  <c r="AW43" i="19"/>
  <c r="AV43" i="19"/>
  <c r="AU43" i="19"/>
  <c r="AT43" i="19"/>
  <c r="AS43" i="19"/>
  <c r="AP43" i="19"/>
  <c r="AO43" i="19"/>
  <c r="BQ43" i="19" s="1"/>
  <c r="AN43" i="19"/>
  <c r="BP43" i="19" s="1"/>
  <c r="AM43" i="19"/>
  <c r="BO43" i="19" s="1"/>
  <c r="AL43" i="19"/>
  <c r="BN43" i="19" s="1"/>
  <c r="AK43" i="19"/>
  <c r="BM43" i="19" s="1"/>
  <c r="AJ43" i="19"/>
  <c r="BL43" i="19" s="1"/>
  <c r="AI43" i="19"/>
  <c r="BK43" i="19" s="1"/>
  <c r="AH43" i="19"/>
  <c r="BJ43" i="19" s="1"/>
  <c r="AG43" i="19"/>
  <c r="BI43" i="19" s="1"/>
  <c r="AF43" i="19"/>
  <c r="BH43" i="19" s="1"/>
  <c r="AE43" i="19"/>
  <c r="BG43" i="19" s="1"/>
  <c r="AC43" i="19"/>
  <c r="O43" i="19"/>
  <c r="BD42" i="19"/>
  <c r="BE42" i="19" s="1"/>
  <c r="BC42" i="19"/>
  <c r="BB42" i="19"/>
  <c r="BA42" i="19"/>
  <c r="AZ42" i="19"/>
  <c r="AY42" i="19"/>
  <c r="AX42" i="19"/>
  <c r="AW42" i="19"/>
  <c r="AV42" i="19"/>
  <c r="AU42" i="19"/>
  <c r="AT42" i="19"/>
  <c r="AS42" i="19"/>
  <c r="AP42" i="19"/>
  <c r="AO42" i="19"/>
  <c r="BQ42" i="19" s="1"/>
  <c r="AN42" i="19"/>
  <c r="BP42" i="19" s="1"/>
  <c r="AM42" i="19"/>
  <c r="BO42" i="19" s="1"/>
  <c r="AL42" i="19"/>
  <c r="BN42" i="19" s="1"/>
  <c r="AK42" i="19"/>
  <c r="BM42" i="19" s="1"/>
  <c r="AJ42" i="19"/>
  <c r="BL42" i="19" s="1"/>
  <c r="AI42" i="19"/>
  <c r="BK42" i="19" s="1"/>
  <c r="AH42" i="19"/>
  <c r="BJ42" i="19" s="1"/>
  <c r="AG42" i="19"/>
  <c r="BI42" i="19" s="1"/>
  <c r="AF42" i="19"/>
  <c r="BH42" i="19" s="1"/>
  <c r="AE42" i="19"/>
  <c r="BG42" i="19" s="1"/>
  <c r="AC42" i="19"/>
  <c r="O42" i="19"/>
  <c r="BD41" i="19"/>
  <c r="BE41" i="19" s="1"/>
  <c r="BC41" i="19"/>
  <c r="BB41" i="19"/>
  <c r="BA41" i="19"/>
  <c r="AZ41" i="19"/>
  <c r="AY41" i="19"/>
  <c r="AX41" i="19"/>
  <c r="AW41" i="19"/>
  <c r="AV41" i="19"/>
  <c r="AU41" i="19"/>
  <c r="AT41" i="19"/>
  <c r="AS41" i="19"/>
  <c r="AP41" i="19"/>
  <c r="AO41" i="19"/>
  <c r="BQ41" i="19" s="1"/>
  <c r="AN41" i="19"/>
  <c r="BP41" i="19" s="1"/>
  <c r="AM41" i="19"/>
  <c r="BO41" i="19" s="1"/>
  <c r="AL41" i="19"/>
  <c r="BN41" i="19" s="1"/>
  <c r="AK41" i="19"/>
  <c r="BM41" i="19" s="1"/>
  <c r="AJ41" i="19"/>
  <c r="BL41" i="19" s="1"/>
  <c r="AI41" i="19"/>
  <c r="BK41" i="19" s="1"/>
  <c r="AH41" i="19"/>
  <c r="BJ41" i="19" s="1"/>
  <c r="AG41" i="19"/>
  <c r="BI41" i="19" s="1"/>
  <c r="AF41" i="19"/>
  <c r="BH41" i="19" s="1"/>
  <c r="AE41" i="19"/>
  <c r="BG41" i="19" s="1"/>
  <c r="AC41" i="19"/>
  <c r="O41" i="19"/>
  <c r="BD40" i="19"/>
  <c r="BC40" i="19"/>
  <c r="BC45" i="19" s="1"/>
  <c r="BB40" i="19"/>
  <c r="BB45" i="19" s="1"/>
  <c r="BA40" i="19"/>
  <c r="BA45" i="19" s="1"/>
  <c r="AZ40" i="19"/>
  <c r="AZ45" i="19" s="1"/>
  <c r="AY40" i="19"/>
  <c r="AY45" i="19" s="1"/>
  <c r="AX40" i="19"/>
  <c r="AX45" i="19" s="1"/>
  <c r="AW40" i="19"/>
  <c r="AW45" i="19" s="1"/>
  <c r="AV40" i="19"/>
  <c r="AV45" i="19" s="1"/>
  <c r="AU40" i="19"/>
  <c r="AU45" i="19" s="1"/>
  <c r="AT40" i="19"/>
  <c r="AT45" i="19" s="1"/>
  <c r="AS40" i="19"/>
  <c r="AS45" i="19" s="1"/>
  <c r="AP40" i="19"/>
  <c r="AO40" i="19"/>
  <c r="AN40" i="19"/>
  <c r="AM40" i="19"/>
  <c r="AL40" i="19"/>
  <c r="AK40" i="19"/>
  <c r="AJ40" i="19"/>
  <c r="AI40" i="19"/>
  <c r="AH40" i="19"/>
  <c r="AG40" i="19"/>
  <c r="AF40" i="19"/>
  <c r="AE40" i="19"/>
  <c r="AC40" i="19"/>
  <c r="O40" i="19"/>
  <c r="AB38" i="19"/>
  <c r="AA38" i="19"/>
  <c r="Z38" i="19"/>
  <c r="Y38" i="19"/>
  <c r="X38" i="19"/>
  <c r="W38" i="19"/>
  <c r="V38" i="19"/>
  <c r="U38" i="19"/>
  <c r="T38" i="19"/>
  <c r="S38" i="19"/>
  <c r="R38" i="19"/>
  <c r="Q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AB36" i="19"/>
  <c r="AA36" i="19"/>
  <c r="Z36" i="19"/>
  <c r="Y36" i="19"/>
  <c r="X36" i="19"/>
  <c r="W36" i="19"/>
  <c r="V36" i="19"/>
  <c r="U36" i="19"/>
  <c r="T36" i="19"/>
  <c r="S36" i="19"/>
  <c r="R36" i="19"/>
  <c r="Q36" i="19"/>
  <c r="N36" i="19"/>
  <c r="M36" i="19"/>
  <c r="L36" i="19"/>
  <c r="K36" i="19"/>
  <c r="J36" i="19"/>
  <c r="I36" i="19"/>
  <c r="H36" i="19"/>
  <c r="G36" i="19"/>
  <c r="F36" i="19"/>
  <c r="E36" i="19"/>
  <c r="D36" i="19"/>
  <c r="C36" i="19"/>
  <c r="AB35" i="19"/>
  <c r="AA35" i="19"/>
  <c r="Z35" i="19"/>
  <c r="Y35" i="19"/>
  <c r="X35" i="19"/>
  <c r="W35" i="19"/>
  <c r="V35" i="19"/>
  <c r="U35" i="19"/>
  <c r="T35" i="19"/>
  <c r="S35" i="19"/>
  <c r="R35" i="19"/>
  <c r="Q35" i="19"/>
  <c r="N35" i="19"/>
  <c r="M35" i="19"/>
  <c r="L35" i="19"/>
  <c r="K35" i="19"/>
  <c r="J35" i="19"/>
  <c r="I35" i="19"/>
  <c r="H35" i="19"/>
  <c r="G35" i="19"/>
  <c r="F35" i="19"/>
  <c r="E35" i="19"/>
  <c r="D35" i="19"/>
  <c r="C35" i="19"/>
  <c r="AB31" i="19"/>
  <c r="AB37" i="19" s="1"/>
  <c r="AA31" i="19"/>
  <c r="AA37" i="19" s="1"/>
  <c r="Z31" i="19"/>
  <c r="Z37" i="19" s="1"/>
  <c r="Y31" i="19"/>
  <c r="Y37" i="19" s="1"/>
  <c r="X31" i="19"/>
  <c r="X37" i="19" s="1"/>
  <c r="W31" i="19"/>
  <c r="W37" i="19" s="1"/>
  <c r="V31" i="19"/>
  <c r="V37" i="19" s="1"/>
  <c r="U31" i="19"/>
  <c r="U37" i="19" s="1"/>
  <c r="T31" i="19"/>
  <c r="T37" i="19" s="1"/>
  <c r="S31" i="19"/>
  <c r="S37" i="19" s="1"/>
  <c r="R31" i="19"/>
  <c r="R37" i="19" s="1"/>
  <c r="Q31" i="19"/>
  <c r="N31" i="19"/>
  <c r="N37" i="19" s="1"/>
  <c r="M31" i="19"/>
  <c r="M37" i="19" s="1"/>
  <c r="L31" i="19"/>
  <c r="L37" i="19" s="1"/>
  <c r="K31" i="19"/>
  <c r="K37" i="19" s="1"/>
  <c r="J31" i="19"/>
  <c r="J37" i="19" s="1"/>
  <c r="I31" i="19"/>
  <c r="I37" i="19" s="1"/>
  <c r="H31" i="19"/>
  <c r="H37" i="19" s="1"/>
  <c r="G31" i="19"/>
  <c r="G37" i="19" s="1"/>
  <c r="F31" i="19"/>
  <c r="F37" i="19" s="1"/>
  <c r="E31" i="19"/>
  <c r="E37" i="19" s="1"/>
  <c r="D31" i="19"/>
  <c r="D37" i="19" s="1"/>
  <c r="C31" i="19"/>
  <c r="AP30" i="19"/>
  <c r="AO30" i="19"/>
  <c r="AN30" i="19"/>
  <c r="AM30" i="19"/>
  <c r="AL30" i="19"/>
  <c r="AK30" i="19"/>
  <c r="AJ30" i="19"/>
  <c r="AI30" i="19"/>
  <c r="AH30" i="19"/>
  <c r="AG30" i="19"/>
  <c r="AF30" i="19"/>
  <c r="AE30" i="19"/>
  <c r="AC30" i="19"/>
  <c r="AC36" i="19" s="1"/>
  <c r="O30" i="19"/>
  <c r="O36" i="19" s="1"/>
  <c r="AP29" i="19"/>
  <c r="AO29" i="19"/>
  <c r="AN29" i="19"/>
  <c r="AM29" i="19"/>
  <c r="AL29" i="19"/>
  <c r="AK29" i="19"/>
  <c r="AJ29" i="19"/>
  <c r="AI29" i="19"/>
  <c r="AH29" i="19"/>
  <c r="AG29" i="19"/>
  <c r="AF29" i="19"/>
  <c r="AE29" i="19"/>
  <c r="AC29" i="19"/>
  <c r="AC35" i="19" s="1"/>
  <c r="O29" i="19"/>
  <c r="O35" i="19" s="1"/>
  <c r="AP28" i="19"/>
  <c r="AO28" i="19"/>
  <c r="AN28" i="19"/>
  <c r="AM28" i="19"/>
  <c r="AL28" i="19"/>
  <c r="AK28" i="19"/>
  <c r="AJ28" i="19"/>
  <c r="AI28" i="19"/>
  <c r="AH28" i="19"/>
  <c r="AG28" i="19"/>
  <c r="AF28" i="19"/>
  <c r="AE28" i="19"/>
  <c r="AC28" i="19"/>
  <c r="AC38" i="19" s="1"/>
  <c r="O28" i="19"/>
  <c r="O38" i="19" s="1"/>
  <c r="N95" i="18"/>
  <c r="M95" i="18"/>
  <c r="L95" i="18"/>
  <c r="K95" i="18"/>
  <c r="J95" i="18"/>
  <c r="I95" i="18"/>
  <c r="H95" i="18"/>
  <c r="G95" i="18"/>
  <c r="F95" i="18"/>
  <c r="E95" i="18"/>
  <c r="D95" i="18"/>
  <c r="C95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O84" i="18" s="1"/>
  <c r="N82" i="18"/>
  <c r="N85" i="18" s="1"/>
  <c r="M82" i="18"/>
  <c r="M85" i="18" s="1"/>
  <c r="L82" i="18"/>
  <c r="L85" i="18" s="1"/>
  <c r="K82" i="18"/>
  <c r="K85" i="18" s="1"/>
  <c r="J82" i="18"/>
  <c r="J85" i="18" s="1"/>
  <c r="I82" i="18"/>
  <c r="I85" i="18" s="1"/>
  <c r="H82" i="18"/>
  <c r="H85" i="18" s="1"/>
  <c r="G82" i="18"/>
  <c r="G85" i="18" s="1"/>
  <c r="F82" i="18"/>
  <c r="F85" i="18" s="1"/>
  <c r="E82" i="18"/>
  <c r="E85" i="18" s="1"/>
  <c r="D82" i="18"/>
  <c r="D85" i="18" s="1"/>
  <c r="C82" i="18"/>
  <c r="C85" i="18" s="1"/>
  <c r="N77" i="18"/>
  <c r="M77" i="18"/>
  <c r="L77" i="18"/>
  <c r="K77" i="18"/>
  <c r="J77" i="18"/>
  <c r="I77" i="18"/>
  <c r="H77" i="18"/>
  <c r="G77" i="18"/>
  <c r="F77" i="18"/>
  <c r="E77" i="18"/>
  <c r="D77" i="18"/>
  <c r="C77" i="18"/>
  <c r="O77" i="18" s="1"/>
  <c r="N75" i="18"/>
  <c r="N78" i="18" s="1"/>
  <c r="M75" i="18"/>
  <c r="M78" i="18" s="1"/>
  <c r="L75" i="18"/>
  <c r="L78" i="18" s="1"/>
  <c r="K75" i="18"/>
  <c r="K78" i="18" s="1"/>
  <c r="J75" i="18"/>
  <c r="J78" i="18" s="1"/>
  <c r="I75" i="18"/>
  <c r="I78" i="18" s="1"/>
  <c r="H75" i="18"/>
  <c r="H78" i="18" s="1"/>
  <c r="G75" i="18"/>
  <c r="G78" i="18" s="1"/>
  <c r="F75" i="18"/>
  <c r="F78" i="18" s="1"/>
  <c r="E75" i="18"/>
  <c r="E78" i="18" s="1"/>
  <c r="D75" i="18"/>
  <c r="D78" i="18" s="1"/>
  <c r="C75" i="18"/>
  <c r="C78" i="18" s="1"/>
  <c r="N68" i="18"/>
  <c r="M68" i="18"/>
  <c r="L68" i="18"/>
  <c r="K68" i="18"/>
  <c r="J68" i="18"/>
  <c r="I68" i="18"/>
  <c r="H68" i="18"/>
  <c r="G68" i="18"/>
  <c r="F68" i="18"/>
  <c r="E68" i="18"/>
  <c r="D68" i="18"/>
  <c r="C68" i="18"/>
  <c r="O68" i="18" s="1"/>
  <c r="B68" i="18"/>
  <c r="N67" i="18"/>
  <c r="M67" i="18"/>
  <c r="L67" i="18"/>
  <c r="K67" i="18"/>
  <c r="J67" i="18"/>
  <c r="I67" i="18"/>
  <c r="H67" i="18"/>
  <c r="G67" i="18"/>
  <c r="F67" i="18"/>
  <c r="E67" i="18"/>
  <c r="D67" i="18"/>
  <c r="C67" i="18"/>
  <c r="O67" i="18" s="1"/>
  <c r="B67" i="18"/>
  <c r="N66" i="18"/>
  <c r="M66" i="18"/>
  <c r="L66" i="18"/>
  <c r="K66" i="18"/>
  <c r="J66" i="18"/>
  <c r="I66" i="18"/>
  <c r="H66" i="18"/>
  <c r="G66" i="18"/>
  <c r="F66" i="18"/>
  <c r="E66" i="18"/>
  <c r="D66" i="18"/>
  <c r="C66" i="18"/>
  <c r="O66" i="18" s="1"/>
  <c r="B66" i="18"/>
  <c r="N65" i="18"/>
  <c r="M65" i="18"/>
  <c r="L65" i="18"/>
  <c r="K65" i="18"/>
  <c r="J65" i="18"/>
  <c r="I65" i="18"/>
  <c r="H65" i="18"/>
  <c r="G65" i="18"/>
  <c r="F65" i="18"/>
  <c r="E65" i="18"/>
  <c r="D65" i="18"/>
  <c r="C65" i="18"/>
  <c r="O65" i="18" s="1"/>
  <c r="B65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O64" i="18" s="1"/>
  <c r="B64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O63" i="18" s="1"/>
  <c r="B63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O62" i="18" s="1"/>
  <c r="B62" i="18"/>
  <c r="N61" i="18"/>
  <c r="N69" i="18" s="1"/>
  <c r="M61" i="18"/>
  <c r="M69" i="18" s="1"/>
  <c r="L61" i="18"/>
  <c r="L69" i="18" s="1"/>
  <c r="K61" i="18"/>
  <c r="K69" i="18" s="1"/>
  <c r="J61" i="18"/>
  <c r="J69" i="18" s="1"/>
  <c r="I61" i="18"/>
  <c r="I69" i="18" s="1"/>
  <c r="H61" i="18"/>
  <c r="H69" i="18" s="1"/>
  <c r="G61" i="18"/>
  <c r="G69" i="18" s="1"/>
  <c r="F61" i="18"/>
  <c r="F69" i="18" s="1"/>
  <c r="E61" i="18"/>
  <c r="E69" i="18" s="1"/>
  <c r="D61" i="18"/>
  <c r="D69" i="18" s="1"/>
  <c r="C61" i="18"/>
  <c r="B61" i="18"/>
  <c r="N58" i="18"/>
  <c r="BD30" i="19" s="1"/>
  <c r="M58" i="18"/>
  <c r="BC30" i="19" s="1"/>
  <c r="L58" i="18"/>
  <c r="BB30" i="19" s="1"/>
  <c r="K58" i="18"/>
  <c r="BA30" i="19" s="1"/>
  <c r="J58" i="18"/>
  <c r="AZ30" i="19" s="1"/>
  <c r="I58" i="18"/>
  <c r="AY30" i="19" s="1"/>
  <c r="H58" i="18"/>
  <c r="AX30" i="19" s="1"/>
  <c r="G58" i="18"/>
  <c r="AW30" i="19" s="1"/>
  <c r="F58" i="18"/>
  <c r="AV30" i="19" s="1"/>
  <c r="E58" i="18"/>
  <c r="AU30" i="19" s="1"/>
  <c r="D58" i="18"/>
  <c r="AT30" i="19" s="1"/>
  <c r="C58" i="18"/>
  <c r="AS30" i="19" s="1"/>
  <c r="O57" i="18"/>
  <c r="O56" i="18"/>
  <c r="O55" i="18"/>
  <c r="O54" i="18"/>
  <c r="O53" i="18"/>
  <c r="O52" i="18"/>
  <c r="O51" i="18"/>
  <c r="O50" i="18"/>
  <c r="O58" i="18" s="1"/>
  <c r="N46" i="18"/>
  <c r="M46" i="18"/>
  <c r="L46" i="18"/>
  <c r="K46" i="18"/>
  <c r="J46" i="18"/>
  <c r="I46" i="18"/>
  <c r="H46" i="18"/>
  <c r="G46" i="18"/>
  <c r="F46" i="18"/>
  <c r="E46" i="18"/>
  <c r="D46" i="18"/>
  <c r="C46" i="18"/>
  <c r="B46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N36" i="18"/>
  <c r="BD29" i="19" s="1"/>
  <c r="M36" i="18"/>
  <c r="BC29" i="19" s="1"/>
  <c r="L36" i="18"/>
  <c r="BB29" i="19" s="1"/>
  <c r="K36" i="18"/>
  <c r="BA29" i="19" s="1"/>
  <c r="J36" i="18"/>
  <c r="AZ29" i="19" s="1"/>
  <c r="I36" i="18"/>
  <c r="AY29" i="19" s="1"/>
  <c r="H36" i="18"/>
  <c r="AX29" i="19" s="1"/>
  <c r="G36" i="18"/>
  <c r="AW29" i="19" s="1"/>
  <c r="F36" i="18"/>
  <c r="AV29" i="19" s="1"/>
  <c r="E36" i="18"/>
  <c r="AU29" i="19" s="1"/>
  <c r="D36" i="18"/>
  <c r="AT29" i="19" s="1"/>
  <c r="C36" i="18"/>
  <c r="AS29" i="19" s="1"/>
  <c r="O35" i="18"/>
  <c r="O34" i="18"/>
  <c r="O33" i="18"/>
  <c r="O32" i="18"/>
  <c r="O31" i="18"/>
  <c r="O30" i="18"/>
  <c r="O29" i="18"/>
  <c r="O28" i="18"/>
  <c r="O36" i="18" s="1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N14" i="18"/>
  <c r="M14" i="18"/>
  <c r="L14" i="18"/>
  <c r="K14" i="18"/>
  <c r="J14" i="18"/>
  <c r="I14" i="18"/>
  <c r="H14" i="18"/>
  <c r="G14" i="18"/>
  <c r="F14" i="18"/>
  <c r="E14" i="18"/>
  <c r="D14" i="18"/>
  <c r="C14" i="18"/>
  <c r="O13" i="18"/>
  <c r="O12" i="18"/>
  <c r="O11" i="18"/>
  <c r="O10" i="18"/>
  <c r="O9" i="18"/>
  <c r="O8" i="18"/>
  <c r="O7" i="18"/>
  <c r="O6" i="18"/>
  <c r="O1" i="18"/>
  <c r="N73" i="16"/>
  <c r="O73" i="16" s="1"/>
  <c r="M73" i="16"/>
  <c r="L73" i="16"/>
  <c r="K73" i="16"/>
  <c r="J73" i="16"/>
  <c r="I73" i="16"/>
  <c r="H73" i="16"/>
  <c r="G73" i="16"/>
  <c r="F73" i="16"/>
  <c r="E73" i="16"/>
  <c r="D73" i="16"/>
  <c r="C73" i="16"/>
  <c r="O72" i="16"/>
  <c r="O71" i="16"/>
  <c r="O70" i="16"/>
  <c r="O69" i="16"/>
  <c r="O68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O67" i="16" s="1"/>
  <c r="O66" i="16"/>
  <c r="O65" i="16"/>
  <c r="O64" i="16"/>
  <c r="N60" i="16"/>
  <c r="O60" i="16" s="1"/>
  <c r="M60" i="16"/>
  <c r="L60" i="16"/>
  <c r="K60" i="16"/>
  <c r="J60" i="16"/>
  <c r="I60" i="16"/>
  <c r="H60" i="16"/>
  <c r="G60" i="16"/>
  <c r="F60" i="16"/>
  <c r="E60" i="16"/>
  <c r="D60" i="16"/>
  <c r="C60" i="16"/>
  <c r="O59" i="16"/>
  <c r="O58" i="16"/>
  <c r="O57" i="16"/>
  <c r="O56" i="16"/>
  <c r="O55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O54" i="16" s="1"/>
  <c r="O53" i="16"/>
  <c r="O52" i="16"/>
  <c r="O51" i="16"/>
  <c r="AB45" i="16"/>
  <c r="AA45" i="16"/>
  <c r="AA46" i="16" s="1"/>
  <c r="Z45" i="16"/>
  <c r="Z46" i="16" s="1"/>
  <c r="Y45" i="16"/>
  <c r="Y46" i="16" s="1"/>
  <c r="X45" i="16"/>
  <c r="X46" i="16" s="1"/>
  <c r="W45" i="16"/>
  <c r="W46" i="16" s="1"/>
  <c r="V45" i="16"/>
  <c r="V46" i="16" s="1"/>
  <c r="U45" i="16"/>
  <c r="U46" i="16" s="1"/>
  <c r="T45" i="16"/>
  <c r="T46" i="16" s="1"/>
  <c r="S45" i="16"/>
  <c r="S46" i="16" s="1"/>
  <c r="R45" i="16"/>
  <c r="R46" i="16" s="1"/>
  <c r="Q45" i="16"/>
  <c r="Q46" i="16" s="1"/>
  <c r="N45" i="16"/>
  <c r="M45" i="16"/>
  <c r="M46" i="16" s="1"/>
  <c r="L45" i="16"/>
  <c r="L46" i="16" s="1"/>
  <c r="K45" i="16"/>
  <c r="K46" i="16" s="1"/>
  <c r="J45" i="16"/>
  <c r="J46" i="16" s="1"/>
  <c r="I45" i="16"/>
  <c r="I46" i="16" s="1"/>
  <c r="H45" i="16"/>
  <c r="H46" i="16" s="1"/>
  <c r="G45" i="16"/>
  <c r="G46" i="16" s="1"/>
  <c r="F45" i="16"/>
  <c r="F46" i="16" s="1"/>
  <c r="E45" i="16"/>
  <c r="E46" i="16" s="1"/>
  <c r="D45" i="16"/>
  <c r="D46" i="16" s="1"/>
  <c r="C45" i="16"/>
  <c r="C46" i="16" s="1"/>
  <c r="BD44" i="16"/>
  <c r="BE44" i="16" s="1"/>
  <c r="BC44" i="16"/>
  <c r="BB44" i="16"/>
  <c r="BA44" i="16"/>
  <c r="AZ44" i="16"/>
  <c r="AY44" i="16"/>
  <c r="AX44" i="16"/>
  <c r="AW44" i="16"/>
  <c r="AV44" i="16"/>
  <c r="AU44" i="16"/>
  <c r="AT44" i="16"/>
  <c r="AS44" i="16"/>
  <c r="AP44" i="16"/>
  <c r="AO44" i="16"/>
  <c r="BQ44" i="16" s="1"/>
  <c r="AN44" i="16"/>
  <c r="BP44" i="16" s="1"/>
  <c r="AM44" i="16"/>
  <c r="BO44" i="16" s="1"/>
  <c r="AL44" i="16"/>
  <c r="BN44" i="16" s="1"/>
  <c r="AK44" i="16"/>
  <c r="BM44" i="16" s="1"/>
  <c r="AJ44" i="16"/>
  <c r="BL44" i="16" s="1"/>
  <c r="AI44" i="16"/>
  <c r="BK44" i="16" s="1"/>
  <c r="AH44" i="16"/>
  <c r="BJ44" i="16" s="1"/>
  <c r="AG44" i="16"/>
  <c r="BI44" i="16" s="1"/>
  <c r="AF44" i="16"/>
  <c r="BH44" i="16" s="1"/>
  <c r="AE44" i="16"/>
  <c r="BG44" i="16" s="1"/>
  <c r="AC44" i="16"/>
  <c r="O44" i="16"/>
  <c r="BD43" i="16"/>
  <c r="BE43" i="16" s="1"/>
  <c r="BC43" i="16"/>
  <c r="BB43" i="16"/>
  <c r="BA43" i="16"/>
  <c r="AZ43" i="16"/>
  <c r="AY43" i="16"/>
  <c r="AX43" i="16"/>
  <c r="AW43" i="16"/>
  <c r="AV43" i="16"/>
  <c r="AU43" i="16"/>
  <c r="AT43" i="16"/>
  <c r="AS43" i="16"/>
  <c r="AP43" i="16"/>
  <c r="AO43" i="16"/>
  <c r="BQ43" i="16" s="1"/>
  <c r="AN43" i="16"/>
  <c r="BP43" i="16" s="1"/>
  <c r="AM43" i="16"/>
  <c r="BO43" i="16" s="1"/>
  <c r="AL43" i="16"/>
  <c r="BN43" i="16" s="1"/>
  <c r="AK43" i="16"/>
  <c r="BM43" i="16" s="1"/>
  <c r="AJ43" i="16"/>
  <c r="BL43" i="16" s="1"/>
  <c r="AI43" i="16"/>
  <c r="BK43" i="16" s="1"/>
  <c r="AH43" i="16"/>
  <c r="BJ43" i="16" s="1"/>
  <c r="AG43" i="16"/>
  <c r="BI43" i="16" s="1"/>
  <c r="AF43" i="16"/>
  <c r="BH43" i="16" s="1"/>
  <c r="AE43" i="16"/>
  <c r="BG43" i="16" s="1"/>
  <c r="AC43" i="16"/>
  <c r="O43" i="16"/>
  <c r="BD42" i="16"/>
  <c r="BE42" i="16" s="1"/>
  <c r="BC42" i="16"/>
  <c r="BB42" i="16"/>
  <c r="BA42" i="16"/>
  <c r="AZ42" i="16"/>
  <c r="AY42" i="16"/>
  <c r="AX42" i="16"/>
  <c r="AW42" i="16"/>
  <c r="AV42" i="16"/>
  <c r="AU42" i="16"/>
  <c r="AT42" i="16"/>
  <c r="AS42" i="16"/>
  <c r="AP42" i="16"/>
  <c r="AO42" i="16"/>
  <c r="BQ42" i="16" s="1"/>
  <c r="AN42" i="16"/>
  <c r="BP42" i="16" s="1"/>
  <c r="AM42" i="16"/>
  <c r="BO42" i="16" s="1"/>
  <c r="AL42" i="16"/>
  <c r="BN42" i="16" s="1"/>
  <c r="AK42" i="16"/>
  <c r="BM42" i="16" s="1"/>
  <c r="AJ42" i="16"/>
  <c r="BL42" i="16" s="1"/>
  <c r="AI42" i="16"/>
  <c r="BK42" i="16" s="1"/>
  <c r="AH42" i="16"/>
  <c r="BJ42" i="16" s="1"/>
  <c r="AG42" i="16"/>
  <c r="BI42" i="16" s="1"/>
  <c r="AF42" i="16"/>
  <c r="BH42" i="16" s="1"/>
  <c r="AE42" i="16"/>
  <c r="BG42" i="16" s="1"/>
  <c r="AC42" i="16"/>
  <c r="O42" i="16"/>
  <c r="BD41" i="16"/>
  <c r="BE41" i="16" s="1"/>
  <c r="BC41" i="16"/>
  <c r="BB41" i="16"/>
  <c r="BA41" i="16"/>
  <c r="AZ41" i="16"/>
  <c r="AY41" i="16"/>
  <c r="AX41" i="16"/>
  <c r="AW41" i="16"/>
  <c r="AV41" i="16"/>
  <c r="AU41" i="16"/>
  <c r="AT41" i="16"/>
  <c r="AS41" i="16"/>
  <c r="AP41" i="16"/>
  <c r="AO41" i="16"/>
  <c r="BQ41" i="16" s="1"/>
  <c r="AN41" i="16"/>
  <c r="BP41" i="16" s="1"/>
  <c r="AM41" i="16"/>
  <c r="BO41" i="16" s="1"/>
  <c r="AL41" i="16"/>
  <c r="BN41" i="16" s="1"/>
  <c r="AK41" i="16"/>
  <c r="BM41" i="16" s="1"/>
  <c r="AJ41" i="16"/>
  <c r="BL41" i="16" s="1"/>
  <c r="AI41" i="16"/>
  <c r="BK41" i="16" s="1"/>
  <c r="AH41" i="16"/>
  <c r="BJ41" i="16" s="1"/>
  <c r="AG41" i="16"/>
  <c r="BI41" i="16" s="1"/>
  <c r="AF41" i="16"/>
  <c r="BH41" i="16" s="1"/>
  <c r="AE41" i="16"/>
  <c r="BG41" i="16" s="1"/>
  <c r="AC41" i="16"/>
  <c r="O41" i="16"/>
  <c r="BD40" i="16"/>
  <c r="BC40" i="16"/>
  <c r="BC45" i="16" s="1"/>
  <c r="BB40" i="16"/>
  <c r="BB45" i="16" s="1"/>
  <c r="BA40" i="16"/>
  <c r="BA45" i="16" s="1"/>
  <c r="AZ40" i="16"/>
  <c r="AZ45" i="16" s="1"/>
  <c r="AY40" i="16"/>
  <c r="AY45" i="16" s="1"/>
  <c r="AX40" i="16"/>
  <c r="AX45" i="16" s="1"/>
  <c r="AW40" i="16"/>
  <c r="AW45" i="16" s="1"/>
  <c r="AV40" i="16"/>
  <c r="AV45" i="16" s="1"/>
  <c r="AU40" i="16"/>
  <c r="AU45" i="16" s="1"/>
  <c r="AT40" i="16"/>
  <c r="AT45" i="16" s="1"/>
  <c r="AS40" i="16"/>
  <c r="AS45" i="16" s="1"/>
  <c r="AP40" i="16"/>
  <c r="AO40" i="16"/>
  <c r="AN40" i="16"/>
  <c r="AM40" i="16"/>
  <c r="AL40" i="16"/>
  <c r="AK40" i="16"/>
  <c r="AJ40" i="16"/>
  <c r="AI40" i="16"/>
  <c r="AH40" i="16"/>
  <c r="AG40" i="16"/>
  <c r="AF40" i="16"/>
  <c r="AE40" i="16"/>
  <c r="AC40" i="16"/>
  <c r="O40" i="16"/>
  <c r="AB38" i="16"/>
  <c r="AA38" i="16"/>
  <c r="Z38" i="16"/>
  <c r="Y38" i="16"/>
  <c r="X38" i="16"/>
  <c r="W38" i="16"/>
  <c r="V38" i="16"/>
  <c r="U38" i="16"/>
  <c r="T38" i="16"/>
  <c r="S38" i="16"/>
  <c r="R38" i="16"/>
  <c r="Q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AB36" i="16"/>
  <c r="AA36" i="16"/>
  <c r="Z36" i="16"/>
  <c r="Y36" i="16"/>
  <c r="X36" i="16"/>
  <c r="W36" i="16"/>
  <c r="V36" i="16"/>
  <c r="U36" i="16"/>
  <c r="T36" i="16"/>
  <c r="S36" i="16"/>
  <c r="R36" i="16"/>
  <c r="Q36" i="16"/>
  <c r="N36" i="16"/>
  <c r="M36" i="16"/>
  <c r="L36" i="16"/>
  <c r="K36" i="16"/>
  <c r="J36" i="16"/>
  <c r="I36" i="16"/>
  <c r="H36" i="16"/>
  <c r="G36" i="16"/>
  <c r="F36" i="16"/>
  <c r="E36" i="16"/>
  <c r="D36" i="16"/>
  <c r="C36" i="16"/>
  <c r="AB35" i="16"/>
  <c r="AA35" i="16"/>
  <c r="Z35" i="16"/>
  <c r="Y35" i="16"/>
  <c r="X35" i="16"/>
  <c r="W35" i="16"/>
  <c r="V35" i="16"/>
  <c r="U35" i="16"/>
  <c r="T35" i="16"/>
  <c r="S35" i="16"/>
  <c r="R35" i="16"/>
  <c r="Q35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AB31" i="16"/>
  <c r="AB37" i="16" s="1"/>
  <c r="AA31" i="16"/>
  <c r="AA37" i="16" s="1"/>
  <c r="Z31" i="16"/>
  <c r="Z37" i="16" s="1"/>
  <c r="Y31" i="16"/>
  <c r="Y37" i="16" s="1"/>
  <c r="X31" i="16"/>
  <c r="X37" i="16" s="1"/>
  <c r="W31" i="16"/>
  <c r="W37" i="16" s="1"/>
  <c r="V31" i="16"/>
  <c r="V37" i="16" s="1"/>
  <c r="U31" i="16"/>
  <c r="U37" i="16" s="1"/>
  <c r="T31" i="16"/>
  <c r="T37" i="16" s="1"/>
  <c r="S31" i="16"/>
  <c r="S37" i="16" s="1"/>
  <c r="R31" i="16"/>
  <c r="R37" i="16" s="1"/>
  <c r="Q31" i="16"/>
  <c r="N31" i="16"/>
  <c r="N37" i="16" s="1"/>
  <c r="M31" i="16"/>
  <c r="M37" i="16" s="1"/>
  <c r="L31" i="16"/>
  <c r="L37" i="16" s="1"/>
  <c r="K31" i="16"/>
  <c r="K37" i="16" s="1"/>
  <c r="J31" i="16"/>
  <c r="J37" i="16" s="1"/>
  <c r="I31" i="16"/>
  <c r="I37" i="16" s="1"/>
  <c r="H31" i="16"/>
  <c r="H37" i="16" s="1"/>
  <c r="G31" i="16"/>
  <c r="G37" i="16" s="1"/>
  <c r="F31" i="16"/>
  <c r="F37" i="16" s="1"/>
  <c r="E31" i="16"/>
  <c r="E37" i="16" s="1"/>
  <c r="D31" i="16"/>
  <c r="D37" i="16" s="1"/>
  <c r="C31" i="16"/>
  <c r="AP30" i="16"/>
  <c r="AO30" i="16"/>
  <c r="AN30" i="16"/>
  <c r="AM30" i="16"/>
  <c r="AL30" i="16"/>
  <c r="AK30" i="16"/>
  <c r="AJ30" i="16"/>
  <c r="AI30" i="16"/>
  <c r="AH30" i="16"/>
  <c r="AG30" i="16"/>
  <c r="AF30" i="16"/>
  <c r="AE30" i="16"/>
  <c r="AC30" i="16"/>
  <c r="AC36" i="16" s="1"/>
  <c r="O30" i="16"/>
  <c r="O36" i="16" s="1"/>
  <c r="AP29" i="16"/>
  <c r="AO29" i="16"/>
  <c r="AN29" i="16"/>
  <c r="AM29" i="16"/>
  <c r="AL29" i="16"/>
  <c r="AK29" i="16"/>
  <c r="AJ29" i="16"/>
  <c r="AI29" i="16"/>
  <c r="AH29" i="16"/>
  <c r="AG29" i="16"/>
  <c r="AF29" i="16"/>
  <c r="AE29" i="16"/>
  <c r="AC29" i="16"/>
  <c r="AC35" i="16" s="1"/>
  <c r="O29" i="16"/>
  <c r="O35" i="16" s="1"/>
  <c r="AP28" i="16"/>
  <c r="AO28" i="16"/>
  <c r="AN28" i="16"/>
  <c r="AM28" i="16"/>
  <c r="AL28" i="16"/>
  <c r="AK28" i="16"/>
  <c r="AJ28" i="16"/>
  <c r="AI28" i="16"/>
  <c r="AH28" i="16"/>
  <c r="AG28" i="16"/>
  <c r="AF28" i="16"/>
  <c r="AE28" i="16"/>
  <c r="AC28" i="16"/>
  <c r="AC38" i="16" s="1"/>
  <c r="O28" i="16"/>
  <c r="O38" i="16" s="1"/>
  <c r="N95" i="15"/>
  <c r="M95" i="15"/>
  <c r="L95" i="15"/>
  <c r="K95" i="15"/>
  <c r="J95" i="15"/>
  <c r="I95" i="15"/>
  <c r="H95" i="15"/>
  <c r="G95" i="15"/>
  <c r="F95" i="15"/>
  <c r="E95" i="15"/>
  <c r="D95" i="15"/>
  <c r="C95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O84" i="15" s="1"/>
  <c r="N82" i="15"/>
  <c r="N85" i="15" s="1"/>
  <c r="M82" i="15"/>
  <c r="M85" i="15" s="1"/>
  <c r="L82" i="15"/>
  <c r="L85" i="15" s="1"/>
  <c r="K82" i="15"/>
  <c r="K85" i="15" s="1"/>
  <c r="J82" i="15"/>
  <c r="J85" i="15" s="1"/>
  <c r="I82" i="15"/>
  <c r="I85" i="15" s="1"/>
  <c r="H82" i="15"/>
  <c r="H85" i="15" s="1"/>
  <c r="G82" i="15"/>
  <c r="G85" i="15" s="1"/>
  <c r="F82" i="15"/>
  <c r="F85" i="15" s="1"/>
  <c r="E82" i="15"/>
  <c r="E85" i="15" s="1"/>
  <c r="D82" i="15"/>
  <c r="D85" i="15" s="1"/>
  <c r="C82" i="15"/>
  <c r="C85" i="15" s="1"/>
  <c r="N77" i="15"/>
  <c r="M77" i="15"/>
  <c r="L77" i="15"/>
  <c r="K77" i="15"/>
  <c r="J77" i="15"/>
  <c r="I77" i="15"/>
  <c r="H77" i="15"/>
  <c r="G77" i="15"/>
  <c r="F77" i="15"/>
  <c r="E77" i="15"/>
  <c r="D77" i="15"/>
  <c r="C77" i="15"/>
  <c r="O77" i="15" s="1"/>
  <c r="N75" i="15"/>
  <c r="N78" i="15" s="1"/>
  <c r="M75" i="15"/>
  <c r="M78" i="15" s="1"/>
  <c r="L75" i="15"/>
  <c r="L78" i="15" s="1"/>
  <c r="K75" i="15"/>
  <c r="K78" i="15" s="1"/>
  <c r="J75" i="15"/>
  <c r="J78" i="15" s="1"/>
  <c r="I75" i="15"/>
  <c r="I78" i="15" s="1"/>
  <c r="H75" i="15"/>
  <c r="H78" i="15" s="1"/>
  <c r="G75" i="15"/>
  <c r="G78" i="15" s="1"/>
  <c r="F75" i="15"/>
  <c r="F78" i="15" s="1"/>
  <c r="E75" i="15"/>
  <c r="E78" i="15" s="1"/>
  <c r="D75" i="15"/>
  <c r="D78" i="15" s="1"/>
  <c r="C75" i="15"/>
  <c r="C78" i="15" s="1"/>
  <c r="N68" i="15"/>
  <c r="M68" i="15"/>
  <c r="L68" i="15"/>
  <c r="K68" i="15"/>
  <c r="J68" i="15"/>
  <c r="I68" i="15"/>
  <c r="H68" i="15"/>
  <c r="G68" i="15"/>
  <c r="F68" i="15"/>
  <c r="E68" i="15"/>
  <c r="D68" i="15"/>
  <c r="C68" i="15"/>
  <c r="O68" i="15" s="1"/>
  <c r="B68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O67" i="15" s="1"/>
  <c r="B67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O66" i="15" s="1"/>
  <c r="B66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O65" i="15" s="1"/>
  <c r="B65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O64" i="15" s="1"/>
  <c r="B64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O63" i="15" s="1"/>
  <c r="B63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O62" i="15" s="1"/>
  <c r="B62" i="15"/>
  <c r="N61" i="15"/>
  <c r="N69" i="15" s="1"/>
  <c r="M61" i="15"/>
  <c r="M69" i="15" s="1"/>
  <c r="L61" i="15"/>
  <c r="L69" i="15" s="1"/>
  <c r="K61" i="15"/>
  <c r="K69" i="15" s="1"/>
  <c r="J61" i="15"/>
  <c r="J69" i="15" s="1"/>
  <c r="I61" i="15"/>
  <c r="I69" i="15" s="1"/>
  <c r="H61" i="15"/>
  <c r="H69" i="15" s="1"/>
  <c r="G61" i="15"/>
  <c r="G69" i="15" s="1"/>
  <c r="F61" i="15"/>
  <c r="F69" i="15" s="1"/>
  <c r="E61" i="15"/>
  <c r="E69" i="15" s="1"/>
  <c r="D61" i="15"/>
  <c r="D69" i="15" s="1"/>
  <c r="C61" i="15"/>
  <c r="B61" i="15"/>
  <c r="N58" i="15"/>
  <c r="BD30" i="16" s="1"/>
  <c r="M58" i="15"/>
  <c r="BC30" i="16" s="1"/>
  <c r="L58" i="15"/>
  <c r="BB30" i="16" s="1"/>
  <c r="K58" i="15"/>
  <c r="BA30" i="16" s="1"/>
  <c r="J58" i="15"/>
  <c r="AZ30" i="16" s="1"/>
  <c r="I58" i="15"/>
  <c r="AY30" i="16" s="1"/>
  <c r="H58" i="15"/>
  <c r="AX30" i="16" s="1"/>
  <c r="G58" i="15"/>
  <c r="AW30" i="16" s="1"/>
  <c r="F58" i="15"/>
  <c r="AV30" i="16" s="1"/>
  <c r="E58" i="15"/>
  <c r="AU30" i="16" s="1"/>
  <c r="D58" i="15"/>
  <c r="AT30" i="16" s="1"/>
  <c r="C58" i="15"/>
  <c r="AS30" i="16" s="1"/>
  <c r="O57" i="15"/>
  <c r="O56" i="15"/>
  <c r="O55" i="15"/>
  <c r="O54" i="15"/>
  <c r="O53" i="15"/>
  <c r="O52" i="15"/>
  <c r="O51" i="15"/>
  <c r="O50" i="15"/>
  <c r="O58" i="15" s="1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N36" i="15"/>
  <c r="BD29" i="16" s="1"/>
  <c r="M36" i="15"/>
  <c r="BC29" i="16" s="1"/>
  <c r="L36" i="15"/>
  <c r="BB29" i="16" s="1"/>
  <c r="K36" i="15"/>
  <c r="BA29" i="16" s="1"/>
  <c r="J36" i="15"/>
  <c r="AZ29" i="16" s="1"/>
  <c r="I36" i="15"/>
  <c r="AY29" i="16" s="1"/>
  <c r="H36" i="15"/>
  <c r="AX29" i="16" s="1"/>
  <c r="G36" i="15"/>
  <c r="AW29" i="16" s="1"/>
  <c r="F36" i="15"/>
  <c r="AV29" i="16" s="1"/>
  <c r="E36" i="15"/>
  <c r="AU29" i="16" s="1"/>
  <c r="D36" i="15"/>
  <c r="AT29" i="16" s="1"/>
  <c r="C36" i="15"/>
  <c r="AS29" i="16" s="1"/>
  <c r="O35" i="15"/>
  <c r="O34" i="15"/>
  <c r="O33" i="15"/>
  <c r="O32" i="15"/>
  <c r="O31" i="15"/>
  <c r="O30" i="15"/>
  <c r="O29" i="15"/>
  <c r="O28" i="15"/>
  <c r="O36" i="15" s="1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O13" i="15"/>
  <c r="O12" i="15"/>
  <c r="O11" i="15"/>
  <c r="O10" i="15"/>
  <c r="O9" i="15"/>
  <c r="O8" i="15"/>
  <c r="O7" i="15"/>
  <c r="O6" i="15"/>
  <c r="O1" i="15"/>
  <c r="N73" i="13"/>
  <c r="O73" i="13" s="1"/>
  <c r="M73" i="13"/>
  <c r="L73" i="13"/>
  <c r="K73" i="13"/>
  <c r="J73" i="13"/>
  <c r="I73" i="13"/>
  <c r="H73" i="13"/>
  <c r="G73" i="13"/>
  <c r="F73" i="13"/>
  <c r="E73" i="13"/>
  <c r="D73" i="13"/>
  <c r="C73" i="13"/>
  <c r="O72" i="13"/>
  <c r="O71" i="13"/>
  <c r="O70" i="13"/>
  <c r="O69" i="13"/>
  <c r="O68" i="13"/>
  <c r="N67" i="13"/>
  <c r="M67" i="13"/>
  <c r="L67" i="13"/>
  <c r="K67" i="13"/>
  <c r="J67" i="13"/>
  <c r="I67" i="13"/>
  <c r="H67" i="13"/>
  <c r="G67" i="13"/>
  <c r="F67" i="13"/>
  <c r="E67" i="13"/>
  <c r="D67" i="13"/>
  <c r="C67" i="13"/>
  <c r="O67" i="13" s="1"/>
  <c r="O66" i="13"/>
  <c r="O65" i="13"/>
  <c r="O64" i="13"/>
  <c r="N60" i="13"/>
  <c r="O60" i="13" s="1"/>
  <c r="M60" i="13"/>
  <c r="L60" i="13"/>
  <c r="K60" i="13"/>
  <c r="J60" i="13"/>
  <c r="I60" i="13"/>
  <c r="H60" i="13"/>
  <c r="G60" i="13"/>
  <c r="F60" i="13"/>
  <c r="E60" i="13"/>
  <c r="D60" i="13"/>
  <c r="C60" i="13"/>
  <c r="O59" i="13"/>
  <c r="O58" i="13"/>
  <c r="O57" i="13"/>
  <c r="O56" i="13"/>
  <c r="O55" i="13"/>
  <c r="N54" i="13"/>
  <c r="M54" i="13"/>
  <c r="L54" i="13"/>
  <c r="K54" i="13"/>
  <c r="J54" i="13"/>
  <c r="I54" i="13"/>
  <c r="H54" i="13"/>
  <c r="G54" i="13"/>
  <c r="F54" i="13"/>
  <c r="E54" i="13"/>
  <c r="D54" i="13"/>
  <c r="C54" i="13"/>
  <c r="O54" i="13" s="1"/>
  <c r="O53" i="13"/>
  <c r="O52" i="13"/>
  <c r="O51" i="13"/>
  <c r="AB45" i="13"/>
  <c r="AA45" i="13"/>
  <c r="AA46" i="13" s="1"/>
  <c r="Z45" i="13"/>
  <c r="Z46" i="13" s="1"/>
  <c r="Y45" i="13"/>
  <c r="Y46" i="13" s="1"/>
  <c r="X45" i="13"/>
  <c r="X46" i="13" s="1"/>
  <c r="W45" i="13"/>
  <c r="W46" i="13" s="1"/>
  <c r="V45" i="13"/>
  <c r="V46" i="13" s="1"/>
  <c r="U45" i="13"/>
  <c r="U46" i="13" s="1"/>
  <c r="T45" i="13"/>
  <c r="T46" i="13" s="1"/>
  <c r="S45" i="13"/>
  <c r="S46" i="13" s="1"/>
  <c r="R45" i="13"/>
  <c r="R46" i="13" s="1"/>
  <c r="Q45" i="13"/>
  <c r="Q46" i="13" s="1"/>
  <c r="N45" i="13"/>
  <c r="M45" i="13"/>
  <c r="M46" i="13" s="1"/>
  <c r="L45" i="13"/>
  <c r="L46" i="13" s="1"/>
  <c r="K45" i="13"/>
  <c r="K46" i="13" s="1"/>
  <c r="J45" i="13"/>
  <c r="J46" i="13" s="1"/>
  <c r="I45" i="13"/>
  <c r="I46" i="13" s="1"/>
  <c r="H45" i="13"/>
  <c r="H46" i="13" s="1"/>
  <c r="G45" i="13"/>
  <c r="G46" i="13" s="1"/>
  <c r="F45" i="13"/>
  <c r="F46" i="13" s="1"/>
  <c r="E45" i="13"/>
  <c r="E46" i="13" s="1"/>
  <c r="D45" i="13"/>
  <c r="D46" i="13" s="1"/>
  <c r="C45" i="13"/>
  <c r="C46" i="13" s="1"/>
  <c r="BD44" i="13"/>
  <c r="BE44" i="13" s="1"/>
  <c r="BC44" i="13"/>
  <c r="BB44" i="13"/>
  <c r="BA44" i="13"/>
  <c r="AZ44" i="13"/>
  <c r="AY44" i="13"/>
  <c r="AX44" i="13"/>
  <c r="AW44" i="13"/>
  <c r="AV44" i="13"/>
  <c r="AU44" i="13"/>
  <c r="AT44" i="13"/>
  <c r="AS44" i="13"/>
  <c r="AP44" i="13"/>
  <c r="AO44" i="13"/>
  <c r="BQ44" i="13" s="1"/>
  <c r="AN44" i="13"/>
  <c r="BP44" i="13" s="1"/>
  <c r="AM44" i="13"/>
  <c r="BO44" i="13" s="1"/>
  <c r="AL44" i="13"/>
  <c r="BN44" i="13" s="1"/>
  <c r="AK44" i="13"/>
  <c r="BM44" i="13" s="1"/>
  <c r="AJ44" i="13"/>
  <c r="BL44" i="13" s="1"/>
  <c r="AI44" i="13"/>
  <c r="BK44" i="13" s="1"/>
  <c r="AH44" i="13"/>
  <c r="BJ44" i="13" s="1"/>
  <c r="AG44" i="13"/>
  <c r="BI44" i="13" s="1"/>
  <c r="AF44" i="13"/>
  <c r="BH44" i="13" s="1"/>
  <c r="AE44" i="13"/>
  <c r="BG44" i="13" s="1"/>
  <c r="AC44" i="13"/>
  <c r="O44" i="13"/>
  <c r="BD43" i="13"/>
  <c r="BE43" i="13" s="1"/>
  <c r="BC43" i="13"/>
  <c r="BB43" i="13"/>
  <c r="BA43" i="13"/>
  <c r="AZ43" i="13"/>
  <c r="AY43" i="13"/>
  <c r="AX43" i="13"/>
  <c r="AW43" i="13"/>
  <c r="AV43" i="13"/>
  <c r="AU43" i="13"/>
  <c r="AT43" i="13"/>
  <c r="AS43" i="13"/>
  <c r="AP43" i="13"/>
  <c r="AO43" i="13"/>
  <c r="BQ43" i="13" s="1"/>
  <c r="AN43" i="13"/>
  <c r="BP43" i="13" s="1"/>
  <c r="AM43" i="13"/>
  <c r="BO43" i="13" s="1"/>
  <c r="AL43" i="13"/>
  <c r="BN43" i="13" s="1"/>
  <c r="AK43" i="13"/>
  <c r="BM43" i="13" s="1"/>
  <c r="AJ43" i="13"/>
  <c r="BL43" i="13" s="1"/>
  <c r="AI43" i="13"/>
  <c r="BK43" i="13" s="1"/>
  <c r="AH43" i="13"/>
  <c r="BJ43" i="13" s="1"/>
  <c r="AG43" i="13"/>
  <c r="BI43" i="13" s="1"/>
  <c r="AF43" i="13"/>
  <c r="BH43" i="13" s="1"/>
  <c r="AE43" i="13"/>
  <c r="BG43" i="13" s="1"/>
  <c r="AC43" i="13"/>
  <c r="O43" i="13"/>
  <c r="BD42" i="13"/>
  <c r="BE42" i="13" s="1"/>
  <c r="BC42" i="13"/>
  <c r="BB42" i="13"/>
  <c r="BA42" i="13"/>
  <c r="AZ42" i="13"/>
  <c r="AY42" i="13"/>
  <c r="AX42" i="13"/>
  <c r="AW42" i="13"/>
  <c r="AV42" i="13"/>
  <c r="AU42" i="13"/>
  <c r="AT42" i="13"/>
  <c r="AS42" i="13"/>
  <c r="AP42" i="13"/>
  <c r="AO42" i="13"/>
  <c r="BQ42" i="13" s="1"/>
  <c r="AN42" i="13"/>
  <c r="BP42" i="13" s="1"/>
  <c r="AM42" i="13"/>
  <c r="BO42" i="13" s="1"/>
  <c r="AL42" i="13"/>
  <c r="BN42" i="13" s="1"/>
  <c r="AK42" i="13"/>
  <c r="BM42" i="13" s="1"/>
  <c r="AJ42" i="13"/>
  <c r="BL42" i="13" s="1"/>
  <c r="AI42" i="13"/>
  <c r="BK42" i="13" s="1"/>
  <c r="AH42" i="13"/>
  <c r="BJ42" i="13" s="1"/>
  <c r="AG42" i="13"/>
  <c r="BI42" i="13" s="1"/>
  <c r="AF42" i="13"/>
  <c r="BH42" i="13" s="1"/>
  <c r="AE42" i="13"/>
  <c r="BG42" i="13" s="1"/>
  <c r="AC42" i="13"/>
  <c r="O42" i="13"/>
  <c r="BD41" i="13"/>
  <c r="BE41" i="13" s="1"/>
  <c r="BC41" i="13"/>
  <c r="BB41" i="13"/>
  <c r="BA41" i="13"/>
  <c r="AZ41" i="13"/>
  <c r="AY41" i="13"/>
  <c r="AX41" i="13"/>
  <c r="AW41" i="13"/>
  <c r="AV41" i="13"/>
  <c r="AU41" i="13"/>
  <c r="AT41" i="13"/>
  <c r="AS41" i="13"/>
  <c r="AP41" i="13"/>
  <c r="AO41" i="13"/>
  <c r="BQ41" i="13" s="1"/>
  <c r="AN41" i="13"/>
  <c r="BP41" i="13" s="1"/>
  <c r="AM41" i="13"/>
  <c r="BO41" i="13" s="1"/>
  <c r="AL41" i="13"/>
  <c r="BN41" i="13" s="1"/>
  <c r="AK41" i="13"/>
  <c r="BM41" i="13" s="1"/>
  <c r="AJ41" i="13"/>
  <c r="BL41" i="13" s="1"/>
  <c r="AI41" i="13"/>
  <c r="BK41" i="13" s="1"/>
  <c r="AH41" i="13"/>
  <c r="BJ41" i="13" s="1"/>
  <c r="AG41" i="13"/>
  <c r="BI41" i="13" s="1"/>
  <c r="AF41" i="13"/>
  <c r="BH41" i="13" s="1"/>
  <c r="AE41" i="13"/>
  <c r="BG41" i="13" s="1"/>
  <c r="AC41" i="13"/>
  <c r="O41" i="13"/>
  <c r="BD40" i="13"/>
  <c r="BC40" i="13"/>
  <c r="BC45" i="13" s="1"/>
  <c r="BB40" i="13"/>
  <c r="BB45" i="13" s="1"/>
  <c r="BA40" i="13"/>
  <c r="BA45" i="13" s="1"/>
  <c r="AZ40" i="13"/>
  <c r="AZ45" i="13" s="1"/>
  <c r="AY40" i="13"/>
  <c r="AY45" i="13" s="1"/>
  <c r="AX40" i="13"/>
  <c r="AX45" i="13" s="1"/>
  <c r="AW40" i="13"/>
  <c r="AW45" i="13" s="1"/>
  <c r="AV40" i="13"/>
  <c r="AV45" i="13" s="1"/>
  <c r="AU40" i="13"/>
  <c r="AU45" i="13" s="1"/>
  <c r="AT40" i="13"/>
  <c r="AT45" i="13" s="1"/>
  <c r="AS40" i="13"/>
  <c r="AS45" i="13" s="1"/>
  <c r="AP40" i="13"/>
  <c r="AO40" i="13"/>
  <c r="AN40" i="13"/>
  <c r="AM40" i="13"/>
  <c r="AL40" i="13"/>
  <c r="AK40" i="13"/>
  <c r="AJ40" i="13"/>
  <c r="AI40" i="13"/>
  <c r="AH40" i="13"/>
  <c r="AG40" i="13"/>
  <c r="AF40" i="13"/>
  <c r="AE40" i="13"/>
  <c r="AC40" i="13"/>
  <c r="O40" i="13"/>
  <c r="AB38" i="13"/>
  <c r="AA38" i="13"/>
  <c r="Z38" i="13"/>
  <c r="Y38" i="13"/>
  <c r="X38" i="13"/>
  <c r="W38" i="13"/>
  <c r="V38" i="13"/>
  <c r="U38" i="13"/>
  <c r="T38" i="13"/>
  <c r="S38" i="13"/>
  <c r="R38" i="13"/>
  <c r="Q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AB36" i="13"/>
  <c r="AA36" i="13"/>
  <c r="Z36" i="13"/>
  <c r="Y36" i="13"/>
  <c r="X36" i="13"/>
  <c r="W36" i="13"/>
  <c r="V36" i="13"/>
  <c r="U36" i="13"/>
  <c r="T36" i="13"/>
  <c r="S36" i="13"/>
  <c r="R36" i="13"/>
  <c r="Q36" i="13"/>
  <c r="N36" i="13"/>
  <c r="M36" i="13"/>
  <c r="L36" i="13"/>
  <c r="K36" i="13"/>
  <c r="J36" i="13"/>
  <c r="I36" i="13"/>
  <c r="H36" i="13"/>
  <c r="G36" i="13"/>
  <c r="F36" i="13"/>
  <c r="E36" i="13"/>
  <c r="D36" i="13"/>
  <c r="C36" i="13"/>
  <c r="AB35" i="13"/>
  <c r="AA35" i="13"/>
  <c r="Z35" i="13"/>
  <c r="Y35" i="13"/>
  <c r="X35" i="13"/>
  <c r="W35" i="13"/>
  <c r="V35" i="13"/>
  <c r="U35" i="13"/>
  <c r="T35" i="13"/>
  <c r="S35" i="13"/>
  <c r="R35" i="13"/>
  <c r="Q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AB31" i="13"/>
  <c r="AB37" i="13" s="1"/>
  <c r="AA31" i="13"/>
  <c r="AA37" i="13" s="1"/>
  <c r="Z31" i="13"/>
  <c r="Z37" i="13" s="1"/>
  <c r="Y31" i="13"/>
  <c r="Y37" i="13" s="1"/>
  <c r="X31" i="13"/>
  <c r="X37" i="13" s="1"/>
  <c r="W31" i="13"/>
  <c r="W37" i="13" s="1"/>
  <c r="V31" i="13"/>
  <c r="V37" i="13" s="1"/>
  <c r="U31" i="13"/>
  <c r="U37" i="13" s="1"/>
  <c r="T31" i="13"/>
  <c r="T37" i="13" s="1"/>
  <c r="S31" i="13"/>
  <c r="S37" i="13" s="1"/>
  <c r="R31" i="13"/>
  <c r="R37" i="13" s="1"/>
  <c r="Q31" i="13"/>
  <c r="N31" i="13"/>
  <c r="N37" i="13" s="1"/>
  <c r="M31" i="13"/>
  <c r="M37" i="13" s="1"/>
  <c r="L31" i="13"/>
  <c r="L37" i="13" s="1"/>
  <c r="K31" i="13"/>
  <c r="K37" i="13" s="1"/>
  <c r="J31" i="13"/>
  <c r="J37" i="13" s="1"/>
  <c r="I31" i="13"/>
  <c r="I37" i="13" s="1"/>
  <c r="H31" i="13"/>
  <c r="H37" i="13" s="1"/>
  <c r="G31" i="13"/>
  <c r="G37" i="13" s="1"/>
  <c r="F31" i="13"/>
  <c r="F37" i="13" s="1"/>
  <c r="E31" i="13"/>
  <c r="E37" i="13" s="1"/>
  <c r="D31" i="13"/>
  <c r="D37" i="13" s="1"/>
  <c r="C31" i="13"/>
  <c r="AP30" i="13"/>
  <c r="AO30" i="13"/>
  <c r="AN30" i="13"/>
  <c r="AM30" i="13"/>
  <c r="AL30" i="13"/>
  <c r="AK30" i="13"/>
  <c r="AJ30" i="13"/>
  <c r="AI30" i="13"/>
  <c r="AH30" i="13"/>
  <c r="AG30" i="13"/>
  <c r="AF30" i="13"/>
  <c r="AE30" i="13"/>
  <c r="AC30" i="13"/>
  <c r="AC36" i="13" s="1"/>
  <c r="O30" i="13"/>
  <c r="O36" i="13" s="1"/>
  <c r="AP29" i="13"/>
  <c r="AO29" i="13"/>
  <c r="AN29" i="13"/>
  <c r="AM29" i="13"/>
  <c r="AL29" i="13"/>
  <c r="AK29" i="13"/>
  <c r="AJ29" i="13"/>
  <c r="AI29" i="13"/>
  <c r="AH29" i="13"/>
  <c r="AG29" i="13"/>
  <c r="AF29" i="13"/>
  <c r="AE29" i="13"/>
  <c r="AC29" i="13"/>
  <c r="AC35" i="13" s="1"/>
  <c r="O29" i="13"/>
  <c r="O35" i="13" s="1"/>
  <c r="AP28" i="13"/>
  <c r="AO28" i="13"/>
  <c r="AN28" i="13"/>
  <c r="AM28" i="13"/>
  <c r="AL28" i="13"/>
  <c r="AK28" i="13"/>
  <c r="AJ28" i="13"/>
  <c r="AI28" i="13"/>
  <c r="AH28" i="13"/>
  <c r="AG28" i="13"/>
  <c r="AF28" i="13"/>
  <c r="AE28" i="13"/>
  <c r="AC28" i="13"/>
  <c r="AC38" i="13" s="1"/>
  <c r="O28" i="13"/>
  <c r="O38" i="13" s="1"/>
  <c r="N95" i="12"/>
  <c r="M95" i="12"/>
  <c r="L95" i="12"/>
  <c r="K95" i="12"/>
  <c r="J95" i="12"/>
  <c r="I95" i="12"/>
  <c r="H95" i="12"/>
  <c r="G95" i="12"/>
  <c r="F95" i="12"/>
  <c r="E95" i="12"/>
  <c r="D95" i="12"/>
  <c r="C95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O84" i="12" s="1"/>
  <c r="N82" i="12"/>
  <c r="N85" i="12" s="1"/>
  <c r="M82" i="12"/>
  <c r="M85" i="12" s="1"/>
  <c r="L82" i="12"/>
  <c r="L85" i="12" s="1"/>
  <c r="K82" i="12"/>
  <c r="K85" i="12" s="1"/>
  <c r="J82" i="12"/>
  <c r="J85" i="12" s="1"/>
  <c r="I82" i="12"/>
  <c r="I85" i="12" s="1"/>
  <c r="H82" i="12"/>
  <c r="H85" i="12" s="1"/>
  <c r="G82" i="12"/>
  <c r="G85" i="12" s="1"/>
  <c r="F82" i="12"/>
  <c r="F85" i="12" s="1"/>
  <c r="E82" i="12"/>
  <c r="E85" i="12" s="1"/>
  <c r="D82" i="12"/>
  <c r="D85" i="12" s="1"/>
  <c r="C82" i="12"/>
  <c r="C85" i="12" s="1"/>
  <c r="N77" i="12"/>
  <c r="M77" i="12"/>
  <c r="L77" i="12"/>
  <c r="K77" i="12"/>
  <c r="J77" i="12"/>
  <c r="I77" i="12"/>
  <c r="H77" i="12"/>
  <c r="G77" i="12"/>
  <c r="F77" i="12"/>
  <c r="E77" i="12"/>
  <c r="D77" i="12"/>
  <c r="C77" i="12"/>
  <c r="O77" i="12" s="1"/>
  <c r="N75" i="12"/>
  <c r="N78" i="12" s="1"/>
  <c r="M75" i="12"/>
  <c r="M78" i="12" s="1"/>
  <c r="L75" i="12"/>
  <c r="L78" i="12" s="1"/>
  <c r="K75" i="12"/>
  <c r="K78" i="12" s="1"/>
  <c r="J75" i="12"/>
  <c r="J78" i="12" s="1"/>
  <c r="I75" i="12"/>
  <c r="I78" i="12" s="1"/>
  <c r="H75" i="12"/>
  <c r="H78" i="12" s="1"/>
  <c r="G75" i="12"/>
  <c r="G78" i="12" s="1"/>
  <c r="F75" i="12"/>
  <c r="F78" i="12" s="1"/>
  <c r="E75" i="12"/>
  <c r="E78" i="12" s="1"/>
  <c r="D75" i="12"/>
  <c r="D78" i="12" s="1"/>
  <c r="C75" i="12"/>
  <c r="C78" i="12" s="1"/>
  <c r="N68" i="12"/>
  <c r="M68" i="12"/>
  <c r="L68" i="12"/>
  <c r="K68" i="12"/>
  <c r="J68" i="12"/>
  <c r="I68" i="12"/>
  <c r="H68" i="12"/>
  <c r="G68" i="12"/>
  <c r="F68" i="12"/>
  <c r="E68" i="12"/>
  <c r="D68" i="12"/>
  <c r="C68" i="12"/>
  <c r="O68" i="12" s="1"/>
  <c r="B68" i="12"/>
  <c r="N67" i="12"/>
  <c r="M67" i="12"/>
  <c r="L67" i="12"/>
  <c r="K67" i="12"/>
  <c r="J67" i="12"/>
  <c r="I67" i="12"/>
  <c r="H67" i="12"/>
  <c r="G67" i="12"/>
  <c r="F67" i="12"/>
  <c r="E67" i="12"/>
  <c r="D67" i="12"/>
  <c r="C67" i="12"/>
  <c r="O67" i="12" s="1"/>
  <c r="B67" i="12"/>
  <c r="N66" i="12"/>
  <c r="M66" i="12"/>
  <c r="L66" i="12"/>
  <c r="K66" i="12"/>
  <c r="J66" i="12"/>
  <c r="I66" i="12"/>
  <c r="H66" i="12"/>
  <c r="G66" i="12"/>
  <c r="F66" i="12"/>
  <c r="E66" i="12"/>
  <c r="D66" i="12"/>
  <c r="C66" i="12"/>
  <c r="O66" i="12" s="1"/>
  <c r="B66" i="12"/>
  <c r="N65" i="12"/>
  <c r="M65" i="12"/>
  <c r="L65" i="12"/>
  <c r="K65" i="12"/>
  <c r="J65" i="12"/>
  <c r="I65" i="12"/>
  <c r="H65" i="12"/>
  <c r="G65" i="12"/>
  <c r="F65" i="12"/>
  <c r="E65" i="12"/>
  <c r="D65" i="12"/>
  <c r="C65" i="12"/>
  <c r="O65" i="12" s="1"/>
  <c r="B65" i="12"/>
  <c r="N64" i="12"/>
  <c r="M64" i="12"/>
  <c r="L64" i="12"/>
  <c r="K64" i="12"/>
  <c r="J64" i="12"/>
  <c r="I64" i="12"/>
  <c r="H64" i="12"/>
  <c r="G64" i="12"/>
  <c r="F64" i="12"/>
  <c r="E64" i="12"/>
  <c r="D64" i="12"/>
  <c r="C64" i="12"/>
  <c r="O64" i="12" s="1"/>
  <c r="B64" i="12"/>
  <c r="N63" i="12"/>
  <c r="M63" i="12"/>
  <c r="L63" i="12"/>
  <c r="K63" i="12"/>
  <c r="J63" i="12"/>
  <c r="I63" i="12"/>
  <c r="H63" i="12"/>
  <c r="G63" i="12"/>
  <c r="F63" i="12"/>
  <c r="E63" i="12"/>
  <c r="D63" i="12"/>
  <c r="C63" i="12"/>
  <c r="O63" i="12" s="1"/>
  <c r="B63" i="12"/>
  <c r="N62" i="12"/>
  <c r="M62" i="12"/>
  <c r="L62" i="12"/>
  <c r="K62" i="12"/>
  <c r="J62" i="12"/>
  <c r="I62" i="12"/>
  <c r="H62" i="12"/>
  <c r="G62" i="12"/>
  <c r="F62" i="12"/>
  <c r="E62" i="12"/>
  <c r="D62" i="12"/>
  <c r="C62" i="12"/>
  <c r="O62" i="12" s="1"/>
  <c r="B62" i="12"/>
  <c r="N61" i="12"/>
  <c r="N69" i="12" s="1"/>
  <c r="M61" i="12"/>
  <c r="M69" i="12" s="1"/>
  <c r="L61" i="12"/>
  <c r="L69" i="12" s="1"/>
  <c r="K61" i="12"/>
  <c r="K69" i="12" s="1"/>
  <c r="J61" i="12"/>
  <c r="J69" i="12" s="1"/>
  <c r="I61" i="12"/>
  <c r="I69" i="12" s="1"/>
  <c r="H61" i="12"/>
  <c r="H69" i="12" s="1"/>
  <c r="G61" i="12"/>
  <c r="G69" i="12" s="1"/>
  <c r="F61" i="12"/>
  <c r="F69" i="12" s="1"/>
  <c r="E61" i="12"/>
  <c r="E69" i="12" s="1"/>
  <c r="D61" i="12"/>
  <c r="D69" i="12" s="1"/>
  <c r="C61" i="12"/>
  <c r="B61" i="12"/>
  <c r="N58" i="12"/>
  <c r="BD30" i="13" s="1"/>
  <c r="M58" i="12"/>
  <c r="BC30" i="13" s="1"/>
  <c r="L58" i="12"/>
  <c r="BB30" i="13" s="1"/>
  <c r="K58" i="12"/>
  <c r="BA30" i="13" s="1"/>
  <c r="J58" i="12"/>
  <c r="AZ30" i="13" s="1"/>
  <c r="I58" i="12"/>
  <c r="AY30" i="13" s="1"/>
  <c r="H58" i="12"/>
  <c r="AX30" i="13" s="1"/>
  <c r="G58" i="12"/>
  <c r="AW30" i="13" s="1"/>
  <c r="F58" i="12"/>
  <c r="AV30" i="13" s="1"/>
  <c r="E58" i="12"/>
  <c r="AU30" i="13" s="1"/>
  <c r="D58" i="12"/>
  <c r="AT30" i="13" s="1"/>
  <c r="C58" i="12"/>
  <c r="AS30" i="13" s="1"/>
  <c r="O57" i="12"/>
  <c r="O56" i="12"/>
  <c r="O55" i="12"/>
  <c r="O54" i="12"/>
  <c r="O53" i="12"/>
  <c r="O52" i="12"/>
  <c r="O51" i="12"/>
  <c r="O50" i="12"/>
  <c r="O58" i="12" s="1"/>
  <c r="N46" i="12"/>
  <c r="M46" i="12"/>
  <c r="L46" i="12"/>
  <c r="K46" i="12"/>
  <c r="J46" i="12"/>
  <c r="I46" i="12"/>
  <c r="H46" i="12"/>
  <c r="G46" i="12"/>
  <c r="F46" i="12"/>
  <c r="E46" i="12"/>
  <c r="D46" i="12"/>
  <c r="C46" i="12"/>
  <c r="B46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N44" i="12"/>
  <c r="M44" i="12"/>
  <c r="L44" i="12"/>
  <c r="K44" i="12"/>
  <c r="J44" i="12"/>
  <c r="I44" i="12"/>
  <c r="H44" i="12"/>
  <c r="G44" i="12"/>
  <c r="F44" i="12"/>
  <c r="E44" i="12"/>
  <c r="D44" i="12"/>
  <c r="C44" i="12"/>
  <c r="B44" i="12"/>
  <c r="N43" i="12"/>
  <c r="M43" i="12"/>
  <c r="L43" i="12"/>
  <c r="K43" i="12"/>
  <c r="J43" i="12"/>
  <c r="I43" i="12"/>
  <c r="H43" i="12"/>
  <c r="G43" i="12"/>
  <c r="F43" i="12"/>
  <c r="E43" i="12"/>
  <c r="D43" i="12"/>
  <c r="C43" i="12"/>
  <c r="B43" i="12"/>
  <c r="N42" i="12"/>
  <c r="M42" i="12"/>
  <c r="L42" i="12"/>
  <c r="K42" i="12"/>
  <c r="J42" i="12"/>
  <c r="I42" i="12"/>
  <c r="H42" i="12"/>
  <c r="G42" i="12"/>
  <c r="F42" i="12"/>
  <c r="E42" i="12"/>
  <c r="D42" i="12"/>
  <c r="C42" i="12"/>
  <c r="B42" i="12"/>
  <c r="N41" i="12"/>
  <c r="M41" i="12"/>
  <c r="L41" i="12"/>
  <c r="K41" i="12"/>
  <c r="J41" i="12"/>
  <c r="I41" i="12"/>
  <c r="H41" i="12"/>
  <c r="G41" i="12"/>
  <c r="F41" i="12"/>
  <c r="E41" i="12"/>
  <c r="D41" i="12"/>
  <c r="C41" i="12"/>
  <c r="B41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B39" i="12"/>
  <c r="N36" i="12"/>
  <c r="BD29" i="13" s="1"/>
  <c r="M36" i="12"/>
  <c r="BC29" i="13" s="1"/>
  <c r="L36" i="12"/>
  <c r="BB29" i="13" s="1"/>
  <c r="K36" i="12"/>
  <c r="BA29" i="13" s="1"/>
  <c r="J36" i="12"/>
  <c r="AZ29" i="13" s="1"/>
  <c r="I36" i="12"/>
  <c r="AY29" i="13" s="1"/>
  <c r="H36" i="12"/>
  <c r="AX29" i="13" s="1"/>
  <c r="G36" i="12"/>
  <c r="AW29" i="13" s="1"/>
  <c r="F36" i="12"/>
  <c r="AV29" i="13" s="1"/>
  <c r="E36" i="12"/>
  <c r="AU29" i="13" s="1"/>
  <c r="D36" i="12"/>
  <c r="AT29" i="13" s="1"/>
  <c r="C36" i="12"/>
  <c r="AS29" i="13" s="1"/>
  <c r="O35" i="12"/>
  <c r="O34" i="12"/>
  <c r="O33" i="12"/>
  <c r="O32" i="12"/>
  <c r="O31" i="12"/>
  <c r="O30" i="12"/>
  <c r="O29" i="12"/>
  <c r="O28" i="12"/>
  <c r="O36" i="12" s="1"/>
  <c r="N24" i="12"/>
  <c r="M24" i="12"/>
  <c r="L24" i="12"/>
  <c r="K24" i="12"/>
  <c r="J24" i="12"/>
  <c r="I24" i="12"/>
  <c r="H24" i="12"/>
  <c r="G24" i="12"/>
  <c r="F24" i="12"/>
  <c r="E24" i="12"/>
  <c r="D24" i="12"/>
  <c r="C24" i="12"/>
  <c r="B24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N18" i="12"/>
  <c r="M18" i="12"/>
  <c r="L18" i="12"/>
  <c r="K18" i="12"/>
  <c r="J18" i="12"/>
  <c r="I18" i="12"/>
  <c r="H18" i="12"/>
  <c r="G18" i="12"/>
  <c r="F18" i="12"/>
  <c r="E18" i="12"/>
  <c r="D18" i="12"/>
  <c r="C18" i="12"/>
  <c r="B18" i="12"/>
  <c r="N17" i="12"/>
  <c r="M17" i="12"/>
  <c r="L17" i="12"/>
  <c r="K17" i="12"/>
  <c r="J17" i="12"/>
  <c r="I17" i="12"/>
  <c r="H17" i="12"/>
  <c r="G17" i="12"/>
  <c r="F17" i="12"/>
  <c r="E17" i="12"/>
  <c r="D17" i="12"/>
  <c r="C17" i="12"/>
  <c r="B17" i="12"/>
  <c r="N14" i="12"/>
  <c r="M14" i="12"/>
  <c r="L14" i="12"/>
  <c r="K14" i="12"/>
  <c r="J14" i="12"/>
  <c r="I14" i="12"/>
  <c r="H14" i="12"/>
  <c r="G14" i="12"/>
  <c r="F14" i="12"/>
  <c r="E14" i="12"/>
  <c r="D14" i="12"/>
  <c r="C14" i="12"/>
  <c r="O13" i="12"/>
  <c r="O12" i="12"/>
  <c r="O11" i="12"/>
  <c r="O10" i="12"/>
  <c r="O9" i="12"/>
  <c r="O8" i="12"/>
  <c r="O7" i="12"/>
  <c r="O6" i="12"/>
  <c r="O1" i="12"/>
  <c r="N73" i="10"/>
  <c r="O73" i="10" s="1"/>
  <c r="M73" i="10"/>
  <c r="L73" i="10"/>
  <c r="K73" i="10"/>
  <c r="J73" i="10"/>
  <c r="I73" i="10"/>
  <c r="H73" i="10"/>
  <c r="G73" i="10"/>
  <c r="F73" i="10"/>
  <c r="E73" i="10"/>
  <c r="D73" i="10"/>
  <c r="C73" i="10"/>
  <c r="O72" i="10"/>
  <c r="O71" i="10"/>
  <c r="O70" i="10"/>
  <c r="O69" i="10"/>
  <c r="O68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O67" i="10" s="1"/>
  <c r="O66" i="10"/>
  <c r="O65" i="10"/>
  <c r="O64" i="10"/>
  <c r="N60" i="10"/>
  <c r="O60" i="10" s="1"/>
  <c r="M60" i="10"/>
  <c r="L60" i="10"/>
  <c r="K60" i="10"/>
  <c r="J60" i="10"/>
  <c r="I60" i="10"/>
  <c r="H60" i="10"/>
  <c r="G60" i="10"/>
  <c r="F60" i="10"/>
  <c r="E60" i="10"/>
  <c r="D60" i="10"/>
  <c r="C60" i="10"/>
  <c r="O59" i="10"/>
  <c r="O58" i="10"/>
  <c r="O57" i="10"/>
  <c r="O56" i="10"/>
  <c r="O55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O54" i="10" s="1"/>
  <c r="O53" i="10"/>
  <c r="O52" i="10"/>
  <c r="O51" i="10"/>
  <c r="AB45" i="10"/>
  <c r="AA45" i="10"/>
  <c r="AA46" i="10" s="1"/>
  <c r="Z45" i="10"/>
  <c r="Z46" i="10" s="1"/>
  <c r="Y45" i="10"/>
  <c r="Y46" i="10" s="1"/>
  <c r="X45" i="10"/>
  <c r="X46" i="10" s="1"/>
  <c r="W45" i="10"/>
  <c r="W46" i="10" s="1"/>
  <c r="V45" i="10"/>
  <c r="V46" i="10" s="1"/>
  <c r="U45" i="10"/>
  <c r="U46" i="10" s="1"/>
  <c r="T45" i="10"/>
  <c r="T46" i="10" s="1"/>
  <c r="S45" i="10"/>
  <c r="S46" i="10" s="1"/>
  <c r="R45" i="10"/>
  <c r="R46" i="10" s="1"/>
  <c r="Q45" i="10"/>
  <c r="Q46" i="10" s="1"/>
  <c r="N45" i="10"/>
  <c r="M45" i="10"/>
  <c r="M46" i="10" s="1"/>
  <c r="L45" i="10"/>
  <c r="L46" i="10" s="1"/>
  <c r="K45" i="10"/>
  <c r="K46" i="10" s="1"/>
  <c r="J45" i="10"/>
  <c r="J46" i="10" s="1"/>
  <c r="I45" i="10"/>
  <c r="I46" i="10" s="1"/>
  <c r="H45" i="10"/>
  <c r="H46" i="10" s="1"/>
  <c r="G45" i="10"/>
  <c r="G46" i="10" s="1"/>
  <c r="F45" i="10"/>
  <c r="F46" i="10" s="1"/>
  <c r="E45" i="10"/>
  <c r="E46" i="10" s="1"/>
  <c r="D45" i="10"/>
  <c r="D46" i="10" s="1"/>
  <c r="C45" i="10"/>
  <c r="C46" i="10" s="1"/>
  <c r="BD44" i="10"/>
  <c r="BE44" i="10" s="1"/>
  <c r="BC44" i="10"/>
  <c r="BB44" i="10"/>
  <c r="BA44" i="10"/>
  <c r="AZ44" i="10"/>
  <c r="AY44" i="10"/>
  <c r="AX44" i="10"/>
  <c r="AW44" i="10"/>
  <c r="AV44" i="10"/>
  <c r="AU44" i="10"/>
  <c r="AT44" i="10"/>
  <c r="AS44" i="10"/>
  <c r="AP44" i="10"/>
  <c r="AO44" i="10"/>
  <c r="BQ44" i="10" s="1"/>
  <c r="AN44" i="10"/>
  <c r="BP44" i="10" s="1"/>
  <c r="AM44" i="10"/>
  <c r="BO44" i="10" s="1"/>
  <c r="AL44" i="10"/>
  <c r="BN44" i="10" s="1"/>
  <c r="AK44" i="10"/>
  <c r="BM44" i="10" s="1"/>
  <c r="AJ44" i="10"/>
  <c r="BL44" i="10" s="1"/>
  <c r="AI44" i="10"/>
  <c r="BK44" i="10" s="1"/>
  <c r="AH44" i="10"/>
  <c r="BJ44" i="10" s="1"/>
  <c r="AG44" i="10"/>
  <c r="BI44" i="10" s="1"/>
  <c r="AF44" i="10"/>
  <c r="BH44" i="10" s="1"/>
  <c r="AE44" i="10"/>
  <c r="BG44" i="10" s="1"/>
  <c r="AC44" i="10"/>
  <c r="O44" i="10"/>
  <c r="BD43" i="10"/>
  <c r="BE43" i="10" s="1"/>
  <c r="BC43" i="10"/>
  <c r="BB43" i="10"/>
  <c r="BA43" i="10"/>
  <c r="AZ43" i="10"/>
  <c r="AY43" i="10"/>
  <c r="AX43" i="10"/>
  <c r="AW43" i="10"/>
  <c r="AV43" i="10"/>
  <c r="AU43" i="10"/>
  <c r="AT43" i="10"/>
  <c r="AS43" i="10"/>
  <c r="AP43" i="10"/>
  <c r="AO43" i="10"/>
  <c r="BQ43" i="10" s="1"/>
  <c r="AN43" i="10"/>
  <c r="BP43" i="10" s="1"/>
  <c r="AM43" i="10"/>
  <c r="BO43" i="10" s="1"/>
  <c r="AL43" i="10"/>
  <c r="BN43" i="10" s="1"/>
  <c r="AK43" i="10"/>
  <c r="BM43" i="10" s="1"/>
  <c r="AJ43" i="10"/>
  <c r="BL43" i="10" s="1"/>
  <c r="AI43" i="10"/>
  <c r="BK43" i="10" s="1"/>
  <c r="AH43" i="10"/>
  <c r="BJ43" i="10" s="1"/>
  <c r="AG43" i="10"/>
  <c r="BI43" i="10" s="1"/>
  <c r="AF43" i="10"/>
  <c r="BH43" i="10" s="1"/>
  <c r="AE43" i="10"/>
  <c r="BG43" i="10" s="1"/>
  <c r="AC43" i="10"/>
  <c r="O43" i="10"/>
  <c r="BD42" i="10"/>
  <c r="BE42" i="10" s="1"/>
  <c r="BC42" i="10"/>
  <c r="BB42" i="10"/>
  <c r="BA42" i="10"/>
  <c r="AZ42" i="10"/>
  <c r="AY42" i="10"/>
  <c r="AX42" i="10"/>
  <c r="AW42" i="10"/>
  <c r="AV42" i="10"/>
  <c r="AU42" i="10"/>
  <c r="AT42" i="10"/>
  <c r="AS42" i="10"/>
  <c r="AP42" i="10"/>
  <c r="AO42" i="10"/>
  <c r="BQ42" i="10" s="1"/>
  <c r="AN42" i="10"/>
  <c r="BP42" i="10" s="1"/>
  <c r="AM42" i="10"/>
  <c r="BO42" i="10" s="1"/>
  <c r="AL42" i="10"/>
  <c r="BN42" i="10" s="1"/>
  <c r="AK42" i="10"/>
  <c r="BM42" i="10" s="1"/>
  <c r="AJ42" i="10"/>
  <c r="BL42" i="10" s="1"/>
  <c r="AI42" i="10"/>
  <c r="BK42" i="10" s="1"/>
  <c r="AH42" i="10"/>
  <c r="BJ42" i="10" s="1"/>
  <c r="AG42" i="10"/>
  <c r="BI42" i="10" s="1"/>
  <c r="AF42" i="10"/>
  <c r="BH42" i="10" s="1"/>
  <c r="AE42" i="10"/>
  <c r="BG42" i="10" s="1"/>
  <c r="AC42" i="10"/>
  <c r="O42" i="10"/>
  <c r="BD41" i="10"/>
  <c r="BE41" i="10" s="1"/>
  <c r="BC41" i="10"/>
  <c r="BB41" i="10"/>
  <c r="BA41" i="10"/>
  <c r="AZ41" i="10"/>
  <c r="AY41" i="10"/>
  <c r="AX41" i="10"/>
  <c r="AW41" i="10"/>
  <c r="AV41" i="10"/>
  <c r="AU41" i="10"/>
  <c r="AT41" i="10"/>
  <c r="AS41" i="10"/>
  <c r="AP41" i="10"/>
  <c r="AO41" i="10"/>
  <c r="BQ41" i="10" s="1"/>
  <c r="AN41" i="10"/>
  <c r="BP41" i="10" s="1"/>
  <c r="AM41" i="10"/>
  <c r="BO41" i="10" s="1"/>
  <c r="AL41" i="10"/>
  <c r="BN41" i="10" s="1"/>
  <c r="AK41" i="10"/>
  <c r="BM41" i="10" s="1"/>
  <c r="AJ41" i="10"/>
  <c r="BL41" i="10" s="1"/>
  <c r="AI41" i="10"/>
  <c r="BK41" i="10" s="1"/>
  <c r="AH41" i="10"/>
  <c r="BJ41" i="10" s="1"/>
  <c r="AG41" i="10"/>
  <c r="BI41" i="10" s="1"/>
  <c r="AF41" i="10"/>
  <c r="BH41" i="10" s="1"/>
  <c r="AE41" i="10"/>
  <c r="BG41" i="10" s="1"/>
  <c r="AC41" i="10"/>
  <c r="O41" i="10"/>
  <c r="BD40" i="10"/>
  <c r="BC40" i="10"/>
  <c r="BC45" i="10" s="1"/>
  <c r="BB40" i="10"/>
  <c r="BB45" i="10" s="1"/>
  <c r="BA40" i="10"/>
  <c r="BA45" i="10" s="1"/>
  <c r="AZ40" i="10"/>
  <c r="AZ45" i="10" s="1"/>
  <c r="AY40" i="10"/>
  <c r="AY45" i="10" s="1"/>
  <c r="AX40" i="10"/>
  <c r="AX45" i="10" s="1"/>
  <c r="AW40" i="10"/>
  <c r="AW45" i="10" s="1"/>
  <c r="AV40" i="10"/>
  <c r="AV45" i="10" s="1"/>
  <c r="AU40" i="10"/>
  <c r="AU45" i="10" s="1"/>
  <c r="AT40" i="10"/>
  <c r="AT45" i="10" s="1"/>
  <c r="AS40" i="10"/>
  <c r="AS45" i="10" s="1"/>
  <c r="AP40" i="10"/>
  <c r="AO40" i="10"/>
  <c r="AN40" i="10"/>
  <c r="AM40" i="10"/>
  <c r="AL40" i="10"/>
  <c r="AK40" i="10"/>
  <c r="AJ40" i="10"/>
  <c r="AI40" i="10"/>
  <c r="AH40" i="10"/>
  <c r="AG40" i="10"/>
  <c r="AF40" i="10"/>
  <c r="AE40" i="10"/>
  <c r="AC40" i="10"/>
  <c r="O40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AB31" i="10"/>
  <c r="AB37" i="10" s="1"/>
  <c r="AA31" i="10"/>
  <c r="AA37" i="10" s="1"/>
  <c r="Z31" i="10"/>
  <c r="Z37" i="10" s="1"/>
  <c r="Y31" i="10"/>
  <c r="Y37" i="10" s="1"/>
  <c r="X31" i="10"/>
  <c r="X37" i="10" s="1"/>
  <c r="W31" i="10"/>
  <c r="W37" i="10" s="1"/>
  <c r="V31" i="10"/>
  <c r="V37" i="10" s="1"/>
  <c r="U31" i="10"/>
  <c r="U37" i="10" s="1"/>
  <c r="T31" i="10"/>
  <c r="T37" i="10" s="1"/>
  <c r="S31" i="10"/>
  <c r="S37" i="10" s="1"/>
  <c r="R31" i="10"/>
  <c r="R37" i="10" s="1"/>
  <c r="Q31" i="10"/>
  <c r="N31" i="10"/>
  <c r="N37" i="10" s="1"/>
  <c r="M31" i="10"/>
  <c r="M37" i="10" s="1"/>
  <c r="L31" i="10"/>
  <c r="L37" i="10" s="1"/>
  <c r="K31" i="10"/>
  <c r="K37" i="10" s="1"/>
  <c r="J31" i="10"/>
  <c r="J37" i="10" s="1"/>
  <c r="I31" i="10"/>
  <c r="I37" i="10" s="1"/>
  <c r="H31" i="10"/>
  <c r="H37" i="10" s="1"/>
  <c r="G31" i="10"/>
  <c r="G37" i="10" s="1"/>
  <c r="F31" i="10"/>
  <c r="F37" i="10" s="1"/>
  <c r="E31" i="10"/>
  <c r="E37" i="10" s="1"/>
  <c r="D31" i="10"/>
  <c r="D37" i="10" s="1"/>
  <c r="C31" i="10"/>
  <c r="AP30" i="10"/>
  <c r="AO30" i="10"/>
  <c r="AN30" i="10"/>
  <c r="AM30" i="10"/>
  <c r="AL30" i="10"/>
  <c r="AK30" i="10"/>
  <c r="AJ30" i="10"/>
  <c r="AI30" i="10"/>
  <c r="AH30" i="10"/>
  <c r="AG30" i="10"/>
  <c r="AF30" i="10"/>
  <c r="AE30" i="10"/>
  <c r="AC30" i="10"/>
  <c r="AC36" i="10" s="1"/>
  <c r="O30" i="10"/>
  <c r="O36" i="10" s="1"/>
  <c r="AP29" i="10"/>
  <c r="AO29" i="10"/>
  <c r="AN29" i="10"/>
  <c r="AM29" i="10"/>
  <c r="AL29" i="10"/>
  <c r="AK29" i="10"/>
  <c r="AJ29" i="10"/>
  <c r="AI29" i="10"/>
  <c r="AH29" i="10"/>
  <c r="AG29" i="10"/>
  <c r="AF29" i="10"/>
  <c r="AE29" i="10"/>
  <c r="AC29" i="10"/>
  <c r="AC35" i="10" s="1"/>
  <c r="O29" i="10"/>
  <c r="O35" i="10" s="1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C28" i="10"/>
  <c r="AC38" i="10" s="1"/>
  <c r="O28" i="10"/>
  <c r="O38" i="10" s="1"/>
  <c r="N95" i="9"/>
  <c r="M95" i="9"/>
  <c r="L95" i="9"/>
  <c r="K95" i="9"/>
  <c r="J95" i="9"/>
  <c r="I95" i="9"/>
  <c r="H95" i="9"/>
  <c r="G95" i="9"/>
  <c r="F95" i="9"/>
  <c r="E95" i="9"/>
  <c r="D95" i="9"/>
  <c r="C95" i="9"/>
  <c r="N84" i="9"/>
  <c r="M84" i="9"/>
  <c r="L84" i="9"/>
  <c r="K84" i="9"/>
  <c r="J84" i="9"/>
  <c r="I84" i="9"/>
  <c r="H84" i="9"/>
  <c r="G84" i="9"/>
  <c r="F84" i="9"/>
  <c r="E84" i="9"/>
  <c r="D84" i="9"/>
  <c r="C84" i="9"/>
  <c r="O84" i="9" s="1"/>
  <c r="N82" i="9"/>
  <c r="N85" i="9" s="1"/>
  <c r="M82" i="9"/>
  <c r="M85" i="9" s="1"/>
  <c r="L82" i="9"/>
  <c r="L85" i="9" s="1"/>
  <c r="K82" i="9"/>
  <c r="K85" i="9" s="1"/>
  <c r="J82" i="9"/>
  <c r="J85" i="9" s="1"/>
  <c r="I82" i="9"/>
  <c r="I85" i="9" s="1"/>
  <c r="H82" i="9"/>
  <c r="H85" i="9" s="1"/>
  <c r="G82" i="9"/>
  <c r="G85" i="9" s="1"/>
  <c r="F82" i="9"/>
  <c r="F85" i="9" s="1"/>
  <c r="E82" i="9"/>
  <c r="E85" i="9" s="1"/>
  <c r="D82" i="9"/>
  <c r="D85" i="9" s="1"/>
  <c r="C82" i="9"/>
  <c r="C85" i="9" s="1"/>
  <c r="N77" i="9"/>
  <c r="M77" i="9"/>
  <c r="L77" i="9"/>
  <c r="K77" i="9"/>
  <c r="J77" i="9"/>
  <c r="I77" i="9"/>
  <c r="H77" i="9"/>
  <c r="G77" i="9"/>
  <c r="F77" i="9"/>
  <c r="E77" i="9"/>
  <c r="D77" i="9"/>
  <c r="C77" i="9"/>
  <c r="O77" i="9" s="1"/>
  <c r="N75" i="9"/>
  <c r="N78" i="9" s="1"/>
  <c r="M75" i="9"/>
  <c r="M78" i="9" s="1"/>
  <c r="L75" i="9"/>
  <c r="L78" i="9" s="1"/>
  <c r="K75" i="9"/>
  <c r="K78" i="9" s="1"/>
  <c r="J75" i="9"/>
  <c r="J78" i="9" s="1"/>
  <c r="I75" i="9"/>
  <c r="I78" i="9" s="1"/>
  <c r="H75" i="9"/>
  <c r="H78" i="9" s="1"/>
  <c r="G75" i="9"/>
  <c r="G78" i="9" s="1"/>
  <c r="F75" i="9"/>
  <c r="F78" i="9" s="1"/>
  <c r="E75" i="9"/>
  <c r="E78" i="9" s="1"/>
  <c r="D75" i="9"/>
  <c r="D78" i="9" s="1"/>
  <c r="C75" i="9"/>
  <c r="C78" i="9" s="1"/>
  <c r="N68" i="9"/>
  <c r="M68" i="9"/>
  <c r="L68" i="9"/>
  <c r="K68" i="9"/>
  <c r="J68" i="9"/>
  <c r="I68" i="9"/>
  <c r="H68" i="9"/>
  <c r="G68" i="9"/>
  <c r="F68" i="9"/>
  <c r="E68" i="9"/>
  <c r="D68" i="9"/>
  <c r="C68" i="9"/>
  <c r="O68" i="9" s="1"/>
  <c r="B68" i="9"/>
  <c r="N67" i="9"/>
  <c r="M67" i="9"/>
  <c r="L67" i="9"/>
  <c r="K67" i="9"/>
  <c r="J67" i="9"/>
  <c r="I67" i="9"/>
  <c r="H67" i="9"/>
  <c r="G67" i="9"/>
  <c r="F67" i="9"/>
  <c r="E67" i="9"/>
  <c r="D67" i="9"/>
  <c r="C67" i="9"/>
  <c r="O67" i="9" s="1"/>
  <c r="B67" i="9"/>
  <c r="N66" i="9"/>
  <c r="M66" i="9"/>
  <c r="L66" i="9"/>
  <c r="K66" i="9"/>
  <c r="J66" i="9"/>
  <c r="I66" i="9"/>
  <c r="H66" i="9"/>
  <c r="G66" i="9"/>
  <c r="F66" i="9"/>
  <c r="E66" i="9"/>
  <c r="D66" i="9"/>
  <c r="C66" i="9"/>
  <c r="O66" i="9" s="1"/>
  <c r="B66" i="9"/>
  <c r="N65" i="9"/>
  <c r="M65" i="9"/>
  <c r="L65" i="9"/>
  <c r="K65" i="9"/>
  <c r="J65" i="9"/>
  <c r="I65" i="9"/>
  <c r="H65" i="9"/>
  <c r="G65" i="9"/>
  <c r="F65" i="9"/>
  <c r="E65" i="9"/>
  <c r="D65" i="9"/>
  <c r="C65" i="9"/>
  <c r="O65" i="9" s="1"/>
  <c r="B65" i="9"/>
  <c r="N64" i="9"/>
  <c r="M64" i="9"/>
  <c r="L64" i="9"/>
  <c r="K64" i="9"/>
  <c r="J64" i="9"/>
  <c r="I64" i="9"/>
  <c r="H64" i="9"/>
  <c r="G64" i="9"/>
  <c r="F64" i="9"/>
  <c r="E64" i="9"/>
  <c r="D64" i="9"/>
  <c r="C64" i="9"/>
  <c r="O64" i="9" s="1"/>
  <c r="B64" i="9"/>
  <c r="N63" i="9"/>
  <c r="M63" i="9"/>
  <c r="L63" i="9"/>
  <c r="K63" i="9"/>
  <c r="J63" i="9"/>
  <c r="I63" i="9"/>
  <c r="H63" i="9"/>
  <c r="G63" i="9"/>
  <c r="F63" i="9"/>
  <c r="E63" i="9"/>
  <c r="D63" i="9"/>
  <c r="C63" i="9"/>
  <c r="O63" i="9" s="1"/>
  <c r="B63" i="9"/>
  <c r="N62" i="9"/>
  <c r="M62" i="9"/>
  <c r="L62" i="9"/>
  <c r="K62" i="9"/>
  <c r="J62" i="9"/>
  <c r="I62" i="9"/>
  <c r="H62" i="9"/>
  <c r="G62" i="9"/>
  <c r="F62" i="9"/>
  <c r="E62" i="9"/>
  <c r="D62" i="9"/>
  <c r="C62" i="9"/>
  <c r="O62" i="9" s="1"/>
  <c r="B62" i="9"/>
  <c r="N61" i="9"/>
  <c r="N69" i="9" s="1"/>
  <c r="M61" i="9"/>
  <c r="M69" i="9" s="1"/>
  <c r="L61" i="9"/>
  <c r="L69" i="9" s="1"/>
  <c r="K61" i="9"/>
  <c r="K69" i="9" s="1"/>
  <c r="J61" i="9"/>
  <c r="J69" i="9" s="1"/>
  <c r="I61" i="9"/>
  <c r="I69" i="9" s="1"/>
  <c r="H61" i="9"/>
  <c r="H69" i="9" s="1"/>
  <c r="G61" i="9"/>
  <c r="G69" i="9" s="1"/>
  <c r="F61" i="9"/>
  <c r="F69" i="9" s="1"/>
  <c r="E61" i="9"/>
  <c r="E69" i="9" s="1"/>
  <c r="D61" i="9"/>
  <c r="D69" i="9" s="1"/>
  <c r="C61" i="9"/>
  <c r="B61" i="9"/>
  <c r="N58" i="9"/>
  <c r="BD30" i="10" s="1"/>
  <c r="M58" i="9"/>
  <c r="BC30" i="10" s="1"/>
  <c r="L58" i="9"/>
  <c r="BB30" i="10" s="1"/>
  <c r="K58" i="9"/>
  <c r="BA30" i="10" s="1"/>
  <c r="J58" i="9"/>
  <c r="AZ30" i="10" s="1"/>
  <c r="I58" i="9"/>
  <c r="AY30" i="10" s="1"/>
  <c r="H58" i="9"/>
  <c r="AX30" i="10" s="1"/>
  <c r="G58" i="9"/>
  <c r="AW30" i="10" s="1"/>
  <c r="F58" i="9"/>
  <c r="AV30" i="10" s="1"/>
  <c r="E58" i="9"/>
  <c r="AU30" i="10" s="1"/>
  <c r="D58" i="9"/>
  <c r="AT30" i="10" s="1"/>
  <c r="C58" i="9"/>
  <c r="AS30" i="10" s="1"/>
  <c r="O57" i="9"/>
  <c r="O56" i="9"/>
  <c r="O55" i="9"/>
  <c r="O54" i="9"/>
  <c r="O53" i="9"/>
  <c r="O52" i="9"/>
  <c r="O51" i="9"/>
  <c r="O50" i="9"/>
  <c r="O58" i="9" s="1"/>
  <c r="N46" i="9"/>
  <c r="M46" i="9"/>
  <c r="L46" i="9"/>
  <c r="K46" i="9"/>
  <c r="J46" i="9"/>
  <c r="I46" i="9"/>
  <c r="H46" i="9"/>
  <c r="G46" i="9"/>
  <c r="F46" i="9"/>
  <c r="E46" i="9"/>
  <c r="D46" i="9"/>
  <c r="C46" i="9"/>
  <c r="B46" i="9"/>
  <c r="N45" i="9"/>
  <c r="M45" i="9"/>
  <c r="L45" i="9"/>
  <c r="K45" i="9"/>
  <c r="J45" i="9"/>
  <c r="I45" i="9"/>
  <c r="H45" i="9"/>
  <c r="G45" i="9"/>
  <c r="F45" i="9"/>
  <c r="E45" i="9"/>
  <c r="D45" i="9"/>
  <c r="C45" i="9"/>
  <c r="B45" i="9"/>
  <c r="N44" i="9"/>
  <c r="M44" i="9"/>
  <c r="L44" i="9"/>
  <c r="K44" i="9"/>
  <c r="J44" i="9"/>
  <c r="I44" i="9"/>
  <c r="H44" i="9"/>
  <c r="G44" i="9"/>
  <c r="F44" i="9"/>
  <c r="E44" i="9"/>
  <c r="D44" i="9"/>
  <c r="C44" i="9"/>
  <c r="B44" i="9"/>
  <c r="N43" i="9"/>
  <c r="M43" i="9"/>
  <c r="L43" i="9"/>
  <c r="K43" i="9"/>
  <c r="J43" i="9"/>
  <c r="I43" i="9"/>
  <c r="H43" i="9"/>
  <c r="G43" i="9"/>
  <c r="F43" i="9"/>
  <c r="E43" i="9"/>
  <c r="D43" i="9"/>
  <c r="C43" i="9"/>
  <c r="B43" i="9"/>
  <c r="N42" i="9"/>
  <c r="M42" i="9"/>
  <c r="L42" i="9"/>
  <c r="K42" i="9"/>
  <c r="J42" i="9"/>
  <c r="I42" i="9"/>
  <c r="H42" i="9"/>
  <c r="G42" i="9"/>
  <c r="F42" i="9"/>
  <c r="E42" i="9"/>
  <c r="D42" i="9"/>
  <c r="C42" i="9"/>
  <c r="B42" i="9"/>
  <c r="N41" i="9"/>
  <c r="M41" i="9"/>
  <c r="L41" i="9"/>
  <c r="K41" i="9"/>
  <c r="J41" i="9"/>
  <c r="I41" i="9"/>
  <c r="H41" i="9"/>
  <c r="G41" i="9"/>
  <c r="F41" i="9"/>
  <c r="E41" i="9"/>
  <c r="D41" i="9"/>
  <c r="C41" i="9"/>
  <c r="B41" i="9"/>
  <c r="N40" i="9"/>
  <c r="M40" i="9"/>
  <c r="L40" i="9"/>
  <c r="K40" i="9"/>
  <c r="J40" i="9"/>
  <c r="I40" i="9"/>
  <c r="H40" i="9"/>
  <c r="G40" i="9"/>
  <c r="F40" i="9"/>
  <c r="E40" i="9"/>
  <c r="D40" i="9"/>
  <c r="C40" i="9"/>
  <c r="B40" i="9"/>
  <c r="N39" i="9"/>
  <c r="M39" i="9"/>
  <c r="L39" i="9"/>
  <c r="K39" i="9"/>
  <c r="J39" i="9"/>
  <c r="I39" i="9"/>
  <c r="H39" i="9"/>
  <c r="G39" i="9"/>
  <c r="F39" i="9"/>
  <c r="E39" i="9"/>
  <c r="D39" i="9"/>
  <c r="C39" i="9"/>
  <c r="B39" i="9"/>
  <c r="N36" i="9"/>
  <c r="BD29" i="10" s="1"/>
  <c r="M36" i="9"/>
  <c r="BC29" i="10" s="1"/>
  <c r="L36" i="9"/>
  <c r="BB29" i="10" s="1"/>
  <c r="K36" i="9"/>
  <c r="BA29" i="10" s="1"/>
  <c r="J36" i="9"/>
  <c r="AZ29" i="10" s="1"/>
  <c r="I36" i="9"/>
  <c r="AY29" i="10" s="1"/>
  <c r="H36" i="9"/>
  <c r="AX29" i="10" s="1"/>
  <c r="G36" i="9"/>
  <c r="AW29" i="10" s="1"/>
  <c r="F36" i="9"/>
  <c r="AV29" i="10" s="1"/>
  <c r="E36" i="9"/>
  <c r="AU29" i="10" s="1"/>
  <c r="D36" i="9"/>
  <c r="AT29" i="10" s="1"/>
  <c r="C36" i="9"/>
  <c r="AS29" i="10" s="1"/>
  <c r="O35" i="9"/>
  <c r="O34" i="9"/>
  <c r="O33" i="9"/>
  <c r="O32" i="9"/>
  <c r="O31" i="9"/>
  <c r="O30" i="9"/>
  <c r="O29" i="9"/>
  <c r="O28" i="9"/>
  <c r="O36" i="9" s="1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N14" i="9"/>
  <c r="M14" i="9"/>
  <c r="L14" i="9"/>
  <c r="K14" i="9"/>
  <c r="J14" i="9"/>
  <c r="I14" i="9"/>
  <c r="H14" i="9"/>
  <c r="G14" i="9"/>
  <c r="F14" i="9"/>
  <c r="E14" i="9"/>
  <c r="D14" i="9"/>
  <c r="C14" i="9"/>
  <c r="O13" i="9"/>
  <c r="O12" i="9"/>
  <c r="O11" i="9"/>
  <c r="O10" i="9"/>
  <c r="O9" i="9"/>
  <c r="O8" i="9"/>
  <c r="O7" i="9"/>
  <c r="O6" i="9"/>
  <c r="O1" i="9"/>
  <c r="N72" i="7"/>
  <c r="O72" i="7" s="1"/>
  <c r="M72" i="7"/>
  <c r="L72" i="7"/>
  <c r="K72" i="7"/>
  <c r="J72" i="7"/>
  <c r="I72" i="7"/>
  <c r="H72" i="7"/>
  <c r="G72" i="7"/>
  <c r="F72" i="7"/>
  <c r="E72" i="7"/>
  <c r="D72" i="7"/>
  <c r="C72" i="7"/>
  <c r="N71" i="7"/>
  <c r="O71" i="7" s="1"/>
  <c r="M71" i="7"/>
  <c r="L71" i="7"/>
  <c r="K71" i="7"/>
  <c r="J71" i="7"/>
  <c r="I71" i="7"/>
  <c r="H71" i="7"/>
  <c r="G71" i="7"/>
  <c r="F71" i="7"/>
  <c r="E71" i="7"/>
  <c r="D71" i="7"/>
  <c r="C71" i="7"/>
  <c r="N70" i="7"/>
  <c r="O70" i="7" s="1"/>
  <c r="M70" i="7"/>
  <c r="L70" i="7"/>
  <c r="K70" i="7"/>
  <c r="J70" i="7"/>
  <c r="I70" i="7"/>
  <c r="H70" i="7"/>
  <c r="G70" i="7"/>
  <c r="F70" i="7"/>
  <c r="E70" i="7"/>
  <c r="D70" i="7"/>
  <c r="C70" i="7"/>
  <c r="N69" i="7"/>
  <c r="O69" i="7" s="1"/>
  <c r="M69" i="7"/>
  <c r="L69" i="7"/>
  <c r="K69" i="7"/>
  <c r="J69" i="7"/>
  <c r="I69" i="7"/>
  <c r="H69" i="7"/>
  <c r="G69" i="7"/>
  <c r="F69" i="7"/>
  <c r="E69" i="7"/>
  <c r="D69" i="7"/>
  <c r="C69" i="7"/>
  <c r="N68" i="7"/>
  <c r="M68" i="7"/>
  <c r="M73" i="7" s="1"/>
  <c r="L68" i="7"/>
  <c r="L73" i="7" s="1"/>
  <c r="K68" i="7"/>
  <c r="K73" i="7" s="1"/>
  <c r="J68" i="7"/>
  <c r="J73" i="7" s="1"/>
  <c r="I68" i="7"/>
  <c r="I73" i="7" s="1"/>
  <c r="H68" i="7"/>
  <c r="H73" i="7" s="1"/>
  <c r="G68" i="7"/>
  <c r="G73" i="7" s="1"/>
  <c r="F68" i="7"/>
  <c r="F73" i="7" s="1"/>
  <c r="E68" i="7"/>
  <c r="E73" i="7" s="1"/>
  <c r="D68" i="7"/>
  <c r="D73" i="7" s="1"/>
  <c r="C68" i="7"/>
  <c r="C73" i="7" s="1"/>
  <c r="N66" i="7"/>
  <c r="M66" i="7"/>
  <c r="L66" i="7"/>
  <c r="K66" i="7"/>
  <c r="J66" i="7"/>
  <c r="I66" i="7"/>
  <c r="H66" i="7"/>
  <c r="G66" i="7"/>
  <c r="F66" i="7"/>
  <c r="E66" i="7"/>
  <c r="D66" i="7"/>
  <c r="C66" i="7"/>
  <c r="O66" i="7" s="1"/>
  <c r="L27" i="4" s="1"/>
  <c r="N65" i="7"/>
  <c r="N67" i="7" s="1"/>
  <c r="M65" i="7"/>
  <c r="M67" i="7" s="1"/>
  <c r="L65" i="7"/>
  <c r="L67" i="7" s="1"/>
  <c r="K65" i="7"/>
  <c r="K67" i="7" s="1"/>
  <c r="J65" i="7"/>
  <c r="J67" i="7" s="1"/>
  <c r="I65" i="7"/>
  <c r="I67" i="7" s="1"/>
  <c r="H65" i="7"/>
  <c r="H67" i="7" s="1"/>
  <c r="G65" i="7"/>
  <c r="G67" i="7" s="1"/>
  <c r="F65" i="7"/>
  <c r="F67" i="7" s="1"/>
  <c r="E65" i="7"/>
  <c r="E67" i="7" s="1"/>
  <c r="D65" i="7"/>
  <c r="D67" i="7" s="1"/>
  <c r="C65" i="7"/>
  <c r="N64" i="7"/>
  <c r="M64" i="7"/>
  <c r="L64" i="7"/>
  <c r="K64" i="7"/>
  <c r="J64" i="7"/>
  <c r="I64" i="7"/>
  <c r="H64" i="7"/>
  <c r="G64" i="7"/>
  <c r="F64" i="7"/>
  <c r="E64" i="7"/>
  <c r="D64" i="7"/>
  <c r="C64" i="7"/>
  <c r="O64" i="7" s="1"/>
  <c r="L22" i="4" s="1"/>
  <c r="N59" i="7"/>
  <c r="O59" i="7" s="1"/>
  <c r="M59" i="7"/>
  <c r="L59" i="7"/>
  <c r="K59" i="7"/>
  <c r="J59" i="7"/>
  <c r="I59" i="7"/>
  <c r="H59" i="7"/>
  <c r="G59" i="7"/>
  <c r="F59" i="7"/>
  <c r="E59" i="7"/>
  <c r="D59" i="7"/>
  <c r="C59" i="7"/>
  <c r="N58" i="7"/>
  <c r="O58" i="7" s="1"/>
  <c r="M58" i="7"/>
  <c r="L58" i="7"/>
  <c r="K58" i="7"/>
  <c r="J58" i="7"/>
  <c r="I58" i="7"/>
  <c r="H58" i="7"/>
  <c r="G58" i="7"/>
  <c r="F58" i="7"/>
  <c r="E58" i="7"/>
  <c r="D58" i="7"/>
  <c r="C58" i="7"/>
  <c r="N57" i="7"/>
  <c r="O57" i="7" s="1"/>
  <c r="M57" i="7"/>
  <c r="L57" i="7"/>
  <c r="K57" i="7"/>
  <c r="J57" i="7"/>
  <c r="I57" i="7"/>
  <c r="H57" i="7"/>
  <c r="G57" i="7"/>
  <c r="F57" i="7"/>
  <c r="E57" i="7"/>
  <c r="D57" i="7"/>
  <c r="C57" i="7"/>
  <c r="N56" i="7"/>
  <c r="O56" i="7" s="1"/>
  <c r="M56" i="7"/>
  <c r="L56" i="7"/>
  <c r="K56" i="7"/>
  <c r="J56" i="7"/>
  <c r="I56" i="7"/>
  <c r="H56" i="7"/>
  <c r="G56" i="7"/>
  <c r="F56" i="7"/>
  <c r="E56" i="7"/>
  <c r="D56" i="7"/>
  <c r="C56" i="7"/>
  <c r="N55" i="7"/>
  <c r="M55" i="7"/>
  <c r="M60" i="7" s="1"/>
  <c r="L55" i="7"/>
  <c r="L60" i="7" s="1"/>
  <c r="K55" i="7"/>
  <c r="K60" i="7" s="1"/>
  <c r="J55" i="7"/>
  <c r="J60" i="7" s="1"/>
  <c r="I55" i="7"/>
  <c r="I60" i="7" s="1"/>
  <c r="H55" i="7"/>
  <c r="H60" i="7" s="1"/>
  <c r="G55" i="7"/>
  <c r="G60" i="7" s="1"/>
  <c r="F55" i="7"/>
  <c r="F60" i="7" s="1"/>
  <c r="E55" i="7"/>
  <c r="E60" i="7" s="1"/>
  <c r="D55" i="7"/>
  <c r="D60" i="7" s="1"/>
  <c r="C55" i="7"/>
  <c r="C60" i="7" s="1"/>
  <c r="N53" i="7"/>
  <c r="M53" i="7"/>
  <c r="L53" i="7"/>
  <c r="K53" i="7"/>
  <c r="J53" i="7"/>
  <c r="I53" i="7"/>
  <c r="H53" i="7"/>
  <c r="G53" i="7"/>
  <c r="F53" i="7"/>
  <c r="E53" i="7"/>
  <c r="D53" i="7"/>
  <c r="C53" i="7"/>
  <c r="O53" i="7" s="1"/>
  <c r="F27" i="4" s="1"/>
  <c r="N52" i="7"/>
  <c r="N54" i="7" s="1"/>
  <c r="M52" i="7"/>
  <c r="M54" i="7" s="1"/>
  <c r="L52" i="7"/>
  <c r="L54" i="7" s="1"/>
  <c r="K52" i="7"/>
  <c r="K54" i="7" s="1"/>
  <c r="J52" i="7"/>
  <c r="J54" i="7" s="1"/>
  <c r="I52" i="7"/>
  <c r="I54" i="7" s="1"/>
  <c r="H52" i="7"/>
  <c r="H54" i="7" s="1"/>
  <c r="G52" i="7"/>
  <c r="G54" i="7" s="1"/>
  <c r="F52" i="7"/>
  <c r="F54" i="7" s="1"/>
  <c r="E52" i="7"/>
  <c r="E54" i="7" s="1"/>
  <c r="D52" i="7"/>
  <c r="D54" i="7" s="1"/>
  <c r="C52" i="7"/>
  <c r="N51" i="7"/>
  <c r="M51" i="7"/>
  <c r="L51" i="7"/>
  <c r="K51" i="7"/>
  <c r="J51" i="7"/>
  <c r="I51" i="7"/>
  <c r="H51" i="7"/>
  <c r="G51" i="7"/>
  <c r="F51" i="7"/>
  <c r="E51" i="7"/>
  <c r="D51" i="7"/>
  <c r="C51" i="7"/>
  <c r="O51" i="7" s="1"/>
  <c r="F22" i="4" s="1"/>
  <c r="AB44" i="7"/>
  <c r="AA44" i="7"/>
  <c r="AO44" i="7" s="1"/>
  <c r="Z44" i="7"/>
  <c r="AN44" i="7" s="1"/>
  <c r="Y44" i="7"/>
  <c r="AM44" i="7" s="1"/>
  <c r="X44" i="7"/>
  <c r="AL44" i="7" s="1"/>
  <c r="W44" i="7"/>
  <c r="AK44" i="7" s="1"/>
  <c r="V44" i="7"/>
  <c r="AJ44" i="7" s="1"/>
  <c r="U44" i="7"/>
  <c r="AI44" i="7" s="1"/>
  <c r="T44" i="7"/>
  <c r="AH44" i="7" s="1"/>
  <c r="S44" i="7"/>
  <c r="AG44" i="7" s="1"/>
  <c r="R44" i="7"/>
  <c r="AF44" i="7" s="1"/>
  <c r="Q44" i="7"/>
  <c r="AE44" i="7" s="1"/>
  <c r="N44" i="7"/>
  <c r="M44" i="7"/>
  <c r="L44" i="7"/>
  <c r="K44" i="7"/>
  <c r="J44" i="7"/>
  <c r="I44" i="7"/>
  <c r="H44" i="7"/>
  <c r="G44" i="7"/>
  <c r="F44" i="7"/>
  <c r="E44" i="7"/>
  <c r="D44" i="7"/>
  <c r="C44" i="7"/>
  <c r="AB43" i="7"/>
  <c r="AA43" i="7"/>
  <c r="AO43" i="7" s="1"/>
  <c r="Z43" i="7"/>
  <c r="AN43" i="7" s="1"/>
  <c r="Y43" i="7"/>
  <c r="AM43" i="7" s="1"/>
  <c r="X43" i="7"/>
  <c r="AL43" i="7" s="1"/>
  <c r="W43" i="7"/>
  <c r="AK43" i="7" s="1"/>
  <c r="V43" i="7"/>
  <c r="AJ43" i="7" s="1"/>
  <c r="U43" i="7"/>
  <c r="AI43" i="7" s="1"/>
  <c r="T43" i="7"/>
  <c r="AH43" i="7" s="1"/>
  <c r="S43" i="7"/>
  <c r="AG43" i="7" s="1"/>
  <c r="R43" i="7"/>
  <c r="AF43" i="7" s="1"/>
  <c r="Q43" i="7"/>
  <c r="AE43" i="7" s="1"/>
  <c r="N43" i="7"/>
  <c r="M43" i="7"/>
  <c r="L43" i="7"/>
  <c r="K43" i="7"/>
  <c r="J43" i="7"/>
  <c r="I43" i="7"/>
  <c r="H43" i="7"/>
  <c r="G43" i="7"/>
  <c r="F43" i="7"/>
  <c r="E43" i="7"/>
  <c r="D43" i="7"/>
  <c r="C43" i="7"/>
  <c r="AB42" i="7"/>
  <c r="AA42" i="7"/>
  <c r="AO42" i="7" s="1"/>
  <c r="Z42" i="7"/>
  <c r="AN42" i="7" s="1"/>
  <c r="Y42" i="7"/>
  <c r="AM42" i="7" s="1"/>
  <c r="X42" i="7"/>
  <c r="AL42" i="7" s="1"/>
  <c r="W42" i="7"/>
  <c r="AK42" i="7" s="1"/>
  <c r="V42" i="7"/>
  <c r="AJ42" i="7" s="1"/>
  <c r="U42" i="7"/>
  <c r="AI42" i="7" s="1"/>
  <c r="T42" i="7"/>
  <c r="AH42" i="7" s="1"/>
  <c r="S42" i="7"/>
  <c r="AG42" i="7" s="1"/>
  <c r="R42" i="7"/>
  <c r="AF42" i="7" s="1"/>
  <c r="Q42" i="7"/>
  <c r="AE42" i="7" s="1"/>
  <c r="N42" i="7"/>
  <c r="M42" i="7"/>
  <c r="L42" i="7"/>
  <c r="K42" i="7"/>
  <c r="J42" i="7"/>
  <c r="I42" i="7"/>
  <c r="H42" i="7"/>
  <c r="G42" i="7"/>
  <c r="F42" i="7"/>
  <c r="E42" i="7"/>
  <c r="D42" i="7"/>
  <c r="C42" i="7"/>
  <c r="AB41" i="7"/>
  <c r="AA41" i="7"/>
  <c r="AO41" i="7" s="1"/>
  <c r="Z41" i="7"/>
  <c r="AN41" i="7" s="1"/>
  <c r="Y41" i="7"/>
  <c r="AM41" i="7" s="1"/>
  <c r="X41" i="7"/>
  <c r="AL41" i="7" s="1"/>
  <c r="W41" i="7"/>
  <c r="AK41" i="7" s="1"/>
  <c r="V41" i="7"/>
  <c r="AJ41" i="7" s="1"/>
  <c r="U41" i="7"/>
  <c r="AI41" i="7" s="1"/>
  <c r="T41" i="7"/>
  <c r="AH41" i="7" s="1"/>
  <c r="S41" i="7"/>
  <c r="AG41" i="7" s="1"/>
  <c r="R41" i="7"/>
  <c r="AF41" i="7" s="1"/>
  <c r="Q41" i="7"/>
  <c r="AE41" i="7" s="1"/>
  <c r="N41" i="7"/>
  <c r="M41" i="7"/>
  <c r="L41" i="7"/>
  <c r="K41" i="7"/>
  <c r="J41" i="7"/>
  <c r="I41" i="7"/>
  <c r="H41" i="7"/>
  <c r="G41" i="7"/>
  <c r="F41" i="7"/>
  <c r="E41" i="7"/>
  <c r="D41" i="7"/>
  <c r="C41" i="7"/>
  <c r="AB40" i="7"/>
  <c r="AA40" i="7"/>
  <c r="Z40" i="7"/>
  <c r="Y40" i="7"/>
  <c r="X40" i="7"/>
  <c r="W40" i="7"/>
  <c r="V40" i="7"/>
  <c r="U40" i="7"/>
  <c r="T40" i="7"/>
  <c r="S40" i="7"/>
  <c r="R40" i="7"/>
  <c r="Q40" i="7"/>
  <c r="N40" i="7"/>
  <c r="M40" i="7"/>
  <c r="L40" i="7"/>
  <c r="K40" i="7"/>
  <c r="J40" i="7"/>
  <c r="I40" i="7"/>
  <c r="H40" i="7"/>
  <c r="G40" i="7"/>
  <c r="F40" i="7"/>
  <c r="E40" i="7"/>
  <c r="D40" i="7"/>
  <c r="C40" i="7"/>
  <c r="AB30" i="7"/>
  <c r="AA30" i="7"/>
  <c r="Z30" i="7"/>
  <c r="Y30" i="7"/>
  <c r="X30" i="7"/>
  <c r="W30" i="7"/>
  <c r="V30" i="7"/>
  <c r="U30" i="7"/>
  <c r="T30" i="7"/>
  <c r="S30" i="7"/>
  <c r="R30" i="7"/>
  <c r="Q30" i="7"/>
  <c r="N30" i="7"/>
  <c r="M30" i="7"/>
  <c r="L30" i="7"/>
  <c r="K30" i="7"/>
  <c r="J30" i="7"/>
  <c r="I30" i="7"/>
  <c r="H30" i="7"/>
  <c r="G30" i="7"/>
  <c r="F30" i="7"/>
  <c r="E30" i="7"/>
  <c r="D30" i="7"/>
  <c r="C30" i="7"/>
  <c r="AB29" i="7"/>
  <c r="AA29" i="7"/>
  <c r="Z29" i="7"/>
  <c r="Y29" i="7"/>
  <c r="X29" i="7"/>
  <c r="W29" i="7"/>
  <c r="V29" i="7"/>
  <c r="U29" i="7"/>
  <c r="T29" i="7"/>
  <c r="S29" i="7"/>
  <c r="R29" i="7"/>
  <c r="Q29" i="7"/>
  <c r="N29" i="7"/>
  <c r="M29" i="7"/>
  <c r="L29" i="7"/>
  <c r="K29" i="7"/>
  <c r="J29" i="7"/>
  <c r="I29" i="7"/>
  <c r="H29" i="7"/>
  <c r="G29" i="7"/>
  <c r="F29" i="7"/>
  <c r="E29" i="7"/>
  <c r="D29" i="7"/>
  <c r="C29" i="7"/>
  <c r="AB28" i="7"/>
  <c r="AA28" i="7"/>
  <c r="Z28" i="7"/>
  <c r="Y28" i="7"/>
  <c r="X28" i="7"/>
  <c r="W28" i="7"/>
  <c r="V28" i="7"/>
  <c r="U28" i="7"/>
  <c r="T28" i="7"/>
  <c r="S28" i="7"/>
  <c r="R28" i="7"/>
  <c r="Q28" i="7"/>
  <c r="N28" i="7"/>
  <c r="M28" i="7"/>
  <c r="L28" i="7"/>
  <c r="K28" i="7"/>
  <c r="J28" i="7"/>
  <c r="I28" i="7"/>
  <c r="H28" i="7"/>
  <c r="G28" i="7"/>
  <c r="F28" i="7"/>
  <c r="E28" i="7"/>
  <c r="D28" i="7"/>
  <c r="C28" i="7"/>
  <c r="N99" i="6"/>
  <c r="BD44" i="7" s="1"/>
  <c r="BE44" i="7" s="1"/>
  <c r="M99" i="6"/>
  <c r="BC44" i="7" s="1"/>
  <c r="L99" i="6"/>
  <c r="BB44" i="7" s="1"/>
  <c r="K99" i="6"/>
  <c r="BA44" i="7" s="1"/>
  <c r="J99" i="6"/>
  <c r="AZ44" i="7" s="1"/>
  <c r="I99" i="6"/>
  <c r="AY44" i="7" s="1"/>
  <c r="H99" i="6"/>
  <c r="AX44" i="7" s="1"/>
  <c r="G99" i="6"/>
  <c r="AW44" i="7" s="1"/>
  <c r="F99" i="6"/>
  <c r="AV44" i="7" s="1"/>
  <c r="E99" i="6"/>
  <c r="AU44" i="7" s="1"/>
  <c r="D99" i="6"/>
  <c r="AT44" i="7" s="1"/>
  <c r="C99" i="6"/>
  <c r="AS44" i="7" s="1"/>
  <c r="N98" i="6"/>
  <c r="BD43" i="7" s="1"/>
  <c r="BE43" i="7" s="1"/>
  <c r="M98" i="6"/>
  <c r="BC43" i="7" s="1"/>
  <c r="L98" i="6"/>
  <c r="BB43" i="7" s="1"/>
  <c r="K98" i="6"/>
  <c r="BA43" i="7" s="1"/>
  <c r="J98" i="6"/>
  <c r="AZ43" i="7" s="1"/>
  <c r="I98" i="6"/>
  <c r="AY43" i="7" s="1"/>
  <c r="H98" i="6"/>
  <c r="AX43" i="7" s="1"/>
  <c r="G98" i="6"/>
  <c r="AW43" i="7" s="1"/>
  <c r="F98" i="6"/>
  <c r="AV43" i="7" s="1"/>
  <c r="E98" i="6"/>
  <c r="AU43" i="7" s="1"/>
  <c r="D98" i="6"/>
  <c r="AT43" i="7" s="1"/>
  <c r="C98" i="6"/>
  <c r="AS43" i="7" s="1"/>
  <c r="N97" i="6"/>
  <c r="BD42" i="7" s="1"/>
  <c r="BE42" i="7" s="1"/>
  <c r="M97" i="6"/>
  <c r="BC42" i="7" s="1"/>
  <c r="L97" i="6"/>
  <c r="BB42" i="7" s="1"/>
  <c r="K97" i="6"/>
  <c r="BA42" i="7" s="1"/>
  <c r="J97" i="6"/>
  <c r="AZ42" i="7" s="1"/>
  <c r="I97" i="6"/>
  <c r="AY42" i="7" s="1"/>
  <c r="H97" i="6"/>
  <c r="AX42" i="7" s="1"/>
  <c r="G97" i="6"/>
  <c r="AW42" i="7" s="1"/>
  <c r="F97" i="6"/>
  <c r="AV42" i="7" s="1"/>
  <c r="E97" i="6"/>
  <c r="AU42" i="7" s="1"/>
  <c r="D97" i="6"/>
  <c r="AT42" i="7" s="1"/>
  <c r="C97" i="6"/>
  <c r="AS42" i="7" s="1"/>
  <c r="N96" i="6"/>
  <c r="BD41" i="7" s="1"/>
  <c r="BE41" i="7" s="1"/>
  <c r="M96" i="6"/>
  <c r="BC41" i="7" s="1"/>
  <c r="L96" i="6"/>
  <c r="BB41" i="7" s="1"/>
  <c r="K96" i="6"/>
  <c r="BA41" i="7" s="1"/>
  <c r="J96" i="6"/>
  <c r="AZ41" i="7" s="1"/>
  <c r="I96" i="6"/>
  <c r="AY41" i="7" s="1"/>
  <c r="H96" i="6"/>
  <c r="AX41" i="7" s="1"/>
  <c r="G96" i="6"/>
  <c r="AW41" i="7" s="1"/>
  <c r="F96" i="6"/>
  <c r="AV41" i="7" s="1"/>
  <c r="E96" i="6"/>
  <c r="AU41" i="7" s="1"/>
  <c r="D96" i="6"/>
  <c r="AT41" i="7" s="1"/>
  <c r="C96" i="6"/>
  <c r="AS41" i="7" s="1"/>
  <c r="N95" i="6"/>
  <c r="M95" i="6"/>
  <c r="L95" i="6"/>
  <c r="K95" i="6"/>
  <c r="J95" i="6"/>
  <c r="I95" i="6"/>
  <c r="H95" i="6"/>
  <c r="G95" i="6"/>
  <c r="F95" i="6"/>
  <c r="E95" i="6"/>
  <c r="D95" i="6"/>
  <c r="C95" i="6"/>
  <c r="N89" i="6"/>
  <c r="M89" i="6"/>
  <c r="L89" i="6"/>
  <c r="K89" i="6"/>
  <c r="J89" i="6"/>
  <c r="I89" i="6"/>
  <c r="H89" i="6"/>
  <c r="G89" i="6"/>
  <c r="F89" i="6"/>
  <c r="E89" i="6"/>
  <c r="D89" i="6"/>
  <c r="C89" i="6"/>
  <c r="N83" i="6"/>
  <c r="M83" i="6"/>
  <c r="L83" i="6"/>
  <c r="K83" i="6"/>
  <c r="J83" i="6"/>
  <c r="I83" i="6"/>
  <c r="H83" i="6"/>
  <c r="G83" i="6"/>
  <c r="F83" i="6"/>
  <c r="E83" i="6"/>
  <c r="D83" i="6"/>
  <c r="C83" i="6"/>
  <c r="N62" i="6"/>
  <c r="M62" i="6"/>
  <c r="L62" i="6"/>
  <c r="Q62" i="6" s="1"/>
  <c r="K62" i="6"/>
  <c r="J62" i="6"/>
  <c r="I62" i="6"/>
  <c r="H62" i="6"/>
  <c r="G62" i="6"/>
  <c r="F62" i="6"/>
  <c r="E62" i="6"/>
  <c r="D62" i="6"/>
  <c r="C62" i="6"/>
  <c r="O62" i="6" s="1"/>
  <c r="N61" i="6"/>
  <c r="M61" i="6"/>
  <c r="L61" i="6"/>
  <c r="Q61" i="6" s="1"/>
  <c r="K61" i="6"/>
  <c r="J61" i="6"/>
  <c r="I61" i="6"/>
  <c r="H61" i="6"/>
  <c r="G61" i="6"/>
  <c r="F61" i="6"/>
  <c r="E61" i="6"/>
  <c r="D61" i="6"/>
  <c r="C61" i="6"/>
  <c r="O61" i="6" s="1"/>
  <c r="N60" i="6"/>
  <c r="M60" i="6"/>
  <c r="L60" i="6"/>
  <c r="Q60" i="6" s="1"/>
  <c r="K60" i="6"/>
  <c r="J60" i="6"/>
  <c r="I60" i="6"/>
  <c r="H60" i="6"/>
  <c r="G60" i="6"/>
  <c r="F60" i="6"/>
  <c r="E60" i="6"/>
  <c r="D60" i="6"/>
  <c r="C60" i="6"/>
  <c r="O60" i="6" s="1"/>
  <c r="N59" i="6"/>
  <c r="M59" i="6"/>
  <c r="L59" i="6"/>
  <c r="Q59" i="6" s="1"/>
  <c r="K59" i="6"/>
  <c r="J59" i="6"/>
  <c r="I59" i="6"/>
  <c r="H59" i="6"/>
  <c r="G59" i="6"/>
  <c r="F59" i="6"/>
  <c r="E59" i="6"/>
  <c r="D59" i="6"/>
  <c r="C59" i="6"/>
  <c r="O59" i="6" s="1"/>
  <c r="N58" i="6"/>
  <c r="M58" i="6"/>
  <c r="L58" i="6"/>
  <c r="Q58" i="6" s="1"/>
  <c r="K58" i="6"/>
  <c r="J58" i="6"/>
  <c r="I58" i="6"/>
  <c r="H58" i="6"/>
  <c r="G58" i="6"/>
  <c r="F58" i="6"/>
  <c r="E58" i="6"/>
  <c r="D58" i="6"/>
  <c r="C58" i="6"/>
  <c r="O58" i="6" s="1"/>
  <c r="N57" i="6"/>
  <c r="M57" i="6"/>
  <c r="L57" i="6"/>
  <c r="Q57" i="6" s="1"/>
  <c r="K57" i="6"/>
  <c r="J57" i="6"/>
  <c r="I57" i="6"/>
  <c r="H57" i="6"/>
  <c r="G57" i="6"/>
  <c r="F57" i="6"/>
  <c r="E57" i="6"/>
  <c r="D57" i="6"/>
  <c r="C57" i="6"/>
  <c r="O57" i="6" s="1"/>
  <c r="N56" i="6"/>
  <c r="M56" i="6"/>
  <c r="L56" i="6"/>
  <c r="Q56" i="6" s="1"/>
  <c r="K56" i="6"/>
  <c r="J56" i="6"/>
  <c r="I56" i="6"/>
  <c r="H56" i="6"/>
  <c r="G56" i="6"/>
  <c r="G68" i="6" s="1"/>
  <c r="F56" i="6"/>
  <c r="F68" i="6" s="1"/>
  <c r="E56" i="6"/>
  <c r="D56" i="6"/>
  <c r="C56" i="6"/>
  <c r="O56" i="6" s="1"/>
  <c r="N55" i="6"/>
  <c r="M55" i="6"/>
  <c r="L55" i="6"/>
  <c r="Q55" i="6" s="1"/>
  <c r="K55" i="6"/>
  <c r="J55" i="6"/>
  <c r="I55" i="6"/>
  <c r="H55" i="6"/>
  <c r="G55" i="6"/>
  <c r="F55" i="6"/>
  <c r="E55" i="6"/>
  <c r="D55" i="6"/>
  <c r="C55" i="6"/>
  <c r="O55" i="6" s="1"/>
  <c r="N54" i="6"/>
  <c r="N63" i="6" s="1"/>
  <c r="M54" i="6"/>
  <c r="M63" i="6" s="1"/>
  <c r="L54" i="6"/>
  <c r="K54" i="6"/>
  <c r="K63" i="6" s="1"/>
  <c r="J54" i="6"/>
  <c r="J63" i="6" s="1"/>
  <c r="I54" i="6"/>
  <c r="I63" i="6" s="1"/>
  <c r="H54" i="6"/>
  <c r="H63" i="6" s="1"/>
  <c r="G54" i="6"/>
  <c r="G63" i="6" s="1"/>
  <c r="F54" i="6"/>
  <c r="F63" i="6" s="1"/>
  <c r="E54" i="6"/>
  <c r="E63" i="6" s="1"/>
  <c r="D54" i="6"/>
  <c r="D63" i="6" s="1"/>
  <c r="C54" i="6"/>
  <c r="N38" i="6"/>
  <c r="N74" i="6" s="1"/>
  <c r="M38" i="6"/>
  <c r="M74" i="6" s="1"/>
  <c r="L38" i="6"/>
  <c r="K38" i="6"/>
  <c r="K74" i="6" s="1"/>
  <c r="J38" i="6"/>
  <c r="J74" i="6" s="1"/>
  <c r="I38" i="6"/>
  <c r="I74" i="6" s="1"/>
  <c r="H38" i="6"/>
  <c r="H74" i="6" s="1"/>
  <c r="G38" i="6"/>
  <c r="G74" i="6" s="1"/>
  <c r="F38" i="6"/>
  <c r="F74" i="6" s="1"/>
  <c r="E38" i="6"/>
  <c r="E74" i="6" s="1"/>
  <c r="D38" i="6"/>
  <c r="D74" i="6" s="1"/>
  <c r="C38" i="6"/>
  <c r="N37" i="6"/>
  <c r="N73" i="6" s="1"/>
  <c r="M37" i="6"/>
  <c r="M73" i="6" s="1"/>
  <c r="L37" i="6"/>
  <c r="K37" i="6"/>
  <c r="K73" i="6" s="1"/>
  <c r="J37" i="6"/>
  <c r="J73" i="6" s="1"/>
  <c r="I37" i="6"/>
  <c r="I73" i="6" s="1"/>
  <c r="H37" i="6"/>
  <c r="H73" i="6" s="1"/>
  <c r="G37" i="6"/>
  <c r="G73" i="6" s="1"/>
  <c r="F37" i="6"/>
  <c r="F73" i="6" s="1"/>
  <c r="E37" i="6"/>
  <c r="E73" i="6" s="1"/>
  <c r="D37" i="6"/>
  <c r="D73" i="6" s="1"/>
  <c r="C37" i="6"/>
  <c r="N36" i="6"/>
  <c r="N72" i="6" s="1"/>
  <c r="M36" i="6"/>
  <c r="M72" i="6" s="1"/>
  <c r="L36" i="6"/>
  <c r="K36" i="6"/>
  <c r="K72" i="6" s="1"/>
  <c r="J36" i="6"/>
  <c r="J72" i="6" s="1"/>
  <c r="I36" i="6"/>
  <c r="I72" i="6" s="1"/>
  <c r="H36" i="6"/>
  <c r="H72" i="6" s="1"/>
  <c r="G36" i="6"/>
  <c r="G72" i="6" s="1"/>
  <c r="F36" i="6"/>
  <c r="F72" i="6" s="1"/>
  <c r="E36" i="6"/>
  <c r="E72" i="6" s="1"/>
  <c r="D36" i="6"/>
  <c r="D72" i="6" s="1"/>
  <c r="C36" i="6"/>
  <c r="N35" i="6"/>
  <c r="N71" i="6" s="1"/>
  <c r="M35" i="6"/>
  <c r="M71" i="6" s="1"/>
  <c r="L35" i="6"/>
  <c r="K35" i="6"/>
  <c r="K71" i="6" s="1"/>
  <c r="J35" i="6"/>
  <c r="J71" i="6" s="1"/>
  <c r="I35" i="6"/>
  <c r="I71" i="6" s="1"/>
  <c r="H35" i="6"/>
  <c r="H71" i="6" s="1"/>
  <c r="G35" i="6"/>
  <c r="G71" i="6" s="1"/>
  <c r="F35" i="6"/>
  <c r="F71" i="6" s="1"/>
  <c r="E35" i="6"/>
  <c r="E71" i="6" s="1"/>
  <c r="D35" i="6"/>
  <c r="D71" i="6" s="1"/>
  <c r="C35" i="6"/>
  <c r="N34" i="6"/>
  <c r="N70" i="6" s="1"/>
  <c r="M34" i="6"/>
  <c r="M70" i="6" s="1"/>
  <c r="L34" i="6"/>
  <c r="K34" i="6"/>
  <c r="K70" i="6" s="1"/>
  <c r="J34" i="6"/>
  <c r="J70" i="6" s="1"/>
  <c r="I34" i="6"/>
  <c r="I70" i="6" s="1"/>
  <c r="H34" i="6"/>
  <c r="H70" i="6" s="1"/>
  <c r="G34" i="6"/>
  <c r="G70" i="6" s="1"/>
  <c r="F34" i="6"/>
  <c r="F70" i="6" s="1"/>
  <c r="E34" i="6"/>
  <c r="E70" i="6" s="1"/>
  <c r="D34" i="6"/>
  <c r="D70" i="6" s="1"/>
  <c r="C34" i="6"/>
  <c r="N33" i="6"/>
  <c r="N69" i="6" s="1"/>
  <c r="M33" i="6"/>
  <c r="M69" i="6" s="1"/>
  <c r="L33" i="6"/>
  <c r="K33" i="6"/>
  <c r="K69" i="6" s="1"/>
  <c r="J33" i="6"/>
  <c r="J69" i="6" s="1"/>
  <c r="I33" i="6"/>
  <c r="I69" i="6" s="1"/>
  <c r="H33" i="6"/>
  <c r="H69" i="6" s="1"/>
  <c r="G33" i="6"/>
  <c r="G69" i="6" s="1"/>
  <c r="F33" i="6"/>
  <c r="F69" i="6" s="1"/>
  <c r="E33" i="6"/>
  <c r="E69" i="6" s="1"/>
  <c r="D33" i="6"/>
  <c r="D69" i="6" s="1"/>
  <c r="C33" i="6"/>
  <c r="N32" i="6"/>
  <c r="N68" i="6" s="1"/>
  <c r="M32" i="6"/>
  <c r="M68" i="6" s="1"/>
  <c r="L32" i="6"/>
  <c r="K32" i="6"/>
  <c r="K68" i="6" s="1"/>
  <c r="J32" i="6"/>
  <c r="J68" i="6" s="1"/>
  <c r="I32" i="6"/>
  <c r="I68" i="6" s="1"/>
  <c r="H32" i="6"/>
  <c r="H68" i="6" s="1"/>
  <c r="E32" i="6"/>
  <c r="E68" i="6" s="1"/>
  <c r="D32" i="6"/>
  <c r="D68" i="6" s="1"/>
  <c r="C32" i="6"/>
  <c r="N31" i="6"/>
  <c r="N67" i="6" s="1"/>
  <c r="M31" i="6"/>
  <c r="M67" i="6" s="1"/>
  <c r="L31" i="6"/>
  <c r="K31" i="6"/>
  <c r="K67" i="6" s="1"/>
  <c r="J31" i="6"/>
  <c r="J67" i="6" s="1"/>
  <c r="I31" i="6"/>
  <c r="I67" i="6" s="1"/>
  <c r="H31" i="6"/>
  <c r="H67" i="6" s="1"/>
  <c r="G31" i="6"/>
  <c r="G67" i="6" s="1"/>
  <c r="F31" i="6"/>
  <c r="F67" i="6" s="1"/>
  <c r="E31" i="6"/>
  <c r="E67" i="6" s="1"/>
  <c r="D31" i="6"/>
  <c r="D67" i="6" s="1"/>
  <c r="C31" i="6"/>
  <c r="N30" i="6"/>
  <c r="M30" i="6"/>
  <c r="L30" i="6"/>
  <c r="K30" i="6"/>
  <c r="J30" i="6"/>
  <c r="I30" i="6"/>
  <c r="H30" i="6"/>
  <c r="G30" i="6"/>
  <c r="F30" i="6"/>
  <c r="E30" i="6"/>
  <c r="D30" i="6"/>
  <c r="C30" i="6"/>
  <c r="N14" i="6"/>
  <c r="M14" i="6"/>
  <c r="L14" i="6"/>
  <c r="K14" i="6"/>
  <c r="J14" i="6"/>
  <c r="I14" i="6"/>
  <c r="H14" i="6"/>
  <c r="G14" i="6"/>
  <c r="F14" i="6"/>
  <c r="E14" i="6"/>
  <c r="D14" i="6"/>
  <c r="C14" i="6"/>
  <c r="N13" i="6"/>
  <c r="M13" i="6"/>
  <c r="L13" i="6"/>
  <c r="K13" i="6"/>
  <c r="J13" i="6"/>
  <c r="I13" i="6"/>
  <c r="H13" i="6"/>
  <c r="G13" i="6"/>
  <c r="F13" i="6"/>
  <c r="E13" i="6"/>
  <c r="D13" i="6"/>
  <c r="C13" i="6"/>
  <c r="N12" i="6"/>
  <c r="M12" i="6"/>
  <c r="L12" i="6"/>
  <c r="K12" i="6"/>
  <c r="J12" i="6"/>
  <c r="I12" i="6"/>
  <c r="H12" i="6"/>
  <c r="G12" i="6"/>
  <c r="F12" i="6"/>
  <c r="E12" i="6"/>
  <c r="D12" i="6"/>
  <c r="C12" i="6"/>
  <c r="N11" i="6"/>
  <c r="M11" i="6"/>
  <c r="L11" i="6"/>
  <c r="K11" i="6"/>
  <c r="J11" i="6"/>
  <c r="I11" i="6"/>
  <c r="H11" i="6"/>
  <c r="G11" i="6"/>
  <c r="F11" i="6"/>
  <c r="E11" i="6"/>
  <c r="D11" i="6"/>
  <c r="C11" i="6"/>
  <c r="N10" i="6"/>
  <c r="M10" i="6"/>
  <c r="L10" i="6"/>
  <c r="K10" i="6"/>
  <c r="J10" i="6"/>
  <c r="I10" i="6"/>
  <c r="H10" i="6"/>
  <c r="G10" i="6"/>
  <c r="F10" i="6"/>
  <c r="E10" i="6"/>
  <c r="D10" i="6"/>
  <c r="C10" i="6"/>
  <c r="N9" i="6"/>
  <c r="M9" i="6"/>
  <c r="L9" i="6"/>
  <c r="K9" i="6"/>
  <c r="J9" i="6"/>
  <c r="I9" i="6"/>
  <c r="H9" i="6"/>
  <c r="G9" i="6"/>
  <c r="F9" i="6"/>
  <c r="E9" i="6"/>
  <c r="D9" i="6"/>
  <c r="C9" i="6"/>
  <c r="N8" i="6"/>
  <c r="M8" i="6"/>
  <c r="L8" i="6"/>
  <c r="K8" i="6"/>
  <c r="J8" i="6"/>
  <c r="I8" i="6"/>
  <c r="H8" i="6"/>
  <c r="G8" i="6"/>
  <c r="F8" i="6"/>
  <c r="E8" i="6"/>
  <c r="D8" i="6"/>
  <c r="C8" i="6"/>
  <c r="N7" i="6"/>
  <c r="M7" i="6"/>
  <c r="L7" i="6"/>
  <c r="K7" i="6"/>
  <c r="J7" i="6"/>
  <c r="I7" i="6"/>
  <c r="H7" i="6"/>
  <c r="G7" i="6"/>
  <c r="F7" i="6"/>
  <c r="E7" i="6"/>
  <c r="D7" i="6"/>
  <c r="C7" i="6"/>
  <c r="N6" i="6"/>
  <c r="M6" i="6"/>
  <c r="L6" i="6"/>
  <c r="K6" i="6"/>
  <c r="J6" i="6"/>
  <c r="I6" i="6"/>
  <c r="H6" i="6"/>
  <c r="G6" i="6"/>
  <c r="F6" i="6"/>
  <c r="E6" i="6"/>
  <c r="D6" i="6"/>
  <c r="C6" i="6"/>
  <c r="M12" i="2"/>
  <c r="L12" i="2"/>
  <c r="K12" i="2"/>
  <c r="J12" i="2"/>
  <c r="I12" i="2"/>
  <c r="H12" i="2"/>
  <c r="G12" i="2"/>
  <c r="F12" i="2"/>
  <c r="E12" i="2"/>
  <c r="D12" i="2"/>
  <c r="C12" i="2"/>
  <c r="B12" i="2"/>
  <c r="N11" i="2"/>
  <c r="N10" i="2"/>
  <c r="N12" i="2" s="1"/>
  <c r="M9" i="2"/>
  <c r="L9" i="2"/>
  <c r="K9" i="2"/>
  <c r="J9" i="2"/>
  <c r="I9" i="2"/>
  <c r="H9" i="2"/>
  <c r="G9" i="2"/>
  <c r="F9" i="2"/>
  <c r="E9" i="2"/>
  <c r="D9" i="2"/>
  <c r="C9" i="2"/>
  <c r="B9" i="2"/>
  <c r="N8" i="2"/>
  <c r="N9" i="2" s="1"/>
  <c r="M7" i="2"/>
  <c r="L7" i="2"/>
  <c r="K7" i="2"/>
  <c r="J7" i="2"/>
  <c r="I7" i="2"/>
  <c r="H7" i="2"/>
  <c r="G7" i="2"/>
  <c r="F7" i="2"/>
  <c r="E7" i="2"/>
  <c r="D7" i="2"/>
  <c r="C7" i="2"/>
  <c r="B7" i="2"/>
  <c r="N6" i="2"/>
  <c r="N5" i="2"/>
  <c r="N7" i="2" s="1"/>
  <c r="AB46" i="34" l="1"/>
  <c r="AC45" i="34"/>
  <c r="O45" i="34"/>
  <c r="N46" i="34"/>
  <c r="BR44" i="34"/>
  <c r="BS44" i="34" s="1"/>
  <c r="AQ44" i="34"/>
  <c r="AQ43" i="34"/>
  <c r="BR43" i="34"/>
  <c r="BS43" i="34" s="1"/>
  <c r="AQ42" i="34"/>
  <c r="BR42" i="34"/>
  <c r="BS42" i="34" s="1"/>
  <c r="BR41" i="34"/>
  <c r="BS41" i="34" s="1"/>
  <c r="AQ41" i="34"/>
  <c r="BD45" i="34"/>
  <c r="BE40" i="34"/>
  <c r="AQ40" i="34"/>
  <c r="AP45" i="34"/>
  <c r="BR40" i="34"/>
  <c r="AO45" i="34"/>
  <c r="AO46" i="34" s="1"/>
  <c r="BQ40" i="34"/>
  <c r="BQ45" i="34" s="1"/>
  <c r="AN45" i="34"/>
  <c r="AN46" i="34" s="1"/>
  <c r="BP40" i="34"/>
  <c r="BP45" i="34" s="1"/>
  <c r="AM45" i="34"/>
  <c r="AM46" i="34" s="1"/>
  <c r="BO40" i="34"/>
  <c r="BO45" i="34" s="1"/>
  <c r="AL45" i="34"/>
  <c r="AL46" i="34" s="1"/>
  <c r="BN40" i="34"/>
  <c r="BN45" i="34" s="1"/>
  <c r="AK45" i="34"/>
  <c r="AK46" i="34" s="1"/>
  <c r="BM40" i="34"/>
  <c r="BM45" i="34" s="1"/>
  <c r="AJ45" i="34"/>
  <c r="AJ46" i="34" s="1"/>
  <c r="BL40" i="34"/>
  <c r="BL45" i="34" s="1"/>
  <c r="AI45" i="34"/>
  <c r="AI46" i="34" s="1"/>
  <c r="BK40" i="34"/>
  <c r="BK45" i="34" s="1"/>
  <c r="AH45" i="34"/>
  <c r="AH46" i="34" s="1"/>
  <c r="BJ40" i="34"/>
  <c r="BJ45" i="34" s="1"/>
  <c r="BI40" i="34"/>
  <c r="BI45" i="34" s="1"/>
  <c r="AG45" i="34"/>
  <c r="AG46" i="34" s="1"/>
  <c r="BH40" i="34"/>
  <c r="BH45" i="34" s="1"/>
  <c r="AF45" i="34"/>
  <c r="AF46" i="34" s="1"/>
  <c r="AE45" i="34"/>
  <c r="AE46" i="34" s="1"/>
  <c r="BG40" i="34"/>
  <c r="BG45" i="34" s="1"/>
  <c r="AC31" i="34"/>
  <c r="AC37" i="34" s="1"/>
  <c r="Q37" i="34"/>
  <c r="C37" i="34"/>
  <c r="O31" i="34"/>
  <c r="O37" i="34" s="1"/>
  <c r="AP36" i="34"/>
  <c r="BR30" i="34"/>
  <c r="AO36" i="34"/>
  <c r="BQ30" i="34"/>
  <c r="AN36" i="34"/>
  <c r="BP30" i="34"/>
  <c r="AM36" i="34"/>
  <c r="BO30" i="34"/>
  <c r="AL36" i="34"/>
  <c r="BN30" i="34"/>
  <c r="AK36" i="34"/>
  <c r="BM30" i="34"/>
  <c r="AJ36" i="34"/>
  <c r="BL30" i="34"/>
  <c r="AI36" i="34"/>
  <c r="BK30" i="34"/>
  <c r="AH36" i="34"/>
  <c r="BJ30" i="34"/>
  <c r="AG36" i="34"/>
  <c r="BI30" i="34"/>
  <c r="AF36" i="34"/>
  <c r="BH30" i="34"/>
  <c r="AE36" i="34"/>
  <c r="AQ30" i="34"/>
  <c r="BG30" i="34"/>
  <c r="AP35" i="34"/>
  <c r="BR29" i="34"/>
  <c r="AP31" i="34"/>
  <c r="AP37" i="34" s="1"/>
  <c r="BQ29" i="34"/>
  <c r="AO35" i="34"/>
  <c r="AO31" i="34"/>
  <c r="AO37" i="34" s="1"/>
  <c r="BP29" i="34"/>
  <c r="AN35" i="34"/>
  <c r="AN31" i="34"/>
  <c r="AN37" i="34" s="1"/>
  <c r="BO29" i="34"/>
  <c r="AM35" i="34"/>
  <c r="AM31" i="34"/>
  <c r="AM37" i="34" s="1"/>
  <c r="AL35" i="34"/>
  <c r="BN29" i="34"/>
  <c r="AL31" i="34"/>
  <c r="AL37" i="34" s="1"/>
  <c r="AK35" i="34"/>
  <c r="BM29" i="34"/>
  <c r="AK31" i="34"/>
  <c r="AK37" i="34" s="1"/>
  <c r="AJ35" i="34"/>
  <c r="BL29" i="34"/>
  <c r="AJ31" i="34"/>
  <c r="AJ37" i="34" s="1"/>
  <c r="AI31" i="34"/>
  <c r="AI37" i="34" s="1"/>
  <c r="AI35" i="34"/>
  <c r="BK29" i="34"/>
  <c r="AH35" i="34"/>
  <c r="AH31" i="34"/>
  <c r="AH37" i="34" s="1"/>
  <c r="BJ29" i="34"/>
  <c r="AG35" i="34"/>
  <c r="AG31" i="34"/>
  <c r="AG37" i="34" s="1"/>
  <c r="BI29" i="34"/>
  <c r="AF35" i="34"/>
  <c r="AF31" i="34"/>
  <c r="AF37" i="34" s="1"/>
  <c r="BH29" i="34"/>
  <c r="AE35" i="34"/>
  <c r="AE31" i="34"/>
  <c r="BG29" i="34"/>
  <c r="AQ29" i="34"/>
  <c r="AP38" i="34"/>
  <c r="AO38" i="34"/>
  <c r="AN38" i="34"/>
  <c r="AM38" i="34"/>
  <c r="AL38" i="34"/>
  <c r="AK38" i="34"/>
  <c r="AJ38" i="34"/>
  <c r="AI38" i="34"/>
  <c r="AH38" i="34"/>
  <c r="AG38" i="34"/>
  <c r="AF38" i="34"/>
  <c r="AE38" i="34"/>
  <c r="AQ28" i="34"/>
  <c r="AQ38" i="34" s="1"/>
  <c r="O61" i="33"/>
  <c r="O69" i="33" s="1"/>
  <c r="C69" i="33"/>
  <c r="BE30" i="34"/>
  <c r="BD31" i="34"/>
  <c r="BC31" i="34"/>
  <c r="BB31" i="34"/>
  <c r="BA31" i="34"/>
  <c r="AZ31" i="34"/>
  <c r="AY31" i="34"/>
  <c r="AX31" i="34"/>
  <c r="AW31" i="34"/>
  <c r="AV31" i="34"/>
  <c r="AU31" i="34"/>
  <c r="AT31" i="34"/>
  <c r="BE29" i="34"/>
  <c r="AS31" i="34"/>
  <c r="N25" i="33"/>
  <c r="BD28" i="34"/>
  <c r="N47" i="33"/>
  <c r="BC28" i="34"/>
  <c r="M25" i="33"/>
  <c r="M47" i="33"/>
  <c r="L25" i="33"/>
  <c r="BB28" i="34"/>
  <c r="L47" i="33"/>
  <c r="BA28" i="34"/>
  <c r="K25" i="33"/>
  <c r="K47" i="33"/>
  <c r="J47" i="33"/>
  <c r="J25" i="33"/>
  <c r="AZ28" i="34"/>
  <c r="I25" i="33"/>
  <c r="I47" i="33"/>
  <c r="AY28" i="34"/>
  <c r="H47" i="33"/>
  <c r="AX28" i="34"/>
  <c r="H25" i="33"/>
  <c r="AW28" i="34"/>
  <c r="G47" i="33"/>
  <c r="G25" i="33"/>
  <c r="AV28" i="34"/>
  <c r="F47" i="33"/>
  <c r="F25" i="33"/>
  <c r="AU28" i="34"/>
  <c r="E47" i="33"/>
  <c r="E25" i="33"/>
  <c r="AT28" i="34"/>
  <c r="D47" i="33"/>
  <c r="D25" i="33"/>
  <c r="AS28" i="34"/>
  <c r="C47" i="33"/>
  <c r="C25" i="33"/>
  <c r="O24" i="33"/>
  <c r="O46" i="33"/>
  <c r="O23" i="33"/>
  <c r="O45" i="33"/>
  <c r="O44" i="33"/>
  <c r="O22" i="33"/>
  <c r="O43" i="33"/>
  <c r="O21" i="33"/>
  <c r="O42" i="33"/>
  <c r="O20" i="33"/>
  <c r="O41" i="33"/>
  <c r="O19" i="33"/>
  <c r="O40" i="33"/>
  <c r="O18" i="33"/>
  <c r="O39" i="33"/>
  <c r="O17" i="33"/>
  <c r="O14" i="33"/>
  <c r="AB46" i="31"/>
  <c r="AC45" i="31"/>
  <c r="N46" i="31"/>
  <c r="O45" i="31"/>
  <c r="BR44" i="31"/>
  <c r="BS44" i="31" s="1"/>
  <c r="AQ44" i="31"/>
  <c r="AQ43" i="31"/>
  <c r="BR43" i="31"/>
  <c r="BS43" i="31" s="1"/>
  <c r="BR42" i="31"/>
  <c r="BS42" i="31" s="1"/>
  <c r="AQ42" i="31"/>
  <c r="BR41" i="31"/>
  <c r="BS41" i="31" s="1"/>
  <c r="AQ41" i="31"/>
  <c r="BD45" i="31"/>
  <c r="BE40" i="31"/>
  <c r="AP45" i="31"/>
  <c r="AQ40" i="31"/>
  <c r="BR40" i="31"/>
  <c r="AO45" i="31"/>
  <c r="AO46" i="31" s="1"/>
  <c r="BQ40" i="31"/>
  <c r="BQ45" i="31" s="1"/>
  <c r="BP40" i="31"/>
  <c r="BP45" i="31" s="1"/>
  <c r="AN45" i="31"/>
  <c r="AN46" i="31" s="1"/>
  <c r="BO40" i="31"/>
  <c r="BO45" i="31" s="1"/>
  <c r="AM45" i="31"/>
  <c r="AM46" i="31" s="1"/>
  <c r="AL45" i="31"/>
  <c r="AL46" i="31" s="1"/>
  <c r="BN40" i="31"/>
  <c r="BN45" i="31" s="1"/>
  <c r="AK45" i="31"/>
  <c r="AK46" i="31" s="1"/>
  <c r="BM40" i="31"/>
  <c r="BM45" i="31" s="1"/>
  <c r="BL40" i="31"/>
  <c r="BL45" i="31" s="1"/>
  <c r="AJ45" i="31"/>
  <c r="AJ46" i="31" s="1"/>
  <c r="AI45" i="31"/>
  <c r="AI46" i="31" s="1"/>
  <c r="BK40" i="31"/>
  <c r="BK45" i="31" s="1"/>
  <c r="AH45" i="31"/>
  <c r="AH46" i="31" s="1"/>
  <c r="BJ40" i="31"/>
  <c r="BJ45" i="31" s="1"/>
  <c r="BI40" i="31"/>
  <c r="BI45" i="31" s="1"/>
  <c r="AG45" i="31"/>
  <c r="AG46" i="31" s="1"/>
  <c r="BH40" i="31"/>
  <c r="BH45" i="31" s="1"/>
  <c r="AF45" i="31"/>
  <c r="AF46" i="31" s="1"/>
  <c r="AE45" i="31"/>
  <c r="AE46" i="31" s="1"/>
  <c r="BG40" i="31"/>
  <c r="BG45" i="31" s="1"/>
  <c r="AC31" i="31"/>
  <c r="AC37" i="31" s="1"/>
  <c r="Q37" i="31"/>
  <c r="O31" i="31"/>
  <c r="O37" i="31" s="1"/>
  <c r="C37" i="31"/>
  <c r="AP36" i="31"/>
  <c r="BR30" i="31"/>
  <c r="BQ30" i="31"/>
  <c r="AO36" i="31"/>
  <c r="BP30" i="31"/>
  <c r="AN36" i="31"/>
  <c r="BO30" i="31"/>
  <c r="AM36" i="31"/>
  <c r="BN30" i="31"/>
  <c r="AL36" i="31"/>
  <c r="BM30" i="31"/>
  <c r="AK36" i="31"/>
  <c r="AJ36" i="31"/>
  <c r="BL30" i="31"/>
  <c r="BK30" i="31"/>
  <c r="AI36" i="31"/>
  <c r="AH36" i="31"/>
  <c r="BJ30" i="31"/>
  <c r="AG36" i="31"/>
  <c r="BI30" i="31"/>
  <c r="AF36" i="31"/>
  <c r="BH30" i="31"/>
  <c r="AE36" i="31"/>
  <c r="AQ30" i="31"/>
  <c r="BG30" i="31"/>
  <c r="BR29" i="31"/>
  <c r="AP35" i="31"/>
  <c r="AP31" i="31"/>
  <c r="AP37" i="31" s="1"/>
  <c r="BQ29" i="31"/>
  <c r="AO35" i="31"/>
  <c r="AO31" i="31"/>
  <c r="AO37" i="31" s="1"/>
  <c r="BP29" i="31"/>
  <c r="AN35" i="31"/>
  <c r="AN31" i="31"/>
  <c r="AN37" i="31" s="1"/>
  <c r="BO29" i="31"/>
  <c r="AM35" i="31"/>
  <c r="AM31" i="31"/>
  <c r="AM37" i="31" s="1"/>
  <c r="BN29" i="31"/>
  <c r="AL35" i="31"/>
  <c r="AL31" i="31"/>
  <c r="AL37" i="31" s="1"/>
  <c r="BM29" i="31"/>
  <c r="AK35" i="31"/>
  <c r="AK31" i="31"/>
  <c r="AK37" i="31" s="1"/>
  <c r="AJ35" i="31"/>
  <c r="AJ31" i="31"/>
  <c r="AJ37" i="31" s="1"/>
  <c r="BL29" i="31"/>
  <c r="AI35" i="31"/>
  <c r="AI31" i="31"/>
  <c r="AI37" i="31" s="1"/>
  <c r="BK29" i="31"/>
  <c r="AH31" i="31"/>
  <c r="AH37" i="31" s="1"/>
  <c r="AH35" i="31"/>
  <c r="BJ29" i="31"/>
  <c r="AG31" i="31"/>
  <c r="AG37" i="31" s="1"/>
  <c r="AG35" i="31"/>
  <c r="BI29" i="31"/>
  <c r="AF31" i="31"/>
  <c r="AF37" i="31" s="1"/>
  <c r="AF35" i="31"/>
  <c r="BH29" i="31"/>
  <c r="AE31" i="31"/>
  <c r="AE35" i="31"/>
  <c r="BG29" i="31"/>
  <c r="AQ29" i="31"/>
  <c r="AP38" i="31"/>
  <c r="AO38" i="31"/>
  <c r="AN38" i="31"/>
  <c r="AM38" i="31"/>
  <c r="AL38" i="31"/>
  <c r="AK38" i="31"/>
  <c r="AJ38" i="31"/>
  <c r="AI38" i="31"/>
  <c r="AH38" i="31"/>
  <c r="AG38" i="31"/>
  <c r="AF38" i="31"/>
  <c r="AE38" i="31"/>
  <c r="AQ28" i="31"/>
  <c r="AQ38" i="31" s="1"/>
  <c r="O61" i="30"/>
  <c r="O69" i="30" s="1"/>
  <c r="C69" i="30"/>
  <c r="BE30" i="31"/>
  <c r="BD31" i="31"/>
  <c r="BC31" i="31"/>
  <c r="BB31" i="31"/>
  <c r="BA31" i="31"/>
  <c r="AZ31" i="31"/>
  <c r="AY31" i="31"/>
  <c r="AX31" i="31"/>
  <c r="AW31" i="31"/>
  <c r="AV31" i="31"/>
  <c r="AU31" i="31"/>
  <c r="AT31" i="31"/>
  <c r="BE29" i="31"/>
  <c r="AS31" i="31"/>
  <c r="N25" i="30"/>
  <c r="BD28" i="31"/>
  <c r="N47" i="30"/>
  <c r="BC28" i="31"/>
  <c r="M47" i="30"/>
  <c r="M25" i="30"/>
  <c r="BB28" i="31"/>
  <c r="L47" i="30"/>
  <c r="L25" i="30"/>
  <c r="BA28" i="31"/>
  <c r="K47" i="30"/>
  <c r="K25" i="30"/>
  <c r="AZ28" i="31"/>
  <c r="J47" i="30"/>
  <c r="J25" i="30"/>
  <c r="AY28" i="31"/>
  <c r="I47" i="30"/>
  <c r="I25" i="30"/>
  <c r="AX28" i="31"/>
  <c r="H47" i="30"/>
  <c r="H25" i="30"/>
  <c r="AW28" i="31"/>
  <c r="G47" i="30"/>
  <c r="G25" i="30"/>
  <c r="AV28" i="31"/>
  <c r="F47" i="30"/>
  <c r="F25" i="30"/>
  <c r="E25" i="30"/>
  <c r="AU28" i="31"/>
  <c r="E47" i="30"/>
  <c r="AT28" i="31"/>
  <c r="D47" i="30"/>
  <c r="D25" i="30"/>
  <c r="AS28" i="31"/>
  <c r="C47" i="30"/>
  <c r="C25" i="30"/>
  <c r="O46" i="30"/>
  <c r="O24" i="30"/>
  <c r="O45" i="30"/>
  <c r="O23" i="30"/>
  <c r="O22" i="30"/>
  <c r="O44" i="30"/>
  <c r="O43" i="30"/>
  <c r="O21" i="30"/>
  <c r="O42" i="30"/>
  <c r="O20" i="30"/>
  <c r="O41" i="30"/>
  <c r="O19" i="30"/>
  <c r="O40" i="30"/>
  <c r="O18" i="30"/>
  <c r="O39" i="30"/>
  <c r="O17" i="30"/>
  <c r="O14" i="30"/>
  <c r="AB46" i="28"/>
  <c r="AC45" i="28"/>
  <c r="N46" i="28"/>
  <c r="O45" i="28"/>
  <c r="AQ44" i="28"/>
  <c r="BR44" i="28"/>
  <c r="BS44" i="28" s="1"/>
  <c r="AQ43" i="28"/>
  <c r="BR43" i="28"/>
  <c r="BS43" i="28" s="1"/>
  <c r="BR42" i="28"/>
  <c r="BS42" i="28" s="1"/>
  <c r="AQ42" i="28"/>
  <c r="BR41" i="28"/>
  <c r="BS41" i="28" s="1"/>
  <c r="AQ41" i="28"/>
  <c r="BE40" i="28"/>
  <c r="BD45" i="28"/>
  <c r="AP45" i="28"/>
  <c r="BR40" i="28"/>
  <c r="AQ40" i="28"/>
  <c r="AO45" i="28"/>
  <c r="AO46" i="28" s="1"/>
  <c r="BQ40" i="28"/>
  <c r="BQ45" i="28" s="1"/>
  <c r="AN45" i="28"/>
  <c r="AN46" i="28" s="1"/>
  <c r="BP40" i="28"/>
  <c r="BP45" i="28" s="1"/>
  <c r="AM45" i="28"/>
  <c r="AM46" i="28" s="1"/>
  <c r="BO40" i="28"/>
  <c r="BO45" i="28" s="1"/>
  <c r="AL45" i="28"/>
  <c r="AL46" i="28" s="1"/>
  <c r="BN40" i="28"/>
  <c r="BN45" i="28" s="1"/>
  <c r="AK45" i="28"/>
  <c r="AK46" i="28" s="1"/>
  <c r="BM40" i="28"/>
  <c r="BM45" i="28" s="1"/>
  <c r="AJ45" i="28"/>
  <c r="AJ46" i="28" s="1"/>
  <c r="BL40" i="28"/>
  <c r="BL45" i="28" s="1"/>
  <c r="AI45" i="28"/>
  <c r="AI46" i="28" s="1"/>
  <c r="BK40" i="28"/>
  <c r="BK45" i="28" s="1"/>
  <c r="AH45" i="28"/>
  <c r="AH46" i="28" s="1"/>
  <c r="BJ40" i="28"/>
  <c r="BJ45" i="28" s="1"/>
  <c r="BI40" i="28"/>
  <c r="BI45" i="28" s="1"/>
  <c r="AG45" i="28"/>
  <c r="AG46" i="28" s="1"/>
  <c r="BH40" i="28"/>
  <c r="BH45" i="28" s="1"/>
  <c r="AF45" i="28"/>
  <c r="AF46" i="28" s="1"/>
  <c r="AE45" i="28"/>
  <c r="AE46" i="28" s="1"/>
  <c r="BG40" i="28"/>
  <c r="BG45" i="28" s="1"/>
  <c r="Q37" i="28"/>
  <c r="AC31" i="28"/>
  <c r="AC37" i="28" s="1"/>
  <c r="C37" i="28"/>
  <c r="O31" i="28"/>
  <c r="O37" i="28" s="1"/>
  <c r="AP36" i="28"/>
  <c r="BR30" i="28"/>
  <c r="AO36" i="28"/>
  <c r="BQ30" i="28"/>
  <c r="AN36" i="28"/>
  <c r="BP30" i="28"/>
  <c r="AM36" i="28"/>
  <c r="BO30" i="28"/>
  <c r="AL36" i="28"/>
  <c r="BN30" i="28"/>
  <c r="BM30" i="28"/>
  <c r="AK36" i="28"/>
  <c r="AJ36" i="28"/>
  <c r="BL30" i="28"/>
  <c r="AI36" i="28"/>
  <c r="BK30" i="28"/>
  <c r="AH36" i="28"/>
  <c r="BJ30" i="28"/>
  <c r="BI30" i="28"/>
  <c r="AG36" i="28"/>
  <c r="BH30" i="28"/>
  <c r="AF36" i="28"/>
  <c r="BG30" i="28"/>
  <c r="AQ30" i="28"/>
  <c r="AE36" i="28"/>
  <c r="AP35" i="28"/>
  <c r="BR29" i="28"/>
  <c r="AP31" i="28"/>
  <c r="AP37" i="28" s="1"/>
  <c r="AO35" i="28"/>
  <c r="BQ29" i="28"/>
  <c r="AO31" i="28"/>
  <c r="AO37" i="28" s="1"/>
  <c r="AN31" i="28"/>
  <c r="AN37" i="28" s="1"/>
  <c r="AN35" i="28"/>
  <c r="BP29" i="28"/>
  <c r="BO29" i="28"/>
  <c r="AM35" i="28"/>
  <c r="AM31" i="28"/>
  <c r="AM37" i="28" s="1"/>
  <c r="BN29" i="28"/>
  <c r="AL31" i="28"/>
  <c r="AL37" i="28" s="1"/>
  <c r="AL35" i="28"/>
  <c r="AK35" i="28"/>
  <c r="AK31" i="28"/>
  <c r="AK37" i="28" s="1"/>
  <c r="BM29" i="28"/>
  <c r="AJ31" i="28"/>
  <c r="AJ37" i="28" s="1"/>
  <c r="AJ35" i="28"/>
  <c r="BL29" i="28"/>
  <c r="AI35" i="28"/>
  <c r="AI31" i="28"/>
  <c r="AI37" i="28" s="1"/>
  <c r="BK29" i="28"/>
  <c r="AH31" i="28"/>
  <c r="AH37" i="28" s="1"/>
  <c r="AH35" i="28"/>
  <c r="BJ29" i="28"/>
  <c r="AG35" i="28"/>
  <c r="BI29" i="28"/>
  <c r="AG31" i="28"/>
  <c r="AG37" i="28" s="1"/>
  <c r="BH29" i="28"/>
  <c r="AF31" i="28"/>
  <c r="AF37" i="28" s="1"/>
  <c r="AF35" i="28"/>
  <c r="AE35" i="28"/>
  <c r="BG29" i="28"/>
  <c r="AE31" i="28"/>
  <c r="AQ29" i="28"/>
  <c r="AP38" i="28"/>
  <c r="AO38" i="28"/>
  <c r="AN38" i="28"/>
  <c r="AM38" i="28"/>
  <c r="AL38" i="28"/>
  <c r="AK38" i="28"/>
  <c r="AJ38" i="28"/>
  <c r="AI38" i="28"/>
  <c r="AH38" i="28"/>
  <c r="AG38" i="28"/>
  <c r="AF38" i="28"/>
  <c r="AE38" i="28"/>
  <c r="AQ28" i="28"/>
  <c r="AQ38" i="28" s="1"/>
  <c r="O61" i="27"/>
  <c r="O69" i="27" s="1"/>
  <c r="C69" i="27"/>
  <c r="BE30" i="28"/>
  <c r="BD31" i="28"/>
  <c r="BC31" i="28"/>
  <c r="BB31" i="28"/>
  <c r="BA31" i="28"/>
  <c r="AZ31" i="28"/>
  <c r="AY31" i="28"/>
  <c r="AX31" i="28"/>
  <c r="AW31" i="28"/>
  <c r="AV31" i="28"/>
  <c r="AU31" i="28"/>
  <c r="AT31" i="28"/>
  <c r="BE29" i="28"/>
  <c r="AS31" i="28"/>
  <c r="N47" i="27"/>
  <c r="BD28" i="28"/>
  <c r="N25" i="27"/>
  <c r="M47" i="27"/>
  <c r="M25" i="27"/>
  <c r="BC28" i="28"/>
  <c r="BB28" i="28"/>
  <c r="L47" i="27"/>
  <c r="L25" i="27"/>
  <c r="K47" i="27"/>
  <c r="BA28" i="28"/>
  <c r="K25" i="27"/>
  <c r="AZ28" i="28"/>
  <c r="J47" i="27"/>
  <c r="J25" i="27"/>
  <c r="AY28" i="28"/>
  <c r="I47" i="27"/>
  <c r="I25" i="27"/>
  <c r="AX28" i="28"/>
  <c r="H47" i="27"/>
  <c r="H25" i="27"/>
  <c r="AW28" i="28"/>
  <c r="G47" i="27"/>
  <c r="G25" i="27"/>
  <c r="AV28" i="28"/>
  <c r="F47" i="27"/>
  <c r="F25" i="27"/>
  <c r="AU28" i="28"/>
  <c r="E47" i="27"/>
  <c r="E25" i="27"/>
  <c r="AT28" i="28"/>
  <c r="D47" i="27"/>
  <c r="D25" i="27"/>
  <c r="C47" i="27"/>
  <c r="AS28" i="28"/>
  <c r="C25" i="27"/>
  <c r="O46" i="27"/>
  <c r="O24" i="27"/>
  <c r="O45" i="27"/>
  <c r="O23" i="27"/>
  <c r="O44" i="27"/>
  <c r="O22" i="27"/>
  <c r="O43" i="27"/>
  <c r="O21" i="27"/>
  <c r="O42" i="27"/>
  <c r="O20" i="27"/>
  <c r="O41" i="27"/>
  <c r="O19" i="27"/>
  <c r="O40" i="27"/>
  <c r="O18" i="27"/>
  <c r="O39" i="27"/>
  <c r="O17" i="27"/>
  <c r="O14" i="27"/>
  <c r="AB46" i="25"/>
  <c r="AC45" i="25"/>
  <c r="N46" i="25"/>
  <c r="O45" i="25"/>
  <c r="AQ44" i="25"/>
  <c r="BR44" i="25"/>
  <c r="BS44" i="25" s="1"/>
  <c r="AQ43" i="25"/>
  <c r="BR43" i="25"/>
  <c r="BS43" i="25" s="1"/>
  <c r="BR42" i="25"/>
  <c r="BS42" i="25" s="1"/>
  <c r="AQ42" i="25"/>
  <c r="AQ41" i="25"/>
  <c r="BR41" i="25"/>
  <c r="BS41" i="25" s="1"/>
  <c r="BD45" i="25"/>
  <c r="BE40" i="25"/>
  <c r="AP45" i="25"/>
  <c r="BR40" i="25"/>
  <c r="AQ40" i="25"/>
  <c r="AO45" i="25"/>
  <c r="AO46" i="25" s="1"/>
  <c r="BQ40" i="25"/>
  <c r="BQ45" i="25" s="1"/>
  <c r="AN45" i="25"/>
  <c r="AN46" i="25" s="1"/>
  <c r="BP40" i="25"/>
  <c r="BP45" i="25" s="1"/>
  <c r="AM45" i="25"/>
  <c r="AM46" i="25" s="1"/>
  <c r="BO40" i="25"/>
  <c r="BO45" i="25" s="1"/>
  <c r="BN40" i="25"/>
  <c r="BN45" i="25" s="1"/>
  <c r="AL45" i="25"/>
  <c r="AL46" i="25" s="1"/>
  <c r="BM40" i="25"/>
  <c r="BM45" i="25" s="1"/>
  <c r="AK45" i="25"/>
  <c r="AK46" i="25" s="1"/>
  <c r="BL40" i="25"/>
  <c r="BL45" i="25" s="1"/>
  <c r="AJ45" i="25"/>
  <c r="AJ46" i="25" s="1"/>
  <c r="AI45" i="25"/>
  <c r="AI46" i="25" s="1"/>
  <c r="BK40" i="25"/>
  <c r="BK45" i="25" s="1"/>
  <c r="AH45" i="25"/>
  <c r="AH46" i="25" s="1"/>
  <c r="BJ40" i="25"/>
  <c r="BJ45" i="25" s="1"/>
  <c r="AG45" i="25"/>
  <c r="AG46" i="25" s="1"/>
  <c r="BI40" i="25"/>
  <c r="BI45" i="25" s="1"/>
  <c r="AF45" i="25"/>
  <c r="AF46" i="25" s="1"/>
  <c r="BH40" i="25"/>
  <c r="BH45" i="25" s="1"/>
  <c r="AE45" i="25"/>
  <c r="AE46" i="25" s="1"/>
  <c r="BG40" i="25"/>
  <c r="BG45" i="25" s="1"/>
  <c r="Q37" i="25"/>
  <c r="AC31" i="25"/>
  <c r="AC37" i="25" s="1"/>
  <c r="O31" i="25"/>
  <c r="O37" i="25" s="1"/>
  <c r="C37" i="25"/>
  <c r="BR30" i="25"/>
  <c r="AP36" i="25"/>
  <c r="BQ30" i="25"/>
  <c r="AO36" i="25"/>
  <c r="BP30" i="25"/>
  <c r="AN36" i="25"/>
  <c r="AM36" i="25"/>
  <c r="BO30" i="25"/>
  <c r="AL36" i="25"/>
  <c r="BN30" i="25"/>
  <c r="BM30" i="25"/>
  <c r="AK36" i="25"/>
  <c r="BL30" i="25"/>
  <c r="AJ36" i="25"/>
  <c r="BK30" i="25"/>
  <c r="AI36" i="25"/>
  <c r="BJ30" i="25"/>
  <c r="AH36" i="25"/>
  <c r="BI30" i="25"/>
  <c r="AG36" i="25"/>
  <c r="BH30" i="25"/>
  <c r="AF36" i="25"/>
  <c r="AQ30" i="25"/>
  <c r="BG30" i="25"/>
  <c r="AE36" i="25"/>
  <c r="AP31" i="25"/>
  <c r="AP37" i="25" s="1"/>
  <c r="BR29" i="25"/>
  <c r="AP35" i="25"/>
  <c r="AO35" i="25"/>
  <c r="AO31" i="25"/>
  <c r="AO37" i="25" s="1"/>
  <c r="BQ29" i="25"/>
  <c r="AN31" i="25"/>
  <c r="AN37" i="25" s="1"/>
  <c r="BP29" i="25"/>
  <c r="AN35" i="25"/>
  <c r="AM31" i="25"/>
  <c r="AM37" i="25" s="1"/>
  <c r="BO29" i="25"/>
  <c r="AM35" i="25"/>
  <c r="AL35" i="25"/>
  <c r="AL31" i="25"/>
  <c r="AL37" i="25" s="1"/>
  <c r="BN29" i="25"/>
  <c r="BM29" i="25"/>
  <c r="AK31" i="25"/>
  <c r="AK37" i="25" s="1"/>
  <c r="AK35" i="25"/>
  <c r="AJ35" i="25"/>
  <c r="AJ31" i="25"/>
  <c r="AJ37" i="25" s="1"/>
  <c r="BL29" i="25"/>
  <c r="AI35" i="25"/>
  <c r="BK29" i="25"/>
  <c r="AI31" i="25"/>
  <c r="AI37" i="25" s="1"/>
  <c r="AH35" i="25"/>
  <c r="BJ29" i="25"/>
  <c r="AH31" i="25"/>
  <c r="AH37" i="25" s="1"/>
  <c r="AG35" i="25"/>
  <c r="BI29" i="25"/>
  <c r="AG31" i="25"/>
  <c r="AG37" i="25" s="1"/>
  <c r="AF35" i="25"/>
  <c r="AF31" i="25"/>
  <c r="AF37" i="25" s="1"/>
  <c r="BH29" i="25"/>
  <c r="AQ29" i="25"/>
  <c r="AE31" i="25"/>
  <c r="AE35" i="25"/>
  <c r="BG29" i="25"/>
  <c r="AP38" i="25"/>
  <c r="AO38" i="25"/>
  <c r="AN38" i="25"/>
  <c r="AM38" i="25"/>
  <c r="AL38" i="25"/>
  <c r="AK38" i="25"/>
  <c r="AJ38" i="25"/>
  <c r="AI38" i="25"/>
  <c r="AH38" i="25"/>
  <c r="AG38" i="25"/>
  <c r="AF38" i="25"/>
  <c r="AE38" i="25"/>
  <c r="AQ28" i="25"/>
  <c r="AQ38" i="25" s="1"/>
  <c r="C69" i="24"/>
  <c r="O61" i="24"/>
  <c r="O69" i="24" s="1"/>
  <c r="BE30" i="25"/>
  <c r="BD31" i="25"/>
  <c r="BC31" i="25"/>
  <c r="BB31" i="25"/>
  <c r="BA31" i="25"/>
  <c r="AZ31" i="25"/>
  <c r="AY31" i="25"/>
  <c r="AX31" i="25"/>
  <c r="AW31" i="25"/>
  <c r="AV31" i="25"/>
  <c r="AU31" i="25"/>
  <c r="AT31" i="25"/>
  <c r="BE29" i="25"/>
  <c r="AS31" i="25"/>
  <c r="BD28" i="25"/>
  <c r="N47" i="24"/>
  <c r="N25" i="24"/>
  <c r="BC28" i="25"/>
  <c r="M47" i="24"/>
  <c r="M25" i="24"/>
  <c r="BB28" i="25"/>
  <c r="L47" i="24"/>
  <c r="L25" i="24"/>
  <c r="BA28" i="25"/>
  <c r="K47" i="24"/>
  <c r="K25" i="24"/>
  <c r="AZ28" i="25"/>
  <c r="J47" i="24"/>
  <c r="J25" i="24"/>
  <c r="I47" i="24"/>
  <c r="AY28" i="25"/>
  <c r="I25" i="24"/>
  <c r="AX28" i="25"/>
  <c r="H47" i="24"/>
  <c r="H25" i="24"/>
  <c r="G47" i="24"/>
  <c r="AW28" i="25"/>
  <c r="G25" i="24"/>
  <c r="AV28" i="25"/>
  <c r="F47" i="24"/>
  <c r="F25" i="24"/>
  <c r="E25" i="24"/>
  <c r="E47" i="24"/>
  <c r="AU28" i="25"/>
  <c r="AT28" i="25"/>
  <c r="D25" i="24"/>
  <c r="D47" i="24"/>
  <c r="AS28" i="25"/>
  <c r="C47" i="24"/>
  <c r="C25" i="24"/>
  <c r="O46" i="24"/>
  <c r="O24" i="24"/>
  <c r="O45" i="24"/>
  <c r="O23" i="24"/>
  <c r="O44" i="24"/>
  <c r="O22" i="24"/>
  <c r="O43" i="24"/>
  <c r="O21" i="24"/>
  <c r="O42" i="24"/>
  <c r="O20" i="24"/>
  <c r="O41" i="24"/>
  <c r="O19" i="24"/>
  <c r="O40" i="24"/>
  <c r="O18" i="24"/>
  <c r="O39" i="24"/>
  <c r="O17" i="24"/>
  <c r="O14" i="24"/>
  <c r="AB46" i="22"/>
  <c r="AC45" i="22"/>
  <c r="O45" i="22"/>
  <c r="N46" i="22"/>
  <c r="BR44" i="22"/>
  <c r="BS44" i="22" s="1"/>
  <c r="AQ44" i="22"/>
  <c r="AQ43" i="22"/>
  <c r="BR43" i="22"/>
  <c r="BS43" i="22" s="1"/>
  <c r="AQ42" i="22"/>
  <c r="BR42" i="22"/>
  <c r="BS42" i="22" s="1"/>
  <c r="AQ41" i="22"/>
  <c r="BR41" i="22"/>
  <c r="BS41" i="22" s="1"/>
  <c r="BE40" i="22"/>
  <c r="BD45" i="22"/>
  <c r="AP45" i="22"/>
  <c r="BR40" i="22"/>
  <c r="AQ40" i="22"/>
  <c r="AO45" i="22"/>
  <c r="AO46" i="22" s="1"/>
  <c r="BQ40" i="22"/>
  <c r="BQ45" i="22" s="1"/>
  <c r="AN45" i="22"/>
  <c r="AN46" i="22" s="1"/>
  <c r="BP40" i="22"/>
  <c r="BP45" i="22" s="1"/>
  <c r="AM45" i="22"/>
  <c r="AM46" i="22" s="1"/>
  <c r="BO40" i="22"/>
  <c r="BO45" i="22" s="1"/>
  <c r="AL45" i="22"/>
  <c r="AL46" i="22" s="1"/>
  <c r="BN40" i="22"/>
  <c r="BN45" i="22" s="1"/>
  <c r="BM40" i="22"/>
  <c r="BM45" i="22" s="1"/>
  <c r="AK45" i="22"/>
  <c r="AK46" i="22" s="1"/>
  <c r="AJ45" i="22"/>
  <c r="AJ46" i="22" s="1"/>
  <c r="BL40" i="22"/>
  <c r="BL45" i="22" s="1"/>
  <c r="AI45" i="22"/>
  <c r="AI46" i="22" s="1"/>
  <c r="BK40" i="22"/>
  <c r="BK45" i="22" s="1"/>
  <c r="AH45" i="22"/>
  <c r="AH46" i="22" s="1"/>
  <c r="BJ40" i="22"/>
  <c r="BJ45" i="22" s="1"/>
  <c r="BI40" i="22"/>
  <c r="BI45" i="22" s="1"/>
  <c r="AG45" i="22"/>
  <c r="AG46" i="22" s="1"/>
  <c r="BH40" i="22"/>
  <c r="BH45" i="22" s="1"/>
  <c r="AF45" i="22"/>
  <c r="AF46" i="22" s="1"/>
  <c r="AE45" i="22"/>
  <c r="AE46" i="22" s="1"/>
  <c r="BG40" i="22"/>
  <c r="BG45" i="22" s="1"/>
  <c r="AC31" i="22"/>
  <c r="AC37" i="22" s="1"/>
  <c r="Q37" i="22"/>
  <c r="O31" i="22"/>
  <c r="O37" i="22" s="1"/>
  <c r="C37" i="22"/>
  <c r="AP36" i="22"/>
  <c r="BR30" i="22"/>
  <c r="AO36" i="22"/>
  <c r="BQ30" i="22"/>
  <c r="AN36" i="22"/>
  <c r="BP30" i="22"/>
  <c r="AM36" i="22"/>
  <c r="BO30" i="22"/>
  <c r="AL36" i="22"/>
  <c r="BN30" i="22"/>
  <c r="AK36" i="22"/>
  <c r="BM30" i="22"/>
  <c r="BL30" i="22"/>
  <c r="AJ36" i="22"/>
  <c r="AI36" i="22"/>
  <c r="BK30" i="22"/>
  <c r="BJ30" i="22"/>
  <c r="AH36" i="22"/>
  <c r="AG36" i="22"/>
  <c r="BI30" i="22"/>
  <c r="AF36" i="22"/>
  <c r="BH30" i="22"/>
  <c r="AE36" i="22"/>
  <c r="AQ30" i="22"/>
  <c r="BG30" i="22"/>
  <c r="AP35" i="22"/>
  <c r="BR29" i="22"/>
  <c r="AP31" i="22"/>
  <c r="AP37" i="22" s="1"/>
  <c r="AO35" i="22"/>
  <c r="AO31" i="22"/>
  <c r="AO37" i="22" s="1"/>
  <c r="BQ29" i="22"/>
  <c r="AN35" i="22"/>
  <c r="AN31" i="22"/>
  <c r="AN37" i="22" s="1"/>
  <c r="BP29" i="22"/>
  <c r="AM35" i="22"/>
  <c r="BO29" i="22"/>
  <c r="AM31" i="22"/>
  <c r="AM37" i="22" s="1"/>
  <c r="AL35" i="22"/>
  <c r="BN29" i="22"/>
  <c r="AL31" i="22"/>
  <c r="AL37" i="22" s="1"/>
  <c r="AK31" i="22"/>
  <c r="AK37" i="22" s="1"/>
  <c r="BM29" i="22"/>
  <c r="AK35" i="22"/>
  <c r="AJ35" i="22"/>
  <c r="BL29" i="22"/>
  <c r="AJ31" i="22"/>
  <c r="AJ37" i="22" s="1"/>
  <c r="BK29" i="22"/>
  <c r="AI31" i="22"/>
  <c r="AI37" i="22" s="1"/>
  <c r="AI35" i="22"/>
  <c r="AH31" i="22"/>
  <c r="AH37" i="22" s="1"/>
  <c r="AH35" i="22"/>
  <c r="BJ29" i="22"/>
  <c r="AG31" i="22"/>
  <c r="AG37" i="22" s="1"/>
  <c r="AG35" i="22"/>
  <c r="BI29" i="22"/>
  <c r="AF31" i="22"/>
  <c r="AF37" i="22" s="1"/>
  <c r="BH29" i="22"/>
  <c r="AF35" i="22"/>
  <c r="AE31" i="22"/>
  <c r="AQ29" i="22"/>
  <c r="BG29" i="22"/>
  <c r="AE35" i="22"/>
  <c r="AP38" i="22"/>
  <c r="AO38" i="22"/>
  <c r="AN38" i="22"/>
  <c r="AM38" i="22"/>
  <c r="AL38" i="22"/>
  <c r="AK38" i="22"/>
  <c r="AJ38" i="22"/>
  <c r="AI38" i="22"/>
  <c r="AH38" i="22"/>
  <c r="AG38" i="22"/>
  <c r="AF38" i="22"/>
  <c r="AE38" i="22"/>
  <c r="AQ28" i="22"/>
  <c r="AQ38" i="22" s="1"/>
  <c r="O61" i="21"/>
  <c r="O69" i="21" s="1"/>
  <c r="C69" i="21"/>
  <c r="BE30" i="22"/>
  <c r="BD31" i="22"/>
  <c r="BC31" i="22"/>
  <c r="BB31" i="22"/>
  <c r="BA31" i="22"/>
  <c r="AZ31" i="22"/>
  <c r="AY31" i="22"/>
  <c r="AX31" i="22"/>
  <c r="AW31" i="22"/>
  <c r="AV31" i="22"/>
  <c r="AU31" i="22"/>
  <c r="AT31" i="22"/>
  <c r="BE29" i="22"/>
  <c r="AS31" i="22"/>
  <c r="N47" i="21"/>
  <c r="BD28" i="22"/>
  <c r="N25" i="21"/>
  <c r="M47" i="21"/>
  <c r="BC28" i="22"/>
  <c r="M25" i="21"/>
  <c r="BB28" i="22"/>
  <c r="L47" i="21"/>
  <c r="L25" i="21"/>
  <c r="BA28" i="22"/>
  <c r="K47" i="21"/>
  <c r="K25" i="21"/>
  <c r="J47" i="21"/>
  <c r="AZ28" i="22"/>
  <c r="J25" i="21"/>
  <c r="I25" i="21"/>
  <c r="AY28" i="22"/>
  <c r="I47" i="21"/>
  <c r="H47" i="21"/>
  <c r="AX28" i="22"/>
  <c r="H25" i="21"/>
  <c r="G25" i="21"/>
  <c r="G47" i="21"/>
  <c r="AW28" i="22"/>
  <c r="AV28" i="22"/>
  <c r="F47" i="21"/>
  <c r="F25" i="21"/>
  <c r="AU28" i="22"/>
  <c r="E47" i="21"/>
  <c r="E25" i="21"/>
  <c r="AT28" i="22"/>
  <c r="D47" i="21"/>
  <c r="D25" i="21"/>
  <c r="AS28" i="22"/>
  <c r="C47" i="21"/>
  <c r="C25" i="21"/>
  <c r="O46" i="21"/>
  <c r="O24" i="21"/>
  <c r="O45" i="21"/>
  <c r="O23" i="21"/>
  <c r="O44" i="21"/>
  <c r="O22" i="21"/>
  <c r="O43" i="21"/>
  <c r="O21" i="21"/>
  <c r="O42" i="21"/>
  <c r="O20" i="21"/>
  <c r="O41" i="21"/>
  <c r="O19" i="21"/>
  <c r="O40" i="21"/>
  <c r="O18" i="21"/>
  <c r="O39" i="21"/>
  <c r="O17" i="21"/>
  <c r="O14" i="21"/>
  <c r="AB46" i="19"/>
  <c r="AC45" i="19"/>
  <c r="N46" i="19"/>
  <c r="O45" i="19"/>
  <c r="AQ44" i="19"/>
  <c r="BR44" i="19"/>
  <c r="BS44" i="19" s="1"/>
  <c r="BR43" i="19"/>
  <c r="BS43" i="19" s="1"/>
  <c r="AQ43" i="19"/>
  <c r="BR42" i="19"/>
  <c r="BS42" i="19" s="1"/>
  <c r="AQ42" i="19"/>
  <c r="BR41" i="19"/>
  <c r="BS41" i="19" s="1"/>
  <c r="AQ41" i="19"/>
  <c r="BE40" i="19"/>
  <c r="BD45" i="19"/>
  <c r="AP45" i="19"/>
  <c r="AQ40" i="19"/>
  <c r="BR40" i="19"/>
  <c r="AO45" i="19"/>
  <c r="AO46" i="19" s="1"/>
  <c r="BQ40" i="19"/>
  <c r="BQ45" i="19" s="1"/>
  <c r="AN45" i="19"/>
  <c r="AN46" i="19" s="1"/>
  <c r="BP40" i="19"/>
  <c r="BP45" i="19" s="1"/>
  <c r="AM45" i="19"/>
  <c r="AM46" i="19" s="1"/>
  <c r="BO40" i="19"/>
  <c r="BO45" i="19" s="1"/>
  <c r="AL45" i="19"/>
  <c r="AL46" i="19" s="1"/>
  <c r="BN40" i="19"/>
  <c r="BN45" i="19" s="1"/>
  <c r="AK45" i="19"/>
  <c r="AK46" i="19" s="1"/>
  <c r="BM40" i="19"/>
  <c r="BM45" i="19" s="1"/>
  <c r="AJ45" i="19"/>
  <c r="AJ46" i="19" s="1"/>
  <c r="BL40" i="19"/>
  <c r="BL45" i="19" s="1"/>
  <c r="AI45" i="19"/>
  <c r="AI46" i="19" s="1"/>
  <c r="BK40" i="19"/>
  <c r="BK45" i="19" s="1"/>
  <c r="AH45" i="19"/>
  <c r="AH46" i="19" s="1"/>
  <c r="BJ40" i="19"/>
  <c r="BJ45" i="19" s="1"/>
  <c r="AG45" i="19"/>
  <c r="AG46" i="19" s="1"/>
  <c r="BI40" i="19"/>
  <c r="BI45" i="19" s="1"/>
  <c r="AF45" i="19"/>
  <c r="AF46" i="19" s="1"/>
  <c r="BH40" i="19"/>
  <c r="BH45" i="19" s="1"/>
  <c r="AE45" i="19"/>
  <c r="AE46" i="19" s="1"/>
  <c r="BG40" i="19"/>
  <c r="BG45" i="19" s="1"/>
  <c r="Q37" i="19"/>
  <c r="AC31" i="19"/>
  <c r="AC37" i="19" s="1"/>
  <c r="C37" i="19"/>
  <c r="O31" i="19"/>
  <c r="O37" i="19" s="1"/>
  <c r="AP36" i="19"/>
  <c r="BR30" i="19"/>
  <c r="AO36" i="19"/>
  <c r="BQ30" i="19"/>
  <c r="AN36" i="19"/>
  <c r="BP30" i="19"/>
  <c r="AM36" i="19"/>
  <c r="BO30" i="19"/>
  <c r="BN30" i="19"/>
  <c r="AL36" i="19"/>
  <c r="BM30" i="19"/>
  <c r="AK36" i="19"/>
  <c r="BL30" i="19"/>
  <c r="AJ36" i="19"/>
  <c r="BK30" i="19"/>
  <c r="AI36" i="19"/>
  <c r="BJ30" i="19"/>
  <c r="AH36" i="19"/>
  <c r="BI30" i="19"/>
  <c r="AG36" i="19"/>
  <c r="BH30" i="19"/>
  <c r="AF36" i="19"/>
  <c r="AQ30" i="19"/>
  <c r="BG30" i="19"/>
  <c r="AE36" i="19"/>
  <c r="BR29" i="19"/>
  <c r="AP35" i="19"/>
  <c r="AP31" i="19"/>
  <c r="AP37" i="19" s="1"/>
  <c r="BQ29" i="19"/>
  <c r="AO35" i="19"/>
  <c r="AO31" i="19"/>
  <c r="AO37" i="19" s="1"/>
  <c r="BP29" i="19"/>
  <c r="AN35" i="19"/>
  <c r="AN31" i="19"/>
  <c r="AN37" i="19" s="1"/>
  <c r="AM35" i="19"/>
  <c r="AM31" i="19"/>
  <c r="AM37" i="19" s="1"/>
  <c r="BO29" i="19"/>
  <c r="AL35" i="19"/>
  <c r="AL31" i="19"/>
  <c r="AL37" i="19" s="1"/>
  <c r="BN29" i="19"/>
  <c r="AK35" i="19"/>
  <c r="AK31" i="19"/>
  <c r="AK37" i="19" s="1"/>
  <c r="BM29" i="19"/>
  <c r="AJ31" i="19"/>
  <c r="AJ37" i="19" s="1"/>
  <c r="AJ35" i="19"/>
  <c r="BL29" i="19"/>
  <c r="AI35" i="19"/>
  <c r="AI31" i="19"/>
  <c r="AI37" i="19" s="1"/>
  <c r="BK29" i="19"/>
  <c r="AH31" i="19"/>
  <c r="AH37" i="19" s="1"/>
  <c r="AH35" i="19"/>
  <c r="BJ29" i="19"/>
  <c r="AG35" i="19"/>
  <c r="AG31" i="19"/>
  <c r="AG37" i="19" s="1"/>
  <c r="BI29" i="19"/>
  <c r="BH29" i="19"/>
  <c r="AF35" i="19"/>
  <c r="AF31" i="19"/>
  <c r="AF37" i="19" s="1"/>
  <c r="AE31" i="19"/>
  <c r="AE35" i="19"/>
  <c r="AQ29" i="19"/>
  <c r="BG29" i="19"/>
  <c r="AP38" i="19"/>
  <c r="AO38" i="19"/>
  <c r="AN38" i="19"/>
  <c r="AM38" i="19"/>
  <c r="AL38" i="19"/>
  <c r="AK38" i="19"/>
  <c r="AJ38" i="19"/>
  <c r="AI38" i="19"/>
  <c r="AH38" i="19"/>
  <c r="AG38" i="19"/>
  <c r="AF38" i="19"/>
  <c r="AE38" i="19"/>
  <c r="AQ28" i="19"/>
  <c r="AQ38" i="19" s="1"/>
  <c r="C69" i="18"/>
  <c r="O61" i="18"/>
  <c r="O69" i="18" s="1"/>
  <c r="BE30" i="19"/>
  <c r="BD31" i="19"/>
  <c r="BC31" i="19"/>
  <c r="BB31" i="19"/>
  <c r="BA31" i="19"/>
  <c r="AZ31" i="19"/>
  <c r="AY31" i="19"/>
  <c r="AX31" i="19"/>
  <c r="AW31" i="19"/>
  <c r="AV31" i="19"/>
  <c r="AU31" i="19"/>
  <c r="AT31" i="19"/>
  <c r="BE29" i="19"/>
  <c r="AS31" i="19"/>
  <c r="BD28" i="19"/>
  <c r="N25" i="18"/>
  <c r="N47" i="18"/>
  <c r="BC28" i="19"/>
  <c r="M25" i="18"/>
  <c r="M47" i="18"/>
  <c r="BB28" i="19"/>
  <c r="L47" i="18"/>
  <c r="L25" i="18"/>
  <c r="BA28" i="19"/>
  <c r="K25" i="18"/>
  <c r="K47" i="18"/>
  <c r="AZ28" i="19"/>
  <c r="J47" i="18"/>
  <c r="J25" i="18"/>
  <c r="AY28" i="19"/>
  <c r="I47" i="18"/>
  <c r="I25" i="18"/>
  <c r="H47" i="18"/>
  <c r="AX28" i="19"/>
  <c r="H25" i="18"/>
  <c r="G47" i="18"/>
  <c r="AW28" i="19"/>
  <c r="G25" i="18"/>
  <c r="F47" i="18"/>
  <c r="AV28" i="19"/>
  <c r="F25" i="18"/>
  <c r="E47" i="18"/>
  <c r="AU28" i="19"/>
  <c r="E25" i="18"/>
  <c r="D47" i="18"/>
  <c r="AT28" i="19"/>
  <c r="D25" i="18"/>
  <c r="C47" i="18"/>
  <c r="AS28" i="19"/>
  <c r="C25" i="18"/>
  <c r="O46" i="18"/>
  <c r="O24" i="18"/>
  <c r="O45" i="18"/>
  <c r="O23" i="18"/>
  <c r="O44" i="18"/>
  <c r="O22" i="18"/>
  <c r="O43" i="18"/>
  <c r="O21" i="18"/>
  <c r="O42" i="18"/>
  <c r="O20" i="18"/>
  <c r="O41" i="18"/>
  <c r="O19" i="18"/>
  <c r="O40" i="18"/>
  <c r="O18" i="18"/>
  <c r="O39" i="18"/>
  <c r="O17" i="18"/>
  <c r="O14" i="18"/>
  <c r="AB46" i="16"/>
  <c r="AC45" i="16"/>
  <c r="N46" i="16"/>
  <c r="O45" i="16"/>
  <c r="BR44" i="16"/>
  <c r="BS44" i="16" s="1"/>
  <c r="AQ44" i="16"/>
  <c r="BR43" i="16"/>
  <c r="BS43" i="16" s="1"/>
  <c r="AQ43" i="16"/>
  <c r="BR42" i="16"/>
  <c r="BS42" i="16" s="1"/>
  <c r="AQ42" i="16"/>
  <c r="AQ41" i="16"/>
  <c r="BR41" i="16"/>
  <c r="BS41" i="16" s="1"/>
  <c r="BE40" i="16"/>
  <c r="BD45" i="16"/>
  <c r="BR40" i="16"/>
  <c r="AQ40" i="16"/>
  <c r="AP45" i="16"/>
  <c r="AO45" i="16"/>
  <c r="AO46" i="16" s="1"/>
  <c r="BQ40" i="16"/>
  <c r="BQ45" i="16" s="1"/>
  <c r="AN45" i="16"/>
  <c r="AN46" i="16" s="1"/>
  <c r="BP40" i="16"/>
  <c r="BP45" i="16" s="1"/>
  <c r="AM45" i="16"/>
  <c r="AM46" i="16" s="1"/>
  <c r="BO40" i="16"/>
  <c r="BO45" i="16" s="1"/>
  <c r="BN40" i="16"/>
  <c r="BN45" i="16" s="1"/>
  <c r="AL45" i="16"/>
  <c r="AL46" i="16" s="1"/>
  <c r="BM40" i="16"/>
  <c r="BM45" i="16" s="1"/>
  <c r="AK45" i="16"/>
  <c r="AK46" i="16" s="1"/>
  <c r="AJ45" i="16"/>
  <c r="AJ46" i="16" s="1"/>
  <c r="BL40" i="16"/>
  <c r="BL45" i="16" s="1"/>
  <c r="AI45" i="16"/>
  <c r="AI46" i="16" s="1"/>
  <c r="BK40" i="16"/>
  <c r="BK45" i="16" s="1"/>
  <c r="BJ40" i="16"/>
  <c r="BJ45" i="16" s="1"/>
  <c r="AH45" i="16"/>
  <c r="AH46" i="16" s="1"/>
  <c r="AG45" i="16"/>
  <c r="AG46" i="16" s="1"/>
  <c r="BI40" i="16"/>
  <c r="BI45" i="16" s="1"/>
  <c r="AF45" i="16"/>
  <c r="AF46" i="16" s="1"/>
  <c r="BH40" i="16"/>
  <c r="BH45" i="16" s="1"/>
  <c r="AE45" i="16"/>
  <c r="AE46" i="16" s="1"/>
  <c r="BG40" i="16"/>
  <c r="BG45" i="16" s="1"/>
  <c r="Q37" i="16"/>
  <c r="AC31" i="16"/>
  <c r="AC37" i="16" s="1"/>
  <c r="O31" i="16"/>
  <c r="O37" i="16" s="1"/>
  <c r="C37" i="16"/>
  <c r="BR30" i="16"/>
  <c r="AP36" i="16"/>
  <c r="BQ30" i="16"/>
  <c r="AO36" i="16"/>
  <c r="BP30" i="16"/>
  <c r="AN36" i="16"/>
  <c r="BO30" i="16"/>
  <c r="AM36" i="16"/>
  <c r="BN30" i="16"/>
  <c r="AL36" i="16"/>
  <c r="BM30" i="16"/>
  <c r="AK36" i="16"/>
  <c r="BL30" i="16"/>
  <c r="AJ36" i="16"/>
  <c r="BK30" i="16"/>
  <c r="AI36" i="16"/>
  <c r="BJ30" i="16"/>
  <c r="AH36" i="16"/>
  <c r="BI30" i="16"/>
  <c r="AG36" i="16"/>
  <c r="BH30" i="16"/>
  <c r="AF36" i="16"/>
  <c r="BG30" i="16"/>
  <c r="AE36" i="16"/>
  <c r="AQ30" i="16"/>
  <c r="AP31" i="16"/>
  <c r="AP37" i="16" s="1"/>
  <c r="AP35" i="16"/>
  <c r="BR29" i="16"/>
  <c r="AO35" i="16"/>
  <c r="BQ29" i="16"/>
  <c r="AO31" i="16"/>
  <c r="AO37" i="16" s="1"/>
  <c r="AN35" i="16"/>
  <c r="AN31" i="16"/>
  <c r="AN37" i="16" s="1"/>
  <c r="BP29" i="16"/>
  <c r="BO29" i="16"/>
  <c r="AM31" i="16"/>
  <c r="AM37" i="16" s="1"/>
  <c r="AM35" i="16"/>
  <c r="AL31" i="16"/>
  <c r="AL37" i="16" s="1"/>
  <c r="AL35" i="16"/>
  <c r="BN29" i="16"/>
  <c r="AK35" i="16"/>
  <c r="AK31" i="16"/>
  <c r="AK37" i="16" s="1"/>
  <c r="BM29" i="16"/>
  <c r="AJ35" i="16"/>
  <c r="AJ31" i="16"/>
  <c r="AJ37" i="16" s="1"/>
  <c r="BL29" i="16"/>
  <c r="AI35" i="16"/>
  <c r="BK29" i="16"/>
  <c r="AI31" i="16"/>
  <c r="AI37" i="16" s="1"/>
  <c r="AH35" i="16"/>
  <c r="AH31" i="16"/>
  <c r="AH37" i="16" s="1"/>
  <c r="BJ29" i="16"/>
  <c r="AG35" i="16"/>
  <c r="BI29" i="16"/>
  <c r="AG31" i="16"/>
  <c r="AG37" i="16" s="1"/>
  <c r="AF35" i="16"/>
  <c r="BH29" i="16"/>
  <c r="AF31" i="16"/>
  <c r="AF37" i="16" s="1"/>
  <c r="AE35" i="16"/>
  <c r="AE31" i="16"/>
  <c r="BG29" i="16"/>
  <c r="AQ29" i="16"/>
  <c r="AP38" i="16"/>
  <c r="AO38" i="16"/>
  <c r="AN38" i="16"/>
  <c r="AM38" i="16"/>
  <c r="AL38" i="16"/>
  <c r="AK38" i="16"/>
  <c r="AJ38" i="16"/>
  <c r="AI38" i="16"/>
  <c r="AH38" i="16"/>
  <c r="AG38" i="16"/>
  <c r="AF38" i="16"/>
  <c r="AE38" i="16"/>
  <c r="AQ28" i="16"/>
  <c r="AQ38" i="16" s="1"/>
  <c r="C69" i="15"/>
  <c r="O61" i="15"/>
  <c r="O69" i="15" s="1"/>
  <c r="BE30" i="16"/>
  <c r="BD31" i="16"/>
  <c r="BC31" i="16"/>
  <c r="BB31" i="16"/>
  <c r="BA31" i="16"/>
  <c r="AZ31" i="16"/>
  <c r="AY31" i="16"/>
  <c r="AX31" i="16"/>
  <c r="AW31" i="16"/>
  <c r="AV31" i="16"/>
  <c r="AU31" i="16"/>
  <c r="AT31" i="16"/>
  <c r="BE29" i="16"/>
  <c r="AS31" i="16"/>
  <c r="BD28" i="16"/>
  <c r="N25" i="15"/>
  <c r="N47" i="15"/>
  <c r="M47" i="15"/>
  <c r="BC28" i="16"/>
  <c r="M25" i="15"/>
  <c r="L47" i="15"/>
  <c r="L25" i="15"/>
  <c r="BB28" i="16"/>
  <c r="K47" i="15"/>
  <c r="BA28" i="16"/>
  <c r="K25" i="15"/>
  <c r="AZ28" i="16"/>
  <c r="J47" i="15"/>
  <c r="J25" i="15"/>
  <c r="AY28" i="16"/>
  <c r="I47" i="15"/>
  <c r="I25" i="15"/>
  <c r="AX28" i="16"/>
  <c r="H47" i="15"/>
  <c r="H25" i="15"/>
  <c r="AW28" i="16"/>
  <c r="G47" i="15"/>
  <c r="G25" i="15"/>
  <c r="AV28" i="16"/>
  <c r="F47" i="15"/>
  <c r="F25" i="15"/>
  <c r="E47" i="15"/>
  <c r="AU28" i="16"/>
  <c r="E25" i="15"/>
  <c r="D47" i="15"/>
  <c r="D25" i="15"/>
  <c r="AT28" i="16"/>
  <c r="C47" i="15"/>
  <c r="AS28" i="16"/>
  <c r="C25" i="15"/>
  <c r="O46" i="15"/>
  <c r="O24" i="15"/>
  <c r="O45" i="15"/>
  <c r="O23" i="15"/>
  <c r="O44" i="15"/>
  <c r="O22" i="15"/>
  <c r="O43" i="15"/>
  <c r="O21" i="15"/>
  <c r="O42" i="15"/>
  <c r="O20" i="15"/>
  <c r="O41" i="15"/>
  <c r="O19" i="15"/>
  <c r="O40" i="15"/>
  <c r="O18" i="15"/>
  <c r="O39" i="15"/>
  <c r="O17" i="15"/>
  <c r="O14" i="15"/>
  <c r="AB46" i="13"/>
  <c r="AC45" i="13"/>
  <c r="N46" i="13"/>
  <c r="O45" i="13"/>
  <c r="AQ44" i="13"/>
  <c r="BR44" i="13"/>
  <c r="BS44" i="13" s="1"/>
  <c r="BR43" i="13"/>
  <c r="BS43" i="13" s="1"/>
  <c r="AQ43" i="13"/>
  <c r="AQ42" i="13"/>
  <c r="BR42" i="13"/>
  <c r="BS42" i="13" s="1"/>
  <c r="BR41" i="13"/>
  <c r="BS41" i="13" s="1"/>
  <c r="AQ41" i="13"/>
  <c r="BE40" i="13"/>
  <c r="BD45" i="13"/>
  <c r="AP45" i="13"/>
  <c r="BR40" i="13"/>
  <c r="AQ40" i="13"/>
  <c r="AO45" i="13"/>
  <c r="AO46" i="13" s="1"/>
  <c r="BQ40" i="13"/>
  <c r="BQ45" i="13" s="1"/>
  <c r="AN45" i="13"/>
  <c r="AN46" i="13" s="1"/>
  <c r="BP40" i="13"/>
  <c r="BP45" i="13" s="1"/>
  <c r="AM45" i="13"/>
  <c r="AM46" i="13" s="1"/>
  <c r="BO40" i="13"/>
  <c r="BO45" i="13" s="1"/>
  <c r="BN40" i="13"/>
  <c r="BN45" i="13" s="1"/>
  <c r="AL45" i="13"/>
  <c r="AL46" i="13" s="1"/>
  <c r="AK45" i="13"/>
  <c r="AK46" i="13" s="1"/>
  <c r="BM40" i="13"/>
  <c r="BM45" i="13" s="1"/>
  <c r="BL40" i="13"/>
  <c r="BL45" i="13" s="1"/>
  <c r="AJ45" i="13"/>
  <c r="AJ46" i="13" s="1"/>
  <c r="BK40" i="13"/>
  <c r="BK45" i="13" s="1"/>
  <c r="AI45" i="13"/>
  <c r="AI46" i="13" s="1"/>
  <c r="AH45" i="13"/>
  <c r="AH46" i="13" s="1"/>
  <c r="BJ40" i="13"/>
  <c r="BJ45" i="13" s="1"/>
  <c r="AG45" i="13"/>
  <c r="AG46" i="13" s="1"/>
  <c r="BI40" i="13"/>
  <c r="BI45" i="13" s="1"/>
  <c r="AF45" i="13"/>
  <c r="AF46" i="13" s="1"/>
  <c r="BH40" i="13"/>
  <c r="BH45" i="13" s="1"/>
  <c r="AE45" i="13"/>
  <c r="AE46" i="13" s="1"/>
  <c r="BG40" i="13"/>
  <c r="BG45" i="13" s="1"/>
  <c r="Q37" i="13"/>
  <c r="AC31" i="13"/>
  <c r="AC37" i="13" s="1"/>
  <c r="C37" i="13"/>
  <c r="O31" i="13"/>
  <c r="O37" i="13" s="1"/>
  <c r="AP36" i="13"/>
  <c r="BR30" i="13"/>
  <c r="BQ30" i="13"/>
  <c r="AO36" i="13"/>
  <c r="BP30" i="13"/>
  <c r="AN36" i="13"/>
  <c r="BO30" i="13"/>
  <c r="AM36" i="13"/>
  <c r="AL36" i="13"/>
  <c r="BN30" i="13"/>
  <c r="AK36" i="13"/>
  <c r="BM30" i="13"/>
  <c r="BL30" i="13"/>
  <c r="AJ36" i="13"/>
  <c r="BK30" i="13"/>
  <c r="AI36" i="13"/>
  <c r="AH36" i="13"/>
  <c r="BJ30" i="13"/>
  <c r="BI30" i="13"/>
  <c r="AG36" i="13"/>
  <c r="BH30" i="13"/>
  <c r="AF36" i="13"/>
  <c r="AE36" i="13"/>
  <c r="AQ30" i="13"/>
  <c r="BG30" i="13"/>
  <c r="AP35" i="13"/>
  <c r="BR29" i="13"/>
  <c r="AP31" i="13"/>
  <c r="AP37" i="13" s="1"/>
  <c r="BQ29" i="13"/>
  <c r="AO35" i="13"/>
  <c r="AO31" i="13"/>
  <c r="AO37" i="13" s="1"/>
  <c r="AN35" i="13"/>
  <c r="BP29" i="13"/>
  <c r="AN31" i="13"/>
  <c r="AN37" i="13" s="1"/>
  <c r="BO29" i="13"/>
  <c r="AM35" i="13"/>
  <c r="AM31" i="13"/>
  <c r="AM37" i="13" s="1"/>
  <c r="BN29" i="13"/>
  <c r="AL31" i="13"/>
  <c r="AL37" i="13" s="1"/>
  <c r="AL35" i="13"/>
  <c r="AK31" i="13"/>
  <c r="AK37" i="13" s="1"/>
  <c r="AK35" i="13"/>
  <c r="BM29" i="13"/>
  <c r="AJ35" i="13"/>
  <c r="AJ31" i="13"/>
  <c r="AJ37" i="13" s="1"/>
  <c r="BL29" i="13"/>
  <c r="AI35" i="13"/>
  <c r="AI31" i="13"/>
  <c r="AI37" i="13" s="1"/>
  <c r="BK29" i="13"/>
  <c r="AH31" i="13"/>
  <c r="AH37" i="13" s="1"/>
  <c r="AH35" i="13"/>
  <c r="BJ29" i="13"/>
  <c r="AG31" i="13"/>
  <c r="AG37" i="13" s="1"/>
  <c r="AG35" i="13"/>
  <c r="BI29" i="13"/>
  <c r="AF31" i="13"/>
  <c r="AF37" i="13" s="1"/>
  <c r="AF35" i="13"/>
  <c r="BH29" i="13"/>
  <c r="AE31" i="13"/>
  <c r="AE35" i="13"/>
  <c r="AQ29" i="13"/>
  <c r="BG29" i="13"/>
  <c r="AP38" i="13"/>
  <c r="AO38" i="13"/>
  <c r="AN38" i="13"/>
  <c r="AM38" i="13"/>
  <c r="AL38" i="13"/>
  <c r="AK38" i="13"/>
  <c r="AJ38" i="13"/>
  <c r="AI38" i="13"/>
  <c r="AH38" i="13"/>
  <c r="AG38" i="13"/>
  <c r="AF38" i="13"/>
  <c r="AQ28" i="13"/>
  <c r="AQ38" i="13" s="1"/>
  <c r="AE38" i="13"/>
  <c r="C69" i="12"/>
  <c r="O61" i="12"/>
  <c r="O69" i="12" s="1"/>
  <c r="BE30" i="13"/>
  <c r="BD31" i="13"/>
  <c r="BC31" i="13"/>
  <c r="BB31" i="13"/>
  <c r="BA31" i="13"/>
  <c r="AZ31" i="13"/>
  <c r="AY31" i="13"/>
  <c r="AX31" i="13"/>
  <c r="AW31" i="13"/>
  <c r="AV31" i="13"/>
  <c r="AU31" i="13"/>
  <c r="AT31" i="13"/>
  <c r="BE29" i="13"/>
  <c r="AS31" i="13"/>
  <c r="N25" i="12"/>
  <c r="BD28" i="13"/>
  <c r="N47" i="12"/>
  <c r="BC28" i="13"/>
  <c r="M25" i="12"/>
  <c r="M47" i="12"/>
  <c r="L25" i="12"/>
  <c r="BB28" i="13"/>
  <c r="L47" i="12"/>
  <c r="K25" i="12"/>
  <c r="BA28" i="13"/>
  <c r="K47" i="12"/>
  <c r="AZ28" i="13"/>
  <c r="J47" i="12"/>
  <c r="J25" i="12"/>
  <c r="AY28" i="13"/>
  <c r="I47" i="12"/>
  <c r="I25" i="12"/>
  <c r="AX28" i="13"/>
  <c r="H47" i="12"/>
  <c r="H25" i="12"/>
  <c r="AW28" i="13"/>
  <c r="G47" i="12"/>
  <c r="G25" i="12"/>
  <c r="AV28" i="13"/>
  <c r="F25" i="12"/>
  <c r="F47" i="12"/>
  <c r="AU28" i="13"/>
  <c r="E25" i="12"/>
  <c r="E47" i="12"/>
  <c r="AT28" i="13"/>
  <c r="D25" i="12"/>
  <c r="D47" i="12"/>
  <c r="AS28" i="13"/>
  <c r="C47" i="12"/>
  <c r="C25" i="12"/>
  <c r="O46" i="12"/>
  <c r="O24" i="12"/>
  <c r="O45" i="12"/>
  <c r="O23" i="12"/>
  <c r="O44" i="12"/>
  <c r="O22" i="12"/>
  <c r="O43" i="12"/>
  <c r="O21" i="12"/>
  <c r="O42" i="12"/>
  <c r="O20" i="12"/>
  <c r="O41" i="12"/>
  <c r="O19" i="12"/>
  <c r="O40" i="12"/>
  <c r="O18" i="12"/>
  <c r="O39" i="12"/>
  <c r="O17" i="12"/>
  <c r="O14" i="12"/>
  <c r="AB46" i="10"/>
  <c r="AC45" i="10"/>
  <c r="N46" i="10"/>
  <c r="O45" i="10"/>
  <c r="BR44" i="10"/>
  <c r="BS44" i="10" s="1"/>
  <c r="AQ44" i="10"/>
  <c r="BR43" i="10"/>
  <c r="BS43" i="10" s="1"/>
  <c r="AQ43" i="10"/>
  <c r="AQ42" i="10"/>
  <c r="BR42" i="10"/>
  <c r="BS42" i="10" s="1"/>
  <c r="BR41" i="10"/>
  <c r="BS41" i="10" s="1"/>
  <c r="AQ41" i="10"/>
  <c r="BE40" i="10"/>
  <c r="BD45" i="10"/>
  <c r="BR40" i="10"/>
  <c r="AP45" i="10"/>
  <c r="AQ40" i="10"/>
  <c r="AO45" i="10"/>
  <c r="AO46" i="10" s="1"/>
  <c r="BQ40" i="10"/>
  <c r="BQ45" i="10" s="1"/>
  <c r="AN45" i="10"/>
  <c r="AN46" i="10" s="1"/>
  <c r="BP40" i="10"/>
  <c r="BP45" i="10" s="1"/>
  <c r="BO40" i="10"/>
  <c r="BO45" i="10" s="1"/>
  <c r="AM45" i="10"/>
  <c r="AM46" i="10" s="1"/>
  <c r="BN40" i="10"/>
  <c r="BN45" i="10" s="1"/>
  <c r="AL45" i="10"/>
  <c r="AL46" i="10" s="1"/>
  <c r="BM40" i="10"/>
  <c r="BM45" i="10" s="1"/>
  <c r="AK45" i="10"/>
  <c r="AK46" i="10" s="1"/>
  <c r="AJ45" i="10"/>
  <c r="AJ46" i="10" s="1"/>
  <c r="BL40" i="10"/>
  <c r="BL45" i="10" s="1"/>
  <c r="AI45" i="10"/>
  <c r="AI46" i="10" s="1"/>
  <c r="BK40" i="10"/>
  <c r="BK45" i="10" s="1"/>
  <c r="BJ40" i="10"/>
  <c r="BJ45" i="10" s="1"/>
  <c r="AH45" i="10"/>
  <c r="AH46" i="10" s="1"/>
  <c r="AG45" i="10"/>
  <c r="AG46" i="10" s="1"/>
  <c r="BI40" i="10"/>
  <c r="BI45" i="10" s="1"/>
  <c r="AF45" i="10"/>
  <c r="AF46" i="10" s="1"/>
  <c r="BH40" i="10"/>
  <c r="BH45" i="10" s="1"/>
  <c r="AE45" i="10"/>
  <c r="AE46" i="10" s="1"/>
  <c r="BG40" i="10"/>
  <c r="BG45" i="10" s="1"/>
  <c r="Q37" i="10"/>
  <c r="AC31" i="10"/>
  <c r="AC37" i="10" s="1"/>
  <c r="O31" i="10"/>
  <c r="O37" i="10" s="1"/>
  <c r="C37" i="10"/>
  <c r="BR30" i="10"/>
  <c r="AP36" i="10"/>
  <c r="AO36" i="10"/>
  <c r="BQ30" i="10"/>
  <c r="BP30" i="10"/>
  <c r="AN36" i="10"/>
  <c r="AM36" i="10"/>
  <c r="BO30" i="10"/>
  <c r="BN30" i="10"/>
  <c r="AL36" i="10"/>
  <c r="AK36" i="10"/>
  <c r="BM30" i="10"/>
  <c r="BL30" i="10"/>
  <c r="AJ36" i="10"/>
  <c r="BK30" i="10"/>
  <c r="AI36" i="10"/>
  <c r="BJ30" i="10"/>
  <c r="AH36" i="10"/>
  <c r="BI30" i="10"/>
  <c r="AG36" i="10"/>
  <c r="BH30" i="10"/>
  <c r="AF36" i="10"/>
  <c r="BG30" i="10"/>
  <c r="AQ30" i="10"/>
  <c r="AE36" i="10"/>
  <c r="BR29" i="10"/>
  <c r="AP31" i="10"/>
  <c r="AP37" i="10" s="1"/>
  <c r="AP35" i="10"/>
  <c r="BQ29" i="10"/>
  <c r="AO35" i="10"/>
  <c r="AO31" i="10"/>
  <c r="AO37" i="10" s="1"/>
  <c r="BP29" i="10"/>
  <c r="AN35" i="10"/>
  <c r="AN31" i="10"/>
  <c r="AN37" i="10" s="1"/>
  <c r="BO29" i="10"/>
  <c r="AM35" i="10"/>
  <c r="AM31" i="10"/>
  <c r="AM37" i="10" s="1"/>
  <c r="AL31" i="10"/>
  <c r="AL37" i="10" s="1"/>
  <c r="AL35" i="10"/>
  <c r="BN29" i="10"/>
  <c r="AK35" i="10"/>
  <c r="AK31" i="10"/>
  <c r="AK37" i="10" s="1"/>
  <c r="BM29" i="10"/>
  <c r="AJ31" i="10"/>
  <c r="AJ37" i="10" s="1"/>
  <c r="AJ35" i="10"/>
  <c r="BL29" i="10"/>
  <c r="AI31" i="10"/>
  <c r="AI37" i="10" s="1"/>
  <c r="BK29" i="10"/>
  <c r="AI35" i="10"/>
  <c r="AH31" i="10"/>
  <c r="AH37" i="10" s="1"/>
  <c r="BJ29" i="10"/>
  <c r="AH35" i="10"/>
  <c r="AG31" i="10"/>
  <c r="AG37" i="10" s="1"/>
  <c r="BI29" i="10"/>
  <c r="AG35" i="10"/>
  <c r="BH29" i="10"/>
  <c r="AF31" i="10"/>
  <c r="AF37" i="10" s="1"/>
  <c r="AF35" i="10"/>
  <c r="AE31" i="10"/>
  <c r="AE35" i="10"/>
  <c r="AQ29" i="10"/>
  <c r="BG29" i="10"/>
  <c r="AP38" i="10"/>
  <c r="AO38" i="10"/>
  <c r="AN38" i="10"/>
  <c r="AM38" i="10"/>
  <c r="AL38" i="10"/>
  <c r="AK38" i="10"/>
  <c r="AJ38" i="10"/>
  <c r="AI38" i="10"/>
  <c r="AH38" i="10"/>
  <c r="AG38" i="10"/>
  <c r="AF38" i="10"/>
  <c r="AE38" i="10"/>
  <c r="AQ28" i="10"/>
  <c r="AQ38" i="10" s="1"/>
  <c r="C69" i="9"/>
  <c r="O61" i="9"/>
  <c r="O69" i="9" s="1"/>
  <c r="BE30" i="10"/>
  <c r="BD31" i="10"/>
  <c r="BC31" i="10"/>
  <c r="BB31" i="10"/>
  <c r="BA31" i="10"/>
  <c r="AZ31" i="10"/>
  <c r="AY31" i="10"/>
  <c r="AX31" i="10"/>
  <c r="AW31" i="10"/>
  <c r="AV31" i="10"/>
  <c r="AU31" i="10"/>
  <c r="AT31" i="10"/>
  <c r="BE29" i="10"/>
  <c r="AS31" i="10"/>
  <c r="BD28" i="10"/>
  <c r="N25" i="9"/>
  <c r="N47" i="9"/>
  <c r="M25" i="9"/>
  <c r="M47" i="9"/>
  <c r="BC28" i="10"/>
  <c r="L25" i="9"/>
  <c r="L47" i="9"/>
  <c r="BB28" i="10"/>
  <c r="K25" i="9"/>
  <c r="K47" i="9"/>
  <c r="BA28" i="10"/>
  <c r="AZ28" i="10"/>
  <c r="J47" i="9"/>
  <c r="J25" i="9"/>
  <c r="AY28" i="10"/>
  <c r="I47" i="9"/>
  <c r="I25" i="9"/>
  <c r="AX28" i="10"/>
  <c r="H47" i="9"/>
  <c r="H25" i="9"/>
  <c r="G47" i="9"/>
  <c r="AW28" i="10"/>
  <c r="G25" i="9"/>
  <c r="F47" i="9"/>
  <c r="F25" i="9"/>
  <c r="AV28" i="10"/>
  <c r="E47" i="9"/>
  <c r="AU28" i="10"/>
  <c r="E25" i="9"/>
  <c r="D47" i="9"/>
  <c r="AT28" i="10"/>
  <c r="D25" i="9"/>
  <c r="C47" i="9"/>
  <c r="AS28" i="10"/>
  <c r="C25" i="9"/>
  <c r="O46" i="9"/>
  <c r="O24" i="9"/>
  <c r="O45" i="9"/>
  <c r="O23" i="9"/>
  <c r="O44" i="9"/>
  <c r="O22" i="9"/>
  <c r="O43" i="9"/>
  <c r="O21" i="9"/>
  <c r="O42" i="9"/>
  <c r="O20" i="9"/>
  <c r="O41" i="9"/>
  <c r="O19" i="9"/>
  <c r="O40" i="9"/>
  <c r="O18" i="9"/>
  <c r="O39" i="9"/>
  <c r="O17" i="9"/>
  <c r="O14" i="9"/>
  <c r="N73" i="7"/>
  <c r="O73" i="7" s="1"/>
  <c r="O68" i="7"/>
  <c r="C67" i="7"/>
  <c r="O67" i="7" s="1"/>
  <c r="L30" i="4" s="1"/>
  <c r="L31" i="4" s="1"/>
  <c r="O65" i="7"/>
  <c r="L24" i="4" s="1"/>
  <c r="L25" i="4" s="1"/>
  <c r="N60" i="7"/>
  <c r="O60" i="7" s="1"/>
  <c r="O55" i="7"/>
  <c r="C54" i="7"/>
  <c r="O54" i="7" s="1"/>
  <c r="F30" i="4" s="1"/>
  <c r="F31" i="4" s="1"/>
  <c r="O52" i="7"/>
  <c r="F24" i="4" s="1"/>
  <c r="F25" i="4" s="1"/>
  <c r="AP44" i="7"/>
  <c r="AQ44" i="7" s="1"/>
  <c r="AC44" i="7"/>
  <c r="BR44" i="7"/>
  <c r="BS44" i="7" s="1"/>
  <c r="O44" i="7"/>
  <c r="AP43" i="7"/>
  <c r="AQ43" i="7" s="1"/>
  <c r="AC43" i="7"/>
  <c r="O43" i="7"/>
  <c r="BR43" i="7"/>
  <c r="BS43" i="7" s="1"/>
  <c r="AC42" i="7"/>
  <c r="AP42" i="7"/>
  <c r="AQ42" i="7" s="1"/>
  <c r="BR42" i="7"/>
  <c r="BS42" i="7" s="1"/>
  <c r="O42" i="7"/>
  <c r="AP41" i="7"/>
  <c r="AQ41" i="7" s="1"/>
  <c r="AC41" i="7"/>
  <c r="O41" i="7"/>
  <c r="BR41" i="7"/>
  <c r="BS41" i="7" s="1"/>
  <c r="AP40" i="7"/>
  <c r="AB45" i="7"/>
  <c r="AC40" i="7"/>
  <c r="AO40" i="7"/>
  <c r="AO45" i="7" s="1"/>
  <c r="AA45" i="7"/>
  <c r="AA46" i="7" s="1"/>
  <c r="Z45" i="7"/>
  <c r="Z46" i="7" s="1"/>
  <c r="AN40" i="7"/>
  <c r="AN45" i="7" s="1"/>
  <c r="AM40" i="7"/>
  <c r="AM45" i="7" s="1"/>
  <c r="Y45" i="7"/>
  <c r="Y46" i="7" s="1"/>
  <c r="X45" i="7"/>
  <c r="X46" i="7" s="1"/>
  <c r="AL40" i="7"/>
  <c r="AL45" i="7" s="1"/>
  <c r="W45" i="7"/>
  <c r="W46" i="7" s="1"/>
  <c r="AK40" i="7"/>
  <c r="AK45" i="7" s="1"/>
  <c r="AJ40" i="7"/>
  <c r="AJ45" i="7" s="1"/>
  <c r="V45" i="7"/>
  <c r="V46" i="7" s="1"/>
  <c r="AI40" i="7"/>
  <c r="AI45" i="7" s="1"/>
  <c r="U45" i="7"/>
  <c r="U46" i="7" s="1"/>
  <c r="AH40" i="7"/>
  <c r="AH45" i="7" s="1"/>
  <c r="T45" i="7"/>
  <c r="T46" i="7" s="1"/>
  <c r="S45" i="7"/>
  <c r="S46" i="7" s="1"/>
  <c r="AG40" i="7"/>
  <c r="AG45" i="7" s="1"/>
  <c r="R45" i="7"/>
  <c r="R46" i="7" s="1"/>
  <c r="AF40" i="7"/>
  <c r="AF45" i="7" s="1"/>
  <c r="Q45" i="7"/>
  <c r="Q46" i="7" s="1"/>
  <c r="AE40" i="7"/>
  <c r="AE45" i="7" s="1"/>
  <c r="O40" i="7"/>
  <c r="N45" i="7"/>
  <c r="M45" i="7"/>
  <c r="M46" i="7" s="1"/>
  <c r="L45" i="7"/>
  <c r="L46" i="7" s="1"/>
  <c r="K45" i="7"/>
  <c r="K46" i="7" s="1"/>
  <c r="J45" i="7"/>
  <c r="J46" i="7" s="1"/>
  <c r="I45" i="7"/>
  <c r="I46" i="7" s="1"/>
  <c r="H45" i="7"/>
  <c r="H46" i="7" s="1"/>
  <c r="G45" i="7"/>
  <c r="G46" i="7" s="1"/>
  <c r="F45" i="7"/>
  <c r="F46" i="7" s="1"/>
  <c r="E45" i="7"/>
  <c r="E46" i="7" s="1"/>
  <c r="D45" i="7"/>
  <c r="D46" i="7" s="1"/>
  <c r="C45" i="7"/>
  <c r="C46" i="7" s="1"/>
  <c r="AP30" i="7"/>
  <c r="AB36" i="7"/>
  <c r="AO30" i="7"/>
  <c r="AA36" i="7"/>
  <c r="AN30" i="7"/>
  <c r="Z36" i="7"/>
  <c r="AM30" i="7"/>
  <c r="Y36" i="7"/>
  <c r="X36" i="7"/>
  <c r="AL30" i="7"/>
  <c r="W36" i="7"/>
  <c r="AK30" i="7"/>
  <c r="AJ30" i="7"/>
  <c r="V36" i="7"/>
  <c r="U36" i="7"/>
  <c r="AI30" i="7"/>
  <c r="T36" i="7"/>
  <c r="AH30" i="7"/>
  <c r="S36" i="7"/>
  <c r="AG30" i="7"/>
  <c r="R36" i="7"/>
  <c r="AF30" i="7"/>
  <c r="Q36" i="7"/>
  <c r="AC30" i="7"/>
  <c r="AE30" i="7"/>
  <c r="N36" i="7"/>
  <c r="N87" i="6" s="1"/>
  <c r="N90" i="6" s="1"/>
  <c r="M36" i="7"/>
  <c r="M87" i="6" s="1"/>
  <c r="M90" i="6" s="1"/>
  <c r="L36" i="7"/>
  <c r="L87" i="6" s="1"/>
  <c r="L90" i="6" s="1"/>
  <c r="K36" i="7"/>
  <c r="K87" i="6" s="1"/>
  <c r="K90" i="6" s="1"/>
  <c r="J36" i="7"/>
  <c r="J87" i="6" s="1"/>
  <c r="J90" i="6" s="1"/>
  <c r="I36" i="7"/>
  <c r="I87" i="6" s="1"/>
  <c r="I90" i="6" s="1"/>
  <c r="H36" i="7"/>
  <c r="H87" i="6" s="1"/>
  <c r="H90" i="6" s="1"/>
  <c r="G36" i="7"/>
  <c r="G87" i="6" s="1"/>
  <c r="G90" i="6" s="1"/>
  <c r="F36" i="7"/>
  <c r="F87" i="6" s="1"/>
  <c r="F90" i="6" s="1"/>
  <c r="E36" i="7"/>
  <c r="E87" i="6" s="1"/>
  <c r="E90" i="6" s="1"/>
  <c r="D36" i="7"/>
  <c r="D87" i="6" s="1"/>
  <c r="D90" i="6" s="1"/>
  <c r="O30" i="7"/>
  <c r="C36" i="7"/>
  <c r="C87" i="6" s="1"/>
  <c r="C90" i="6" s="1"/>
  <c r="AP29" i="7"/>
  <c r="AB31" i="7"/>
  <c r="AB37" i="7" s="1"/>
  <c r="AB35" i="7"/>
  <c r="AO29" i="7"/>
  <c r="AA31" i="7"/>
  <c r="AA37" i="7" s="1"/>
  <c r="AA35" i="7"/>
  <c r="Z31" i="7"/>
  <c r="Z37" i="7" s="1"/>
  <c r="Z35" i="7"/>
  <c r="AN29" i="7"/>
  <c r="AM29" i="7"/>
  <c r="Y31" i="7"/>
  <c r="Y37" i="7" s="1"/>
  <c r="Y35" i="7"/>
  <c r="X31" i="7"/>
  <c r="X37" i="7" s="1"/>
  <c r="X35" i="7"/>
  <c r="AL29" i="7"/>
  <c r="W31" i="7"/>
  <c r="W37" i="7" s="1"/>
  <c r="W35" i="7"/>
  <c r="AK29" i="7"/>
  <c r="AJ29" i="7"/>
  <c r="V31" i="7"/>
  <c r="V37" i="7" s="1"/>
  <c r="V35" i="7"/>
  <c r="AI29" i="7"/>
  <c r="U35" i="7"/>
  <c r="U31" i="7"/>
  <c r="U37" i="7" s="1"/>
  <c r="AH29" i="7"/>
  <c r="T35" i="7"/>
  <c r="T31" i="7"/>
  <c r="T37" i="7" s="1"/>
  <c r="AG29" i="7"/>
  <c r="S31" i="7"/>
  <c r="S37" i="7" s="1"/>
  <c r="S35" i="7"/>
  <c r="R35" i="7"/>
  <c r="R31" i="7"/>
  <c r="R37" i="7" s="1"/>
  <c r="AF29" i="7"/>
  <c r="Q35" i="7"/>
  <c r="Q31" i="7"/>
  <c r="AE29" i="7"/>
  <c r="AC29" i="7"/>
  <c r="N35" i="7"/>
  <c r="N81" i="6" s="1"/>
  <c r="N84" i="6" s="1"/>
  <c r="N31" i="7"/>
  <c r="N37" i="7" s="1"/>
  <c r="M35" i="7"/>
  <c r="M81" i="6" s="1"/>
  <c r="M84" i="6" s="1"/>
  <c r="M31" i="7"/>
  <c r="M37" i="7" s="1"/>
  <c r="L35" i="7"/>
  <c r="L81" i="6" s="1"/>
  <c r="L84" i="6" s="1"/>
  <c r="L31" i="7"/>
  <c r="L37" i="7" s="1"/>
  <c r="K35" i="7"/>
  <c r="K81" i="6" s="1"/>
  <c r="K84" i="6" s="1"/>
  <c r="K31" i="7"/>
  <c r="K37" i="7" s="1"/>
  <c r="J35" i="7"/>
  <c r="J81" i="6" s="1"/>
  <c r="J84" i="6" s="1"/>
  <c r="J31" i="7"/>
  <c r="J37" i="7" s="1"/>
  <c r="I31" i="7"/>
  <c r="I37" i="7" s="1"/>
  <c r="I35" i="7"/>
  <c r="I81" i="6" s="1"/>
  <c r="I84" i="6" s="1"/>
  <c r="H31" i="7"/>
  <c r="H37" i="7" s="1"/>
  <c r="H35" i="7"/>
  <c r="H81" i="6" s="1"/>
  <c r="H84" i="6" s="1"/>
  <c r="G31" i="7"/>
  <c r="G37" i="7" s="1"/>
  <c r="G35" i="7"/>
  <c r="G81" i="6" s="1"/>
  <c r="G84" i="6" s="1"/>
  <c r="F31" i="7"/>
  <c r="F37" i="7" s="1"/>
  <c r="F35" i="7"/>
  <c r="F81" i="6" s="1"/>
  <c r="F84" i="6" s="1"/>
  <c r="E35" i="7"/>
  <c r="E81" i="6" s="1"/>
  <c r="E84" i="6" s="1"/>
  <c r="E31" i="7"/>
  <c r="E37" i="7" s="1"/>
  <c r="D31" i="7"/>
  <c r="D37" i="7" s="1"/>
  <c r="D35" i="7"/>
  <c r="D81" i="6" s="1"/>
  <c r="D84" i="6" s="1"/>
  <c r="O29" i="7"/>
  <c r="C31" i="7"/>
  <c r="C35" i="7"/>
  <c r="C81" i="6" s="1"/>
  <c r="C84" i="6" s="1"/>
  <c r="AP28" i="7"/>
  <c r="AP38" i="7" s="1"/>
  <c r="AB38" i="7"/>
  <c r="AA38" i="7"/>
  <c r="AO28" i="7"/>
  <c r="AO38" i="7" s="1"/>
  <c r="Z38" i="7"/>
  <c r="AN28" i="7"/>
  <c r="AN38" i="7" s="1"/>
  <c r="Y38" i="7"/>
  <c r="AM28" i="7"/>
  <c r="AM38" i="7" s="1"/>
  <c r="X38" i="7"/>
  <c r="AL28" i="7"/>
  <c r="AL38" i="7" s="1"/>
  <c r="AK28" i="7"/>
  <c r="AK38" i="7" s="1"/>
  <c r="W38" i="7"/>
  <c r="V38" i="7"/>
  <c r="AJ28" i="7"/>
  <c r="AJ38" i="7" s="1"/>
  <c r="U38" i="7"/>
  <c r="AI28" i="7"/>
  <c r="AI38" i="7" s="1"/>
  <c r="T38" i="7"/>
  <c r="AH28" i="7"/>
  <c r="AH38" i="7" s="1"/>
  <c r="S38" i="7"/>
  <c r="AG28" i="7"/>
  <c r="AG38" i="7" s="1"/>
  <c r="R38" i="7"/>
  <c r="AF28" i="7"/>
  <c r="AF38" i="7" s="1"/>
  <c r="Q38" i="7"/>
  <c r="AC28" i="7"/>
  <c r="AC38" i="7" s="1"/>
  <c r="AE28" i="7"/>
  <c r="N38" i="7"/>
  <c r="M38" i="7"/>
  <c r="L38" i="7"/>
  <c r="K38" i="7"/>
  <c r="J38" i="7"/>
  <c r="I38" i="7"/>
  <c r="H38" i="7"/>
  <c r="G38" i="7"/>
  <c r="F38" i="7"/>
  <c r="E38" i="7"/>
  <c r="D38" i="7"/>
  <c r="C38" i="7"/>
  <c r="O28" i="7"/>
  <c r="N100" i="6"/>
  <c r="BD40" i="7"/>
  <c r="BR40" i="7" s="1"/>
  <c r="M100" i="6"/>
  <c r="BC40" i="7"/>
  <c r="L100" i="6"/>
  <c r="BB40" i="7"/>
  <c r="BA40" i="7"/>
  <c r="K100" i="6"/>
  <c r="J100" i="6"/>
  <c r="AZ40" i="7"/>
  <c r="I100" i="6"/>
  <c r="AY40" i="7"/>
  <c r="AX40" i="7"/>
  <c r="H100" i="6"/>
  <c r="AW40" i="7"/>
  <c r="G100" i="6"/>
  <c r="F100" i="6"/>
  <c r="AV40" i="7"/>
  <c r="AU40" i="7"/>
  <c r="E100" i="6"/>
  <c r="AT40" i="7"/>
  <c r="D100" i="6"/>
  <c r="AS40" i="7"/>
  <c r="C100" i="6"/>
  <c r="BD30" i="7"/>
  <c r="BR30" i="7" s="1"/>
  <c r="BC30" i="7"/>
  <c r="BQ30" i="7" s="1"/>
  <c r="L63" i="6"/>
  <c r="Q54" i="6"/>
  <c r="BA30" i="7"/>
  <c r="BO30" i="7" s="1"/>
  <c r="AZ30" i="7"/>
  <c r="BN30" i="7" s="1"/>
  <c r="AY30" i="7"/>
  <c r="BM30" i="7" s="1"/>
  <c r="AX30" i="7"/>
  <c r="BL30" i="7" s="1"/>
  <c r="AW30" i="7"/>
  <c r="BK30" i="7" s="1"/>
  <c r="AV30" i="7"/>
  <c r="BJ30" i="7" s="1"/>
  <c r="AU30" i="7"/>
  <c r="BI30" i="7" s="1"/>
  <c r="AT30" i="7"/>
  <c r="BH30" i="7" s="1"/>
  <c r="C63" i="6"/>
  <c r="O54" i="6"/>
  <c r="L74" i="6"/>
  <c r="Q74" i="6" s="1"/>
  <c r="Q38" i="6"/>
  <c r="C74" i="6"/>
  <c r="O74" i="6" s="1"/>
  <c r="O38" i="6"/>
  <c r="L73" i="6"/>
  <c r="Q73" i="6" s="1"/>
  <c r="Q37" i="6"/>
  <c r="C73" i="6"/>
  <c r="O73" i="6" s="1"/>
  <c r="O37" i="6"/>
  <c r="L72" i="6"/>
  <c r="Q72" i="6" s="1"/>
  <c r="Q36" i="6"/>
  <c r="C72" i="6"/>
  <c r="O72" i="6" s="1"/>
  <c r="O36" i="6"/>
  <c r="L71" i="6"/>
  <c r="Q71" i="6" s="1"/>
  <c r="Q35" i="6"/>
  <c r="O35" i="6"/>
  <c r="C71" i="6"/>
  <c r="O71" i="6" s="1"/>
  <c r="L70" i="6"/>
  <c r="Q70" i="6" s="1"/>
  <c r="Q34" i="6"/>
  <c r="O34" i="6"/>
  <c r="C70" i="6"/>
  <c r="O70" i="6" s="1"/>
  <c r="Q33" i="6"/>
  <c r="L69" i="6"/>
  <c r="Q69" i="6" s="1"/>
  <c r="O33" i="6"/>
  <c r="C69" i="6"/>
  <c r="O69" i="6" s="1"/>
  <c r="Q32" i="6"/>
  <c r="L68" i="6"/>
  <c r="Q68" i="6" s="1"/>
  <c r="O32" i="6"/>
  <c r="C68" i="6"/>
  <c r="O68" i="6" s="1"/>
  <c r="Q31" i="6"/>
  <c r="L67" i="6"/>
  <c r="Q67" i="6" s="1"/>
  <c r="C67" i="6"/>
  <c r="O67" i="6" s="1"/>
  <c r="O31" i="6"/>
  <c r="N66" i="6"/>
  <c r="N75" i="6" s="1"/>
  <c r="N39" i="6"/>
  <c r="M39" i="6"/>
  <c r="M66" i="6"/>
  <c r="M75" i="6" s="1"/>
  <c r="L39" i="6"/>
  <c r="L66" i="6"/>
  <c r="Q30" i="6"/>
  <c r="K39" i="6"/>
  <c r="K66" i="6"/>
  <c r="K75" i="6" s="1"/>
  <c r="J66" i="6"/>
  <c r="J75" i="6" s="1"/>
  <c r="J39" i="6"/>
  <c r="I39" i="6"/>
  <c r="I66" i="6"/>
  <c r="I75" i="6" s="1"/>
  <c r="H66" i="6"/>
  <c r="H75" i="6" s="1"/>
  <c r="H39" i="6"/>
  <c r="G66" i="6"/>
  <c r="G75" i="6" s="1"/>
  <c r="G39" i="6"/>
  <c r="F66" i="6"/>
  <c r="F75" i="6" s="1"/>
  <c r="F39" i="6"/>
  <c r="E66" i="6"/>
  <c r="E75" i="6" s="1"/>
  <c r="E39" i="6"/>
  <c r="D66" i="6"/>
  <c r="D75" i="6" s="1"/>
  <c r="D39" i="6"/>
  <c r="C66" i="6"/>
  <c r="C39" i="6"/>
  <c r="O30" i="6"/>
  <c r="N50" i="6"/>
  <c r="N26" i="6"/>
  <c r="M50" i="6"/>
  <c r="M26" i="6"/>
  <c r="L50" i="6"/>
  <c r="L26" i="6"/>
  <c r="Q14" i="6"/>
  <c r="K50" i="6"/>
  <c r="K26" i="6"/>
  <c r="J26" i="6"/>
  <c r="J50" i="6"/>
  <c r="I26" i="6"/>
  <c r="I50" i="6"/>
  <c r="H50" i="6"/>
  <c r="H26" i="6"/>
  <c r="G26" i="6"/>
  <c r="G50" i="6"/>
  <c r="F50" i="6"/>
  <c r="F26" i="6"/>
  <c r="E50" i="6"/>
  <c r="E26" i="6"/>
  <c r="D50" i="6"/>
  <c r="D26" i="6"/>
  <c r="C50" i="6"/>
  <c r="C26" i="6"/>
  <c r="O14" i="6"/>
  <c r="O50" i="6" s="1"/>
  <c r="N25" i="6"/>
  <c r="N49" i="6"/>
  <c r="M49" i="6"/>
  <c r="M25" i="6"/>
  <c r="Q13" i="6"/>
  <c r="L49" i="6"/>
  <c r="L25" i="6"/>
  <c r="K49" i="6"/>
  <c r="K25" i="6"/>
  <c r="J25" i="6"/>
  <c r="J49" i="6"/>
  <c r="I49" i="6"/>
  <c r="I25" i="6"/>
  <c r="H49" i="6"/>
  <c r="H25" i="6"/>
  <c r="G49" i="6"/>
  <c r="G25" i="6"/>
  <c r="F49" i="6"/>
  <c r="F25" i="6"/>
  <c r="E25" i="6"/>
  <c r="E49" i="6"/>
  <c r="D25" i="6"/>
  <c r="D49" i="6"/>
  <c r="C49" i="6"/>
  <c r="C25" i="6"/>
  <c r="O13" i="6"/>
  <c r="O49" i="6" s="1"/>
  <c r="N48" i="6"/>
  <c r="N24" i="6"/>
  <c r="M48" i="6"/>
  <c r="M24" i="6"/>
  <c r="L48" i="6"/>
  <c r="L24" i="6"/>
  <c r="Q12" i="6"/>
  <c r="K48" i="6"/>
  <c r="K24" i="6"/>
  <c r="J24" i="6"/>
  <c r="J48" i="6"/>
  <c r="I24" i="6"/>
  <c r="I48" i="6"/>
  <c r="H24" i="6"/>
  <c r="H48" i="6"/>
  <c r="G24" i="6"/>
  <c r="G48" i="6"/>
  <c r="F24" i="6"/>
  <c r="F48" i="6"/>
  <c r="E24" i="6"/>
  <c r="E48" i="6"/>
  <c r="D24" i="6"/>
  <c r="D48" i="6"/>
  <c r="C48" i="6"/>
  <c r="C24" i="6"/>
  <c r="O12" i="6"/>
  <c r="O48" i="6" s="1"/>
  <c r="N23" i="6"/>
  <c r="N47" i="6"/>
  <c r="M23" i="6"/>
  <c r="M47" i="6"/>
  <c r="L47" i="6"/>
  <c r="L23" i="6"/>
  <c r="Q11" i="6"/>
  <c r="K47" i="6"/>
  <c r="K23" i="6"/>
  <c r="J23" i="6"/>
  <c r="J47" i="6"/>
  <c r="I23" i="6"/>
  <c r="I47" i="6"/>
  <c r="H47" i="6"/>
  <c r="H23" i="6"/>
  <c r="G47" i="6"/>
  <c r="G23" i="6"/>
  <c r="F47" i="6"/>
  <c r="F23" i="6"/>
  <c r="E47" i="6"/>
  <c r="E23" i="6"/>
  <c r="D47" i="6"/>
  <c r="D23" i="6"/>
  <c r="C47" i="6"/>
  <c r="C23" i="6"/>
  <c r="O11" i="6"/>
  <c r="O47" i="6" s="1"/>
  <c r="N46" i="6"/>
  <c r="N22" i="6"/>
  <c r="M22" i="6"/>
  <c r="M46" i="6"/>
  <c r="L22" i="6"/>
  <c r="L46" i="6"/>
  <c r="Q10" i="6"/>
  <c r="K22" i="6"/>
  <c r="K46" i="6"/>
  <c r="J22" i="6"/>
  <c r="J46" i="6"/>
  <c r="I22" i="6"/>
  <c r="I46" i="6"/>
  <c r="H22" i="6"/>
  <c r="H46" i="6"/>
  <c r="G22" i="6"/>
  <c r="G46" i="6"/>
  <c r="F46" i="6"/>
  <c r="F22" i="6"/>
  <c r="E46" i="6"/>
  <c r="E22" i="6"/>
  <c r="D22" i="6"/>
  <c r="D46" i="6"/>
  <c r="C22" i="6"/>
  <c r="C46" i="6"/>
  <c r="O10" i="6"/>
  <c r="O46" i="6" s="1"/>
  <c r="N21" i="6"/>
  <c r="N45" i="6"/>
  <c r="M21" i="6"/>
  <c r="M45" i="6"/>
  <c r="L21" i="6"/>
  <c r="Q9" i="6"/>
  <c r="L45" i="6"/>
  <c r="K45" i="6"/>
  <c r="K21" i="6"/>
  <c r="J45" i="6"/>
  <c r="J21" i="6"/>
  <c r="I45" i="6"/>
  <c r="I21" i="6"/>
  <c r="H45" i="6"/>
  <c r="H21" i="6"/>
  <c r="G45" i="6"/>
  <c r="G21" i="6"/>
  <c r="F45" i="6"/>
  <c r="F21" i="6"/>
  <c r="E45" i="6"/>
  <c r="E21" i="6"/>
  <c r="D21" i="6"/>
  <c r="D45" i="6"/>
  <c r="O9" i="6"/>
  <c r="O45" i="6" s="1"/>
  <c r="C21" i="6"/>
  <c r="C45" i="6"/>
  <c r="N20" i="6"/>
  <c r="N44" i="6"/>
  <c r="M44" i="6"/>
  <c r="M20" i="6"/>
  <c r="L20" i="6"/>
  <c r="L44" i="6"/>
  <c r="Q8" i="6"/>
  <c r="K20" i="6"/>
  <c r="K44" i="6"/>
  <c r="J20" i="6"/>
  <c r="J44" i="6"/>
  <c r="I44" i="6"/>
  <c r="I20" i="6"/>
  <c r="H44" i="6"/>
  <c r="H20" i="6"/>
  <c r="G44" i="6"/>
  <c r="G20" i="6"/>
  <c r="F44" i="6"/>
  <c r="F20" i="6"/>
  <c r="E44" i="6"/>
  <c r="E20" i="6"/>
  <c r="D44" i="6"/>
  <c r="D20" i="6"/>
  <c r="C44" i="6"/>
  <c r="O8" i="6"/>
  <c r="O44" i="6" s="1"/>
  <c r="C20" i="6"/>
  <c r="N43" i="6"/>
  <c r="N19" i="6"/>
  <c r="M43" i="6"/>
  <c r="M19" i="6"/>
  <c r="L43" i="6"/>
  <c r="Q7" i="6"/>
  <c r="L19" i="6"/>
  <c r="K43" i="6"/>
  <c r="K19" i="6"/>
  <c r="J43" i="6"/>
  <c r="J19" i="6"/>
  <c r="I43" i="6"/>
  <c r="I19" i="6"/>
  <c r="H43" i="6"/>
  <c r="H19" i="6"/>
  <c r="G43" i="6"/>
  <c r="G19" i="6"/>
  <c r="F43" i="6"/>
  <c r="F19" i="6"/>
  <c r="E19" i="6"/>
  <c r="E43" i="6"/>
  <c r="D19" i="6"/>
  <c r="D43" i="6"/>
  <c r="C19" i="6"/>
  <c r="O7" i="6"/>
  <c r="O43" i="6" s="1"/>
  <c r="C43" i="6"/>
  <c r="N18" i="6"/>
  <c r="N42" i="6"/>
  <c r="N15" i="6"/>
  <c r="M18" i="6"/>
  <c r="M42" i="6"/>
  <c r="M15" i="6"/>
  <c r="L18" i="6"/>
  <c r="Q6" i="6"/>
  <c r="L42" i="6"/>
  <c r="L15" i="6"/>
  <c r="K18" i="6"/>
  <c r="K42" i="6"/>
  <c r="K15" i="6"/>
  <c r="J18" i="6"/>
  <c r="J42" i="6"/>
  <c r="J15" i="6"/>
  <c r="I18" i="6"/>
  <c r="I42" i="6"/>
  <c r="I15" i="6"/>
  <c r="H18" i="6"/>
  <c r="H15" i="6"/>
  <c r="H42" i="6"/>
  <c r="G15" i="6"/>
  <c r="G42" i="6"/>
  <c r="G18" i="6"/>
  <c r="F15" i="6"/>
  <c r="F18" i="6"/>
  <c r="F42" i="6"/>
  <c r="E15" i="6"/>
  <c r="E18" i="6"/>
  <c r="E42" i="6"/>
  <c r="D15" i="6"/>
  <c r="D18" i="6"/>
  <c r="D42" i="6"/>
  <c r="C18" i="6"/>
  <c r="C15" i="6"/>
  <c r="AS28" i="7" s="1"/>
  <c r="BG28" i="7" s="1"/>
  <c r="C42" i="6"/>
  <c r="O6" i="6"/>
  <c r="O15" i="6" s="1"/>
  <c r="L28" i="4"/>
  <c r="F28" i="4"/>
  <c r="BQ44" i="7"/>
  <c r="BP44" i="7"/>
  <c r="BO44" i="7"/>
  <c r="BN44" i="7"/>
  <c r="BM44" i="7"/>
  <c r="BL44" i="7"/>
  <c r="BK44" i="7"/>
  <c r="BJ44" i="7"/>
  <c r="BI44" i="7"/>
  <c r="BH44" i="7"/>
  <c r="BG44" i="7"/>
  <c r="BQ43" i="7"/>
  <c r="BP43" i="7"/>
  <c r="BO43" i="7"/>
  <c r="BN43" i="7"/>
  <c r="BM43" i="7"/>
  <c r="BL43" i="7"/>
  <c r="BK43" i="7"/>
  <c r="BJ43" i="7"/>
  <c r="BI43" i="7"/>
  <c r="BH43" i="7"/>
  <c r="BG43" i="7"/>
  <c r="BQ42" i="7"/>
  <c r="BP42" i="7"/>
  <c r="BO42" i="7"/>
  <c r="BN42" i="7"/>
  <c r="BM42" i="7"/>
  <c r="BL42" i="7"/>
  <c r="BK42" i="7"/>
  <c r="BJ42" i="7"/>
  <c r="BI42" i="7"/>
  <c r="BH42" i="7"/>
  <c r="BG42" i="7"/>
  <c r="BQ41" i="7"/>
  <c r="BP41" i="7"/>
  <c r="BO41" i="7"/>
  <c r="BN41" i="7"/>
  <c r="BM41" i="7"/>
  <c r="BL41" i="7"/>
  <c r="BK41" i="7"/>
  <c r="BJ41" i="7"/>
  <c r="BI41" i="7"/>
  <c r="BH41" i="7"/>
  <c r="BG41" i="7"/>
  <c r="BE45" i="34" l="1"/>
  <c r="BD46" i="34"/>
  <c r="AQ45" i="34"/>
  <c r="AP46" i="34"/>
  <c r="BS40" i="34"/>
  <c r="BR45" i="34"/>
  <c r="BY30" i="34"/>
  <c r="BZ30" i="34"/>
  <c r="CA30" i="34"/>
  <c r="BS30" i="34"/>
  <c r="BU30" i="34"/>
  <c r="BV30" i="34"/>
  <c r="BW30" i="34"/>
  <c r="BR31" i="34"/>
  <c r="BQ31" i="34"/>
  <c r="BY29" i="34"/>
  <c r="BZ29" i="34"/>
  <c r="CA29" i="34"/>
  <c r="BP31" i="34"/>
  <c r="BO31" i="34"/>
  <c r="BN31" i="34"/>
  <c r="BM31" i="34"/>
  <c r="BL31" i="34"/>
  <c r="BK31" i="34"/>
  <c r="BJ31" i="34"/>
  <c r="BI31" i="34"/>
  <c r="BH31" i="34"/>
  <c r="AQ31" i="34"/>
  <c r="AQ37" i="34" s="1"/>
  <c r="AE37" i="34"/>
  <c r="BS29" i="34"/>
  <c r="BU29" i="34"/>
  <c r="BV29" i="34"/>
  <c r="BW29" i="34"/>
  <c r="BG31" i="34"/>
  <c r="BE31" i="34"/>
  <c r="AS37" i="34"/>
  <c r="BD36" i="34"/>
  <c r="BD38" i="34"/>
  <c r="BC36" i="34"/>
  <c r="BC46" i="34"/>
  <c r="BC38" i="34"/>
  <c r="BB36" i="34"/>
  <c r="BB46" i="34"/>
  <c r="BB38" i="34"/>
  <c r="BA36" i="34"/>
  <c r="BA46" i="34"/>
  <c r="BA38" i="34"/>
  <c r="AZ36" i="34"/>
  <c r="AZ46" i="34"/>
  <c r="AZ38" i="34"/>
  <c r="AY36" i="34"/>
  <c r="AY46" i="34"/>
  <c r="AY38" i="34"/>
  <c r="AX36" i="34"/>
  <c r="AX46" i="34"/>
  <c r="AX38" i="34"/>
  <c r="AW36" i="34"/>
  <c r="AW46" i="34"/>
  <c r="AW38" i="34"/>
  <c r="AV36" i="34"/>
  <c r="AV46" i="34"/>
  <c r="AV38" i="34"/>
  <c r="AU36" i="34"/>
  <c r="AU46" i="34"/>
  <c r="AU38" i="34"/>
  <c r="AT36" i="34"/>
  <c r="AT46" i="34"/>
  <c r="AT38" i="34"/>
  <c r="AS46" i="34"/>
  <c r="BE28" i="34"/>
  <c r="AS38" i="34"/>
  <c r="O25" i="33"/>
  <c r="O47" i="33"/>
  <c r="BE45" i="31"/>
  <c r="BD46" i="31"/>
  <c r="AQ45" i="31"/>
  <c r="AP46" i="31"/>
  <c r="BS40" i="31"/>
  <c r="BR45" i="31"/>
  <c r="BY30" i="31"/>
  <c r="BZ30" i="31"/>
  <c r="CA30" i="31"/>
  <c r="BS30" i="31"/>
  <c r="BU30" i="31"/>
  <c r="BV30" i="31"/>
  <c r="BW30" i="31"/>
  <c r="BR31" i="31"/>
  <c r="BQ31" i="31"/>
  <c r="BY29" i="31"/>
  <c r="BZ29" i="31"/>
  <c r="CA29" i="31"/>
  <c r="BP31" i="31"/>
  <c r="BO31" i="31"/>
  <c r="BN31" i="31"/>
  <c r="BM31" i="31"/>
  <c r="BL31" i="31"/>
  <c r="BK31" i="31"/>
  <c r="BJ31" i="31"/>
  <c r="BI31" i="31"/>
  <c r="BH31" i="31"/>
  <c r="AQ31" i="31"/>
  <c r="AQ37" i="31" s="1"/>
  <c r="AE37" i="31"/>
  <c r="BS29" i="31"/>
  <c r="BU29" i="31"/>
  <c r="BV29" i="31"/>
  <c r="BW29" i="31"/>
  <c r="BG31" i="31"/>
  <c r="BE31" i="31"/>
  <c r="AS37" i="31"/>
  <c r="BD36" i="31"/>
  <c r="BD38" i="31"/>
  <c r="BC36" i="31"/>
  <c r="BC46" i="31"/>
  <c r="BC38" i="31"/>
  <c r="BB36" i="31"/>
  <c r="BB46" i="31"/>
  <c r="BB38" i="31"/>
  <c r="BA36" i="31"/>
  <c r="BA46" i="31"/>
  <c r="BA38" i="31"/>
  <c r="AZ36" i="31"/>
  <c r="AZ46" i="31"/>
  <c r="AZ38" i="31"/>
  <c r="AY36" i="31"/>
  <c r="AY46" i="31"/>
  <c r="AY38" i="31"/>
  <c r="AX36" i="31"/>
  <c r="AX46" i="31"/>
  <c r="AX38" i="31"/>
  <c r="AW36" i="31"/>
  <c r="AW46" i="31"/>
  <c r="AW38" i="31"/>
  <c r="AV36" i="31"/>
  <c r="AV46" i="31"/>
  <c r="AV38" i="31"/>
  <c r="AU36" i="31"/>
  <c r="AU46" i="31"/>
  <c r="AU38" i="31"/>
  <c r="AT36" i="31"/>
  <c r="AT46" i="31"/>
  <c r="AT38" i="31"/>
  <c r="AS46" i="31"/>
  <c r="BE28" i="31"/>
  <c r="AS38" i="31"/>
  <c r="O25" i="30"/>
  <c r="O47" i="30"/>
  <c r="BE45" i="28"/>
  <c r="BD46" i="28"/>
  <c r="AQ45" i="28"/>
  <c r="AP46" i="28"/>
  <c r="BS40" i="28"/>
  <c r="BR45" i="28"/>
  <c r="BY30" i="28"/>
  <c r="BZ30" i="28"/>
  <c r="CA30" i="28"/>
  <c r="BS30" i="28"/>
  <c r="BU30" i="28"/>
  <c r="BV30" i="28"/>
  <c r="BW30" i="28"/>
  <c r="BR31" i="28"/>
  <c r="BQ31" i="28"/>
  <c r="BY29" i="28"/>
  <c r="BZ29" i="28"/>
  <c r="CA29" i="28"/>
  <c r="BP31" i="28"/>
  <c r="BO31" i="28"/>
  <c r="BN31" i="28"/>
  <c r="BM31" i="28"/>
  <c r="BL31" i="28"/>
  <c r="BK31" i="28"/>
  <c r="BJ31" i="28"/>
  <c r="BI31" i="28"/>
  <c r="BH31" i="28"/>
  <c r="BS29" i="28"/>
  <c r="BU29" i="28"/>
  <c r="BV29" i="28"/>
  <c r="BW29" i="28"/>
  <c r="BG31" i="28"/>
  <c r="AQ31" i="28"/>
  <c r="AQ37" i="28" s="1"/>
  <c r="AE37" i="28"/>
  <c r="BE31" i="28"/>
  <c r="AS37" i="28"/>
  <c r="BD36" i="28"/>
  <c r="BD38" i="28"/>
  <c r="BC36" i="28"/>
  <c r="BC46" i="28"/>
  <c r="BC38" i="28"/>
  <c r="BB36" i="28"/>
  <c r="BB46" i="28"/>
  <c r="BB38" i="28"/>
  <c r="BA36" i="28"/>
  <c r="BA46" i="28"/>
  <c r="BA38" i="28"/>
  <c r="AZ36" i="28"/>
  <c r="AZ46" i="28"/>
  <c r="AZ38" i="28"/>
  <c r="AY36" i="28"/>
  <c r="AY46" i="28"/>
  <c r="AY38" i="28"/>
  <c r="AX36" i="28"/>
  <c r="AX46" i="28"/>
  <c r="AX38" i="28"/>
  <c r="AW36" i="28"/>
  <c r="AW46" i="28"/>
  <c r="AW38" i="28"/>
  <c r="AV36" i="28"/>
  <c r="AV46" i="28"/>
  <c r="AV38" i="28"/>
  <c r="AU36" i="28"/>
  <c r="AU46" i="28"/>
  <c r="AU38" i="28"/>
  <c r="AT36" i="28"/>
  <c r="AT46" i="28"/>
  <c r="AT38" i="28"/>
  <c r="AS46" i="28"/>
  <c r="BE28" i="28"/>
  <c r="AS38" i="28"/>
  <c r="O25" i="27"/>
  <c r="O47" i="27"/>
  <c r="BE45" i="25"/>
  <c r="BD46" i="25"/>
  <c r="AQ45" i="25"/>
  <c r="AP46" i="25"/>
  <c r="BS40" i="25"/>
  <c r="BR45" i="25"/>
  <c r="BY30" i="25"/>
  <c r="BZ30" i="25"/>
  <c r="CA30" i="25"/>
  <c r="BS30" i="25"/>
  <c r="BU30" i="25"/>
  <c r="BV30" i="25"/>
  <c r="BW30" i="25"/>
  <c r="BR31" i="25"/>
  <c r="BQ31" i="25"/>
  <c r="BY29" i="25"/>
  <c r="BZ29" i="25"/>
  <c r="CA29" i="25"/>
  <c r="BP31" i="25"/>
  <c r="BO31" i="25"/>
  <c r="BN31" i="25"/>
  <c r="BM31" i="25"/>
  <c r="BL31" i="25"/>
  <c r="BK31" i="25"/>
  <c r="BJ31" i="25"/>
  <c r="BI31" i="25"/>
  <c r="BH31" i="25"/>
  <c r="AQ31" i="25"/>
  <c r="AQ37" i="25" s="1"/>
  <c r="AE37" i="25"/>
  <c r="BS29" i="25"/>
  <c r="BU29" i="25"/>
  <c r="BV29" i="25"/>
  <c r="BW29" i="25"/>
  <c r="BG31" i="25"/>
  <c r="BE31" i="25"/>
  <c r="AS37" i="25"/>
  <c r="BD36" i="25"/>
  <c r="BD38" i="25"/>
  <c r="BC36" i="25"/>
  <c r="BC46" i="25"/>
  <c r="BC38" i="25"/>
  <c r="BB36" i="25"/>
  <c r="BB46" i="25"/>
  <c r="BB38" i="25"/>
  <c r="BA36" i="25"/>
  <c r="BA46" i="25"/>
  <c r="BA38" i="25"/>
  <c r="AZ36" i="25"/>
  <c r="AZ46" i="25"/>
  <c r="AZ38" i="25"/>
  <c r="AY36" i="25"/>
  <c r="AY46" i="25"/>
  <c r="AY38" i="25"/>
  <c r="AX36" i="25"/>
  <c r="AX46" i="25"/>
  <c r="AX38" i="25"/>
  <c r="AW36" i="25"/>
  <c r="AW46" i="25"/>
  <c r="AW38" i="25"/>
  <c r="AV36" i="25"/>
  <c r="AV46" i="25"/>
  <c r="AV38" i="25"/>
  <c r="AU36" i="25"/>
  <c r="AU46" i="25"/>
  <c r="AU38" i="25"/>
  <c r="AT36" i="25"/>
  <c r="AT46" i="25"/>
  <c r="AT38" i="25"/>
  <c r="AS46" i="25"/>
  <c r="BE28" i="25"/>
  <c r="AS38" i="25"/>
  <c r="O25" i="24"/>
  <c r="O47" i="24"/>
  <c r="BE45" i="22"/>
  <c r="BD46" i="22"/>
  <c r="AQ45" i="22"/>
  <c r="AP46" i="22"/>
  <c r="BS40" i="22"/>
  <c r="BR45" i="22"/>
  <c r="BY30" i="22"/>
  <c r="BZ30" i="22"/>
  <c r="CA30" i="22"/>
  <c r="BS30" i="22"/>
  <c r="BU30" i="22"/>
  <c r="BV30" i="22"/>
  <c r="BW30" i="22"/>
  <c r="BR31" i="22"/>
  <c r="BQ31" i="22"/>
  <c r="BY29" i="22"/>
  <c r="BZ29" i="22"/>
  <c r="CA29" i="22"/>
  <c r="BP31" i="22"/>
  <c r="BO31" i="22"/>
  <c r="BN31" i="22"/>
  <c r="BM31" i="22"/>
  <c r="BL31" i="22"/>
  <c r="BK31" i="22"/>
  <c r="BJ31" i="22"/>
  <c r="BI31" i="22"/>
  <c r="BH31" i="22"/>
  <c r="AQ31" i="22"/>
  <c r="AQ37" i="22" s="1"/>
  <c r="AE37" i="22"/>
  <c r="BS29" i="22"/>
  <c r="BU29" i="22"/>
  <c r="BV29" i="22"/>
  <c r="BW29" i="22"/>
  <c r="BG31" i="22"/>
  <c r="BE31" i="22"/>
  <c r="AS37" i="22"/>
  <c r="BD36" i="22"/>
  <c r="BD38" i="22"/>
  <c r="BC36" i="22"/>
  <c r="BC46" i="22"/>
  <c r="BC38" i="22"/>
  <c r="BB36" i="22"/>
  <c r="BB46" i="22"/>
  <c r="BB38" i="22"/>
  <c r="BA36" i="22"/>
  <c r="BA46" i="22"/>
  <c r="BA38" i="22"/>
  <c r="AZ36" i="22"/>
  <c r="AZ46" i="22"/>
  <c r="AZ38" i="22"/>
  <c r="AY36" i="22"/>
  <c r="AY46" i="22"/>
  <c r="AY38" i="22"/>
  <c r="AX36" i="22"/>
  <c r="AX46" i="22"/>
  <c r="AX38" i="22"/>
  <c r="AW36" i="22"/>
  <c r="AW46" i="22"/>
  <c r="AW38" i="22"/>
  <c r="AV36" i="22"/>
  <c r="AV46" i="22"/>
  <c r="AV38" i="22"/>
  <c r="AU36" i="22"/>
  <c r="AU46" i="22"/>
  <c r="AU38" i="22"/>
  <c r="AT36" i="22"/>
  <c r="AT46" i="22"/>
  <c r="AT38" i="22"/>
  <c r="AS46" i="22"/>
  <c r="BE28" i="22"/>
  <c r="AS38" i="22"/>
  <c r="O25" i="21"/>
  <c r="O47" i="21"/>
  <c r="BE45" i="19"/>
  <c r="BD46" i="19"/>
  <c r="AQ45" i="19"/>
  <c r="AP46" i="19"/>
  <c r="BS40" i="19"/>
  <c r="BR45" i="19"/>
  <c r="BY30" i="19"/>
  <c r="BZ30" i="19"/>
  <c r="CA30" i="19"/>
  <c r="BS30" i="19"/>
  <c r="BU30" i="19"/>
  <c r="BV30" i="19"/>
  <c r="BW30" i="19"/>
  <c r="BR31" i="19"/>
  <c r="BQ31" i="19"/>
  <c r="BY29" i="19"/>
  <c r="BZ29" i="19"/>
  <c r="CA29" i="19"/>
  <c r="BP31" i="19"/>
  <c r="BO31" i="19"/>
  <c r="BN31" i="19"/>
  <c r="BM31" i="19"/>
  <c r="BL31" i="19"/>
  <c r="BK31" i="19"/>
  <c r="BJ31" i="19"/>
  <c r="BI31" i="19"/>
  <c r="BH31" i="19"/>
  <c r="AQ31" i="19"/>
  <c r="AQ37" i="19" s="1"/>
  <c r="AE37" i="19"/>
  <c r="BS29" i="19"/>
  <c r="BU29" i="19"/>
  <c r="BV29" i="19"/>
  <c r="BW29" i="19"/>
  <c r="BG31" i="19"/>
  <c r="BE31" i="19"/>
  <c r="AS37" i="19"/>
  <c r="BD36" i="19"/>
  <c r="BD38" i="19"/>
  <c r="BC36" i="19"/>
  <c r="BC46" i="19"/>
  <c r="BC38" i="19"/>
  <c r="BB36" i="19"/>
  <c r="BB46" i="19"/>
  <c r="BB38" i="19"/>
  <c r="BA36" i="19"/>
  <c r="BA46" i="19"/>
  <c r="BA38" i="19"/>
  <c r="AZ36" i="19"/>
  <c r="AZ46" i="19"/>
  <c r="AZ38" i="19"/>
  <c r="AY36" i="19"/>
  <c r="AY46" i="19"/>
  <c r="AY38" i="19"/>
  <c r="AX36" i="19"/>
  <c r="AX46" i="19"/>
  <c r="AX38" i="19"/>
  <c r="AW36" i="19"/>
  <c r="AW46" i="19"/>
  <c r="AW38" i="19"/>
  <c r="AV36" i="19"/>
  <c r="AV46" i="19"/>
  <c r="AV38" i="19"/>
  <c r="AU36" i="19"/>
  <c r="AU46" i="19"/>
  <c r="AU38" i="19"/>
  <c r="AT36" i="19"/>
  <c r="AT46" i="19"/>
  <c r="AT38" i="19"/>
  <c r="AS46" i="19"/>
  <c r="BE28" i="19"/>
  <c r="AS38" i="19"/>
  <c r="O25" i="18"/>
  <c r="O47" i="18"/>
  <c r="BE45" i="16"/>
  <c r="BD46" i="16"/>
  <c r="BS40" i="16"/>
  <c r="BR45" i="16"/>
  <c r="AQ45" i="16"/>
  <c r="AP46" i="16"/>
  <c r="BY30" i="16"/>
  <c r="BZ30" i="16"/>
  <c r="CA30" i="16"/>
  <c r="BS30" i="16"/>
  <c r="BU30" i="16"/>
  <c r="BV30" i="16"/>
  <c r="BW30" i="16"/>
  <c r="BR31" i="16"/>
  <c r="BQ31" i="16"/>
  <c r="BY29" i="16"/>
  <c r="BZ29" i="16"/>
  <c r="CA29" i="16"/>
  <c r="BP31" i="16"/>
  <c r="BO31" i="16"/>
  <c r="BN31" i="16"/>
  <c r="BM31" i="16"/>
  <c r="BL31" i="16"/>
  <c r="BK31" i="16"/>
  <c r="BJ31" i="16"/>
  <c r="BI31" i="16"/>
  <c r="BH31" i="16"/>
  <c r="AQ31" i="16"/>
  <c r="AQ37" i="16" s="1"/>
  <c r="AE37" i="16"/>
  <c r="BS29" i="16"/>
  <c r="BU29" i="16"/>
  <c r="BV29" i="16"/>
  <c r="BW29" i="16"/>
  <c r="BG31" i="16"/>
  <c r="BE31" i="16"/>
  <c r="AS37" i="16"/>
  <c r="BD36" i="16"/>
  <c r="BD38" i="16"/>
  <c r="BC36" i="16"/>
  <c r="BC46" i="16"/>
  <c r="BC38" i="16"/>
  <c r="BB36" i="16"/>
  <c r="BB46" i="16"/>
  <c r="BB38" i="16"/>
  <c r="BA36" i="16"/>
  <c r="BA46" i="16"/>
  <c r="BA38" i="16"/>
  <c r="AZ36" i="16"/>
  <c r="AZ46" i="16"/>
  <c r="AZ38" i="16"/>
  <c r="AY36" i="16"/>
  <c r="AY46" i="16"/>
  <c r="AY38" i="16"/>
  <c r="AX36" i="16"/>
  <c r="AX46" i="16"/>
  <c r="AX38" i="16"/>
  <c r="AW36" i="16"/>
  <c r="AW46" i="16"/>
  <c r="AW38" i="16"/>
  <c r="AV36" i="16"/>
  <c r="AV46" i="16"/>
  <c r="AV38" i="16"/>
  <c r="AU36" i="16"/>
  <c r="AU46" i="16"/>
  <c r="AU38" i="16"/>
  <c r="AT36" i="16"/>
  <c r="AT46" i="16"/>
  <c r="AT38" i="16"/>
  <c r="AS46" i="16"/>
  <c r="BE28" i="16"/>
  <c r="AS38" i="16"/>
  <c r="O25" i="15"/>
  <c r="O47" i="15"/>
  <c r="BE45" i="13"/>
  <c r="BD46" i="13"/>
  <c r="AQ45" i="13"/>
  <c r="AP46" i="13"/>
  <c r="BS40" i="13"/>
  <c r="BR45" i="13"/>
  <c r="BY30" i="13"/>
  <c r="BZ30" i="13"/>
  <c r="CA30" i="13"/>
  <c r="BS30" i="13"/>
  <c r="BU30" i="13"/>
  <c r="BV30" i="13"/>
  <c r="BW30" i="13"/>
  <c r="BR31" i="13"/>
  <c r="BQ31" i="13"/>
  <c r="BY29" i="13"/>
  <c r="BZ29" i="13"/>
  <c r="CA29" i="13"/>
  <c r="BP31" i="13"/>
  <c r="BO31" i="13"/>
  <c r="BN31" i="13"/>
  <c r="BM31" i="13"/>
  <c r="BL31" i="13"/>
  <c r="BK31" i="13"/>
  <c r="BJ31" i="13"/>
  <c r="BI31" i="13"/>
  <c r="BH31" i="13"/>
  <c r="AQ31" i="13"/>
  <c r="AQ37" i="13" s="1"/>
  <c r="AE37" i="13"/>
  <c r="BS29" i="13"/>
  <c r="BU29" i="13"/>
  <c r="BV29" i="13"/>
  <c r="BW29" i="13"/>
  <c r="BG31" i="13"/>
  <c r="BE31" i="13"/>
  <c r="AS37" i="13"/>
  <c r="BD36" i="13"/>
  <c r="BD38" i="13"/>
  <c r="BC36" i="13"/>
  <c r="BC46" i="13"/>
  <c r="BC38" i="13"/>
  <c r="BB36" i="13"/>
  <c r="BB46" i="13"/>
  <c r="BB38" i="13"/>
  <c r="BA36" i="13"/>
  <c r="BA46" i="13"/>
  <c r="BA38" i="13"/>
  <c r="AZ36" i="13"/>
  <c r="AZ46" i="13"/>
  <c r="AZ38" i="13"/>
  <c r="AY36" i="13"/>
  <c r="AY46" i="13"/>
  <c r="AY38" i="13"/>
  <c r="AX36" i="13"/>
  <c r="AX46" i="13"/>
  <c r="AX38" i="13"/>
  <c r="AW36" i="13"/>
  <c r="AW46" i="13"/>
  <c r="AW38" i="13"/>
  <c r="AV36" i="13"/>
  <c r="AV46" i="13"/>
  <c r="AV38" i="13"/>
  <c r="AU36" i="13"/>
  <c r="AU46" i="13"/>
  <c r="AU38" i="13"/>
  <c r="AT36" i="13"/>
  <c r="AT46" i="13"/>
  <c r="AT38" i="13"/>
  <c r="AS46" i="13"/>
  <c r="BE28" i="13"/>
  <c r="AS38" i="13"/>
  <c r="O25" i="12"/>
  <c r="O47" i="12"/>
  <c r="BE45" i="10"/>
  <c r="BD46" i="10"/>
  <c r="BS40" i="10"/>
  <c r="BR45" i="10"/>
  <c r="AQ45" i="10"/>
  <c r="AP46" i="10"/>
  <c r="BY30" i="10"/>
  <c r="BZ30" i="10"/>
  <c r="CA30" i="10"/>
  <c r="BS30" i="10"/>
  <c r="BU30" i="10"/>
  <c r="BV30" i="10"/>
  <c r="BW30" i="10"/>
  <c r="BR31" i="10"/>
  <c r="BQ31" i="10"/>
  <c r="BY29" i="10"/>
  <c r="BZ29" i="10"/>
  <c r="CA29" i="10"/>
  <c r="BP31" i="10"/>
  <c r="BO31" i="10"/>
  <c r="BN31" i="10"/>
  <c r="BM31" i="10"/>
  <c r="BL31" i="10"/>
  <c r="BK31" i="10"/>
  <c r="BJ31" i="10"/>
  <c r="BI31" i="10"/>
  <c r="BH31" i="10"/>
  <c r="AQ31" i="10"/>
  <c r="AQ37" i="10" s="1"/>
  <c r="AE37" i="10"/>
  <c r="BS29" i="10"/>
  <c r="BU29" i="10"/>
  <c r="BV29" i="10"/>
  <c r="BW29" i="10"/>
  <c r="BG31" i="10"/>
  <c r="BE31" i="10"/>
  <c r="AS37" i="10"/>
  <c r="BD36" i="10"/>
  <c r="BD38" i="10"/>
  <c r="BC36" i="10"/>
  <c r="BC46" i="10"/>
  <c r="BC38" i="10"/>
  <c r="BB36" i="10"/>
  <c r="BB46" i="10"/>
  <c r="BB38" i="10"/>
  <c r="BA36" i="10"/>
  <c r="BA46" i="10"/>
  <c r="BA38" i="10"/>
  <c r="AZ36" i="10"/>
  <c r="AZ46" i="10"/>
  <c r="AZ38" i="10"/>
  <c r="AY36" i="10"/>
  <c r="AY46" i="10"/>
  <c r="AY38" i="10"/>
  <c r="AX36" i="10"/>
  <c r="AX46" i="10"/>
  <c r="AX38" i="10"/>
  <c r="AW36" i="10"/>
  <c r="AW46" i="10"/>
  <c r="AW38" i="10"/>
  <c r="AV36" i="10"/>
  <c r="AV46" i="10"/>
  <c r="AV38" i="10"/>
  <c r="AU36" i="10"/>
  <c r="AU46" i="10"/>
  <c r="AU38" i="10"/>
  <c r="AT36" i="10"/>
  <c r="AT46" i="10"/>
  <c r="AT38" i="10"/>
  <c r="AS46" i="10"/>
  <c r="BE28" i="10"/>
  <c r="AS38" i="10"/>
  <c r="O25" i="9"/>
  <c r="O47" i="9"/>
  <c r="AQ40" i="7"/>
  <c r="AP45" i="7"/>
  <c r="AC45" i="7"/>
  <c r="AB46" i="7"/>
  <c r="O45" i="7"/>
  <c r="N46" i="7"/>
  <c r="BS40" i="7"/>
  <c r="BR45" i="7"/>
  <c r="AQ30" i="7"/>
  <c r="AE36" i="7"/>
  <c r="I12" i="4"/>
  <c r="O36" i="7"/>
  <c r="F12" i="4"/>
  <c r="AP31" i="7"/>
  <c r="AP37" i="7" s="1"/>
  <c r="AP35" i="7"/>
  <c r="AO31" i="7"/>
  <c r="AO37" i="7" s="1"/>
  <c r="AO35" i="7"/>
  <c r="AN31" i="7"/>
  <c r="AN37" i="7" s="1"/>
  <c r="AN35" i="7"/>
  <c r="AM31" i="7"/>
  <c r="AM37" i="7" s="1"/>
  <c r="AM35" i="7"/>
  <c r="AL31" i="7"/>
  <c r="AL37" i="7" s="1"/>
  <c r="AL35" i="7"/>
  <c r="AK31" i="7"/>
  <c r="AK37" i="7" s="1"/>
  <c r="AK35" i="7"/>
  <c r="AJ31" i="7"/>
  <c r="AJ37" i="7" s="1"/>
  <c r="AJ35" i="7"/>
  <c r="AI31" i="7"/>
  <c r="AI37" i="7" s="1"/>
  <c r="AI35" i="7"/>
  <c r="AH31" i="7"/>
  <c r="AH37" i="7" s="1"/>
  <c r="AH35" i="7"/>
  <c r="AG31" i="7"/>
  <c r="AG37" i="7" s="1"/>
  <c r="AG35" i="7"/>
  <c r="AF31" i="7"/>
  <c r="AF37" i="7" s="1"/>
  <c r="AF35" i="7"/>
  <c r="AC31" i="7"/>
  <c r="AC37" i="7" s="1"/>
  <c r="Q37" i="7"/>
  <c r="AQ29" i="7"/>
  <c r="AE31" i="7"/>
  <c r="AE35" i="7"/>
  <c r="O35" i="7"/>
  <c r="F9" i="4"/>
  <c r="O31" i="7"/>
  <c r="C37" i="7"/>
  <c r="AQ28" i="7"/>
  <c r="AQ38" i="7" s="1"/>
  <c r="AE38" i="7"/>
  <c r="BG38" i="7"/>
  <c r="O38" i="7"/>
  <c r="F7" i="4"/>
  <c r="BE40" i="7"/>
  <c r="BD45" i="7"/>
  <c r="Q63" i="6"/>
  <c r="BB30" i="7"/>
  <c r="L51" i="6"/>
  <c r="AS30" i="7"/>
  <c r="C51" i="6"/>
  <c r="O63" i="6"/>
  <c r="O51" i="6" s="1"/>
  <c r="O42" i="6"/>
  <c r="BD29" i="7"/>
  <c r="N27" i="6"/>
  <c r="BC29" i="7"/>
  <c r="M27" i="6"/>
  <c r="Q39" i="6"/>
  <c r="BB29" i="7"/>
  <c r="L27" i="6"/>
  <c r="Q66" i="6"/>
  <c r="L75" i="6"/>
  <c r="Q75" i="6" s="1"/>
  <c r="BA29" i="7"/>
  <c r="K27" i="6"/>
  <c r="AZ29" i="7"/>
  <c r="J27" i="6"/>
  <c r="AY29" i="7"/>
  <c r="I27" i="6"/>
  <c r="AX29" i="7"/>
  <c r="H27" i="6"/>
  <c r="AW29" i="7"/>
  <c r="G27" i="6"/>
  <c r="AV29" i="7"/>
  <c r="F27" i="6"/>
  <c r="AU29" i="7"/>
  <c r="E27" i="6"/>
  <c r="AT29" i="7"/>
  <c r="D27" i="6"/>
  <c r="O66" i="6"/>
  <c r="O75" i="6" s="1"/>
  <c r="C75" i="6"/>
  <c r="AS29" i="7"/>
  <c r="C27" i="6"/>
  <c r="O39" i="6"/>
  <c r="O27" i="6" s="1"/>
  <c r="O18" i="6"/>
  <c r="Q15" i="6"/>
  <c r="BB28" i="7"/>
  <c r="BE28" i="7"/>
  <c r="BE38" i="7" s="1"/>
  <c r="AS38" i="7"/>
  <c r="AQ36" i="34"/>
  <c r="AQ35" i="34"/>
  <c r="BD37" i="34"/>
  <c r="BC37" i="34"/>
  <c r="BB37" i="34"/>
  <c r="BA37" i="34"/>
  <c r="AZ37" i="34"/>
  <c r="AY37" i="34"/>
  <c r="AX37" i="34"/>
  <c r="AW37" i="34"/>
  <c r="AV37" i="34"/>
  <c r="AU37" i="34"/>
  <c r="AT37" i="34"/>
  <c r="AQ36" i="31"/>
  <c r="AQ35" i="31"/>
  <c r="BD37" i="31"/>
  <c r="BC37" i="31"/>
  <c r="BB37" i="31"/>
  <c r="BA37" i="31"/>
  <c r="AZ37" i="31"/>
  <c r="AY37" i="31"/>
  <c r="AX37" i="31"/>
  <c r="AW37" i="31"/>
  <c r="AV37" i="31"/>
  <c r="AU37" i="31"/>
  <c r="AT37" i="31"/>
  <c r="AQ36" i="28"/>
  <c r="AQ35" i="28"/>
  <c r="BD37" i="28"/>
  <c r="BC37" i="28"/>
  <c r="BB37" i="28"/>
  <c r="BA37" i="28"/>
  <c r="AZ37" i="28"/>
  <c r="AY37" i="28"/>
  <c r="AX37" i="28"/>
  <c r="AW37" i="28"/>
  <c r="AV37" i="28"/>
  <c r="AU37" i="28"/>
  <c r="AT37" i="28"/>
  <c r="AQ36" i="25"/>
  <c r="AQ35" i="25"/>
  <c r="BD37" i="25"/>
  <c r="BC37" i="25"/>
  <c r="BB37" i="25"/>
  <c r="BA37" i="25"/>
  <c r="AZ37" i="25"/>
  <c r="AY37" i="25"/>
  <c r="AX37" i="25"/>
  <c r="AW37" i="25"/>
  <c r="AV37" i="25"/>
  <c r="AU37" i="25"/>
  <c r="AT37" i="25"/>
  <c r="AQ36" i="22"/>
  <c r="AQ35" i="22"/>
  <c r="BD37" i="22"/>
  <c r="BC37" i="22"/>
  <c r="BB37" i="22"/>
  <c r="BA37" i="22"/>
  <c r="AZ37" i="22"/>
  <c r="AY37" i="22"/>
  <c r="AX37" i="22"/>
  <c r="AW37" i="22"/>
  <c r="AV37" i="22"/>
  <c r="AU37" i="22"/>
  <c r="AT37" i="22"/>
  <c r="AQ36" i="19"/>
  <c r="AQ35" i="19"/>
  <c r="BD37" i="19"/>
  <c r="BC37" i="19"/>
  <c r="BB37" i="19"/>
  <c r="BA37" i="19"/>
  <c r="AZ37" i="19"/>
  <c r="AY37" i="19"/>
  <c r="AX37" i="19"/>
  <c r="AW37" i="19"/>
  <c r="AV37" i="19"/>
  <c r="AU37" i="19"/>
  <c r="AT37" i="19"/>
  <c r="AQ36" i="16"/>
  <c r="AQ35" i="16"/>
  <c r="BD37" i="16"/>
  <c r="BC37" i="16"/>
  <c r="BB37" i="16"/>
  <c r="BA37" i="16"/>
  <c r="AZ37" i="16"/>
  <c r="AY37" i="16"/>
  <c r="AX37" i="16"/>
  <c r="AW37" i="16"/>
  <c r="AV37" i="16"/>
  <c r="AU37" i="16"/>
  <c r="AT37" i="16"/>
  <c r="AQ36" i="13"/>
  <c r="AQ35" i="13"/>
  <c r="BD37" i="13"/>
  <c r="BC37" i="13"/>
  <c r="BB37" i="13"/>
  <c r="BA37" i="13"/>
  <c r="AZ37" i="13"/>
  <c r="AY37" i="13"/>
  <c r="AX37" i="13"/>
  <c r="AW37" i="13"/>
  <c r="AV37" i="13"/>
  <c r="AU37" i="13"/>
  <c r="AT37" i="13"/>
  <c r="AQ36" i="10"/>
  <c r="AQ35" i="10"/>
  <c r="BD37" i="10"/>
  <c r="BC37" i="10"/>
  <c r="BB37" i="10"/>
  <c r="BA37" i="10"/>
  <c r="AZ37" i="10"/>
  <c r="AY37" i="10"/>
  <c r="AX37" i="10"/>
  <c r="AW37" i="10"/>
  <c r="AV37" i="10"/>
  <c r="AU37" i="10"/>
  <c r="AT37" i="10"/>
  <c r="AO46" i="7"/>
  <c r="AN46" i="7"/>
  <c r="AM46" i="7"/>
  <c r="AL46" i="7"/>
  <c r="AK46" i="7"/>
  <c r="AJ46" i="7"/>
  <c r="AI46" i="7"/>
  <c r="AH46" i="7"/>
  <c r="AG46" i="7"/>
  <c r="AF46" i="7"/>
  <c r="AE46" i="7"/>
  <c r="AP36" i="7"/>
  <c r="AO36" i="7"/>
  <c r="AN36" i="7"/>
  <c r="AM36" i="7"/>
  <c r="AL36" i="7"/>
  <c r="AK36" i="7"/>
  <c r="AJ36" i="7"/>
  <c r="AI36" i="7"/>
  <c r="AH36" i="7"/>
  <c r="AG36" i="7"/>
  <c r="AF36" i="7"/>
  <c r="AC36" i="7"/>
  <c r="AC35" i="7"/>
  <c r="AS46" i="7"/>
  <c r="O26" i="6"/>
  <c r="O25" i="6"/>
  <c r="O24" i="6"/>
  <c r="O23" i="6"/>
  <c r="O22" i="6"/>
  <c r="O21" i="6"/>
  <c r="O20" i="6"/>
  <c r="O19" i="6"/>
  <c r="BR28" i="34"/>
  <c r="BR35" i="34" s="1"/>
  <c r="BD35" i="34"/>
  <c r="BQ28" i="34"/>
  <c r="BQ35" i="34" s="1"/>
  <c r="BC35" i="34"/>
  <c r="BP28" i="34"/>
  <c r="BB35" i="34"/>
  <c r="BO28" i="34"/>
  <c r="BO35" i="34" s="1"/>
  <c r="BA35" i="34"/>
  <c r="BN28" i="34"/>
  <c r="BN35" i="34" s="1"/>
  <c r="AZ35" i="34"/>
  <c r="BM28" i="34"/>
  <c r="BM35" i="34" s="1"/>
  <c r="AY35" i="34"/>
  <c r="BL28" i="34"/>
  <c r="BL35" i="34" s="1"/>
  <c r="AX35" i="34"/>
  <c r="BK28" i="34"/>
  <c r="BK35" i="34" s="1"/>
  <c r="AW35" i="34"/>
  <c r="BJ28" i="34"/>
  <c r="BJ35" i="34" s="1"/>
  <c r="AV35" i="34"/>
  <c r="BI28" i="34"/>
  <c r="BI35" i="34" s="1"/>
  <c r="AU35" i="34"/>
  <c r="BH28" i="34"/>
  <c r="BH35" i="34" s="1"/>
  <c r="AT35" i="34"/>
  <c r="BG28" i="34"/>
  <c r="AS36" i="34"/>
  <c r="AS35" i="34"/>
  <c r="BR28" i="31"/>
  <c r="BR35" i="31" s="1"/>
  <c r="BD35" i="31"/>
  <c r="BQ28" i="31"/>
  <c r="BQ35" i="31" s="1"/>
  <c r="BC35" i="31"/>
  <c r="BP28" i="31"/>
  <c r="BB35" i="31"/>
  <c r="BO28" i="31"/>
  <c r="BO35" i="31" s="1"/>
  <c r="BA35" i="31"/>
  <c r="BN28" i="31"/>
  <c r="BN35" i="31" s="1"/>
  <c r="AZ35" i="31"/>
  <c r="BM28" i="31"/>
  <c r="BM35" i="31" s="1"/>
  <c r="AY35" i="31"/>
  <c r="BL28" i="31"/>
  <c r="BL35" i="31" s="1"/>
  <c r="AX35" i="31"/>
  <c r="BK28" i="31"/>
  <c r="BK35" i="31" s="1"/>
  <c r="AW35" i="31"/>
  <c r="BJ28" i="31"/>
  <c r="BJ35" i="31" s="1"/>
  <c r="AV35" i="31"/>
  <c r="BI28" i="31"/>
  <c r="BI35" i="31" s="1"/>
  <c r="AU35" i="31"/>
  <c r="BH28" i="31"/>
  <c r="BH35" i="31" s="1"/>
  <c r="AT35" i="31"/>
  <c r="BG28" i="31"/>
  <c r="AS36" i="31"/>
  <c r="AS35" i="31"/>
  <c r="BR28" i="28"/>
  <c r="BR35" i="28" s="1"/>
  <c r="BD35" i="28"/>
  <c r="BQ28" i="28"/>
  <c r="BQ35" i="28" s="1"/>
  <c r="BC35" i="28"/>
  <c r="BP28" i="28"/>
  <c r="BB35" i="28"/>
  <c r="BO28" i="28"/>
  <c r="BO35" i="28" s="1"/>
  <c r="BA35" i="28"/>
  <c r="BN28" i="28"/>
  <c r="BN35" i="28" s="1"/>
  <c r="AZ35" i="28"/>
  <c r="BM28" i="28"/>
  <c r="BM35" i="28" s="1"/>
  <c r="AY35" i="28"/>
  <c r="BL28" i="28"/>
  <c r="BL35" i="28" s="1"/>
  <c r="AX35" i="28"/>
  <c r="AW35" i="28"/>
  <c r="BK28" i="28"/>
  <c r="BK35" i="28" s="1"/>
  <c r="BJ28" i="28"/>
  <c r="BJ35" i="28" s="1"/>
  <c r="AV35" i="28"/>
  <c r="BI28" i="28"/>
  <c r="BI35" i="28" s="1"/>
  <c r="AU35" i="28"/>
  <c r="BH28" i="28"/>
  <c r="BH35" i="28" s="1"/>
  <c r="AT35" i="28"/>
  <c r="BG28" i="28"/>
  <c r="AS36" i="28"/>
  <c r="AS35" i="28"/>
  <c r="BR28" i="25"/>
  <c r="BR35" i="25" s="1"/>
  <c r="BD35" i="25"/>
  <c r="BQ28" i="25"/>
  <c r="BQ35" i="25" s="1"/>
  <c r="BC35" i="25"/>
  <c r="BP28" i="25"/>
  <c r="BB35" i="25"/>
  <c r="BO28" i="25"/>
  <c r="BO35" i="25" s="1"/>
  <c r="BA35" i="25"/>
  <c r="BN28" i="25"/>
  <c r="BN35" i="25" s="1"/>
  <c r="AZ35" i="25"/>
  <c r="BM28" i="25"/>
  <c r="BM35" i="25" s="1"/>
  <c r="AY35" i="25"/>
  <c r="BL28" i="25"/>
  <c r="BL35" i="25" s="1"/>
  <c r="AX35" i="25"/>
  <c r="BK28" i="25"/>
  <c r="BK35" i="25" s="1"/>
  <c r="AW35" i="25"/>
  <c r="BJ28" i="25"/>
  <c r="BJ35" i="25" s="1"/>
  <c r="AV35" i="25"/>
  <c r="BI28" i="25"/>
  <c r="BI35" i="25" s="1"/>
  <c r="AU35" i="25"/>
  <c r="BH28" i="25"/>
  <c r="BH35" i="25" s="1"/>
  <c r="AT35" i="25"/>
  <c r="AS36" i="25"/>
  <c r="BG28" i="25"/>
  <c r="AS35" i="25"/>
  <c r="BR28" i="22"/>
  <c r="BR35" i="22" s="1"/>
  <c r="BD35" i="22"/>
  <c r="BQ28" i="22"/>
  <c r="BQ35" i="22" s="1"/>
  <c r="BC35" i="22"/>
  <c r="BP28" i="22"/>
  <c r="BB35" i="22"/>
  <c r="BO28" i="22"/>
  <c r="BO35" i="22" s="1"/>
  <c r="BA35" i="22"/>
  <c r="BN28" i="22"/>
  <c r="BN35" i="22" s="1"/>
  <c r="AZ35" i="22"/>
  <c r="BM28" i="22"/>
  <c r="BM35" i="22" s="1"/>
  <c r="AY35" i="22"/>
  <c r="BL28" i="22"/>
  <c r="BL35" i="22" s="1"/>
  <c r="AX35" i="22"/>
  <c r="BK28" i="22"/>
  <c r="BK35" i="22" s="1"/>
  <c r="AW35" i="22"/>
  <c r="BJ28" i="22"/>
  <c r="BJ35" i="22" s="1"/>
  <c r="AV35" i="22"/>
  <c r="BI28" i="22"/>
  <c r="BI35" i="22" s="1"/>
  <c r="AU35" i="22"/>
  <c r="BH28" i="22"/>
  <c r="BH35" i="22" s="1"/>
  <c r="AT35" i="22"/>
  <c r="BG28" i="22"/>
  <c r="AS36" i="22"/>
  <c r="AS35" i="22"/>
  <c r="BR28" i="19"/>
  <c r="BR35" i="19" s="1"/>
  <c r="BD35" i="19"/>
  <c r="BQ28" i="19"/>
  <c r="BQ35" i="19" s="1"/>
  <c r="BC35" i="19"/>
  <c r="BP28" i="19"/>
  <c r="BB35" i="19"/>
  <c r="BO28" i="19"/>
  <c r="BO35" i="19" s="1"/>
  <c r="BA35" i="19"/>
  <c r="BN28" i="19"/>
  <c r="BN35" i="19" s="1"/>
  <c r="AZ35" i="19"/>
  <c r="BM28" i="19"/>
  <c r="BM35" i="19" s="1"/>
  <c r="AY35" i="19"/>
  <c r="BL28" i="19"/>
  <c r="BL35" i="19" s="1"/>
  <c r="AX35" i="19"/>
  <c r="BK28" i="19"/>
  <c r="BK35" i="19" s="1"/>
  <c r="AW35" i="19"/>
  <c r="BJ28" i="19"/>
  <c r="BJ35" i="19" s="1"/>
  <c r="AV35" i="19"/>
  <c r="BI28" i="19"/>
  <c r="BI35" i="19" s="1"/>
  <c r="AU35" i="19"/>
  <c r="BH28" i="19"/>
  <c r="BH35" i="19" s="1"/>
  <c r="AT35" i="19"/>
  <c r="BG28" i="19"/>
  <c r="AS36" i="19"/>
  <c r="AS35" i="19"/>
  <c r="BR28" i="16"/>
  <c r="BR35" i="16" s="1"/>
  <c r="BD35" i="16"/>
  <c r="BQ28" i="16"/>
  <c r="BQ35" i="16" s="1"/>
  <c r="BC35" i="16"/>
  <c r="BP28" i="16"/>
  <c r="BB35" i="16"/>
  <c r="BO28" i="16"/>
  <c r="BO35" i="16" s="1"/>
  <c r="BA35" i="16"/>
  <c r="BN28" i="16"/>
  <c r="BN35" i="16" s="1"/>
  <c r="AZ35" i="16"/>
  <c r="BM28" i="16"/>
  <c r="BM35" i="16" s="1"/>
  <c r="AY35" i="16"/>
  <c r="BL28" i="16"/>
  <c r="BL35" i="16" s="1"/>
  <c r="AX35" i="16"/>
  <c r="BK28" i="16"/>
  <c r="BK35" i="16" s="1"/>
  <c r="AW35" i="16"/>
  <c r="BJ28" i="16"/>
  <c r="BJ35" i="16" s="1"/>
  <c r="AV35" i="16"/>
  <c r="BI28" i="16"/>
  <c r="BI35" i="16" s="1"/>
  <c r="AU35" i="16"/>
  <c r="BH28" i="16"/>
  <c r="BH35" i="16" s="1"/>
  <c r="AT35" i="16"/>
  <c r="BG28" i="16"/>
  <c r="AS36" i="16"/>
  <c r="AS35" i="16"/>
  <c r="BR28" i="13"/>
  <c r="BR35" i="13" s="1"/>
  <c r="BD35" i="13"/>
  <c r="BQ28" i="13"/>
  <c r="BQ35" i="13" s="1"/>
  <c r="BC35" i="13"/>
  <c r="BP28" i="13"/>
  <c r="BB35" i="13"/>
  <c r="BO28" i="13"/>
  <c r="BO35" i="13" s="1"/>
  <c r="BA35" i="13"/>
  <c r="BN28" i="13"/>
  <c r="BN35" i="13" s="1"/>
  <c r="AZ35" i="13"/>
  <c r="BM28" i="13"/>
  <c r="BM35" i="13" s="1"/>
  <c r="AY35" i="13"/>
  <c r="BL28" i="13"/>
  <c r="BL35" i="13" s="1"/>
  <c r="AX35" i="13"/>
  <c r="BK28" i="13"/>
  <c r="BK35" i="13" s="1"/>
  <c r="AW35" i="13"/>
  <c r="BJ28" i="13"/>
  <c r="BJ35" i="13" s="1"/>
  <c r="AV35" i="13"/>
  <c r="BI28" i="13"/>
  <c r="BI35" i="13" s="1"/>
  <c r="AU35" i="13"/>
  <c r="BH28" i="13"/>
  <c r="BH35" i="13" s="1"/>
  <c r="AT35" i="13"/>
  <c r="BG28" i="13"/>
  <c r="AS36" i="13"/>
  <c r="AS35" i="13"/>
  <c r="BR28" i="10"/>
  <c r="BR35" i="10" s="1"/>
  <c r="BD35" i="10"/>
  <c r="BQ28" i="10"/>
  <c r="BQ35" i="10" s="1"/>
  <c r="BC35" i="10"/>
  <c r="BP28" i="10"/>
  <c r="BB35" i="10"/>
  <c r="BO28" i="10"/>
  <c r="BO35" i="10" s="1"/>
  <c r="BA35" i="10"/>
  <c r="BN28" i="10"/>
  <c r="BN35" i="10" s="1"/>
  <c r="AZ35" i="10"/>
  <c r="BM28" i="10"/>
  <c r="BM35" i="10" s="1"/>
  <c r="AY35" i="10"/>
  <c r="BL28" i="10"/>
  <c r="BL35" i="10" s="1"/>
  <c r="AX35" i="10"/>
  <c r="AW35" i="10"/>
  <c r="BK28" i="10"/>
  <c r="BK35" i="10" s="1"/>
  <c r="BJ28" i="10"/>
  <c r="BJ35" i="10" s="1"/>
  <c r="AV35" i="10"/>
  <c r="BI28" i="10"/>
  <c r="BI35" i="10" s="1"/>
  <c r="AU35" i="10"/>
  <c r="BH28" i="10"/>
  <c r="BH35" i="10" s="1"/>
  <c r="AT35" i="10"/>
  <c r="BG28" i="10"/>
  <c r="AS36" i="10"/>
  <c r="AS35" i="10"/>
  <c r="BC45" i="7"/>
  <c r="BQ40" i="7"/>
  <c r="BQ45" i="7" s="1"/>
  <c r="BB45" i="7"/>
  <c r="BP40" i="7"/>
  <c r="BP45" i="7" s="1"/>
  <c r="BA45" i="7"/>
  <c r="BO40" i="7"/>
  <c r="BO45" i="7" s="1"/>
  <c r="AZ45" i="7"/>
  <c r="BN40" i="7"/>
  <c r="BN45" i="7" s="1"/>
  <c r="AY45" i="7"/>
  <c r="BM40" i="7"/>
  <c r="BM45" i="7" s="1"/>
  <c r="AX45" i="7"/>
  <c r="BL40" i="7"/>
  <c r="BL45" i="7" s="1"/>
  <c r="AW45" i="7"/>
  <c r="BK40" i="7"/>
  <c r="BK45" i="7" s="1"/>
  <c r="AV45" i="7"/>
  <c r="BJ40" i="7"/>
  <c r="BJ45" i="7" s="1"/>
  <c r="AU45" i="7"/>
  <c r="BI40" i="7"/>
  <c r="BI45" i="7" s="1"/>
  <c r="AT45" i="7"/>
  <c r="BH40" i="7"/>
  <c r="BH45" i="7" s="1"/>
  <c r="AS45" i="7"/>
  <c r="BG40" i="7"/>
  <c r="BG45" i="7" s="1"/>
  <c r="BG46" i="7" s="1"/>
  <c r="BD28" i="7"/>
  <c r="N51" i="6"/>
  <c r="BC28" i="7"/>
  <c r="M51" i="6"/>
  <c r="BA28" i="7"/>
  <c r="K51" i="6"/>
  <c r="AZ28" i="7"/>
  <c r="J51" i="6"/>
  <c r="AY28" i="7"/>
  <c r="I51" i="6"/>
  <c r="AX28" i="7"/>
  <c r="H51" i="6"/>
  <c r="AW28" i="7"/>
  <c r="G51" i="6"/>
  <c r="AV28" i="7"/>
  <c r="F51" i="6"/>
  <c r="AU28" i="7"/>
  <c r="E51" i="6"/>
  <c r="AT28" i="7"/>
  <c r="D51" i="6"/>
  <c r="BS45" i="34" l="1"/>
  <c r="BR46" i="34"/>
  <c r="F41" i="3"/>
  <c r="F12" i="32"/>
  <c r="G41" i="3"/>
  <c r="G12" i="32"/>
  <c r="H41" i="3"/>
  <c r="H12" i="32"/>
  <c r="CC30" i="34"/>
  <c r="CD30" i="34"/>
  <c r="CE30" i="34"/>
  <c r="C41" i="3"/>
  <c r="C12" i="32"/>
  <c r="D41" i="3"/>
  <c r="D12" i="32"/>
  <c r="E41" i="3"/>
  <c r="E12" i="32"/>
  <c r="F29" i="3"/>
  <c r="F10" i="32"/>
  <c r="G29" i="3"/>
  <c r="G10" i="32"/>
  <c r="H29" i="3"/>
  <c r="H10" i="32"/>
  <c r="BY31" i="34"/>
  <c r="BZ31" i="34"/>
  <c r="CA31" i="34"/>
  <c r="BP37" i="34"/>
  <c r="CC29" i="34"/>
  <c r="CD29" i="34"/>
  <c r="CE29" i="34"/>
  <c r="C29" i="3"/>
  <c r="C10" i="32"/>
  <c r="D29" i="3"/>
  <c r="D10" i="32"/>
  <c r="E29" i="3"/>
  <c r="E10" i="32"/>
  <c r="BS31" i="34"/>
  <c r="BU31" i="34"/>
  <c r="BV31" i="34"/>
  <c r="BW31" i="34"/>
  <c r="BG37" i="34"/>
  <c r="BE35" i="34"/>
  <c r="BE36" i="34"/>
  <c r="BE38" i="34"/>
  <c r="BS45" i="31"/>
  <c r="BR46" i="31"/>
  <c r="F40" i="3"/>
  <c r="F12" i="29"/>
  <c r="G40" i="3"/>
  <c r="G12" i="29"/>
  <c r="H40" i="3"/>
  <c r="H12" i="29"/>
  <c r="CC30" i="31"/>
  <c r="CD30" i="31"/>
  <c r="CE30" i="31"/>
  <c r="C40" i="3"/>
  <c r="C12" i="29"/>
  <c r="D40" i="3"/>
  <c r="D12" i="29"/>
  <c r="E40" i="3"/>
  <c r="E12" i="29"/>
  <c r="F28" i="3"/>
  <c r="F10" i="29"/>
  <c r="G28" i="3"/>
  <c r="G10" i="29"/>
  <c r="H28" i="3"/>
  <c r="H10" i="29"/>
  <c r="BY31" i="31"/>
  <c r="BZ31" i="31"/>
  <c r="CA31" i="31"/>
  <c r="BP37" i="31"/>
  <c r="CC29" i="31"/>
  <c r="CD29" i="31"/>
  <c r="CE29" i="31"/>
  <c r="C28" i="3"/>
  <c r="C10" i="29"/>
  <c r="D28" i="3"/>
  <c r="D10" i="29"/>
  <c r="E28" i="3"/>
  <c r="E10" i="29"/>
  <c r="BS31" i="31"/>
  <c r="BU31" i="31"/>
  <c r="BV31" i="31"/>
  <c r="BW31" i="31"/>
  <c r="BG37" i="31"/>
  <c r="BE35" i="31"/>
  <c r="BE36" i="31"/>
  <c r="BE38" i="31"/>
  <c r="BS45" i="28"/>
  <c r="BR46" i="28"/>
  <c r="F39" i="3"/>
  <c r="F12" i="26"/>
  <c r="G39" i="3"/>
  <c r="G12" i="26"/>
  <c r="H39" i="3"/>
  <c r="H12" i="26"/>
  <c r="CC30" i="28"/>
  <c r="CD30" i="28"/>
  <c r="CE30" i="28"/>
  <c r="C39" i="3"/>
  <c r="C12" i="26"/>
  <c r="D39" i="3"/>
  <c r="D12" i="26"/>
  <c r="E39" i="3"/>
  <c r="E12" i="26"/>
  <c r="F27" i="3"/>
  <c r="F10" i="26"/>
  <c r="G27" i="3"/>
  <c r="G10" i="26"/>
  <c r="H27" i="3"/>
  <c r="H10" i="26"/>
  <c r="BY31" i="28"/>
  <c r="BZ31" i="28"/>
  <c r="CA31" i="28"/>
  <c r="BP37" i="28"/>
  <c r="CC29" i="28"/>
  <c r="CD29" i="28"/>
  <c r="CE29" i="28"/>
  <c r="C27" i="3"/>
  <c r="C10" i="26"/>
  <c r="D27" i="3"/>
  <c r="D10" i="26"/>
  <c r="E27" i="3"/>
  <c r="E10" i="26"/>
  <c r="BS31" i="28"/>
  <c r="BU31" i="28"/>
  <c r="BV31" i="28"/>
  <c r="BW31" i="28"/>
  <c r="BG37" i="28"/>
  <c r="BE35" i="28"/>
  <c r="BE36" i="28"/>
  <c r="BE38" i="28"/>
  <c r="BS45" i="25"/>
  <c r="BR46" i="25"/>
  <c r="F38" i="3"/>
  <c r="F12" i="23"/>
  <c r="G38" i="3"/>
  <c r="G12" i="23"/>
  <c r="H38" i="3"/>
  <c r="H12" i="23"/>
  <c r="CC30" i="25"/>
  <c r="CD30" i="25"/>
  <c r="CE30" i="25"/>
  <c r="C38" i="3"/>
  <c r="C12" i="23"/>
  <c r="D38" i="3"/>
  <c r="D12" i="23"/>
  <c r="E38" i="3"/>
  <c r="E12" i="23"/>
  <c r="F26" i="3"/>
  <c r="F10" i="23"/>
  <c r="G26" i="3"/>
  <c r="G10" i="23"/>
  <c r="H26" i="3"/>
  <c r="H10" i="23"/>
  <c r="BY31" i="25"/>
  <c r="BZ31" i="25"/>
  <c r="CA31" i="25"/>
  <c r="BP37" i="25"/>
  <c r="CC29" i="25"/>
  <c r="CD29" i="25"/>
  <c r="CE29" i="25"/>
  <c r="C26" i="3"/>
  <c r="C10" i="23"/>
  <c r="D26" i="3"/>
  <c r="D10" i="23"/>
  <c r="E26" i="3"/>
  <c r="E10" i="23"/>
  <c r="BS31" i="25"/>
  <c r="BU31" i="25"/>
  <c r="BV31" i="25"/>
  <c r="BW31" i="25"/>
  <c r="BG37" i="25"/>
  <c r="BE35" i="25"/>
  <c r="BE36" i="25"/>
  <c r="BE38" i="25"/>
  <c r="BS45" i="22"/>
  <c r="BR46" i="22"/>
  <c r="F37" i="3"/>
  <c r="F12" i="20"/>
  <c r="G37" i="3"/>
  <c r="G12" i="20"/>
  <c r="H37" i="3"/>
  <c r="H12" i="20"/>
  <c r="CC30" i="22"/>
  <c r="CD30" i="22"/>
  <c r="CE30" i="22"/>
  <c r="C37" i="3"/>
  <c r="C12" i="20"/>
  <c r="D37" i="3"/>
  <c r="D12" i="20"/>
  <c r="E37" i="3"/>
  <c r="E12" i="20"/>
  <c r="F25" i="3"/>
  <c r="F10" i="20"/>
  <c r="G25" i="3"/>
  <c r="G10" i="20"/>
  <c r="H25" i="3"/>
  <c r="H10" i="20"/>
  <c r="BY31" i="22"/>
  <c r="BZ31" i="22"/>
  <c r="CA31" i="22"/>
  <c r="BP37" i="22"/>
  <c r="CC29" i="22"/>
  <c r="CD29" i="22"/>
  <c r="CE29" i="22"/>
  <c r="C25" i="3"/>
  <c r="C10" i="20"/>
  <c r="D25" i="3"/>
  <c r="D10" i="20"/>
  <c r="E25" i="3"/>
  <c r="E10" i="20"/>
  <c r="BS31" i="22"/>
  <c r="BU31" i="22"/>
  <c r="BV31" i="22"/>
  <c r="BW31" i="22"/>
  <c r="BG37" i="22"/>
  <c r="BE35" i="22"/>
  <c r="BE36" i="22"/>
  <c r="BE38" i="22"/>
  <c r="BS45" i="19"/>
  <c r="BR46" i="19"/>
  <c r="F36" i="3"/>
  <c r="F12" i="17"/>
  <c r="G36" i="3"/>
  <c r="G12" i="17"/>
  <c r="H36" i="3"/>
  <c r="H12" i="17"/>
  <c r="CC30" i="19"/>
  <c r="CD30" i="19"/>
  <c r="CE30" i="19"/>
  <c r="C36" i="3"/>
  <c r="C12" i="17"/>
  <c r="D36" i="3"/>
  <c r="D12" i="17"/>
  <c r="E36" i="3"/>
  <c r="E12" i="17"/>
  <c r="F24" i="3"/>
  <c r="F10" i="17"/>
  <c r="G24" i="3"/>
  <c r="G10" i="17"/>
  <c r="H24" i="3"/>
  <c r="H10" i="17"/>
  <c r="BY31" i="19"/>
  <c r="BZ31" i="19"/>
  <c r="CA31" i="19"/>
  <c r="BP37" i="19"/>
  <c r="CC29" i="19"/>
  <c r="CD29" i="19"/>
  <c r="CE29" i="19"/>
  <c r="C24" i="3"/>
  <c r="C10" i="17"/>
  <c r="D24" i="3"/>
  <c r="D10" i="17"/>
  <c r="E24" i="3"/>
  <c r="E10" i="17"/>
  <c r="BS31" i="19"/>
  <c r="BU31" i="19"/>
  <c r="BV31" i="19"/>
  <c r="BW31" i="19"/>
  <c r="BG37" i="19"/>
  <c r="BE35" i="19"/>
  <c r="BE36" i="19"/>
  <c r="BE38" i="19"/>
  <c r="BS45" i="16"/>
  <c r="BR46" i="16"/>
  <c r="F35" i="3"/>
  <c r="F12" i="14"/>
  <c r="G35" i="3"/>
  <c r="G12" i="14"/>
  <c r="H35" i="3"/>
  <c r="H12" i="14"/>
  <c r="CC30" i="16"/>
  <c r="CD30" i="16"/>
  <c r="CE30" i="16"/>
  <c r="C35" i="3"/>
  <c r="C12" i="14"/>
  <c r="D35" i="3"/>
  <c r="D12" i="14"/>
  <c r="E35" i="3"/>
  <c r="E12" i="14"/>
  <c r="F23" i="3"/>
  <c r="F10" i="14"/>
  <c r="G23" i="3"/>
  <c r="G10" i="14"/>
  <c r="H23" i="3"/>
  <c r="H10" i="14"/>
  <c r="BY31" i="16"/>
  <c r="BZ31" i="16"/>
  <c r="CA31" i="16"/>
  <c r="BP37" i="16"/>
  <c r="CC29" i="16"/>
  <c r="CD29" i="16"/>
  <c r="CE29" i="16"/>
  <c r="C23" i="3"/>
  <c r="C10" i="14"/>
  <c r="D23" i="3"/>
  <c r="D10" i="14"/>
  <c r="E23" i="3"/>
  <c r="E10" i="14"/>
  <c r="BS31" i="16"/>
  <c r="BU31" i="16"/>
  <c r="BV31" i="16"/>
  <c r="BW31" i="16"/>
  <c r="BG37" i="16"/>
  <c r="BE35" i="16"/>
  <c r="BE36" i="16"/>
  <c r="BE38" i="16"/>
  <c r="BS45" i="13"/>
  <c r="BR46" i="13"/>
  <c r="F34" i="3"/>
  <c r="F12" i="11"/>
  <c r="G34" i="3"/>
  <c r="G12" i="11"/>
  <c r="H34" i="3"/>
  <c r="H12" i="11"/>
  <c r="CC30" i="13"/>
  <c r="CD30" i="13"/>
  <c r="CE30" i="13"/>
  <c r="C34" i="3"/>
  <c r="C12" i="11"/>
  <c r="D34" i="3"/>
  <c r="D12" i="11"/>
  <c r="E34" i="3"/>
  <c r="E12" i="11"/>
  <c r="F22" i="3"/>
  <c r="F10" i="11"/>
  <c r="G22" i="3"/>
  <c r="G10" i="11"/>
  <c r="H22" i="3"/>
  <c r="H10" i="11"/>
  <c r="BY31" i="13"/>
  <c r="BZ31" i="13"/>
  <c r="CA31" i="13"/>
  <c r="BP37" i="13"/>
  <c r="CC29" i="13"/>
  <c r="CD29" i="13"/>
  <c r="CE29" i="13"/>
  <c r="C22" i="3"/>
  <c r="C10" i="11"/>
  <c r="D22" i="3"/>
  <c r="D10" i="11"/>
  <c r="E22" i="3"/>
  <c r="E10" i="11"/>
  <c r="BS31" i="13"/>
  <c r="BU31" i="13"/>
  <c r="BV31" i="13"/>
  <c r="BW31" i="13"/>
  <c r="BG37" i="13"/>
  <c r="BE35" i="13"/>
  <c r="BE36" i="13"/>
  <c r="BE38" i="13"/>
  <c r="BS45" i="10"/>
  <c r="BR46" i="10"/>
  <c r="F33" i="3"/>
  <c r="F42" i="3" s="1"/>
  <c r="F12" i="8"/>
  <c r="G33" i="3"/>
  <c r="G42" i="3" s="1"/>
  <c r="G12" i="8"/>
  <c r="H33" i="3"/>
  <c r="H42" i="3" s="1"/>
  <c r="H12" i="8"/>
  <c r="CC30" i="10"/>
  <c r="CD30" i="10"/>
  <c r="CE30" i="10"/>
  <c r="C33" i="3"/>
  <c r="C42" i="3" s="1"/>
  <c r="C12" i="8"/>
  <c r="D33" i="3"/>
  <c r="D42" i="3" s="1"/>
  <c r="D12" i="8"/>
  <c r="E33" i="3"/>
  <c r="E42" i="3" s="1"/>
  <c r="E12" i="8"/>
  <c r="F21" i="3"/>
  <c r="F30" i="3" s="1"/>
  <c r="F10" i="8"/>
  <c r="G21" i="3"/>
  <c r="G30" i="3" s="1"/>
  <c r="G10" i="8"/>
  <c r="H21" i="3"/>
  <c r="H30" i="3" s="1"/>
  <c r="H10" i="8"/>
  <c r="BY31" i="10"/>
  <c r="BZ31" i="10"/>
  <c r="CA31" i="10"/>
  <c r="BP37" i="10"/>
  <c r="CC29" i="10"/>
  <c r="CD29" i="10"/>
  <c r="CE29" i="10"/>
  <c r="C21" i="3"/>
  <c r="C30" i="3" s="1"/>
  <c r="C10" i="8"/>
  <c r="D21" i="3"/>
  <c r="D30" i="3" s="1"/>
  <c r="D10" i="8"/>
  <c r="E21" i="3"/>
  <c r="E30" i="3" s="1"/>
  <c r="E10" i="8"/>
  <c r="BS31" i="10"/>
  <c r="BU31" i="10"/>
  <c r="BV31" i="10"/>
  <c r="BW31" i="10"/>
  <c r="BG37" i="10"/>
  <c r="BE35" i="10"/>
  <c r="BE36" i="10"/>
  <c r="BE38" i="10"/>
  <c r="AQ45" i="7"/>
  <c r="AP46" i="7"/>
  <c r="BS45" i="7"/>
  <c r="AQ31" i="7"/>
  <c r="AQ37" i="7" s="1"/>
  <c r="AE37" i="7"/>
  <c r="O37" i="7"/>
  <c r="F15" i="4"/>
  <c r="F16" i="4" s="1"/>
  <c r="BE45" i="7"/>
  <c r="BD46" i="7"/>
  <c r="BP30" i="7"/>
  <c r="BB36" i="7"/>
  <c r="BG30" i="7"/>
  <c r="BE30" i="7"/>
  <c r="BE36" i="7" s="1"/>
  <c r="AS36" i="7"/>
  <c r="BR29" i="7"/>
  <c r="BD31" i="7"/>
  <c r="BD37" i="7" s="1"/>
  <c r="BD35" i="7"/>
  <c r="BQ29" i="7"/>
  <c r="BC31" i="7"/>
  <c r="BC37" i="7" s="1"/>
  <c r="BC35" i="7"/>
  <c r="BP29" i="7"/>
  <c r="BB31" i="7"/>
  <c r="BB37" i="7" s="1"/>
  <c r="BB35" i="7"/>
  <c r="BO29" i="7"/>
  <c r="BA31" i="7"/>
  <c r="BA37" i="7" s="1"/>
  <c r="BA35" i="7"/>
  <c r="BN29" i="7"/>
  <c r="AZ31" i="7"/>
  <c r="AZ37" i="7" s="1"/>
  <c r="AZ35" i="7"/>
  <c r="BM29" i="7"/>
  <c r="AY31" i="7"/>
  <c r="AY37" i="7" s="1"/>
  <c r="AY35" i="7"/>
  <c r="BL29" i="7"/>
  <c r="AX31" i="7"/>
  <c r="AX37" i="7" s="1"/>
  <c r="AX35" i="7"/>
  <c r="BK29" i="7"/>
  <c r="AW31" i="7"/>
  <c r="AW37" i="7" s="1"/>
  <c r="AW35" i="7"/>
  <c r="BJ29" i="7"/>
  <c r="AV31" i="7"/>
  <c r="AV37" i="7" s="1"/>
  <c r="AV35" i="7"/>
  <c r="BI29" i="7"/>
  <c r="AU31" i="7"/>
  <c r="AU37" i="7" s="1"/>
  <c r="AU35" i="7"/>
  <c r="BH29" i="7"/>
  <c r="AT31" i="7"/>
  <c r="AT37" i="7" s="1"/>
  <c r="AT35" i="7"/>
  <c r="BG29" i="7"/>
  <c r="BE29" i="7"/>
  <c r="BE35" i="7" s="1"/>
  <c r="AS31" i="7"/>
  <c r="AS35" i="7"/>
  <c r="BB46" i="7"/>
  <c r="BP28" i="7"/>
  <c r="BB38" i="7"/>
  <c r="BR36" i="34"/>
  <c r="BR38" i="34"/>
  <c r="BQ36" i="34"/>
  <c r="BQ46" i="34"/>
  <c r="BQ38" i="34"/>
  <c r="BP46" i="34"/>
  <c r="BP38" i="34"/>
  <c r="CA28" i="34"/>
  <c r="BZ28" i="34"/>
  <c r="BY28" i="34"/>
  <c r="BO36" i="34"/>
  <c r="BO46" i="34"/>
  <c r="BO38" i="34"/>
  <c r="BN36" i="34"/>
  <c r="BN46" i="34"/>
  <c r="BN38" i="34"/>
  <c r="BM36" i="34"/>
  <c r="BM46" i="34"/>
  <c r="BM38" i="34"/>
  <c r="BL36" i="34"/>
  <c r="BL46" i="34"/>
  <c r="BL38" i="34"/>
  <c r="BK36" i="34"/>
  <c r="BK46" i="34"/>
  <c r="BK38" i="34"/>
  <c r="BJ36" i="34"/>
  <c r="BJ46" i="34"/>
  <c r="BJ38" i="34"/>
  <c r="BI36" i="34"/>
  <c r="BI46" i="34"/>
  <c r="BI38" i="34"/>
  <c r="BH36" i="34"/>
  <c r="BH46" i="34"/>
  <c r="BH38" i="34"/>
  <c r="BG46" i="34"/>
  <c r="BG38" i="34"/>
  <c r="BW28" i="34"/>
  <c r="BV28" i="34"/>
  <c r="BU28" i="34"/>
  <c r="BS28" i="34"/>
  <c r="BR36" i="31"/>
  <c r="BR38" i="31"/>
  <c r="BQ36" i="31"/>
  <c r="BQ46" i="31"/>
  <c r="BQ38" i="31"/>
  <c r="BP46" i="31"/>
  <c r="BP38" i="31"/>
  <c r="CA28" i="31"/>
  <c r="BZ28" i="31"/>
  <c r="BY28" i="31"/>
  <c r="BO36" i="31"/>
  <c r="BO46" i="31"/>
  <c r="BO38" i="31"/>
  <c r="BN36" i="31"/>
  <c r="BN46" i="31"/>
  <c r="BN38" i="31"/>
  <c r="BM36" i="31"/>
  <c r="BM46" i="31"/>
  <c r="BM38" i="31"/>
  <c r="BL36" i="31"/>
  <c r="BL46" i="31"/>
  <c r="BL38" i="31"/>
  <c r="BK36" i="31"/>
  <c r="BK46" i="31"/>
  <c r="BK38" i="31"/>
  <c r="BJ36" i="31"/>
  <c r="BJ46" i="31"/>
  <c r="BJ38" i="31"/>
  <c r="BI36" i="31"/>
  <c r="BI46" i="31"/>
  <c r="BI38" i="31"/>
  <c r="BH36" i="31"/>
  <c r="BH46" i="31"/>
  <c r="BH38" i="31"/>
  <c r="BG46" i="31"/>
  <c r="BG38" i="31"/>
  <c r="BW28" i="31"/>
  <c r="BV28" i="31"/>
  <c r="BU28" i="31"/>
  <c r="BS28" i="31"/>
  <c r="BR36" i="28"/>
  <c r="BR38" i="28"/>
  <c r="BQ36" i="28"/>
  <c r="BQ46" i="28"/>
  <c r="BQ38" i="28"/>
  <c r="BP46" i="28"/>
  <c r="BP38" i="28"/>
  <c r="CA28" i="28"/>
  <c r="BZ28" i="28"/>
  <c r="BY28" i="28"/>
  <c r="BO36" i="28"/>
  <c r="BO46" i="28"/>
  <c r="BO38" i="28"/>
  <c r="BN36" i="28"/>
  <c r="BN46" i="28"/>
  <c r="BN38" i="28"/>
  <c r="BM36" i="28"/>
  <c r="BM46" i="28"/>
  <c r="BM38" i="28"/>
  <c r="BL36" i="28"/>
  <c r="BL46" i="28"/>
  <c r="BL38" i="28"/>
  <c r="BK36" i="28"/>
  <c r="BK46" i="28"/>
  <c r="BK38" i="28"/>
  <c r="BJ36" i="28"/>
  <c r="BJ46" i="28"/>
  <c r="BJ38" i="28"/>
  <c r="BI36" i="28"/>
  <c r="BI46" i="28"/>
  <c r="BI38" i="28"/>
  <c r="BH36" i="28"/>
  <c r="BH46" i="28"/>
  <c r="BH38" i="28"/>
  <c r="BG46" i="28"/>
  <c r="BG38" i="28"/>
  <c r="BW28" i="28"/>
  <c r="BV28" i="28"/>
  <c r="BU28" i="28"/>
  <c r="BS28" i="28"/>
  <c r="BR36" i="25"/>
  <c r="BR38" i="25"/>
  <c r="BQ36" i="25"/>
  <c r="BQ46" i="25"/>
  <c r="BQ38" i="25"/>
  <c r="BP46" i="25"/>
  <c r="BP38" i="25"/>
  <c r="CA28" i="25"/>
  <c r="BZ28" i="25"/>
  <c r="BY28" i="25"/>
  <c r="BO36" i="25"/>
  <c r="BO46" i="25"/>
  <c r="BO38" i="25"/>
  <c r="BN36" i="25"/>
  <c r="BN46" i="25"/>
  <c r="BN38" i="25"/>
  <c r="BM36" i="25"/>
  <c r="BM46" i="25"/>
  <c r="BM38" i="25"/>
  <c r="BL36" i="25"/>
  <c r="BL46" i="25"/>
  <c r="BL38" i="25"/>
  <c r="BK36" i="25"/>
  <c r="BK46" i="25"/>
  <c r="BK38" i="25"/>
  <c r="BJ36" i="25"/>
  <c r="BJ46" i="25"/>
  <c r="BJ38" i="25"/>
  <c r="BI36" i="25"/>
  <c r="BI46" i="25"/>
  <c r="BI38" i="25"/>
  <c r="BH36" i="25"/>
  <c r="BH46" i="25"/>
  <c r="BH38" i="25"/>
  <c r="BG46" i="25"/>
  <c r="BG38" i="25"/>
  <c r="BW28" i="25"/>
  <c r="BV28" i="25"/>
  <c r="BU28" i="25"/>
  <c r="BS28" i="25"/>
  <c r="BR36" i="22"/>
  <c r="BR38" i="22"/>
  <c r="BQ36" i="22"/>
  <c r="BQ46" i="22"/>
  <c r="BQ38" i="22"/>
  <c r="BP46" i="22"/>
  <c r="BP38" i="22"/>
  <c r="CA28" i="22"/>
  <c r="BZ28" i="22"/>
  <c r="BY28" i="22"/>
  <c r="BO36" i="22"/>
  <c r="BO46" i="22"/>
  <c r="BO38" i="22"/>
  <c r="BN36" i="22"/>
  <c r="BN46" i="22"/>
  <c r="BN38" i="22"/>
  <c r="BM36" i="22"/>
  <c r="BM46" i="22"/>
  <c r="BM38" i="22"/>
  <c r="BL36" i="22"/>
  <c r="BL46" i="22"/>
  <c r="BL38" i="22"/>
  <c r="BK36" i="22"/>
  <c r="BK46" i="22"/>
  <c r="BK38" i="22"/>
  <c r="BJ36" i="22"/>
  <c r="BJ46" i="22"/>
  <c r="BJ38" i="22"/>
  <c r="BI36" i="22"/>
  <c r="BI46" i="22"/>
  <c r="BI38" i="22"/>
  <c r="BH36" i="22"/>
  <c r="BH46" i="22"/>
  <c r="BH38" i="22"/>
  <c r="BG46" i="22"/>
  <c r="BG38" i="22"/>
  <c r="BW28" i="22"/>
  <c r="BV28" i="22"/>
  <c r="BU28" i="22"/>
  <c r="BS28" i="22"/>
  <c r="BR36" i="19"/>
  <c r="BR38" i="19"/>
  <c r="BQ36" i="19"/>
  <c r="BQ46" i="19"/>
  <c r="BQ38" i="19"/>
  <c r="BP46" i="19"/>
  <c r="BP38" i="19"/>
  <c r="CA28" i="19"/>
  <c r="BZ28" i="19"/>
  <c r="BY28" i="19"/>
  <c r="BO36" i="19"/>
  <c r="BO46" i="19"/>
  <c r="BO38" i="19"/>
  <c r="BN36" i="19"/>
  <c r="BN46" i="19"/>
  <c r="BN38" i="19"/>
  <c r="BM36" i="19"/>
  <c r="BM46" i="19"/>
  <c r="BM38" i="19"/>
  <c r="BL36" i="19"/>
  <c r="BL46" i="19"/>
  <c r="BL38" i="19"/>
  <c r="BK36" i="19"/>
  <c r="BK46" i="19"/>
  <c r="BK38" i="19"/>
  <c r="BJ36" i="19"/>
  <c r="BJ46" i="19"/>
  <c r="BJ38" i="19"/>
  <c r="BI36" i="19"/>
  <c r="BI46" i="19"/>
  <c r="BI38" i="19"/>
  <c r="BH36" i="19"/>
  <c r="BH46" i="19"/>
  <c r="BH38" i="19"/>
  <c r="BG46" i="19"/>
  <c r="BG38" i="19"/>
  <c r="BW28" i="19"/>
  <c r="BV28" i="19"/>
  <c r="BU28" i="19"/>
  <c r="BS28" i="19"/>
  <c r="BR36" i="16"/>
  <c r="BR38" i="16"/>
  <c r="BQ36" i="16"/>
  <c r="BQ46" i="16"/>
  <c r="BQ38" i="16"/>
  <c r="BP46" i="16"/>
  <c r="BP38" i="16"/>
  <c r="CA28" i="16"/>
  <c r="BZ28" i="16"/>
  <c r="BY28" i="16"/>
  <c r="BO36" i="16"/>
  <c r="BO46" i="16"/>
  <c r="BO38" i="16"/>
  <c r="BN36" i="16"/>
  <c r="BN46" i="16"/>
  <c r="BN38" i="16"/>
  <c r="BM36" i="16"/>
  <c r="BM46" i="16"/>
  <c r="BM38" i="16"/>
  <c r="BL36" i="16"/>
  <c r="BL46" i="16"/>
  <c r="BL38" i="16"/>
  <c r="BK36" i="16"/>
  <c r="BK46" i="16"/>
  <c r="BK38" i="16"/>
  <c r="BJ36" i="16"/>
  <c r="BJ46" i="16"/>
  <c r="BJ38" i="16"/>
  <c r="BI36" i="16"/>
  <c r="BI46" i="16"/>
  <c r="BI38" i="16"/>
  <c r="BH36" i="16"/>
  <c r="BH46" i="16"/>
  <c r="BH38" i="16"/>
  <c r="BG46" i="16"/>
  <c r="BG38" i="16"/>
  <c r="BW28" i="16"/>
  <c r="BV28" i="16"/>
  <c r="BU28" i="16"/>
  <c r="BS28" i="16"/>
  <c r="BR36" i="13"/>
  <c r="BR38" i="13"/>
  <c r="BQ36" i="13"/>
  <c r="BQ46" i="13"/>
  <c r="BQ38" i="13"/>
  <c r="BP46" i="13"/>
  <c r="BP38" i="13"/>
  <c r="CA28" i="13"/>
  <c r="BZ28" i="13"/>
  <c r="BY28" i="13"/>
  <c r="BO36" i="13"/>
  <c r="BO46" i="13"/>
  <c r="BO38" i="13"/>
  <c r="BN36" i="13"/>
  <c r="BN46" i="13"/>
  <c r="BN38" i="13"/>
  <c r="BM36" i="13"/>
  <c r="BM46" i="13"/>
  <c r="BM38" i="13"/>
  <c r="BL36" i="13"/>
  <c r="BL46" i="13"/>
  <c r="BL38" i="13"/>
  <c r="BK36" i="13"/>
  <c r="BK46" i="13"/>
  <c r="BK38" i="13"/>
  <c r="BJ36" i="13"/>
  <c r="BJ46" i="13"/>
  <c r="BJ38" i="13"/>
  <c r="BI36" i="13"/>
  <c r="BI46" i="13"/>
  <c r="BI38" i="13"/>
  <c r="BH36" i="13"/>
  <c r="BH46" i="13"/>
  <c r="BH38" i="13"/>
  <c r="BG46" i="13"/>
  <c r="BG38" i="13"/>
  <c r="BW28" i="13"/>
  <c r="BV28" i="13"/>
  <c r="BU28" i="13"/>
  <c r="BS28" i="13"/>
  <c r="BR36" i="10"/>
  <c r="BR38" i="10"/>
  <c r="BQ36" i="10"/>
  <c r="BQ46" i="10"/>
  <c r="BQ38" i="10"/>
  <c r="BP46" i="10"/>
  <c r="BP38" i="10"/>
  <c r="CA28" i="10"/>
  <c r="BZ28" i="10"/>
  <c r="BY28" i="10"/>
  <c r="BO36" i="10"/>
  <c r="BO46" i="10"/>
  <c r="BO38" i="10"/>
  <c r="BN36" i="10"/>
  <c r="BN46" i="10"/>
  <c r="BN38" i="10"/>
  <c r="BM36" i="10"/>
  <c r="BM46" i="10"/>
  <c r="BM38" i="10"/>
  <c r="BL36" i="10"/>
  <c r="BL46" i="10"/>
  <c r="BL38" i="10"/>
  <c r="BK36" i="10"/>
  <c r="BK46" i="10"/>
  <c r="BK38" i="10"/>
  <c r="BJ36" i="10"/>
  <c r="BJ46" i="10"/>
  <c r="BJ38" i="10"/>
  <c r="BI36" i="10"/>
  <c r="BI46" i="10"/>
  <c r="BI38" i="10"/>
  <c r="BH36" i="10"/>
  <c r="BH46" i="10"/>
  <c r="BH38" i="10"/>
  <c r="BG46" i="10"/>
  <c r="BG38" i="10"/>
  <c r="BW28" i="10"/>
  <c r="BV28" i="10"/>
  <c r="BU28" i="10"/>
  <c r="BS28" i="10"/>
  <c r="BD36" i="7"/>
  <c r="BR28" i="7"/>
  <c r="BR46" i="7" s="1"/>
  <c r="BD38" i="7"/>
  <c r="BC36" i="7"/>
  <c r="BC46" i="7"/>
  <c r="BQ28" i="7"/>
  <c r="BC38" i="7"/>
  <c r="BA36" i="7"/>
  <c r="BA46" i="7"/>
  <c r="BO28" i="7"/>
  <c r="BA38" i="7"/>
  <c r="AZ36" i="7"/>
  <c r="AZ46" i="7"/>
  <c r="BN28" i="7"/>
  <c r="AZ38" i="7"/>
  <c r="AY36" i="7"/>
  <c r="AY46" i="7"/>
  <c r="BM28" i="7"/>
  <c r="AY38" i="7"/>
  <c r="AX36" i="7"/>
  <c r="AX46" i="7"/>
  <c r="BL28" i="7"/>
  <c r="AX38" i="7"/>
  <c r="AW36" i="7"/>
  <c r="AW46" i="7"/>
  <c r="BK28" i="7"/>
  <c r="AW38" i="7"/>
  <c r="AV36" i="7"/>
  <c r="AV46" i="7"/>
  <c r="BJ28" i="7"/>
  <c r="AV38" i="7"/>
  <c r="AU36" i="7"/>
  <c r="AU46" i="7"/>
  <c r="BI28" i="7"/>
  <c r="AU38" i="7"/>
  <c r="AT36" i="7"/>
  <c r="AT46" i="7"/>
  <c r="BH28" i="7"/>
  <c r="AT38" i="7"/>
  <c r="BR37" i="34"/>
  <c r="BQ37" i="34"/>
  <c r="BO37" i="34"/>
  <c r="BN37" i="34"/>
  <c r="BM37" i="34"/>
  <c r="BL37" i="34"/>
  <c r="BK37" i="34"/>
  <c r="BJ37" i="34"/>
  <c r="BI37" i="34"/>
  <c r="BH37" i="34"/>
  <c r="BE37" i="34"/>
  <c r="BR37" i="31"/>
  <c r="BQ37" i="31"/>
  <c r="BO37" i="31"/>
  <c r="BN37" i="31"/>
  <c r="BM37" i="31"/>
  <c r="BL37" i="31"/>
  <c r="BK37" i="31"/>
  <c r="BJ37" i="31"/>
  <c r="BI37" i="31"/>
  <c r="BH37" i="31"/>
  <c r="BE37" i="31"/>
  <c r="BR37" i="28"/>
  <c r="BQ37" i="28"/>
  <c r="BO37" i="28"/>
  <c r="BN37" i="28"/>
  <c r="BM37" i="28"/>
  <c r="BL37" i="28"/>
  <c r="BK37" i="28"/>
  <c r="BJ37" i="28"/>
  <c r="BI37" i="28"/>
  <c r="BH37" i="28"/>
  <c r="BE37" i="28"/>
  <c r="BR37" i="25"/>
  <c r="BQ37" i="25"/>
  <c r="BO37" i="25"/>
  <c r="BN37" i="25"/>
  <c r="BM37" i="25"/>
  <c r="BL37" i="25"/>
  <c r="BK37" i="25"/>
  <c r="BJ37" i="25"/>
  <c r="BI37" i="25"/>
  <c r="BH37" i="25"/>
  <c r="BE37" i="25"/>
  <c r="BR37" i="22"/>
  <c r="BQ37" i="22"/>
  <c r="BO37" i="22"/>
  <c r="BN37" i="22"/>
  <c r="BM37" i="22"/>
  <c r="BL37" i="22"/>
  <c r="BK37" i="22"/>
  <c r="BJ37" i="22"/>
  <c r="BI37" i="22"/>
  <c r="BH37" i="22"/>
  <c r="BE37" i="22"/>
  <c r="BR37" i="19"/>
  <c r="BQ37" i="19"/>
  <c r="BO37" i="19"/>
  <c r="BN37" i="19"/>
  <c r="BM37" i="19"/>
  <c r="BL37" i="19"/>
  <c r="BK37" i="19"/>
  <c r="BJ37" i="19"/>
  <c r="BI37" i="19"/>
  <c r="BH37" i="19"/>
  <c r="BE37" i="19"/>
  <c r="BR37" i="16"/>
  <c r="BQ37" i="16"/>
  <c r="BO37" i="16"/>
  <c r="BN37" i="16"/>
  <c r="BM37" i="16"/>
  <c r="BL37" i="16"/>
  <c r="BK37" i="16"/>
  <c r="BJ37" i="16"/>
  <c r="BI37" i="16"/>
  <c r="BH37" i="16"/>
  <c r="BE37" i="16"/>
  <c r="BR37" i="13"/>
  <c r="BQ37" i="13"/>
  <c r="BO37" i="13"/>
  <c r="BN37" i="13"/>
  <c r="BM37" i="13"/>
  <c r="BL37" i="13"/>
  <c r="BK37" i="13"/>
  <c r="BJ37" i="13"/>
  <c r="BI37" i="13"/>
  <c r="BH37" i="13"/>
  <c r="BE37" i="13"/>
  <c r="BR37" i="10"/>
  <c r="BQ37" i="10"/>
  <c r="BO37" i="10"/>
  <c r="BN37" i="10"/>
  <c r="BM37" i="10"/>
  <c r="BL37" i="10"/>
  <c r="BK37" i="10"/>
  <c r="BJ37" i="10"/>
  <c r="BI37" i="10"/>
  <c r="BH37" i="10"/>
  <c r="BE37" i="10"/>
  <c r="AQ36" i="7"/>
  <c r="F13" i="4"/>
  <c r="AQ35" i="7"/>
  <c r="F10" i="4"/>
  <c r="BP36" i="34"/>
  <c r="BP35" i="34"/>
  <c r="BG36" i="34"/>
  <c r="BG35" i="34"/>
  <c r="BP36" i="31"/>
  <c r="BP35" i="31"/>
  <c r="BG36" i="31"/>
  <c r="BG35" i="31"/>
  <c r="BP36" i="28"/>
  <c r="BP35" i="28"/>
  <c r="BG36" i="28"/>
  <c r="BG35" i="28"/>
  <c r="BP36" i="25"/>
  <c r="BP35" i="25"/>
  <c r="BG36" i="25"/>
  <c r="BG35" i="25"/>
  <c r="BP36" i="22"/>
  <c r="BP35" i="22"/>
  <c r="BG36" i="22"/>
  <c r="BG35" i="22"/>
  <c r="BP36" i="19"/>
  <c r="BP35" i="19"/>
  <c r="BG36" i="19"/>
  <c r="BG35" i="19"/>
  <c r="BP36" i="16"/>
  <c r="BP35" i="16"/>
  <c r="BG36" i="16"/>
  <c r="BG35" i="16"/>
  <c r="BP36" i="13"/>
  <c r="BP35" i="13"/>
  <c r="BG36" i="13"/>
  <c r="BG35" i="13"/>
  <c r="BP36" i="10"/>
  <c r="BP35" i="10"/>
  <c r="BG36" i="10"/>
  <c r="BG35" i="10"/>
  <c r="I41" i="3" l="1"/>
  <c r="I12" i="32"/>
  <c r="J41" i="3"/>
  <c r="J12" i="32"/>
  <c r="K41" i="3"/>
  <c r="K12" i="32"/>
  <c r="F53" i="3"/>
  <c r="F14" i="32"/>
  <c r="G53" i="3"/>
  <c r="G14" i="32"/>
  <c r="H53" i="3"/>
  <c r="H14" i="32"/>
  <c r="I29" i="3"/>
  <c r="I10" i="32"/>
  <c r="J29" i="3"/>
  <c r="J10" i="32"/>
  <c r="K29" i="3"/>
  <c r="K10" i="32"/>
  <c r="CC31" i="34"/>
  <c r="CD31" i="34"/>
  <c r="CE31" i="34"/>
  <c r="BS37" i="34"/>
  <c r="C53" i="3"/>
  <c r="C14" i="32"/>
  <c r="D53" i="3"/>
  <c r="D14" i="32"/>
  <c r="E53" i="3"/>
  <c r="E14" i="32"/>
  <c r="I40" i="3"/>
  <c r="I12" i="29"/>
  <c r="J40" i="3"/>
  <c r="J12" i="29"/>
  <c r="K40" i="3"/>
  <c r="K12" i="29"/>
  <c r="F52" i="3"/>
  <c r="F14" i="29"/>
  <c r="G52" i="3"/>
  <c r="G14" i="29"/>
  <c r="H52" i="3"/>
  <c r="H14" i="29"/>
  <c r="I28" i="3"/>
  <c r="I10" i="29"/>
  <c r="J28" i="3"/>
  <c r="J10" i="29"/>
  <c r="K28" i="3"/>
  <c r="K10" i="29"/>
  <c r="CC31" i="31"/>
  <c r="CD31" i="31"/>
  <c r="CE31" i="31"/>
  <c r="BS37" i="31"/>
  <c r="C52" i="3"/>
  <c r="C14" i="29"/>
  <c r="D52" i="3"/>
  <c r="D14" i="29"/>
  <c r="E52" i="3"/>
  <c r="E14" i="29"/>
  <c r="I39" i="3"/>
  <c r="I12" i="26"/>
  <c r="J39" i="3"/>
  <c r="J12" i="26"/>
  <c r="K39" i="3"/>
  <c r="K12" i="26"/>
  <c r="F51" i="3"/>
  <c r="F14" i="26"/>
  <c r="G51" i="3"/>
  <c r="G14" i="26"/>
  <c r="H51" i="3"/>
  <c r="H14" i="26"/>
  <c r="I27" i="3"/>
  <c r="I10" i="26"/>
  <c r="J27" i="3"/>
  <c r="J10" i="26"/>
  <c r="K27" i="3"/>
  <c r="K10" i="26"/>
  <c r="CC31" i="28"/>
  <c r="CD31" i="28"/>
  <c r="CE31" i="28"/>
  <c r="BS37" i="28"/>
  <c r="C51" i="3"/>
  <c r="C14" i="26"/>
  <c r="D51" i="3"/>
  <c r="D14" i="26"/>
  <c r="E51" i="3"/>
  <c r="E14" i="26"/>
  <c r="I38" i="3"/>
  <c r="I12" i="23"/>
  <c r="J38" i="3"/>
  <c r="J12" i="23"/>
  <c r="K38" i="3"/>
  <c r="K12" i="23"/>
  <c r="F50" i="3"/>
  <c r="F14" i="23"/>
  <c r="G50" i="3"/>
  <c r="G14" i="23"/>
  <c r="H50" i="3"/>
  <c r="H14" i="23"/>
  <c r="I26" i="3"/>
  <c r="I10" i="23"/>
  <c r="J26" i="3"/>
  <c r="J10" i="23"/>
  <c r="K26" i="3"/>
  <c r="K10" i="23"/>
  <c r="CC31" i="25"/>
  <c r="CD31" i="25"/>
  <c r="CE31" i="25"/>
  <c r="BS37" i="25"/>
  <c r="C50" i="3"/>
  <c r="C14" i="23"/>
  <c r="D50" i="3"/>
  <c r="D14" i="23"/>
  <c r="E50" i="3"/>
  <c r="E14" i="23"/>
  <c r="I37" i="3"/>
  <c r="I12" i="20"/>
  <c r="J37" i="3"/>
  <c r="J12" i="20"/>
  <c r="K37" i="3"/>
  <c r="K12" i="20"/>
  <c r="F49" i="3"/>
  <c r="F14" i="20"/>
  <c r="G49" i="3"/>
  <c r="G14" i="20"/>
  <c r="H49" i="3"/>
  <c r="H14" i="20"/>
  <c r="I25" i="3"/>
  <c r="I10" i="20"/>
  <c r="J25" i="3"/>
  <c r="J10" i="20"/>
  <c r="K25" i="3"/>
  <c r="K10" i="20"/>
  <c r="CC31" i="22"/>
  <c r="CD31" i="22"/>
  <c r="CE31" i="22"/>
  <c r="BS37" i="22"/>
  <c r="C49" i="3"/>
  <c r="C14" i="20"/>
  <c r="D49" i="3"/>
  <c r="D14" i="20"/>
  <c r="E49" i="3"/>
  <c r="E14" i="20"/>
  <c r="I36" i="3"/>
  <c r="I12" i="17"/>
  <c r="J36" i="3"/>
  <c r="J12" i="17"/>
  <c r="K36" i="3"/>
  <c r="K12" i="17"/>
  <c r="F48" i="3"/>
  <c r="F14" i="17"/>
  <c r="G48" i="3"/>
  <c r="G14" i="17"/>
  <c r="H48" i="3"/>
  <c r="H14" i="17"/>
  <c r="I24" i="3"/>
  <c r="I10" i="17"/>
  <c r="J24" i="3"/>
  <c r="J10" i="17"/>
  <c r="K24" i="3"/>
  <c r="K10" i="17"/>
  <c r="CC31" i="19"/>
  <c r="CD31" i="19"/>
  <c r="CE31" i="19"/>
  <c r="BS37" i="19"/>
  <c r="C48" i="3"/>
  <c r="C14" i="17"/>
  <c r="D48" i="3"/>
  <c r="D14" i="17"/>
  <c r="E48" i="3"/>
  <c r="E14" i="17"/>
  <c r="I35" i="3"/>
  <c r="I12" i="14"/>
  <c r="J35" i="3"/>
  <c r="J12" i="14"/>
  <c r="K35" i="3"/>
  <c r="K12" i="14"/>
  <c r="F47" i="3"/>
  <c r="F14" i="14"/>
  <c r="G47" i="3"/>
  <c r="G14" i="14"/>
  <c r="H47" i="3"/>
  <c r="H14" i="14"/>
  <c r="I23" i="3"/>
  <c r="I10" i="14"/>
  <c r="J23" i="3"/>
  <c r="J10" i="14"/>
  <c r="K23" i="3"/>
  <c r="K10" i="14"/>
  <c r="CC31" i="16"/>
  <c r="CD31" i="16"/>
  <c r="CE31" i="16"/>
  <c r="BS37" i="16"/>
  <c r="C47" i="3"/>
  <c r="C14" i="14"/>
  <c r="D47" i="3"/>
  <c r="D14" i="14"/>
  <c r="E47" i="3"/>
  <c r="E14" i="14"/>
  <c r="I34" i="3"/>
  <c r="I12" i="11"/>
  <c r="J34" i="3"/>
  <c r="J12" i="11"/>
  <c r="K34" i="3"/>
  <c r="K12" i="11"/>
  <c r="F46" i="3"/>
  <c r="F14" i="11"/>
  <c r="G46" i="3"/>
  <c r="G14" i="11"/>
  <c r="H46" i="3"/>
  <c r="H14" i="11"/>
  <c r="I22" i="3"/>
  <c r="I10" i="11"/>
  <c r="J22" i="3"/>
  <c r="J10" i="11"/>
  <c r="K22" i="3"/>
  <c r="K10" i="11"/>
  <c r="CC31" i="13"/>
  <c r="CD31" i="13"/>
  <c r="CE31" i="13"/>
  <c r="BS37" i="13"/>
  <c r="C46" i="3"/>
  <c r="C14" i="11"/>
  <c r="D46" i="3"/>
  <c r="D14" i="11"/>
  <c r="E46" i="3"/>
  <c r="E14" i="11"/>
  <c r="I33" i="3"/>
  <c r="I42" i="3" s="1"/>
  <c r="I12" i="8"/>
  <c r="J33" i="3"/>
  <c r="J42" i="3" s="1"/>
  <c r="J12" i="8"/>
  <c r="K33" i="3"/>
  <c r="K42" i="3" s="1"/>
  <c r="K12" i="8"/>
  <c r="F45" i="3"/>
  <c r="F54" i="3" s="1"/>
  <c r="F14" i="8"/>
  <c r="G45" i="3"/>
  <c r="G54" i="3" s="1"/>
  <c r="G14" i="8"/>
  <c r="H45" i="3"/>
  <c r="H54" i="3" s="1"/>
  <c r="H14" i="8"/>
  <c r="I21" i="3"/>
  <c r="I30" i="3" s="1"/>
  <c r="I10" i="8"/>
  <c r="J21" i="3"/>
  <c r="J30" i="3" s="1"/>
  <c r="J10" i="8"/>
  <c r="K21" i="3"/>
  <c r="K30" i="3" s="1"/>
  <c r="K10" i="8"/>
  <c r="CC31" i="10"/>
  <c r="CD31" i="10"/>
  <c r="CE31" i="10"/>
  <c r="BS37" i="10"/>
  <c r="C45" i="3"/>
  <c r="C54" i="3" s="1"/>
  <c r="C14" i="8"/>
  <c r="D45" i="3"/>
  <c r="D54" i="3" s="1"/>
  <c r="D14" i="8"/>
  <c r="E45" i="3"/>
  <c r="E54" i="3" s="1"/>
  <c r="E14" i="8"/>
  <c r="L12" i="4"/>
  <c r="BP36" i="7"/>
  <c r="CA30" i="7"/>
  <c r="H12" i="5" s="1"/>
  <c r="BZ30" i="7"/>
  <c r="G12" i="5" s="1"/>
  <c r="BY30" i="7"/>
  <c r="F12" i="5" s="1"/>
  <c r="BG36" i="7"/>
  <c r="BW30" i="7"/>
  <c r="E12" i="5" s="1"/>
  <c r="BV30" i="7"/>
  <c r="D12" i="5" s="1"/>
  <c r="BU30" i="7"/>
  <c r="C12" i="5" s="1"/>
  <c r="BS30" i="7"/>
  <c r="BR35" i="7"/>
  <c r="BR31" i="7"/>
  <c r="BR37" i="7" s="1"/>
  <c r="BQ35" i="7"/>
  <c r="BQ31" i="7"/>
  <c r="BQ37" i="7" s="1"/>
  <c r="L9" i="4"/>
  <c r="BP35" i="7"/>
  <c r="BP31" i="7"/>
  <c r="CA29" i="7"/>
  <c r="H10" i="5" s="1"/>
  <c r="BZ29" i="7"/>
  <c r="G10" i="5" s="1"/>
  <c r="BY29" i="7"/>
  <c r="F10" i="5" s="1"/>
  <c r="I9" i="4"/>
  <c r="BO35" i="7"/>
  <c r="BO31" i="7"/>
  <c r="BN35" i="7"/>
  <c r="BN31" i="7"/>
  <c r="BN37" i="7" s="1"/>
  <c r="BM35" i="7"/>
  <c r="BM31" i="7"/>
  <c r="BM37" i="7" s="1"/>
  <c r="BL35" i="7"/>
  <c r="BL31" i="7"/>
  <c r="BL37" i="7" s="1"/>
  <c r="BK35" i="7"/>
  <c r="BK31" i="7"/>
  <c r="BK37" i="7" s="1"/>
  <c r="BJ35" i="7"/>
  <c r="BJ31" i="7"/>
  <c r="BJ37" i="7" s="1"/>
  <c r="BI35" i="7"/>
  <c r="BI31" i="7"/>
  <c r="BI37" i="7" s="1"/>
  <c r="BH35" i="7"/>
  <c r="BH31" i="7"/>
  <c r="BH37" i="7" s="1"/>
  <c r="BG35" i="7"/>
  <c r="BG31" i="7"/>
  <c r="BW29" i="7"/>
  <c r="E10" i="5" s="1"/>
  <c r="BV29" i="7"/>
  <c r="D10" i="5" s="1"/>
  <c r="BU29" i="7"/>
  <c r="C10" i="5" s="1"/>
  <c r="BS29" i="7"/>
  <c r="BE31" i="7"/>
  <c r="BE37" i="7" s="1"/>
  <c r="AS37" i="7"/>
  <c r="BP46" i="7"/>
  <c r="L7" i="4"/>
  <c r="BP38" i="7"/>
  <c r="CA28" i="7"/>
  <c r="H8" i="5" s="1"/>
  <c r="BZ28" i="7"/>
  <c r="G8" i="5" s="1"/>
  <c r="BY28" i="7"/>
  <c r="F8" i="5" s="1"/>
  <c r="H17" i="3"/>
  <c r="H8" i="32"/>
  <c r="G17" i="3"/>
  <c r="G8" i="32"/>
  <c r="F17" i="3"/>
  <c r="F8" i="32"/>
  <c r="E17" i="3"/>
  <c r="E8" i="32"/>
  <c r="D17" i="3"/>
  <c r="D8" i="32"/>
  <c r="C17" i="3"/>
  <c r="C8" i="32"/>
  <c r="CC28" i="34"/>
  <c r="CD28" i="34"/>
  <c r="CE28" i="34"/>
  <c r="BS38" i="34"/>
  <c r="H16" i="3"/>
  <c r="H8" i="29"/>
  <c r="G16" i="3"/>
  <c r="G8" i="29"/>
  <c r="F16" i="3"/>
  <c r="F8" i="29"/>
  <c r="E16" i="3"/>
  <c r="E8" i="29"/>
  <c r="D16" i="3"/>
  <c r="D8" i="29"/>
  <c r="C16" i="3"/>
  <c r="C8" i="29"/>
  <c r="CC28" i="31"/>
  <c r="CD28" i="31"/>
  <c r="CE28" i="31"/>
  <c r="BS38" i="31"/>
  <c r="H15" i="3"/>
  <c r="H8" i="26"/>
  <c r="G15" i="3"/>
  <c r="G8" i="26"/>
  <c r="F15" i="3"/>
  <c r="F8" i="26"/>
  <c r="E15" i="3"/>
  <c r="E8" i="26"/>
  <c r="D15" i="3"/>
  <c r="D8" i="26"/>
  <c r="C15" i="3"/>
  <c r="C8" i="26"/>
  <c r="CC28" i="28"/>
  <c r="CD28" i="28"/>
  <c r="CE28" i="28"/>
  <c r="BS38" i="28"/>
  <c r="H14" i="3"/>
  <c r="H8" i="23"/>
  <c r="G14" i="3"/>
  <c r="G8" i="23"/>
  <c r="F14" i="3"/>
  <c r="F8" i="23"/>
  <c r="E14" i="3"/>
  <c r="E8" i="23"/>
  <c r="D14" i="3"/>
  <c r="D8" i="23"/>
  <c r="C14" i="3"/>
  <c r="C8" i="23"/>
  <c r="CC28" i="25"/>
  <c r="CD28" i="25"/>
  <c r="CE28" i="25"/>
  <c r="BS38" i="25"/>
  <c r="H13" i="3"/>
  <c r="H8" i="20"/>
  <c r="G13" i="3"/>
  <c r="G8" i="20"/>
  <c r="F13" i="3"/>
  <c r="F8" i="20"/>
  <c r="E13" i="3"/>
  <c r="E8" i="20"/>
  <c r="D13" i="3"/>
  <c r="D8" i="20"/>
  <c r="C13" i="3"/>
  <c r="C8" i="20"/>
  <c r="CC28" i="22"/>
  <c r="CD28" i="22"/>
  <c r="CE28" i="22"/>
  <c r="BS38" i="22"/>
  <c r="H12" i="3"/>
  <c r="H8" i="17"/>
  <c r="G12" i="3"/>
  <c r="G8" i="17"/>
  <c r="F12" i="3"/>
  <c r="F8" i="17"/>
  <c r="E12" i="3"/>
  <c r="E8" i="17"/>
  <c r="D12" i="3"/>
  <c r="D8" i="17"/>
  <c r="C12" i="3"/>
  <c r="C8" i="17"/>
  <c r="CC28" i="19"/>
  <c r="CD28" i="19"/>
  <c r="CE28" i="19"/>
  <c r="BS38" i="19"/>
  <c r="H11" i="3"/>
  <c r="H8" i="14"/>
  <c r="G11" i="3"/>
  <c r="G8" i="14"/>
  <c r="F11" i="3"/>
  <c r="F8" i="14"/>
  <c r="E11" i="3"/>
  <c r="E8" i="14"/>
  <c r="D11" i="3"/>
  <c r="D8" i="14"/>
  <c r="C11" i="3"/>
  <c r="C8" i="14"/>
  <c r="CC28" i="16"/>
  <c r="CD28" i="16"/>
  <c r="CE28" i="16"/>
  <c r="BS38" i="16"/>
  <c r="H10" i="3"/>
  <c r="H8" i="11"/>
  <c r="G10" i="3"/>
  <c r="G8" i="11"/>
  <c r="F10" i="3"/>
  <c r="F8" i="11"/>
  <c r="E10" i="3"/>
  <c r="E8" i="11"/>
  <c r="D10" i="3"/>
  <c r="D8" i="11"/>
  <c r="C10" i="3"/>
  <c r="C8" i="11"/>
  <c r="CC28" i="13"/>
  <c r="CD28" i="13"/>
  <c r="CE28" i="13"/>
  <c r="BS38" i="13"/>
  <c r="H9" i="3"/>
  <c r="H18" i="3" s="1"/>
  <c r="H8" i="8"/>
  <c r="G9" i="3"/>
  <c r="G18" i="3" s="1"/>
  <c r="G8" i="8"/>
  <c r="F9" i="3"/>
  <c r="F18" i="3" s="1"/>
  <c r="F8" i="8"/>
  <c r="E9" i="3"/>
  <c r="E18" i="3" s="1"/>
  <c r="E8" i="8"/>
  <c r="D9" i="3"/>
  <c r="D18" i="3" s="1"/>
  <c r="D8" i="8"/>
  <c r="C9" i="3"/>
  <c r="C18" i="3" s="1"/>
  <c r="C8" i="8"/>
  <c r="CC28" i="10"/>
  <c r="CD28" i="10"/>
  <c r="CE28" i="10"/>
  <c r="BS38" i="10"/>
  <c r="BR36" i="7"/>
  <c r="BR38" i="7"/>
  <c r="BQ46" i="7"/>
  <c r="BQ36" i="7"/>
  <c r="BQ38" i="7"/>
  <c r="BO46" i="7"/>
  <c r="BO36" i="7"/>
  <c r="I7" i="4"/>
  <c r="I13" i="4" s="1"/>
  <c r="BO38" i="7"/>
  <c r="BN46" i="7"/>
  <c r="BN36" i="7"/>
  <c r="BN38" i="7"/>
  <c r="BM46" i="7"/>
  <c r="BM36" i="7"/>
  <c r="BM38" i="7"/>
  <c r="BL46" i="7"/>
  <c r="BL36" i="7"/>
  <c r="BL38" i="7"/>
  <c r="BK46" i="7"/>
  <c r="BK36" i="7"/>
  <c r="BK38" i="7"/>
  <c r="BJ46" i="7"/>
  <c r="BJ36" i="7"/>
  <c r="BJ38" i="7"/>
  <c r="BI46" i="7"/>
  <c r="BI36" i="7"/>
  <c r="BI38" i="7"/>
  <c r="BH46" i="7"/>
  <c r="BW28" i="7"/>
  <c r="E8" i="5" s="1"/>
  <c r="BV28" i="7"/>
  <c r="D8" i="5" s="1"/>
  <c r="BU28" i="7"/>
  <c r="C8" i="5" s="1"/>
  <c r="BS28" i="7"/>
  <c r="BH36" i="7"/>
  <c r="BH38" i="7"/>
  <c r="BS36" i="34"/>
  <c r="BS35" i="34"/>
  <c r="BS36" i="31"/>
  <c r="BS35" i="31"/>
  <c r="BS36" i="28"/>
  <c r="BS35" i="28"/>
  <c r="BS36" i="25"/>
  <c r="BS35" i="25"/>
  <c r="BS36" i="22"/>
  <c r="BS35" i="22"/>
  <c r="BS36" i="19"/>
  <c r="BS35" i="19"/>
  <c r="BS36" i="16"/>
  <c r="BS35" i="16"/>
  <c r="BS36" i="13"/>
  <c r="BS35" i="13"/>
  <c r="BS36" i="10"/>
  <c r="BS35" i="10"/>
  <c r="I53" i="3" l="1"/>
  <c r="I14" i="32"/>
  <c r="J53" i="3"/>
  <c r="J14" i="32"/>
  <c r="K53" i="3"/>
  <c r="K14" i="32"/>
  <c r="I52" i="3"/>
  <c r="I14" i="29"/>
  <c r="J52" i="3"/>
  <c r="J14" i="29"/>
  <c r="K52" i="3"/>
  <c r="K14" i="29"/>
  <c r="I51" i="3"/>
  <c r="I14" i="26"/>
  <c r="J51" i="3"/>
  <c r="J14" i="26"/>
  <c r="K51" i="3"/>
  <c r="K14" i="26"/>
  <c r="I50" i="3"/>
  <c r="I14" i="23"/>
  <c r="J50" i="3"/>
  <c r="J14" i="23"/>
  <c r="K50" i="3"/>
  <c r="K14" i="23"/>
  <c r="I49" i="3"/>
  <c r="I14" i="20"/>
  <c r="J49" i="3"/>
  <c r="J14" i="20"/>
  <c r="K49" i="3"/>
  <c r="K14" i="20"/>
  <c r="I48" i="3"/>
  <c r="I14" i="17"/>
  <c r="J48" i="3"/>
  <c r="J14" i="17"/>
  <c r="K48" i="3"/>
  <c r="K14" i="17"/>
  <c r="I47" i="3"/>
  <c r="I14" i="14"/>
  <c r="J47" i="3"/>
  <c r="J14" i="14"/>
  <c r="K47" i="3"/>
  <c r="K14" i="14"/>
  <c r="I46" i="3"/>
  <c r="I14" i="11"/>
  <c r="J46" i="3"/>
  <c r="J14" i="11"/>
  <c r="K46" i="3"/>
  <c r="K14" i="11"/>
  <c r="I45" i="3"/>
  <c r="I54" i="3" s="1"/>
  <c r="I14" i="8"/>
  <c r="J45" i="3"/>
  <c r="J54" i="3" s="1"/>
  <c r="J14" i="8"/>
  <c r="K45" i="3"/>
  <c r="K54" i="3" s="1"/>
  <c r="K14" i="8"/>
  <c r="CC30" i="7"/>
  <c r="I12" i="5" s="1"/>
  <c r="CD30" i="7"/>
  <c r="J12" i="5" s="1"/>
  <c r="CE30" i="7"/>
  <c r="K12" i="5" s="1"/>
  <c r="BS36" i="7"/>
  <c r="O12" i="4"/>
  <c r="BY31" i="7"/>
  <c r="F14" i="5" s="1"/>
  <c r="BZ31" i="7"/>
  <c r="G14" i="5" s="1"/>
  <c r="CA31" i="7"/>
  <c r="H14" i="5" s="1"/>
  <c r="BP37" i="7"/>
  <c r="L15" i="4"/>
  <c r="L16" i="4" s="1"/>
  <c r="BO37" i="7"/>
  <c r="I15" i="4"/>
  <c r="I16" i="4" s="1"/>
  <c r="BS31" i="7"/>
  <c r="BU31" i="7"/>
  <c r="C14" i="5" s="1"/>
  <c r="BV31" i="7"/>
  <c r="D14" i="5" s="1"/>
  <c r="BW31" i="7"/>
  <c r="E14" i="5" s="1"/>
  <c r="BG37" i="7"/>
  <c r="CC29" i="7"/>
  <c r="I10" i="5" s="1"/>
  <c r="CD29" i="7"/>
  <c r="J10" i="5" s="1"/>
  <c r="CE29" i="7"/>
  <c r="K10" i="5" s="1"/>
  <c r="BS35" i="7"/>
  <c r="O9" i="4"/>
  <c r="I17" i="3"/>
  <c r="I8" i="32"/>
  <c r="J17" i="3"/>
  <c r="J8" i="32"/>
  <c r="K17" i="3"/>
  <c r="K8" i="32"/>
  <c r="I16" i="3"/>
  <c r="I8" i="29"/>
  <c r="J16" i="3"/>
  <c r="J8" i="29"/>
  <c r="K16" i="3"/>
  <c r="K8" i="29"/>
  <c r="I15" i="3"/>
  <c r="I8" i="26"/>
  <c r="J15" i="3"/>
  <c r="J8" i="26"/>
  <c r="K15" i="3"/>
  <c r="K8" i="26"/>
  <c r="I14" i="3"/>
  <c r="I8" i="23"/>
  <c r="J14" i="3"/>
  <c r="J8" i="23"/>
  <c r="K14" i="3"/>
  <c r="K8" i="23"/>
  <c r="I13" i="3"/>
  <c r="I8" i="20"/>
  <c r="J13" i="3"/>
  <c r="J8" i="20"/>
  <c r="K13" i="3"/>
  <c r="K8" i="20"/>
  <c r="I12" i="3"/>
  <c r="I8" i="17"/>
  <c r="J12" i="3"/>
  <c r="J8" i="17"/>
  <c r="K12" i="3"/>
  <c r="K8" i="17"/>
  <c r="I11" i="3"/>
  <c r="I8" i="14"/>
  <c r="J11" i="3"/>
  <c r="J8" i="14"/>
  <c r="K11" i="3"/>
  <c r="K8" i="14"/>
  <c r="I10" i="3"/>
  <c r="I8" i="11"/>
  <c r="J10" i="3"/>
  <c r="J8" i="11"/>
  <c r="K10" i="3"/>
  <c r="K8" i="11"/>
  <c r="I9" i="3"/>
  <c r="I18" i="3" s="1"/>
  <c r="I8" i="8"/>
  <c r="J9" i="3"/>
  <c r="J18" i="3" s="1"/>
  <c r="J8" i="8"/>
  <c r="K9" i="3"/>
  <c r="K18" i="3" s="1"/>
  <c r="K8" i="8"/>
  <c r="O7" i="4"/>
  <c r="BS38" i="7"/>
  <c r="CE28" i="7"/>
  <c r="K8" i="5" s="1"/>
  <c r="CD28" i="7"/>
  <c r="J8" i="5" s="1"/>
  <c r="CC28" i="7"/>
  <c r="I8" i="5" s="1"/>
  <c r="L13" i="4"/>
  <c r="L10" i="4"/>
  <c r="I10" i="4"/>
  <c r="R12" i="4" l="1"/>
  <c r="O13" i="4"/>
  <c r="I27" i="4"/>
  <c r="O27" i="4"/>
  <c r="CC31" i="7"/>
  <c r="I14" i="5" s="1"/>
  <c r="CD31" i="7"/>
  <c r="J14" i="5" s="1"/>
  <c r="CE31" i="7"/>
  <c r="K14" i="5" s="1"/>
  <c r="BS37" i="7"/>
  <c r="O15" i="4"/>
  <c r="R9" i="4"/>
  <c r="O10" i="4"/>
  <c r="I24" i="4"/>
  <c r="O24" i="4"/>
  <c r="R7" i="4"/>
  <c r="I22" i="4"/>
  <c r="O22" i="4"/>
  <c r="R15" i="4" l="1"/>
  <c r="O16" i="4"/>
  <c r="I30" i="4"/>
  <c r="O30" i="4"/>
</calcChain>
</file>

<file path=xl/sharedStrings.xml><?xml version="1.0" encoding="utf-8"?>
<sst xmlns="http://schemas.openxmlformats.org/spreadsheetml/2006/main" count="4685" uniqueCount="243">
  <si>
    <t>Connection</t>
  </si>
  <si>
    <t>WSFN|HFM|HFM|ZAVALIVE|ZAVALIVE</t>
  </si>
  <si>
    <t>Scenario#</t>
  </si>
  <si>
    <t>ACTUAL</t>
  </si>
  <si>
    <t>Year#</t>
  </si>
  <si>
    <t>Period#</t>
  </si>
  <si>
    <t>[YEAR]</t>
  </si>
  <si>
    <t>View#</t>
  </si>
  <si>
    <t>&lt;Scenario View&gt;</t>
  </si>
  <si>
    <t>Entity#</t>
  </si>
  <si>
    <t>[None]</t>
  </si>
  <si>
    <t>Value#</t>
  </si>
  <si>
    <t>USD Total</t>
  </si>
  <si>
    <t>Account#</t>
  </si>
  <si>
    <t>ICP#</t>
  </si>
  <si>
    <t>[ICP Top]</t>
  </si>
  <si>
    <t>Custom1#</t>
  </si>
  <si>
    <t>TotalC1</t>
  </si>
  <si>
    <t>Custom2#</t>
  </si>
  <si>
    <t>TotalC2</t>
  </si>
  <si>
    <t>Custom3#</t>
  </si>
  <si>
    <t>TotalC3</t>
  </si>
  <si>
    <t>Custom4#</t>
  </si>
  <si>
    <t>TotalC4</t>
  </si>
  <si>
    <t>TRAINING DATA ONLY - Zava Safety and all business names and numbers are fictitious. Layout mirrors a typical HFM / Cognos reporting pack.</t>
  </si>
  <si>
    <t>HFM entity name:</t>
  </si>
  <si>
    <t>SAFECON_2DISP</t>
  </si>
  <si>
    <t>Current ME</t>
  </si>
  <si>
    <t>Next ME</t>
  </si>
  <si>
    <t>Period</t>
  </si>
  <si>
    <t>Month-end</t>
  </si>
  <si>
    <t>Current month-end period:</t>
  </si>
  <si>
    <t>P09</t>
  </si>
  <si>
    <t>Jan</t>
  </si>
  <si>
    <t>Actual</t>
  </si>
  <si>
    <t>P01</t>
  </si>
  <si>
    <t>Next month-end period:</t>
  </si>
  <si>
    <t>P10</t>
  </si>
  <si>
    <t>Feb</t>
  </si>
  <si>
    <t>P02</t>
  </si>
  <si>
    <t>Current month-end date:</t>
  </si>
  <si>
    <t>2026-09-30</t>
  </si>
  <si>
    <t>Mar</t>
  </si>
  <si>
    <t>P03</t>
  </si>
  <si>
    <t>Forecast reference for actual</t>
  </si>
  <si>
    <t>FCAST09</t>
  </si>
  <si>
    <t>Apr</t>
  </si>
  <si>
    <t>P04</t>
  </si>
  <si>
    <t>Next month-end date:</t>
  </si>
  <si>
    <t>2026-10-31</t>
  </si>
  <si>
    <t>May</t>
  </si>
  <si>
    <t>P05</t>
  </si>
  <si>
    <t>FCAST10</t>
  </si>
  <si>
    <t>Jun</t>
  </si>
  <si>
    <t>P06</t>
  </si>
  <si>
    <t>Jul</t>
  </si>
  <si>
    <t>P07</t>
  </si>
  <si>
    <t>Aug</t>
  </si>
  <si>
    <t>P08</t>
  </si>
  <si>
    <t>Current Period Estimate or Retrieve:</t>
  </si>
  <si>
    <t>Retrieve</t>
  </si>
  <si>
    <t>Sep</t>
  </si>
  <si>
    <t>Reported or Excl ACQ:</t>
  </si>
  <si>
    <t>Reported</t>
  </si>
  <si>
    <t>Oct</t>
  </si>
  <si>
    <t>Nov</t>
  </si>
  <si>
    <t>P11</t>
  </si>
  <si>
    <t>Dec</t>
  </si>
  <si>
    <t>P12</t>
  </si>
  <si>
    <t>Billing Days &amp; Daily Sales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</si>
  <si>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</si>
  <si>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</si>
  <si>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</si>
  <si>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</si>
  <si>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</si>
  <si>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</si>
  <si>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</si>
  <si>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</si>
  <si>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</si>
  <si>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</si>
  <si>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</si>
  <si>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Full Year</t>
  </si>
  <si>
    <t>Reported Sales - FCAST10 (Actual Jan-Sep)</t>
  </si>
  <si>
    <t>Days 2026</t>
  </si>
  <si>
    <t>Daily Reported Sales</t>
  </si>
  <si>
    <t>Budget Sales 2026</t>
  </si>
  <si>
    <t>Daily Budget Sales</t>
  </si>
  <si>
    <t>Reported Sales 2025</t>
  </si>
  <si>
    <t>Days 2025</t>
  </si>
  <si>
    <t>Daily Reported Sales 2025</t>
  </si>
  <si>
    <t>Variances Summary by Business - FCAST10</t>
  </si>
  <si>
    <t>Through Sep</t>
  </si>
  <si>
    <t>Rest of Year</t>
  </si>
  <si>
    <t>Favorable / (Unfavorable)</t>
  </si>
  <si>
    <t>Actual vs. FCAST09</t>
  </si>
  <si>
    <t>Actual vs. Bud</t>
  </si>
  <si>
    <t>Actual vs. PY</t>
  </si>
  <si>
    <t>FCAST10 vs. FCAST09</t>
  </si>
  <si>
    <t>FCAST10 vs. Bud</t>
  </si>
  <si>
    <t>FCAST10 vs. PY</t>
  </si>
  <si>
    <t>Sales</t>
  </si>
  <si>
    <t>Alder Gloves</t>
  </si>
  <si>
    <t>Beacon Hi-Vis</t>
  </si>
  <si>
    <t>Cobalt Eyewear</t>
  </si>
  <si>
    <t>Delta Welding Supply</t>
  </si>
  <si>
    <t>Ember Workwear</t>
  </si>
  <si>
    <t>Falcon Hand Protection</t>
  </si>
  <si>
    <t>Granite Gloves</t>
  </si>
  <si>
    <t>Hollis Rainwear</t>
  </si>
  <si>
    <t>Safety Region (regional office)</t>
  </si>
  <si>
    <t>Total Zava Safety</t>
  </si>
  <si>
    <t>Gross Margin</t>
  </si>
  <si>
    <t>Op Costs</t>
  </si>
  <si>
    <t>PBITA</t>
  </si>
  <si>
    <t>Index</t>
  </si>
  <si>
    <t>Division</t>
  </si>
  <si>
    <t>Zava Safety</t>
  </si>
  <si>
    <t>FY26</t>
  </si>
  <si>
    <t>Check vs. sum of businesses</t>
  </si>
  <si>
    <t>% / Leverage</t>
  </si>
  <si>
    <t>Budget</t>
  </si>
  <si>
    <t>FCAST10 vs. Budget</t>
  </si>
  <si>
    <t>FCAST10 vs. FY25</t>
  </si>
  <si>
    <t>FY25</t>
  </si>
  <si>
    <t>%</t>
  </si>
  <si>
    <t>Zava Safety - Consolidated</t>
  </si>
  <si>
    <t>Commentary (business controller):</t>
  </si>
  <si>
    <t>Section 1: Adjustments tied to individual events (i.e., new customer, modified sales contract, new/lost customer):</t>
  </si>
  <si>
    <t>Total Adjustments</t>
  </si>
  <si>
    <t>YTG</t>
  </si>
  <si>
    <t>SAFEREG</t>
  </si>
  <si>
    <t>Total Sales</t>
  </si>
  <si>
    <t>Gross Margin (%)</t>
  </si>
  <si>
    <t>Total Gross Margin (%)</t>
  </si>
  <si>
    <t>Gross Margin ($)</t>
  </si>
  <si>
    <t>Total Gross Margin ($)</t>
  </si>
  <si>
    <t>Op Costs (%)</t>
  </si>
  <si>
    <t>Total Op Costs (%)</t>
  </si>
  <si>
    <t>Op Costs ($)</t>
  </si>
  <si>
    <t>Total Op Costs ($)</t>
  </si>
  <si>
    <t>Total PBITA</t>
  </si>
  <si>
    <t>Section 2: General adjustments in Gross Margin or Opex % of Sales that are not tied to individual events (i.e., employee turnover):</t>
  </si>
  <si>
    <t>Total</t>
  </si>
  <si>
    <t>Gross Margin - Previous FCAST</t>
  </si>
  <si>
    <t>New Adjustments (%)</t>
  </si>
  <si>
    <t>None</t>
  </si>
  <si>
    <t>New Adjustments ($)</t>
  </si>
  <si>
    <t>Gross Margin - Current FCAST</t>
  </si>
  <si>
    <t>Op Costs - Previous FCAST</t>
  </si>
  <si>
    <t>Op Costs - Current FCAST</t>
  </si>
  <si>
    <t>Section 3: Working Capital Adjustments</t>
  </si>
  <si>
    <t>Net Inventory</t>
  </si>
  <si>
    <t>Trade Receivables</t>
  </si>
  <si>
    <t>Other Receivables</t>
  </si>
  <si>
    <t>Trade Payables</t>
  </si>
  <si>
    <t>Other Payables</t>
  </si>
  <si>
    <t>Total Working Capital</t>
  </si>
  <si>
    <t>Periodic</t>
  </si>
  <si>
    <t>FCAST10 - Variance ($) - Favorable / (Unfavorable)</t>
  </si>
  <si>
    <t>FCAST09 as Reported</t>
  </si>
  <si>
    <t>FCAST09 at New Fx Rates</t>
  </si>
  <si>
    <t>Fx Changes</t>
  </si>
  <si>
    <t>Operational Adjustments</t>
  </si>
  <si>
    <t>Forecast</t>
  </si>
  <si>
    <t>Description:</t>
  </si>
  <si>
    <t>Full year</t>
  </si>
  <si>
    <t>GM %</t>
  </si>
  <si>
    <t>Op Cost %</t>
  </si>
  <si>
    <t>PBITA %</t>
  </si>
  <si>
    <t>Sales/Day</t>
  </si>
  <si>
    <t>Total working capital</t>
  </si>
  <si>
    <t>Working capital/sales (monthly)</t>
  </si>
  <si>
    <t>Budget 2026</t>
  </si>
  <si>
    <t>2025 Actual</t>
  </si>
  <si>
    <t>Total Adj</t>
  </si>
  <si>
    <t>Insert Adj. 1</t>
  </si>
  <si>
    <t>Insert Adj. 2</t>
  </si>
  <si>
    <t>Insert Adj. 3</t>
  </si>
  <si>
    <t>Insert Adj. 4</t>
  </si>
  <si>
    <t>Insert Adj. 5</t>
  </si>
  <si>
    <t>Insert Adj. 6</t>
  </si>
  <si>
    <t>Insert Adj. 7</t>
  </si>
  <si>
    <t>Insert Adj. 8</t>
  </si>
  <si>
    <t>N/A</t>
  </si>
  <si>
    <t>NOTE: A positive number within the working capital adjustments section indicates a DR (i.e., increase to asset / decrease to liability). A negative number indicates a CR.</t>
  </si>
  <si>
    <t>ALDER_DISP</t>
  </si>
  <si>
    <t>DOT highway program orders - surveyor vests</t>
  </si>
  <si>
    <t>Commission on DOT program</t>
  </si>
  <si>
    <t>Bonus accrual true-up</t>
  </si>
  <si>
    <t>BEACON_DISP</t>
  </si>
  <si>
    <t>Volume increase - new distributor program</t>
  </si>
  <si>
    <t>Price adjustment to meet competitor pricing</t>
  </si>
  <si>
    <t>Volume increase - freight &amp; handling</t>
  </si>
  <si>
    <t>Bonus adjustment</t>
  </si>
  <si>
    <t>COBALT_DISP</t>
  </si>
  <si>
    <t>DELTA_DISP</t>
  </si>
  <si>
    <t>Backorders - flame-resistant shirts</t>
  </si>
  <si>
    <t>Open positions &amp; variable costs</t>
  </si>
  <si>
    <t>EMBER_DISP</t>
  </si>
  <si>
    <t>FALCON_DISP</t>
  </si>
  <si>
    <t>Backorders due to inventory availability</t>
  </si>
  <si>
    <t>Rebate true-up - buying group</t>
  </si>
  <si>
    <t>Container receipts timing - freight cost</t>
  </si>
  <si>
    <t>Heat transfer decals</t>
  </si>
  <si>
    <t>Backorders - variable cost savings</t>
  </si>
  <si>
    <t>Temp labor - new distribution center</t>
  </si>
  <si>
    <t>OT reduction</t>
  </si>
  <si>
    <t>Headcount reduction / postpone hiring</t>
  </si>
  <si>
    <t>Others</t>
  </si>
  <si>
    <t>GRANITE_DISP</t>
  </si>
  <si>
    <t>Dropship order timing - pulled forward from Q4</t>
  </si>
  <si>
    <t>Year-end customer pull-forward - rainwear</t>
  </si>
  <si>
    <t>Dropship order timing (c.15% GM)</t>
  </si>
  <si>
    <t>Year-end pull-forward and slow-moving reserve release</t>
  </si>
  <si>
    <t>Restructuring plan savings</t>
  </si>
  <si>
    <t>Temp labor / OT - peak season</t>
  </si>
  <si>
    <t>HOLLIS_DISP</t>
  </si>
  <si>
    <t>SAFEREG_DISP</t>
  </si>
  <si>
    <t>Risks and Opportunities NOT included in FCAST10</t>
  </si>
  <si>
    <t>Likelihood</t>
  </si>
  <si>
    <t>Probability</t>
  </si>
  <si>
    <t>Low</t>
  </si>
  <si>
    <t>Medium</t>
  </si>
  <si>
    <t>High</t>
  </si>
  <si>
    <t>Business</t>
  </si>
  <si>
    <t>Type</t>
  </si>
  <si>
    <t>Description</t>
  </si>
  <si>
    <t>PBITA impact ($000)</t>
  </si>
  <si>
    <t>Weighted impact ($000)</t>
  </si>
  <si>
    <t>Timing</t>
  </si>
  <si>
    <t>Risk</t>
  </si>
  <si>
    <t>Further nitrile cost increases not recovered through pricing in Q4</t>
  </si>
  <si>
    <t>Q4 2026</t>
  </si>
  <si>
    <t>Opportunity</t>
  </si>
  <si>
    <t>Large healthcare tender awarded in November</t>
  </si>
  <si>
    <t>Second DOT program phase starts in December</t>
  </si>
  <si>
    <t>Competitor price matching spreads to more distributors</t>
  </si>
  <si>
    <t>Backorders clear earlier than planned (container arrives in October)</t>
  </si>
  <si>
    <t>Container receipts slip again into January</t>
  </si>
  <si>
    <t>Buying group rebate tier achieved</t>
  </si>
  <si>
    <t>Dropship pull-forward reduces Q4 more than forecast</t>
  </si>
  <si>
    <t>Core product price increase accepted early by key accounts</t>
  </si>
  <si>
    <t>Net risks &amp; opportunities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</si>
</sst>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;[Red]\(#,##0.0\);&quot;-&quot;"/>
    <numFmt numFmtId="165" formatCode="0.0;[Red]\-0.0;&quot;OK&quot;"/>
    <numFmt numFmtId="166" formatCode="0.0%;[Red]\-0.0%;&quot;-&quot;"/>
    <numFmt numFmtId="167" formatCode="yyyy\-mm\-dd"/>
  </numFmts>
  <fonts count="10">
    <font>
      <sz val="11"/>
      <color theme="1"/>
      <name val="Calibri"/>
      <family val="2"/>
      <scheme val="minor"/>
    </font>
    <font>
      <i/>
      <sz val="9"/>
      <color rgb="FFC00000"/>
      <name val="Calibri"/>
    </font>
    <font>
      <b/>
      <sz val="11"/>
      <name val="Calibri"/>
    </font>
    <font>
      <b/>
      <sz val="13"/>
      <color rgb="FF002060"/>
      <name val="Calibri"/>
    </font>
    <font>
      <b/>
      <sz val="11"/>
      <color rgb="FFFFFFFF"/>
      <name val="Calibri"/>
    </font>
    <font>
      <sz val="11"/>
      <name val="Calibri"/>
    </font>
    <font>
      <b/>
      <sz val="11"/>
      <color rgb="FF002060"/>
      <name val="Calibri"/>
    </font>
    <font>
      <i/>
      <sz val="11"/>
      <name val="Calibri"/>
    </font>
    <font>
      <sz val="8"/>
      <color rgb="FF808080"/>
      <name val="Calibri"/>
    </font>
    <font>
      <i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DE6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5" fillId="0" borderId="0" xfId="0" applyFont="1"/>
    <xf numFmtId="164" fontId="0" fillId="0" borderId="0" xfId="0" applyNumberFormat="1"/>
    <xf numFmtId="1" fontId="0" fillId="0" borderId="0" xfId="0" applyNumberFormat="1"/>
    <xf numFmtId="0" fontId="6" fillId="0" borderId="0" xfId="0" applyFont="1"/>
    <xf numFmtId="164" fontId="2" fillId="3" borderId="0" xfId="0" applyNumberFormat="1" applyFont="1" applyFill="1"/>
    <xf numFmtId="165" fontId="0" fillId="0" borderId="0" xfId="0" applyNumberFormat="1"/>
    <xf numFmtId="0" fontId="7" fillId="0" borderId="0" xfId="0" applyFont="1"/>
    <xf numFmtId="166" fontId="0" fillId="0" borderId="0" xfId="0" applyNumberFormat="1"/>
    <xf numFmtId="167" fontId="0" fillId="0" borderId="0" xfId="0" applyNumberFormat="1"/>
    <xf numFmtId="166" fontId="2" fillId="3" borderId="0" xfId="0" applyNumberFormat="1" applyFont="1" applyFill="1"/>
    <xf numFmtId="0" fontId="8" fillId="0" borderId="0" xfId="0" applyFont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wrapText="1"/>
    </xf>
    <xf numFmtId="164" fontId="2" fillId="0" borderId="0" xfId="0" applyNumberFormat="1" applyFont="1"/>
    <xf numFmtId="0" fontId="2" fillId="3" borderId="0" xfId="0" applyFont="1" applyFill="1"/>
    <xf numFmtId="164" fontId="0" fillId="4" borderId="0" xfId="0" applyNumberFormat="1" applyFill="1"/>
    <xf numFmtId="0" fontId="9" fillId="0" borderId="0" xfId="0" applyFont="1"/>
    <xf numFmtId="9" fontId="0" fillId="0" borderId="0" xfId="0" applyNumberFormat="1"/>
    <xf numFmtId="0" fontId="0" fillId="0" borderId="0" xfId="0" applyAlignment="1">
      <alignment wrapText="1"/>
    </xf>
    <xf numFmtId="0" fontId="0" fillId="0" borderId="1" xfId="0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28"/>
  <sheetViews>
    <sheetView tabSelected="1" workbookViewId="0"/>
  </sheetViews>
  <sheetFormatPr defaultRowHeight="15"/>
  <cols>
    <col min="2" max="2" width="34" customWidth="1"/>
  </cols>
  <sheetData>
    <row r="2" spans="1:15">
      <c r="A2" t="s">
        <v>0</v>
      </c>
      <c r="B2" t="s">
        <v>1</v>
      </c>
      <c r="C2" t="s">
        <v>1</v>
      </c>
      <c r="D2" t="s">
        <v>1</v>
      </c>
      <c r="E2" t="s">
        <v>1</v>
      </c>
    </row>
    <row r="3" spans="1:15">
      <c r="A3" t="s">
        <v>2</v>
      </c>
      <c r="B3" t="s">
        <v>3</v>
      </c>
      <c r="C3" t="s">
        <v>3</v>
      </c>
      <c r="D3" t="s">
        <v>3</v>
      </c>
      <c r="E3" t="s">
        <v>3</v>
      </c>
    </row>
    <row r="4" spans="1:15">
      <c r="A4" t="s">
        <v>4</v>
      </c>
    </row>
    <row r="5" spans="1:15">
      <c r="A5" t="s">
        <v>5</v>
      </c>
      <c r="B5" t="s">
        <v>6</v>
      </c>
      <c r="C5" t="s">
        <v>6</v>
      </c>
      <c r="D5" t="s">
        <v>6</v>
      </c>
      <c r="E5" t="s">
        <v>6</v>
      </c>
    </row>
    <row r="6" spans="1:15">
      <c r="A6" t="s">
        <v>7</v>
      </c>
      <c r="B6" t="s">
        <v>8</v>
      </c>
      <c r="C6" t="s">
        <v>8</v>
      </c>
      <c r="D6" t="s">
        <v>8</v>
      </c>
      <c r="E6" t="s">
        <v>8</v>
      </c>
    </row>
    <row r="7" spans="1:15">
      <c r="A7" t="s">
        <v>9</v>
      </c>
      <c r="B7" t="s">
        <v>10</v>
      </c>
      <c r="C7" t="s">
        <v>10</v>
      </c>
      <c r="D7" t="s">
        <v>10</v>
      </c>
      <c r="E7" t="s">
        <v>10</v>
      </c>
    </row>
    <row r="8" spans="1:15">
      <c r="A8" t="s">
        <v>11</v>
      </c>
      <c r="B8" t="s">
        <v>12</v>
      </c>
      <c r="C8" t="s">
        <v>12</v>
      </c>
      <c r="D8" t="s">
        <v>12</v>
      </c>
      <c r="E8" t="s">
        <v>12</v>
      </c>
    </row>
    <row r="9" spans="1:15">
      <c r="A9" t="s">
        <v>13</v>
      </c>
    </row>
    <row r="10" spans="1:15">
      <c r="A10" t="s">
        <v>14</v>
      </c>
      <c r="B10" t="s">
        <v>15</v>
      </c>
      <c r="C10" t="s">
        <v>15</v>
      </c>
      <c r="D10" t="s">
        <v>15</v>
      </c>
      <c r="E10" t="s">
        <v>15</v>
      </c>
    </row>
    <row r="11" spans="1:15">
      <c r="A11" t="s">
        <v>16</v>
      </c>
      <c r="B11" t="s">
        <v>17</v>
      </c>
      <c r="C11" t="s">
        <v>17</v>
      </c>
      <c r="D11" t="s">
        <v>17</v>
      </c>
      <c r="E11" t="s">
        <v>17</v>
      </c>
    </row>
    <row r="12" spans="1:15">
      <c r="A12" t="s">
        <v>18</v>
      </c>
      <c r="B12" t="s">
        <v>19</v>
      </c>
      <c r="C12" t="s">
        <v>19</v>
      </c>
      <c r="D12" t="s">
        <v>19</v>
      </c>
      <c r="E12" t="s">
        <v>19</v>
      </c>
    </row>
    <row r="13" spans="1:15">
      <c r="A13" t="s">
        <v>20</v>
      </c>
      <c r="B13" t="s">
        <v>21</v>
      </c>
      <c r="C13" t="s">
        <v>21</v>
      </c>
      <c r="D13" t="s">
        <v>21</v>
      </c>
      <c r="E13" t="s">
        <v>21</v>
      </c>
    </row>
    <row r="14" spans="1:15">
      <c r="A14" t="s">
        <v>22</v>
      </c>
      <c r="B14" t="s">
        <v>23</v>
      </c>
      <c r="C14" t="s">
        <v>23</v>
      </c>
      <c r="D14" t="s">
        <v>23</v>
      </c>
      <c r="E14" t="s">
        <v>23</v>
      </c>
    </row>
    <row r="15" spans="1:15">
      <c r="B15" s="1" t="s">
        <v>24</v>
      </c>
    </row>
    <row r="16" spans="1:15">
      <c r="B16" s="2" t="s">
        <v>25</v>
      </c>
      <c r="D16" t="s">
        <v>26</v>
      </c>
      <c r="G16" t="s">
        <v>27</v>
      </c>
      <c r="J16" t="s">
        <v>28</v>
      </c>
      <c r="N16" t="s">
        <v>29</v>
      </c>
      <c r="O16" t="s">
        <v>30</v>
      </c>
    </row>
    <row r="17" spans="2:14">
      <c r="B17" s="2" t="s">
        <v>31</v>
      </c>
      <c r="D17" t="s">
        <v>32</v>
      </c>
      <c r="G17" t="s">
        <v>33</v>
      </c>
      <c r="H17" t="s">
        <v>34</v>
      </c>
      <c r="J17" t="s">
        <v>33</v>
      </c>
      <c r="K17" t="s">
        <v>34</v>
      </c>
      <c r="N17" t="s">
        <v>35</v>
      </c>
    </row>
    <row r="18" spans="2:14">
      <c r="B18" s="2" t="s">
        <v>36</v>
      </c>
      <c r="D18" t="s">
        <v>37</v>
      </c>
      <c r="G18" t="s">
        <v>38</v>
      </c>
      <c r="H18" t="s">
        <v>34</v>
      </c>
      <c r="J18" t="s">
        <v>38</v>
      </c>
      <c r="K18" t="s">
        <v>34</v>
      </c>
      <c r="N18" t="s">
        <v>39</v>
      </c>
    </row>
    <row r="19" spans="2:14">
      <c r="B19" s="2" t="s">
        <v>40</v>
      </c>
      <c r="D19" t="s">
        <v>41</v>
      </c>
      <c r="G19" t="s">
        <v>42</v>
      </c>
      <c r="H19" t="s">
        <v>34</v>
      </c>
      <c r="J19" t="s">
        <v>42</v>
      </c>
      <c r="K19" t="s">
        <v>34</v>
      </c>
      <c r="N19" t="s">
        <v>43</v>
      </c>
    </row>
    <row r="20" spans="2:14">
      <c r="B20" s="2" t="s">
        <v>44</v>
      </c>
      <c r="D20" t="s">
        <v>45</v>
      </c>
      <c r="G20" t="s">
        <v>46</v>
      </c>
      <c r="H20" t="s">
        <v>34</v>
      </c>
      <c r="J20" t="s">
        <v>46</v>
      </c>
      <c r="K20" t="s">
        <v>34</v>
      </c>
      <c r="N20" t="s">
        <v>47</v>
      </c>
    </row>
    <row r="21" spans="2:14">
      <c r="B21" s="2" t="s">
        <v>48</v>
      </c>
      <c r="D21" t="s">
        <v>49</v>
      </c>
      <c r="G21" t="s">
        <v>50</v>
      </c>
      <c r="H21" t="s">
        <v>34</v>
      </c>
      <c r="J21" t="s">
        <v>50</v>
      </c>
      <c r="K21" t="s">
        <v>34</v>
      </c>
      <c r="N21" t="s">
        <v>51</v>
      </c>
    </row>
    <row r="22" spans="2:14">
      <c r="B22" s="2" t="s">
        <v>44</v>
      </c>
      <c r="D22" t="s">
        <v>52</v>
      </c>
      <c r="G22" t="s">
        <v>53</v>
      </c>
      <c r="H22" t="s">
        <v>34</v>
      </c>
      <c r="J22" t="s">
        <v>53</v>
      </c>
      <c r="K22" t="s">
        <v>34</v>
      </c>
      <c r="N22" t="s">
        <v>54</v>
      </c>
    </row>
    <row r="23" spans="2:14">
      <c r="G23" t="s">
        <v>55</v>
      </c>
      <c r="H23" t="s">
        <v>34</v>
      </c>
      <c r="J23" t="s">
        <v>55</v>
      </c>
      <c r="K23" t="s">
        <v>34</v>
      </c>
      <c r="N23" t="s">
        <v>56</v>
      </c>
    </row>
    <row r="24" spans="2:14">
      <c r="G24" t="s">
        <v>57</v>
      </c>
      <c r="H24" t="s">
        <v>34</v>
      </c>
      <c r="J24" t="s">
        <v>57</v>
      </c>
      <c r="K24" t="s">
        <v>34</v>
      </c>
      <c r="N24" t="s">
        <v>58</v>
      </c>
    </row>
    <row r="25" spans="2:14">
      <c r="B25" s="2" t="s">
        <v>59</v>
      </c>
      <c r="D25" t="s">
        <v>60</v>
      </c>
      <c r="G25" t="s">
        <v>61</v>
      </c>
      <c r="H25" t="s">
        <v>45</v>
      </c>
      <c r="J25" t="s">
        <v>61</v>
      </c>
      <c r="K25" t="s">
        <v>34</v>
      </c>
      <c r="N25" t="s">
        <v>32</v>
      </c>
    </row>
    <row r="26" spans="2:14">
      <c r="B26" s="2" t="s">
        <v>62</v>
      </c>
      <c r="D26" t="s">
        <v>63</v>
      </c>
      <c r="G26" t="s">
        <v>64</v>
      </c>
      <c r="H26" t="s">
        <v>45</v>
      </c>
      <c r="J26" t="s">
        <v>64</v>
      </c>
      <c r="K26" t="s">
        <v>52</v>
      </c>
      <c r="N26" t="s">
        <v>37</v>
      </c>
    </row>
    <row r="27" spans="2:14">
      <c r="G27" t="s">
        <v>65</v>
      </c>
      <c r="H27" t="s">
        <v>45</v>
      </c>
      <c r="J27" t="s">
        <v>65</v>
      </c>
      <c r="K27" t="s">
        <v>52</v>
      </c>
      <c r="N27" t="s">
        <v>66</v>
      </c>
    </row>
    <row r="28" spans="2:14">
      <c r="G28" t="s">
        <v>67</v>
      </c>
      <c r="H28" t="s">
        <v>45</v>
      </c>
      <c r="J28" t="s">
        <v>67</v>
      </c>
      <c r="K28" t="s">
        <v>52</v>
      </c>
      <c r="N28" t="s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"/>
  <sheetViews>
    <sheetView showGridLines="0" workbookViewId="0"/>
  </sheetViews>
  <sheetFormatPr defaultRowHeight="15"/>
  <cols>
    <col min="1" max="1" width="40" customWidth="1"/>
    <col min="2" max="14" width="11" customWidth="1"/>
  </cols>
  <sheetData>
    <row r="1" spans="1:14">
      <c r="A1" s="3" t="s">
        <v>69</v>
      </c>
    </row>
    <row r="2" spans="1:14">
      <c r="A2" s="1" t="s">
        <v>24</v>
      </c>
    </row>
    <row r="4" spans="1:14">
      <c r="B4" s="4" t="s">
        <v>70</v>
      </c>
      <c r="C4" s="4" t="s">
        <v>71</v>
      </c>
      <c r="D4" s="4" t="s">
        <v>72</v>
      </c>
      <c r="E4" s="4" t="s">
        <v>73</v>
      </c>
      <c r="F4" s="4" t="s">
        <v>50</v>
      </c>
      <c r="G4" s="4" t="s">
        <v>74</v>
      </c>
      <c r="H4" s="4" t="s">
        <v>75</v>
      </c>
      <c r="I4" s="4" t="s">
        <v>76</v>
      </c>
      <c r="J4" s="4" t="s">
        <v>77</v>
      </c>
      <c r="K4" s="4" t="s">
        <v>78</v>
      </c>
      <c r="L4" s="4" t="s">
        <v>79</v>
      </c>
      <c r="M4" s="4" t="s">
        <v>80</v>
      </c>
      <c r="N4" s="4" t="s">
        <v>81</v>
      </c>
    </row>
    <row r="5" spans="1:14">
      <c r="A5" s="5" t="s">
        <v>82</v>
      </c>
      <c r="B5" s="6">
        <v>49776.7</v>
      </c>
      <c r="C5" s="6">
        <v>49033.4</v>
      </c>
      <c r="D5" s="6">
        <v>52588.4</v>
      </c>
      <c r="E5" s="6">
        <v>56881.9</v>
      </c>
      <c r="F5" s="6">
        <v>51833.5</v>
      </c>
      <c r="G5" s="6">
        <v>54124.1</v>
      </c>
      <c r="H5" s="6">
        <v>53826.7</v>
      </c>
      <c r="I5" s="6">
        <v>52681.3</v>
      </c>
      <c r="J5" s="6">
        <v>53640.4</v>
      </c>
      <c r="K5" s="6">
        <v>54420.3</v>
      </c>
      <c r="L5" s="6">
        <v>50066</v>
      </c>
      <c r="M5" s="6">
        <v>55284.2</v>
      </c>
      <c r="N5" s="6">
        <f>SUM(B5:M5)</f>
        <v>634156.9</v>
      </c>
    </row>
    <row r="6" spans="1:14">
      <c r="A6" s="5" t="s">
        <v>83</v>
      </c>
      <c r="B6" s="7">
        <v>21</v>
      </c>
      <c r="C6" s="7">
        <v>20</v>
      </c>
      <c r="D6" s="7">
        <v>22</v>
      </c>
      <c r="E6" s="7">
        <v>22</v>
      </c>
      <c r="F6" s="7">
        <v>20</v>
      </c>
      <c r="G6" s="7">
        <v>22</v>
      </c>
      <c r="H6" s="7">
        <v>22</v>
      </c>
      <c r="I6" s="7">
        <v>21</v>
      </c>
      <c r="J6" s="7">
        <v>21</v>
      </c>
      <c r="K6" s="7">
        <v>22</v>
      </c>
      <c r="L6" s="7">
        <v>19</v>
      </c>
      <c r="M6" s="7">
        <v>22</v>
      </c>
      <c r="N6" s="7">
        <f>SUM(B6:M6)</f>
        <v>254</v>
      </c>
    </row>
    <row r="7" spans="1:14">
      <c r="A7" s="2" t="s">
        <v>84</v>
      </c>
      <c r="B7" s="6">
        <f>B5/B6</f>
        <v>2370.3190476190475</v>
      </c>
      <c r="C7" s="6">
        <f>C5/C6</f>
        <v>2451.67</v>
      </c>
      <c r="D7" s="6">
        <f>D5/D6</f>
        <v>2390.3818181818183</v>
      </c>
      <c r="E7" s="6">
        <f>E5/E6</f>
        <v>2585.5409090909093</v>
      </c>
      <c r="F7" s="6">
        <f>F5/F6</f>
        <v>2591.6750000000002</v>
      </c>
      <c r="G7" s="6">
        <f>G5/G6</f>
        <v>2460.1863636363637</v>
      </c>
      <c r="H7" s="6">
        <f>H5/H6</f>
        <v>2446.6681818181819</v>
      </c>
      <c r="I7" s="6">
        <f>I5/I6</f>
        <v>2508.6333333333337</v>
      </c>
      <c r="J7" s="6">
        <f>J5/J6</f>
        <v>2554.304761904762</v>
      </c>
      <c r="K7" s="6">
        <f>K5/K6</f>
        <v>2473.65</v>
      </c>
      <c r="L7" s="6">
        <f>L5/L6</f>
        <v>2635.0526315789475</v>
      </c>
      <c r="M7" s="6">
        <f>M5/M6</f>
        <v>2512.9181818181819</v>
      </c>
      <c r="N7" s="6">
        <f>N5/N6</f>
        <v>2496.6807086614176</v>
      </c>
    </row>
    <row r="8" spans="1:14">
      <c r="A8" s="5" t="s">
        <v>85</v>
      </c>
      <c r="B8" s="6">
        <v>49083</v>
      </c>
      <c r="C8" s="6">
        <v>48050</v>
      </c>
      <c r="D8" s="6">
        <v>51666.400000000001</v>
      </c>
      <c r="E8" s="6">
        <v>55799.9</v>
      </c>
      <c r="F8" s="6">
        <v>50633.4</v>
      </c>
      <c r="G8" s="6">
        <v>53216.800000000003</v>
      </c>
      <c r="H8" s="6">
        <v>52699.6</v>
      </c>
      <c r="I8" s="6">
        <v>51666.6</v>
      </c>
      <c r="J8" s="6">
        <v>50633.2</v>
      </c>
      <c r="K8" s="6">
        <v>54249.8</v>
      </c>
      <c r="L8" s="6">
        <v>49083.1</v>
      </c>
      <c r="M8" s="6">
        <v>53216.3</v>
      </c>
      <c r="N8" s="6">
        <f>SUM(B8:M8)</f>
        <v>619998.1</v>
      </c>
    </row>
    <row r="9" spans="1:14">
      <c r="A9" s="2" t="s">
        <v>86</v>
      </c>
      <c r="B9" s="6">
        <f>B8/B6</f>
        <v>2337.2857142857142</v>
      </c>
      <c r="C9" s="6">
        <f>C8/C6</f>
        <v>2402.5</v>
      </c>
      <c r="D9" s="6">
        <f>D8/D6</f>
        <v>2348.4727272727273</v>
      </c>
      <c r="E9" s="6">
        <f>E8/E6</f>
        <v>2536.3590909090908</v>
      </c>
      <c r="F9" s="6">
        <f>F8/F6</f>
        <v>2531.67</v>
      </c>
      <c r="G9" s="6">
        <f>G8/G6</f>
        <v>2418.9454545454546</v>
      </c>
      <c r="H9" s="6">
        <f>H8/H6</f>
        <v>2395.4363636363637</v>
      </c>
      <c r="I9" s="6">
        <f>I8/I6</f>
        <v>2460.3142857142857</v>
      </c>
      <c r="J9" s="6">
        <f>J8/J6</f>
        <v>2411.1047619047617</v>
      </c>
      <c r="K9" s="6">
        <f>K8/K6</f>
        <v>2465.9</v>
      </c>
      <c r="L9" s="6">
        <f>L8/L6</f>
        <v>2583.3210526315788</v>
      </c>
      <c r="M9" s="6">
        <f>M8/M6</f>
        <v>2418.9227272727276</v>
      </c>
      <c r="N9" s="6">
        <f>N8/N6</f>
        <v>2440.9374015748031</v>
      </c>
    </row>
    <row r="10" spans="1:14">
      <c r="A10" s="5" t="s">
        <v>87</v>
      </c>
      <c r="B10" s="6">
        <v>46990.7</v>
      </c>
      <c r="C10" s="6">
        <v>45717.1</v>
      </c>
      <c r="D10" s="6">
        <v>49328.6</v>
      </c>
      <c r="E10" s="6">
        <v>53313.8</v>
      </c>
      <c r="F10" s="6">
        <v>48140.4</v>
      </c>
      <c r="G10" s="6">
        <v>50828.2</v>
      </c>
      <c r="H10" s="6">
        <v>50581.7</v>
      </c>
      <c r="I10" s="6">
        <v>48966.9</v>
      </c>
      <c r="J10" s="6">
        <v>48517.7</v>
      </c>
      <c r="K10" s="6">
        <v>51865.9</v>
      </c>
      <c r="L10" s="6">
        <v>46746</v>
      </c>
      <c r="M10" s="6">
        <v>50915.4</v>
      </c>
      <c r="N10" s="6">
        <f>SUM(B10:M10)</f>
        <v>591912.4</v>
      </c>
    </row>
    <row r="11" spans="1:14">
      <c r="A11" s="5" t="s">
        <v>88</v>
      </c>
      <c r="B11" s="7">
        <v>22</v>
      </c>
      <c r="C11" s="7">
        <v>20</v>
      </c>
      <c r="D11" s="7">
        <v>21</v>
      </c>
      <c r="E11" s="7">
        <v>22</v>
      </c>
      <c r="F11" s="7">
        <v>21</v>
      </c>
      <c r="G11" s="7">
        <v>21</v>
      </c>
      <c r="H11" s="7">
        <v>22</v>
      </c>
      <c r="I11" s="7">
        <v>21</v>
      </c>
      <c r="J11" s="7">
        <v>21</v>
      </c>
      <c r="K11" s="7">
        <v>23</v>
      </c>
      <c r="L11" s="7">
        <v>18</v>
      </c>
      <c r="M11" s="7">
        <v>22</v>
      </c>
      <c r="N11" s="7">
        <f>SUM(B11:M11)</f>
        <v>254</v>
      </c>
    </row>
    <row r="12" spans="1:14">
      <c r="A12" s="2" t="s">
        <v>89</v>
      </c>
      <c r="B12" s="6">
        <f>B10/B11</f>
        <v>2135.9409090909089</v>
      </c>
      <c r="C12" s="6">
        <f>C10/C11</f>
        <v>2285.855</v>
      </c>
      <c r="D12" s="6">
        <f>D10/D11</f>
        <v>2348.9809523809522</v>
      </c>
      <c r="E12" s="6">
        <f>E10/E11</f>
        <v>2423.3545454545456</v>
      </c>
      <c r="F12" s="6">
        <f>F10/F11</f>
        <v>2292.4</v>
      </c>
      <c r="G12" s="6">
        <f>G10/G11</f>
        <v>2420.390476190476</v>
      </c>
      <c r="H12" s="6">
        <f>H10/H11</f>
        <v>2299.1681818181819</v>
      </c>
      <c r="I12" s="6">
        <f>I10/I11</f>
        <v>2331.7571428571428</v>
      </c>
      <c r="J12" s="6">
        <f>J10/J11</f>
        <v>2310.3666666666663</v>
      </c>
      <c r="K12" s="6">
        <f>K10/K11</f>
        <v>2255.0391304347827</v>
      </c>
      <c r="L12" s="6">
        <f>L10/L11</f>
        <v>2597</v>
      </c>
      <c r="M12" s="6">
        <f>M10/M11</f>
        <v>2314.3363636363638</v>
      </c>
      <c r="N12" s="6">
        <f>N10/N11</f>
        <v>2330.363779527559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4"/>
  <sheetViews>
    <sheetView showGridLines="0" workbookViewId="0">
      <pane xSplit="2" ySplit="6" topLeftCell="C7" activePane="bottomRight" state="frozen"/>
      <selection pane="bottomRight"/>
      <selection pane="bottomLeft"/>
      <selection pane="topRight"/>
    </sheetView>
  </sheetViews>
  <sheetFormatPr defaultRowHeight="15"/>
  <cols>
    <col min="2" max="2" width="30" customWidth="1"/>
    <col min="3" max="11" width="13" customWidth="1"/>
  </cols>
  <sheetData>
    <row r="1" spans="1:11">
      <c r="A1" t="s">
        <v>27</v>
      </c>
      <c r="B1" t="s">
        <v>32</v>
      </c>
      <c r="D1" s="3" t="s">
        <v>90</v>
      </c>
    </row>
    <row r="2" spans="1:11">
      <c r="A2" t="s">
        <v>28</v>
      </c>
      <c r="B2" t="s">
        <v>37</v>
      </c>
      <c r="D2" s="1" t="s">
        <v>24</v>
      </c>
    </row>
    <row r="4" spans="1:11">
      <c r="C4" t="s">
        <v>52</v>
      </c>
    </row>
    <row r="5" spans="1:11">
      <c r="C5" s="2" t="s">
        <v>91</v>
      </c>
      <c r="F5" s="2" t="s">
        <v>92</v>
      </c>
      <c r="I5" s="2" t="s">
        <v>81</v>
      </c>
    </row>
    <row r="6" spans="1:11" ht="30" customHeight="1">
      <c r="B6" t="s">
        <v>93</v>
      </c>
      <c r="C6" s="4" t="s">
        <v>94</v>
      </c>
      <c r="D6" s="4" t="s">
        <v>95</v>
      </c>
      <c r="E6" s="4" t="s">
        <v>96</v>
      </c>
      <c r="F6" s="4" t="s">
        <v>97</v>
      </c>
      <c r="G6" s="4" t="s">
        <v>98</v>
      </c>
      <c r="H6" s="4" t="s">
        <v>99</v>
      </c>
      <c r="I6" s="4" t="s">
        <v>97</v>
      </c>
      <c r="J6" s="4" t="s">
        <v>98</v>
      </c>
      <c r="K6" s="4" t="s">
        <v>99</v>
      </c>
    </row>
    <row r="8" spans="1:11">
      <c r="B8" s="8" t="s">
        <v>100</v>
      </c>
    </row>
    <row r="9" spans="1:11">
      <c r="B9" t="s">
        <v>101</v>
      </c>
      <c r="C9" s="6">
        <f>Alder!BU28</f>
        <v>0</v>
      </c>
      <c r="D9" s="6">
        <f>Alder!BV28</f>
        <v>4321.5000000000146</v>
      </c>
      <c r="E9" s="6">
        <f>Alder!BW28</f>
        <v>9085.9000000000087</v>
      </c>
      <c r="F9" s="6">
        <f>Alder!BY28</f>
        <v>-600</v>
      </c>
      <c r="G9" s="6">
        <f>Alder!BZ28</f>
        <v>890</v>
      </c>
      <c r="H9" s="6">
        <f>Alder!CA28</f>
        <v>2526.3999999999942</v>
      </c>
      <c r="I9" s="6">
        <f>Alder!CC28</f>
        <v>-600</v>
      </c>
      <c r="J9" s="6">
        <f>Alder!CD28</f>
        <v>5211.5</v>
      </c>
      <c r="K9" s="6">
        <f>Alder!CE28</f>
        <v>11612.299999999988</v>
      </c>
    </row>
    <row r="10" spans="1:11">
      <c r="B10" t="s">
        <v>102</v>
      </c>
      <c r="C10" s="6">
        <f>Beacon!BU28</f>
        <v>150</v>
      </c>
      <c r="D10" s="6">
        <f>Beacon!BV28</f>
        <v>3250.7999999999884</v>
      </c>
      <c r="E10" s="6">
        <f>Beacon!BW28</f>
        <v>6179</v>
      </c>
      <c r="F10" s="6">
        <f>Beacon!BY28</f>
        <v>750</v>
      </c>
      <c r="G10" s="6">
        <f>Beacon!BZ28</f>
        <v>2417</v>
      </c>
      <c r="H10" s="6">
        <f>Beacon!CA28</f>
        <v>3639.3000000000029</v>
      </c>
      <c r="I10" s="6">
        <f>Beacon!CC28</f>
        <v>900</v>
      </c>
      <c r="J10" s="6">
        <f>Beacon!CD28</f>
        <v>5667.7999999999884</v>
      </c>
      <c r="K10" s="6">
        <f>Beacon!CE28</f>
        <v>9818.3000000000029</v>
      </c>
    </row>
    <row r="11" spans="1:11">
      <c r="B11" t="s">
        <v>103</v>
      </c>
      <c r="C11" s="6">
        <f>Cobalt!BU28</f>
        <v>30</v>
      </c>
      <c r="D11" s="6">
        <f>Cobalt!BV28</f>
        <v>-114.60000000000582</v>
      </c>
      <c r="E11" s="6">
        <f>Cobalt!BW28</f>
        <v>1556.1999999999971</v>
      </c>
      <c r="F11" s="6">
        <f>Cobalt!BY28</f>
        <v>120</v>
      </c>
      <c r="G11" s="6">
        <f>Cobalt!BZ28</f>
        <v>5.5</v>
      </c>
      <c r="H11" s="6">
        <f>Cobalt!CA28</f>
        <v>598.79999999999927</v>
      </c>
      <c r="I11" s="6">
        <f>Cobalt!CC28</f>
        <v>150</v>
      </c>
      <c r="J11" s="6">
        <f>Cobalt!CD28</f>
        <v>-109.09999999999854</v>
      </c>
      <c r="K11" s="6">
        <f>Cobalt!CE28</f>
        <v>2155</v>
      </c>
    </row>
    <row r="12" spans="1:11">
      <c r="B12" t="s">
        <v>104</v>
      </c>
      <c r="C12" s="6">
        <f>Delta!BU28</f>
        <v>0</v>
      </c>
      <c r="D12" s="6">
        <f>Delta!BV28</f>
        <v>-664</v>
      </c>
      <c r="E12" s="6">
        <f>Delta!BW28</f>
        <v>386.80000000000291</v>
      </c>
      <c r="F12" s="6">
        <f>Delta!BY28</f>
        <v>0</v>
      </c>
      <c r="G12" s="6">
        <f>Delta!BZ28</f>
        <v>-260.60000000000036</v>
      </c>
      <c r="H12" s="6">
        <f>Delta!CA28</f>
        <v>8.3999999999996362</v>
      </c>
      <c r="I12" s="6">
        <f>Delta!CC28</f>
        <v>0</v>
      </c>
      <c r="J12" s="6">
        <f>Delta!CD28</f>
        <v>-924.59999999999854</v>
      </c>
      <c r="K12" s="6">
        <f>Delta!CE28</f>
        <v>395.20000000000437</v>
      </c>
    </row>
    <row r="13" spans="1:11">
      <c r="B13" t="s">
        <v>105</v>
      </c>
      <c r="C13" s="6">
        <f>Ember!BU28</f>
        <v>-260</v>
      </c>
      <c r="D13" s="6">
        <f>Ember!BV28</f>
        <v>-1538.3000000000029</v>
      </c>
      <c r="E13" s="6">
        <f>Ember!BW28</f>
        <v>-177.00000000000728</v>
      </c>
      <c r="F13" s="6">
        <f>Ember!BY28</f>
        <v>-240</v>
      </c>
      <c r="G13" s="6">
        <f>Ember!BZ28</f>
        <v>-978.39999999999782</v>
      </c>
      <c r="H13" s="6">
        <f>Ember!CA28</f>
        <v>-640.29999999999927</v>
      </c>
      <c r="I13" s="6">
        <f>Ember!CC28</f>
        <v>-500</v>
      </c>
      <c r="J13" s="6">
        <f>Ember!CD28</f>
        <v>-2516.7000000000044</v>
      </c>
      <c r="K13" s="6">
        <f>Ember!CE28</f>
        <v>-817.30000000001019</v>
      </c>
    </row>
    <row r="14" spans="1:11">
      <c r="B14" t="s">
        <v>106</v>
      </c>
      <c r="C14" s="6">
        <f>Falcon!BU28</f>
        <v>300</v>
      </c>
      <c r="D14" s="6">
        <f>Falcon!BV28</f>
        <v>5882</v>
      </c>
      <c r="E14" s="6">
        <f>Falcon!BW28</f>
        <v>9896.3999999999869</v>
      </c>
      <c r="F14" s="6">
        <f>Falcon!BY28</f>
        <v>900</v>
      </c>
      <c r="G14" s="6">
        <f>Falcon!BZ28</f>
        <v>3410.6000000000022</v>
      </c>
      <c r="H14" s="6">
        <f>Falcon!CA28</f>
        <v>4812.9000000000015</v>
      </c>
      <c r="I14" s="6">
        <f>Falcon!CC28</f>
        <v>1200</v>
      </c>
      <c r="J14" s="6">
        <f>Falcon!CD28</f>
        <v>9292.5999999999913</v>
      </c>
      <c r="K14" s="6">
        <f>Falcon!CE28</f>
        <v>14709.299999999988</v>
      </c>
    </row>
    <row r="15" spans="1:11">
      <c r="B15" t="s">
        <v>107</v>
      </c>
      <c r="C15" s="6">
        <f>Granite!BU28</f>
        <v>-430</v>
      </c>
      <c r="D15" s="6">
        <f>Granite!BV28</f>
        <v>-2792.4000000000015</v>
      </c>
      <c r="E15" s="6">
        <f>Granite!BW28</f>
        <v>-1464.4000000000015</v>
      </c>
      <c r="F15" s="6">
        <f>Granite!BY28</f>
        <v>-750</v>
      </c>
      <c r="G15" s="6">
        <f>Granite!BZ28</f>
        <v>-1450.9000000000015</v>
      </c>
      <c r="H15" s="6">
        <f>Granite!CA28</f>
        <v>-1011.1999999999989</v>
      </c>
      <c r="I15" s="6">
        <f>Granite!CC28</f>
        <v>-1180</v>
      </c>
      <c r="J15" s="6">
        <f>Granite!CD28</f>
        <v>-4243.3000000000029</v>
      </c>
      <c r="K15" s="6">
        <f>Granite!CE28</f>
        <v>-2475.5999999999985</v>
      </c>
    </row>
    <row r="16" spans="1:11">
      <c r="B16" t="s">
        <v>108</v>
      </c>
      <c r="C16" s="6">
        <f>Hollis!BU28</f>
        <v>1655</v>
      </c>
      <c r="D16" s="6">
        <f>Hollis!BV28</f>
        <v>2592.5</v>
      </c>
      <c r="E16" s="6">
        <f>Hollis!BW28</f>
        <v>6538.4000000000087</v>
      </c>
      <c r="F16" s="6">
        <f>Hollis!BY28</f>
        <v>-1235</v>
      </c>
      <c r="G16" s="6">
        <f>Hollis!BZ28</f>
        <v>-811.90000000000146</v>
      </c>
      <c r="H16" s="6">
        <f>Hollis!CA28</f>
        <v>308.89999999999782</v>
      </c>
      <c r="I16" s="6">
        <f>Hollis!CC28</f>
        <v>420</v>
      </c>
      <c r="J16" s="6">
        <f>Hollis!CD28</f>
        <v>1780.5999999999913</v>
      </c>
      <c r="K16" s="6">
        <f>Hollis!CE28</f>
        <v>6847.3000000000029</v>
      </c>
    </row>
    <row r="17" spans="2:11">
      <c r="B17" t="s">
        <v>109</v>
      </c>
      <c r="C17" s="6">
        <f>SAFEREG!BU28</f>
        <v>0</v>
      </c>
      <c r="D17" s="6">
        <f>SAFEREG!BV28</f>
        <v>0</v>
      </c>
      <c r="E17" s="6">
        <f>SAFEREG!BW28</f>
        <v>0</v>
      </c>
      <c r="F17" s="6">
        <f>SAFEREG!BY28</f>
        <v>0</v>
      </c>
      <c r="G17" s="6">
        <f>SAFEREG!BZ28</f>
        <v>0</v>
      </c>
      <c r="H17" s="6">
        <f>SAFEREG!CA28</f>
        <v>0</v>
      </c>
      <c r="I17" s="6">
        <f>SAFEREG!CC28</f>
        <v>0</v>
      </c>
      <c r="J17" s="6">
        <f>SAFEREG!CD28</f>
        <v>0</v>
      </c>
      <c r="K17" s="6">
        <f>SAFEREG!CE28</f>
        <v>0</v>
      </c>
    </row>
    <row r="18" spans="2:11">
      <c r="B18" s="2" t="s">
        <v>110</v>
      </c>
      <c r="C18" s="9">
        <f>SUM(C9:C17)</f>
        <v>1445</v>
      </c>
      <c r="D18" s="9">
        <f>SUM(D9:D17)</f>
        <v>10937.499999999993</v>
      </c>
      <c r="E18" s="9">
        <f>SUM(E9:E17)</f>
        <v>32001.299999999996</v>
      </c>
      <c r="F18" s="9">
        <f>SUM(F9:F17)</f>
        <v>-1055</v>
      </c>
      <c r="G18" s="9">
        <f>SUM(G9:G17)</f>
        <v>3221.3000000000011</v>
      </c>
      <c r="H18" s="9">
        <f>SUM(H9:H17)</f>
        <v>10243.199999999997</v>
      </c>
      <c r="I18" s="9">
        <f>SUM(I9:I17)</f>
        <v>390</v>
      </c>
      <c r="J18" s="9">
        <f>SUM(J9:J17)</f>
        <v>14158.799999999967</v>
      </c>
      <c r="K18" s="9">
        <f>SUM(K9:K17)</f>
        <v>42244.499999999978</v>
      </c>
    </row>
    <row r="20" spans="2:11">
      <c r="B20" s="8" t="s">
        <v>111</v>
      </c>
    </row>
    <row r="21" spans="2:11">
      <c r="B21" t="s">
        <v>101</v>
      </c>
      <c r="C21" s="6">
        <f>Alder!BU29</f>
        <v>-160</v>
      </c>
      <c r="D21" s="6">
        <f>Alder!BV29</f>
        <v>-475.70000000000073</v>
      </c>
      <c r="E21" s="6">
        <f>Alder!BW29</f>
        <v>123.49999999999636</v>
      </c>
      <c r="F21" s="6">
        <f>Alder!BY29</f>
        <v>-420</v>
      </c>
      <c r="G21" s="6">
        <f>Alder!BZ29</f>
        <v>-1101</v>
      </c>
      <c r="H21" s="6">
        <f>Alder!CA29</f>
        <v>-909.60000000000036</v>
      </c>
      <c r="I21" s="6">
        <f>Alder!CC29</f>
        <v>-580</v>
      </c>
      <c r="J21" s="6">
        <f>Alder!CD29</f>
        <v>-1576.7000000000044</v>
      </c>
      <c r="K21" s="6">
        <f>Alder!CE29</f>
        <v>-786.09999999999854</v>
      </c>
    </row>
    <row r="22" spans="2:11">
      <c r="B22" t="s">
        <v>102</v>
      </c>
      <c r="C22" s="6">
        <f>Beacon!BU29</f>
        <v>60</v>
      </c>
      <c r="D22" s="6">
        <f>Beacon!BV29</f>
        <v>2370.9000000000051</v>
      </c>
      <c r="E22" s="6">
        <f>Beacon!BW29</f>
        <v>3866.8000000000029</v>
      </c>
      <c r="F22" s="6">
        <f>Beacon!BY29</f>
        <v>290</v>
      </c>
      <c r="G22" s="6">
        <f>Beacon!BZ29</f>
        <v>1301.6999999999998</v>
      </c>
      <c r="H22" s="6">
        <f>Beacon!CA29</f>
        <v>1877.2999999999993</v>
      </c>
      <c r="I22" s="6">
        <f>Beacon!CC29</f>
        <v>350</v>
      </c>
      <c r="J22" s="6">
        <f>Beacon!CD29</f>
        <v>3672.6000000000095</v>
      </c>
      <c r="K22" s="6">
        <f>Beacon!CE29</f>
        <v>5744.1000000000022</v>
      </c>
    </row>
    <row r="23" spans="2:11">
      <c r="B23" t="s">
        <v>103</v>
      </c>
      <c r="C23" s="6">
        <f>Cobalt!BU29</f>
        <v>-162</v>
      </c>
      <c r="D23" s="6">
        <f>Cobalt!BV29</f>
        <v>-598.39999999999964</v>
      </c>
      <c r="E23" s="6">
        <f>Cobalt!BW29</f>
        <v>253.60000000000036</v>
      </c>
      <c r="F23" s="6">
        <f>Cobalt!BY29</f>
        <v>-648</v>
      </c>
      <c r="G23" s="6">
        <f>Cobalt!BZ29</f>
        <v>-833.5</v>
      </c>
      <c r="H23" s="6">
        <f>Cobalt!CA29</f>
        <v>-575.39999999999964</v>
      </c>
      <c r="I23" s="6">
        <f>Cobalt!CC29</f>
        <v>-810</v>
      </c>
      <c r="J23" s="6">
        <f>Cobalt!CD29</f>
        <v>-1431.8999999999978</v>
      </c>
      <c r="K23" s="6">
        <f>Cobalt!CE29</f>
        <v>-321.79999999999927</v>
      </c>
    </row>
    <row r="24" spans="2:11">
      <c r="B24" t="s">
        <v>104</v>
      </c>
      <c r="C24" s="6">
        <f>Delta!BU29</f>
        <v>0</v>
      </c>
      <c r="D24" s="6">
        <f>Delta!BV29</f>
        <v>-209.70000000000255</v>
      </c>
      <c r="E24" s="6">
        <f>Delta!BW29</f>
        <v>72.199999999998909</v>
      </c>
      <c r="F24" s="6">
        <f>Delta!BY29</f>
        <v>0</v>
      </c>
      <c r="G24" s="6">
        <f>Delta!BZ29</f>
        <v>-94.699999999999818</v>
      </c>
      <c r="H24" s="6">
        <f>Delta!CA29</f>
        <v>-5.1999999999998181</v>
      </c>
      <c r="I24" s="6">
        <f>Delta!CC29</f>
        <v>0</v>
      </c>
      <c r="J24" s="6">
        <f>Delta!CD29</f>
        <v>-304.40000000000327</v>
      </c>
      <c r="K24" s="6">
        <f>Delta!CE29</f>
        <v>66.999999999998181</v>
      </c>
    </row>
    <row r="25" spans="2:11">
      <c r="B25" t="s">
        <v>105</v>
      </c>
      <c r="C25" s="6">
        <f>Ember!BU29</f>
        <v>-83</v>
      </c>
      <c r="D25" s="6">
        <f>Ember!BV29</f>
        <v>-633</v>
      </c>
      <c r="E25" s="6">
        <f>Ember!BW29</f>
        <v>-140.50000000000182</v>
      </c>
      <c r="F25" s="6">
        <f>Ember!BY29</f>
        <v>-77</v>
      </c>
      <c r="G25" s="6">
        <f>Ember!BZ29</f>
        <v>-363.5</v>
      </c>
      <c r="H25" s="6">
        <f>Ember!CA29</f>
        <v>-238.09999999999991</v>
      </c>
      <c r="I25" s="6">
        <f>Ember!CC29</f>
        <v>-160</v>
      </c>
      <c r="J25" s="6">
        <f>Ember!CD29</f>
        <v>-996.5</v>
      </c>
      <c r="K25" s="6">
        <f>Ember!CE29</f>
        <v>-378.60000000000036</v>
      </c>
    </row>
    <row r="26" spans="2:11">
      <c r="B26" t="s">
        <v>106</v>
      </c>
      <c r="C26" s="6">
        <f>Falcon!BU29</f>
        <v>120</v>
      </c>
      <c r="D26" s="6">
        <f>Falcon!BV29</f>
        <v>3096.1000000000022</v>
      </c>
      <c r="E26" s="6">
        <f>Falcon!BW29</f>
        <v>4787.2999999999993</v>
      </c>
      <c r="F26" s="6">
        <f>Falcon!BY29</f>
        <v>360</v>
      </c>
      <c r="G26" s="6">
        <f>Falcon!BZ29</f>
        <v>1607.6000000000004</v>
      </c>
      <c r="H26" s="6">
        <f>Falcon!CA29</f>
        <v>2147.9000000000005</v>
      </c>
      <c r="I26" s="6">
        <f>Falcon!CC29</f>
        <v>480</v>
      </c>
      <c r="J26" s="6">
        <f>Falcon!CD29</f>
        <v>4703.7000000000044</v>
      </c>
      <c r="K26" s="6">
        <f>Falcon!CE29</f>
        <v>6935.2000000000007</v>
      </c>
    </row>
    <row r="27" spans="2:11">
      <c r="B27" t="s">
        <v>107</v>
      </c>
      <c r="C27" s="6">
        <f>Granite!BU29</f>
        <v>-265</v>
      </c>
      <c r="D27" s="6">
        <f>Granite!BV29</f>
        <v>-1639.9000000000015</v>
      </c>
      <c r="E27" s="6">
        <f>Granite!BW29</f>
        <v>-1517.3000000000011</v>
      </c>
      <c r="F27" s="6">
        <f>Granite!BY29</f>
        <v>-260</v>
      </c>
      <c r="G27" s="6">
        <f>Granite!BZ29</f>
        <v>-712.20000000000073</v>
      </c>
      <c r="H27" s="6">
        <f>Granite!CA29</f>
        <v>-668.90000000000055</v>
      </c>
      <c r="I27" s="6">
        <f>Granite!CC29</f>
        <v>-525</v>
      </c>
      <c r="J27" s="6">
        <f>Granite!CD29</f>
        <v>-2352.1000000000022</v>
      </c>
      <c r="K27" s="6">
        <f>Granite!CE29</f>
        <v>-2186.2000000000044</v>
      </c>
    </row>
    <row r="28" spans="2:11">
      <c r="B28" t="s">
        <v>108</v>
      </c>
      <c r="C28" s="6">
        <f>Hollis!BU29</f>
        <v>242</v>
      </c>
      <c r="D28" s="6">
        <f>Hollis!BV29</f>
        <v>207.49999999999636</v>
      </c>
      <c r="E28" s="6">
        <f>Hollis!BW29</f>
        <v>1309.9999999999964</v>
      </c>
      <c r="F28" s="6">
        <f>Hollis!BY29</f>
        <v>6</v>
      </c>
      <c r="G28" s="6">
        <f>Hollis!BZ29</f>
        <v>50.000000000000909</v>
      </c>
      <c r="H28" s="6">
        <f>Hollis!CA29</f>
        <v>357.90000000000055</v>
      </c>
      <c r="I28" s="6">
        <f>Hollis!CC29</f>
        <v>248</v>
      </c>
      <c r="J28" s="6">
        <f>Hollis!CD29</f>
        <v>257.49999999999272</v>
      </c>
      <c r="K28" s="6">
        <f>Hollis!CE29</f>
        <v>1667.8999999999942</v>
      </c>
    </row>
    <row r="29" spans="2:11">
      <c r="B29" t="s">
        <v>109</v>
      </c>
      <c r="C29" s="6">
        <f>SAFEREG!BU29</f>
        <v>0</v>
      </c>
      <c r="D29" s="6">
        <f>SAFEREG!BV29</f>
        <v>0</v>
      </c>
      <c r="E29" s="6">
        <f>SAFEREG!BW29</f>
        <v>0</v>
      </c>
      <c r="F29" s="6">
        <f>SAFEREG!BY29</f>
        <v>0</v>
      </c>
      <c r="G29" s="6">
        <f>SAFEREG!BZ29</f>
        <v>0</v>
      </c>
      <c r="H29" s="6">
        <f>SAFEREG!CA29</f>
        <v>0</v>
      </c>
      <c r="I29" s="6">
        <f>SAFEREG!CC29</f>
        <v>0</v>
      </c>
      <c r="J29" s="6">
        <f>SAFEREG!CD29</f>
        <v>0</v>
      </c>
      <c r="K29" s="6">
        <f>SAFEREG!CE29</f>
        <v>0</v>
      </c>
    </row>
    <row r="30" spans="2:11">
      <c r="B30" s="2" t="s">
        <v>110</v>
      </c>
      <c r="C30" s="9">
        <f>SUM(C21:C29)</f>
        <v>-248</v>
      </c>
      <c r="D30" s="9">
        <f>SUM(D21:D29)</f>
        <v>2117.7999999999993</v>
      </c>
      <c r="E30" s="9">
        <f>SUM(E21:E29)</f>
        <v>8755.5999999999913</v>
      </c>
      <c r="F30" s="9">
        <f>SUM(F21:F29)</f>
        <v>-749</v>
      </c>
      <c r="G30" s="9">
        <f>SUM(G21:G29)</f>
        <v>-145.59999999999945</v>
      </c>
      <c r="H30" s="9">
        <f>SUM(H21:H29)</f>
        <v>1985.9</v>
      </c>
      <c r="I30" s="9">
        <f>SUM(I21:I29)</f>
        <v>-997</v>
      </c>
      <c r="J30" s="9">
        <f>SUM(J21:J29)</f>
        <v>1972.1999999999989</v>
      </c>
      <c r="K30" s="9">
        <f>SUM(K21:K29)</f>
        <v>10741.499999999993</v>
      </c>
    </row>
    <row r="32" spans="2:11">
      <c r="B32" s="8" t="s">
        <v>112</v>
      </c>
    </row>
    <row r="33" spans="2:11">
      <c r="B33" t="s">
        <v>101</v>
      </c>
      <c r="C33" s="6">
        <f>Alder!BU30</f>
        <v>240</v>
      </c>
      <c r="D33" s="6">
        <f>Alder!BV30</f>
        <v>-174.70000000000073</v>
      </c>
      <c r="E33" s="6">
        <f>Alder!BW30</f>
        <v>-899.60000000000218</v>
      </c>
      <c r="F33" s="6">
        <f>Alder!BY30</f>
        <v>60</v>
      </c>
      <c r="G33" s="6">
        <f>Alder!BZ30</f>
        <v>-77.200000000000728</v>
      </c>
      <c r="H33" s="6">
        <f>Alder!CA30</f>
        <v>-330.80000000000018</v>
      </c>
      <c r="I33" s="6">
        <f>Alder!CC30</f>
        <v>300</v>
      </c>
      <c r="J33" s="6">
        <f>Alder!CD30</f>
        <v>-251.90000000000146</v>
      </c>
      <c r="K33" s="6">
        <f>Alder!CE30</f>
        <v>-1230.4000000000051</v>
      </c>
    </row>
    <row r="34" spans="2:11">
      <c r="B34" t="s">
        <v>102</v>
      </c>
      <c r="C34" s="6">
        <f>Beacon!BU30</f>
        <v>-76</v>
      </c>
      <c r="D34" s="6">
        <f>Beacon!BV30</f>
        <v>-434.79999999999927</v>
      </c>
      <c r="E34" s="6">
        <f>Beacon!BW30</f>
        <v>-863.89999999999964</v>
      </c>
      <c r="F34" s="6">
        <f>Beacon!BY30</f>
        <v>-30</v>
      </c>
      <c r="G34" s="6">
        <f>Beacon!BZ30</f>
        <v>-232.99999999999909</v>
      </c>
      <c r="H34" s="6">
        <f>Beacon!CA30</f>
        <v>-364.89999999999918</v>
      </c>
      <c r="I34" s="6">
        <f>Beacon!CC30</f>
        <v>-106</v>
      </c>
      <c r="J34" s="6">
        <f>Beacon!CD30</f>
        <v>-667.80000000000109</v>
      </c>
      <c r="K34" s="6">
        <f>Beacon!CE30</f>
        <v>-1228.8000000000011</v>
      </c>
    </row>
    <row r="35" spans="2:11">
      <c r="B35" t="s">
        <v>103</v>
      </c>
      <c r="C35" s="6">
        <f>Cobalt!BU30</f>
        <v>6</v>
      </c>
      <c r="D35" s="6">
        <f>Cobalt!BV30</f>
        <v>-85.299999999999272</v>
      </c>
      <c r="E35" s="6">
        <f>Cobalt!BW30</f>
        <v>-284.99999999999818</v>
      </c>
      <c r="F35" s="6">
        <f>Cobalt!BY30</f>
        <v>-36</v>
      </c>
      <c r="G35" s="6">
        <f>Cobalt!BZ30</f>
        <v>-30</v>
      </c>
      <c r="H35" s="6">
        <f>Cobalt!CA30</f>
        <v>-101.5</v>
      </c>
      <c r="I35" s="6">
        <f>Cobalt!CC30</f>
        <v>-30</v>
      </c>
      <c r="J35" s="6">
        <f>Cobalt!CD30</f>
        <v>-115.29999999999927</v>
      </c>
      <c r="K35" s="6">
        <f>Cobalt!CE30</f>
        <v>-386.49999999999818</v>
      </c>
    </row>
    <row r="36" spans="2:11">
      <c r="B36" t="s">
        <v>104</v>
      </c>
      <c r="C36" s="6">
        <f>Delta!BU30</f>
        <v>0</v>
      </c>
      <c r="D36" s="6">
        <f>Delta!BV30</f>
        <v>78.5</v>
      </c>
      <c r="E36" s="6">
        <f>Delta!BW30</f>
        <v>-53.799999999999272</v>
      </c>
      <c r="F36" s="6">
        <f>Delta!BY30</f>
        <v>0</v>
      </c>
      <c r="G36" s="6">
        <f>Delta!BZ30</f>
        <v>33.100000000000364</v>
      </c>
      <c r="H36" s="6">
        <f>Delta!CA30</f>
        <v>-9.7999999999992724</v>
      </c>
      <c r="I36" s="6">
        <f>Delta!CC30</f>
        <v>0</v>
      </c>
      <c r="J36" s="6">
        <f>Delta!CD30</f>
        <v>111.60000000000036</v>
      </c>
      <c r="K36" s="6">
        <f>Delta!CE30</f>
        <v>-63.599999999998545</v>
      </c>
    </row>
    <row r="37" spans="2:11">
      <c r="B37" t="s">
        <v>105</v>
      </c>
      <c r="C37" s="6">
        <f>Ember!BU30</f>
        <v>10</v>
      </c>
      <c r="D37" s="6">
        <f>Ember!BV30</f>
        <v>173.09999999999945</v>
      </c>
      <c r="E37" s="6">
        <f>Ember!BW30</f>
        <v>13.300000000000182</v>
      </c>
      <c r="F37" s="6">
        <f>Ember!BY30</f>
        <v>30</v>
      </c>
      <c r="G37" s="6">
        <f>Ember!BZ30</f>
        <v>105.30000000000018</v>
      </c>
      <c r="H37" s="6">
        <f>Ember!CA30</f>
        <v>48</v>
      </c>
      <c r="I37" s="6">
        <f>Ember!CC30</f>
        <v>40</v>
      </c>
      <c r="J37" s="6">
        <f>Ember!CD30</f>
        <v>278.39999999999964</v>
      </c>
      <c r="K37" s="6">
        <f>Ember!CE30</f>
        <v>61.300000000001091</v>
      </c>
    </row>
    <row r="38" spans="2:11">
      <c r="B38" t="s">
        <v>106</v>
      </c>
      <c r="C38" s="6">
        <f>Falcon!BU30</f>
        <v>-110</v>
      </c>
      <c r="D38" s="6">
        <f>Falcon!BV30</f>
        <v>-662.89999999999964</v>
      </c>
      <c r="E38" s="6">
        <f>Falcon!BW30</f>
        <v>-1166.4000000000015</v>
      </c>
      <c r="F38" s="6">
        <f>Falcon!BY30</f>
        <v>-40</v>
      </c>
      <c r="G38" s="6">
        <f>Falcon!BZ30</f>
        <v>-283.20000000000073</v>
      </c>
      <c r="H38" s="6">
        <f>Falcon!CA30</f>
        <v>-466.90000000000055</v>
      </c>
      <c r="I38" s="6">
        <f>Falcon!CC30</f>
        <v>-150</v>
      </c>
      <c r="J38" s="6">
        <f>Falcon!CD30</f>
        <v>-946.10000000000218</v>
      </c>
      <c r="K38" s="6">
        <f>Falcon!CE30</f>
        <v>-1633.3000000000029</v>
      </c>
    </row>
    <row r="39" spans="2:11">
      <c r="B39" t="s">
        <v>107</v>
      </c>
      <c r="C39" s="6">
        <f>Granite!BU30</f>
        <v>42</v>
      </c>
      <c r="D39" s="6">
        <f>Granite!BV30</f>
        <v>254.5</v>
      </c>
      <c r="E39" s="6">
        <f>Granite!BW30</f>
        <v>48.399999999999636</v>
      </c>
      <c r="F39" s="6">
        <f>Granite!BY30</f>
        <v>132</v>
      </c>
      <c r="G39" s="6">
        <f>Granite!BZ30</f>
        <v>219.70000000000027</v>
      </c>
      <c r="H39" s="6">
        <f>Granite!CA30</f>
        <v>161.40000000000055</v>
      </c>
      <c r="I39" s="6">
        <f>Granite!CC30</f>
        <v>174</v>
      </c>
      <c r="J39" s="6">
        <f>Granite!CD30</f>
        <v>474.20000000000073</v>
      </c>
      <c r="K39" s="6">
        <f>Granite!CE30</f>
        <v>209.79999999999927</v>
      </c>
    </row>
    <row r="40" spans="2:11">
      <c r="B40" t="s">
        <v>108</v>
      </c>
      <c r="C40" s="6">
        <f>Hollis!BU30</f>
        <v>39</v>
      </c>
      <c r="D40" s="6">
        <f>Hollis!BV30</f>
        <v>215.70000000000073</v>
      </c>
      <c r="E40" s="6">
        <f>Hollis!BW30</f>
        <v>-267.19999999999891</v>
      </c>
      <c r="F40" s="6">
        <f>Hollis!BY30</f>
        <v>507</v>
      </c>
      <c r="G40" s="6">
        <f>Hollis!BZ30</f>
        <v>635.29999999999927</v>
      </c>
      <c r="H40" s="6">
        <f>Hollis!CA30</f>
        <v>463.59999999999945</v>
      </c>
      <c r="I40" s="6">
        <f>Hollis!CC30</f>
        <v>546</v>
      </c>
      <c r="J40" s="6">
        <f>Hollis!CD30</f>
        <v>851</v>
      </c>
      <c r="K40" s="6">
        <f>Hollis!CE30</f>
        <v>196.39999999999782</v>
      </c>
    </row>
    <row r="41" spans="2:11">
      <c r="B41" t="s">
        <v>109</v>
      </c>
      <c r="C41" s="6">
        <f>SAFEREG!BU30</f>
        <v>0</v>
      </c>
      <c r="D41" s="6">
        <f>SAFEREG!BV30</f>
        <v>1.7999999999997272</v>
      </c>
      <c r="E41" s="6">
        <f>SAFEREG!BW30</f>
        <v>-94.800000000000182</v>
      </c>
      <c r="F41" s="6">
        <f>SAFEREG!BY30</f>
        <v>0</v>
      </c>
      <c r="G41" s="6">
        <f>SAFEREG!BZ30</f>
        <v>2.7999999999999545</v>
      </c>
      <c r="H41" s="6">
        <f>SAFEREG!CA30</f>
        <v>-36.800000000000068</v>
      </c>
      <c r="I41" s="6">
        <f>SAFEREG!CC30</f>
        <v>0</v>
      </c>
      <c r="J41" s="6">
        <f>SAFEREG!CD30</f>
        <v>4.5999999999994543</v>
      </c>
      <c r="K41" s="6">
        <f>SAFEREG!CE30</f>
        <v>-131.60000000000036</v>
      </c>
    </row>
    <row r="42" spans="2:11">
      <c r="B42" s="2" t="s">
        <v>110</v>
      </c>
      <c r="C42" s="9">
        <f>SUM(C33:C41)</f>
        <v>151</v>
      </c>
      <c r="D42" s="9">
        <f>SUM(D33:D41)</f>
        <v>-634.099999999999</v>
      </c>
      <c r="E42" s="9">
        <f>SUM(E33:E41)</f>
        <v>-3569</v>
      </c>
      <c r="F42" s="9">
        <f>SUM(F33:F41)</f>
        <v>623</v>
      </c>
      <c r="G42" s="9">
        <f>SUM(G33:G41)</f>
        <v>372.7999999999995</v>
      </c>
      <c r="H42" s="9">
        <f>SUM(H33:H41)</f>
        <v>-637.69999999999925</v>
      </c>
      <c r="I42" s="9">
        <f>SUM(I33:I41)</f>
        <v>774</v>
      </c>
      <c r="J42" s="9">
        <f>SUM(J33:J41)</f>
        <v>-261.30000000000382</v>
      </c>
      <c r="K42" s="9">
        <f>SUM(K33:K41)</f>
        <v>-4206.700000000008</v>
      </c>
    </row>
    <row r="44" spans="2:11">
      <c r="B44" s="8" t="s">
        <v>113</v>
      </c>
    </row>
    <row r="45" spans="2:11">
      <c r="B45" t="s">
        <v>101</v>
      </c>
      <c r="C45" s="6">
        <f>Alder!BU31</f>
        <v>80</v>
      </c>
      <c r="D45" s="6">
        <f>Alder!BV31</f>
        <v>-650.40000000000055</v>
      </c>
      <c r="E45" s="6">
        <f>Alder!BW31</f>
        <v>-776.09999999999945</v>
      </c>
      <c r="F45" s="6">
        <f>Alder!BY31</f>
        <v>-360</v>
      </c>
      <c r="G45" s="6">
        <f>Alder!BZ31</f>
        <v>-1178.2000000000007</v>
      </c>
      <c r="H45" s="6">
        <f>Alder!CA31</f>
        <v>-1240.3999999999996</v>
      </c>
      <c r="I45" s="6">
        <f>Alder!CC31</f>
        <v>-280</v>
      </c>
      <c r="J45" s="6">
        <f>Alder!CD31</f>
        <v>-1828.6000000000031</v>
      </c>
      <c r="K45" s="6">
        <f>Alder!CE31</f>
        <v>-2016.4999999999991</v>
      </c>
    </row>
    <row r="46" spans="2:11">
      <c r="B46" t="s">
        <v>102</v>
      </c>
      <c r="C46" s="6">
        <f>Beacon!BU31</f>
        <v>-16</v>
      </c>
      <c r="D46" s="6">
        <f>Beacon!BV31</f>
        <v>1936.1000000000004</v>
      </c>
      <c r="E46" s="6">
        <f>Beacon!BW31</f>
        <v>3002.9000000000005</v>
      </c>
      <c r="F46" s="6">
        <f>Beacon!BY31</f>
        <v>260</v>
      </c>
      <c r="G46" s="6">
        <f>Beacon!BZ31</f>
        <v>1068.6999999999994</v>
      </c>
      <c r="H46" s="6">
        <f>Beacon!CA31</f>
        <v>1512.3999999999992</v>
      </c>
      <c r="I46" s="6">
        <f>Beacon!CC31</f>
        <v>244</v>
      </c>
      <c r="J46" s="6">
        <f>Beacon!CD31</f>
        <v>3004.7999999999993</v>
      </c>
      <c r="K46" s="6">
        <f>Beacon!CE31</f>
        <v>4515.2999999999993</v>
      </c>
    </row>
    <row r="47" spans="2:11">
      <c r="B47" t="s">
        <v>103</v>
      </c>
      <c r="C47" s="6">
        <f>Cobalt!BU31</f>
        <v>-156</v>
      </c>
      <c r="D47" s="6">
        <f>Cobalt!BV31</f>
        <v>-683.70000000000073</v>
      </c>
      <c r="E47" s="6">
        <f>Cobalt!BW31</f>
        <v>-31.400000000000546</v>
      </c>
      <c r="F47" s="6">
        <f>Cobalt!BY31</f>
        <v>-684</v>
      </c>
      <c r="G47" s="6">
        <f>Cobalt!BZ31</f>
        <v>-863.49999999999977</v>
      </c>
      <c r="H47" s="6">
        <f>Cobalt!CA31</f>
        <v>-676.89999999999986</v>
      </c>
      <c r="I47" s="6">
        <f>Cobalt!CC31</f>
        <v>-840</v>
      </c>
      <c r="J47" s="6">
        <f>Cobalt!CD31</f>
        <v>-1547.1999999999998</v>
      </c>
      <c r="K47" s="6">
        <f>Cobalt!CE31</f>
        <v>-708.30000000000018</v>
      </c>
    </row>
    <row r="48" spans="2:11">
      <c r="B48" t="s">
        <v>104</v>
      </c>
      <c r="C48" s="6">
        <f>Delta!BU31</f>
        <v>0</v>
      </c>
      <c r="D48" s="6">
        <f>Delta!BV31</f>
        <v>-131.19999999999936</v>
      </c>
      <c r="E48" s="6">
        <f>Delta!BW31</f>
        <v>18.399999999999636</v>
      </c>
      <c r="F48" s="6">
        <f>Delta!BY31</f>
        <v>0</v>
      </c>
      <c r="G48" s="6">
        <f>Delta!BZ31</f>
        <v>-61.599999999999682</v>
      </c>
      <c r="H48" s="6">
        <f>Delta!CA31</f>
        <v>-15</v>
      </c>
      <c r="I48" s="6">
        <f>Delta!CC31</f>
        <v>0</v>
      </c>
      <c r="J48" s="6">
        <f>Delta!CD31</f>
        <v>-192.79999999999927</v>
      </c>
      <c r="K48" s="6">
        <f>Delta!CE31</f>
        <v>3.3999999999996362</v>
      </c>
    </row>
    <row r="49" spans="2:11">
      <c r="B49" t="s">
        <v>105</v>
      </c>
      <c r="C49" s="6">
        <f>Ember!BU31</f>
        <v>-73</v>
      </c>
      <c r="D49" s="6">
        <f>Ember!BV31</f>
        <v>-459.90000000000009</v>
      </c>
      <c r="E49" s="6">
        <f>Ember!BW31</f>
        <v>-127.19999999999982</v>
      </c>
      <c r="F49" s="6">
        <f>Ember!BY31</f>
        <v>-47</v>
      </c>
      <c r="G49" s="6">
        <f>Ember!BZ31</f>
        <v>-258.19999999999993</v>
      </c>
      <c r="H49" s="6">
        <f>Ember!CA31</f>
        <v>-190.10000000000002</v>
      </c>
      <c r="I49" s="6">
        <f>Ember!CC31</f>
        <v>-120</v>
      </c>
      <c r="J49" s="6">
        <f>Ember!CD31</f>
        <v>-718.09999999999991</v>
      </c>
      <c r="K49" s="6">
        <f>Ember!CE31</f>
        <v>-317.29999999999927</v>
      </c>
    </row>
    <row r="50" spans="2:11">
      <c r="B50" t="s">
        <v>106</v>
      </c>
      <c r="C50" s="6">
        <f>Falcon!BU31</f>
        <v>10</v>
      </c>
      <c r="D50" s="6">
        <f>Falcon!BV31</f>
        <v>2433.2000000000007</v>
      </c>
      <c r="E50" s="6">
        <f>Falcon!BW31</f>
        <v>3620.9000000000015</v>
      </c>
      <c r="F50" s="6">
        <f>Falcon!BY31</f>
        <v>320</v>
      </c>
      <c r="G50" s="6">
        <f>Falcon!BZ31</f>
        <v>1324.4</v>
      </c>
      <c r="H50" s="6">
        <f>Falcon!CA31</f>
        <v>1681</v>
      </c>
      <c r="I50" s="6">
        <f>Falcon!CC31</f>
        <v>330</v>
      </c>
      <c r="J50" s="6">
        <f>Falcon!CD31</f>
        <v>3757.6000000000004</v>
      </c>
      <c r="K50" s="6">
        <f>Falcon!CE31</f>
        <v>5301.9000000000015</v>
      </c>
    </row>
    <row r="51" spans="2:11">
      <c r="B51" t="s">
        <v>107</v>
      </c>
      <c r="C51" s="6">
        <f>Granite!BU31</f>
        <v>-223</v>
      </c>
      <c r="D51" s="6">
        <f>Granite!BV31</f>
        <v>-1385.4000000000005</v>
      </c>
      <c r="E51" s="6">
        <f>Granite!BW31</f>
        <v>-1468.8999999999996</v>
      </c>
      <c r="F51" s="6">
        <f>Granite!BY31</f>
        <v>-128</v>
      </c>
      <c r="G51" s="6">
        <f>Granite!BZ31</f>
        <v>-492.49999999999977</v>
      </c>
      <c r="H51" s="6">
        <f>Granite!CA31</f>
        <v>-507.49999999999955</v>
      </c>
      <c r="I51" s="6">
        <f>Granite!CC31</f>
        <v>-351</v>
      </c>
      <c r="J51" s="6">
        <f>Granite!CD31</f>
        <v>-1877.9000000000005</v>
      </c>
      <c r="K51" s="6">
        <f>Granite!CE31</f>
        <v>-1976.3999999999996</v>
      </c>
    </row>
    <row r="52" spans="2:11">
      <c r="B52" t="s">
        <v>108</v>
      </c>
      <c r="C52" s="6">
        <f>Hollis!BU31</f>
        <v>281</v>
      </c>
      <c r="D52" s="6">
        <f>Hollis!BV31</f>
        <v>423.19999999999982</v>
      </c>
      <c r="E52" s="6">
        <f>Hollis!BW31</f>
        <v>1042.8000000000002</v>
      </c>
      <c r="F52" s="6">
        <f>Hollis!BY31</f>
        <v>513</v>
      </c>
      <c r="G52" s="6">
        <f>Hollis!BZ31</f>
        <v>685.30000000000018</v>
      </c>
      <c r="H52" s="6">
        <f>Hollis!CA31</f>
        <v>821.5</v>
      </c>
      <c r="I52" s="6">
        <f>Hollis!CC31</f>
        <v>794</v>
      </c>
      <c r="J52" s="6">
        <f>Hollis!CD31</f>
        <v>1108.5</v>
      </c>
      <c r="K52" s="6">
        <f>Hollis!CE31</f>
        <v>1864.2999999999993</v>
      </c>
    </row>
    <row r="53" spans="2:11">
      <c r="B53" t="s">
        <v>109</v>
      </c>
      <c r="C53" s="6">
        <f>SAFEREG!BU31</f>
        <v>0</v>
      </c>
      <c r="D53" s="6">
        <f>SAFEREG!BV31</f>
        <v>1.7999999999997272</v>
      </c>
      <c r="E53" s="6">
        <f>SAFEREG!BW31</f>
        <v>-94.800000000000182</v>
      </c>
      <c r="F53" s="6">
        <f>SAFEREG!BY31</f>
        <v>0</v>
      </c>
      <c r="G53" s="6">
        <f>SAFEREG!BZ31</f>
        <v>2.7999999999999545</v>
      </c>
      <c r="H53" s="6">
        <f>SAFEREG!CA31</f>
        <v>-36.800000000000068</v>
      </c>
      <c r="I53" s="6">
        <f>SAFEREG!CC31</f>
        <v>0</v>
      </c>
      <c r="J53" s="6">
        <f>SAFEREG!CD31</f>
        <v>4.5999999999994543</v>
      </c>
      <c r="K53" s="6">
        <f>SAFEREG!CE31</f>
        <v>-131.60000000000036</v>
      </c>
    </row>
    <row r="54" spans="2:11">
      <c r="B54" s="2" t="s">
        <v>110</v>
      </c>
      <c r="C54" s="9">
        <f>SUM(C45:C53)</f>
        <v>-97</v>
      </c>
      <c r="D54" s="9">
        <f>SUM(D45:D53)</f>
        <v>1483.6999999999994</v>
      </c>
      <c r="E54" s="9">
        <f>SUM(E45:E53)</f>
        <v>5186.6000000000022</v>
      </c>
      <c r="F54" s="9">
        <f>SUM(F45:F53)</f>
        <v>-126</v>
      </c>
      <c r="G54" s="9">
        <f>SUM(G45:G53)</f>
        <v>227.19999999999982</v>
      </c>
      <c r="H54" s="9">
        <f>SUM(H45:H53)</f>
        <v>1348.1999999999998</v>
      </c>
      <c r="I54" s="9">
        <f>SUM(I45:I53)</f>
        <v>-223</v>
      </c>
      <c r="J54" s="9">
        <f>SUM(J45:J53)</f>
        <v>1710.8999999999965</v>
      </c>
      <c r="K54" s="9">
        <f>SUM(K45:K53)</f>
        <v>6534.8000000000011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2060"/>
  </sheetPr>
  <dimension ref="A1:R31"/>
  <sheetViews>
    <sheetView showGridLines="0" workbookViewId="0"/>
  </sheetViews>
  <sheetFormatPr defaultRowHeight="15"/>
  <cols>
    <col min="3" max="3" width="14" customWidth="1"/>
    <col min="4" max="4" width="16" customWidth="1"/>
    <col min="5" max="18" width="12" customWidth="1"/>
  </cols>
  <sheetData>
    <row r="1" spans="1:18">
      <c r="A1" t="s">
        <v>114</v>
      </c>
      <c r="B1" t="s">
        <v>115</v>
      </c>
      <c r="C1" t="s">
        <v>116</v>
      </c>
    </row>
    <row r="2" spans="1:18">
      <c r="D2" s="1" t="s">
        <v>24</v>
      </c>
    </row>
    <row r="3" spans="1:18">
      <c r="F3" s="2" t="s">
        <v>45</v>
      </c>
      <c r="I3" s="2" t="s">
        <v>97</v>
      </c>
      <c r="O3" s="2" t="s">
        <v>52</v>
      </c>
    </row>
    <row r="4" spans="1:18">
      <c r="F4" s="2" t="s">
        <v>117</v>
      </c>
      <c r="I4" s="2" t="s">
        <v>77</v>
      </c>
      <c r="L4" s="2" t="s">
        <v>92</v>
      </c>
      <c r="O4" s="2" t="s">
        <v>117</v>
      </c>
      <c r="R4" s="2" t="s">
        <v>118</v>
      </c>
    </row>
    <row r="7" spans="1:18">
      <c r="D7" s="2" t="s">
        <v>100</v>
      </c>
      <c r="F7" s="6">
        <f>Safety!O28</f>
        <v>633766.9</v>
      </c>
      <c r="I7" s="6">
        <f>Safety!BO28-Safety!K28</f>
        <v>1445</v>
      </c>
      <c r="L7" s="6">
        <f>SUM(Safety!BP28:BR28)-SUM(Safety!L28:N28)</f>
        <v>-1055</v>
      </c>
      <c r="O7" s="6">
        <f>Safety!BS28</f>
        <v>634156.9</v>
      </c>
      <c r="R7" s="10">
        <f>ROUND(O7-(Alder!BS28+Beacon!BS28+Cobalt!BS28+Delta!BS28+Ember!BS28+Falcon!BS28+Granite!BS28+Hollis!BS28+SAFEREG!BS28),1)</f>
        <v>0</v>
      </c>
    </row>
    <row r="9" spans="1:18">
      <c r="D9" s="2" t="s">
        <v>111</v>
      </c>
      <c r="F9" s="6">
        <f>Safety!O29</f>
        <v>197718.69999999998</v>
      </c>
      <c r="I9" s="6">
        <f>Safety!BO29-Safety!K29</f>
        <v>-85.920000000000073</v>
      </c>
      <c r="L9" s="6">
        <f>SUM(Safety!BP29:BR29)-SUM(Safety!L29:N29)</f>
        <v>-100.76000000000931</v>
      </c>
      <c r="O9" s="6">
        <f>Safety!BS29</f>
        <v>197532.02000000002</v>
      </c>
      <c r="R9" s="10">
        <f>ROUND(O9-(Alder!BS29+Beacon!BS29+Cobalt!BS29+Delta!BS29+Ember!BS29+Falcon!BS29+Granite!BS29+Hollis!BS29+SAFEREG!BS29),1)</f>
        <v>810.3</v>
      </c>
    </row>
    <row r="10" spans="1:18">
      <c r="D10" s="11" t="s">
        <v>119</v>
      </c>
      <c r="F10" s="12">
        <f>IFERROR(F9/F7,0)</f>
        <v>0.31197385032257124</v>
      </c>
      <c r="I10" s="12">
        <f>IFERROR(I9/I7,0)</f>
        <v>-5.9460207612456795E-2</v>
      </c>
      <c r="L10" s="12">
        <f>IFERROR(L9/L7,0)</f>
        <v>9.5507109004748167E-2</v>
      </c>
      <c r="O10" s="12">
        <f>IFERROR(O9/O7,0)</f>
        <v>0.31148761450044937</v>
      </c>
    </row>
    <row r="12" spans="1:18">
      <c r="D12" s="2" t="s">
        <v>112</v>
      </c>
      <c r="F12" s="6">
        <f>Safety!O30</f>
        <v>-135761.70000000001</v>
      </c>
      <c r="I12" s="6">
        <f>Safety!BO30-Safety!K30</f>
        <v>151</v>
      </c>
      <c r="L12" s="6">
        <f>SUM(Safety!BP30:BR30)-SUM(Safety!L30:N30)</f>
        <v>623</v>
      </c>
      <c r="O12" s="6">
        <f>Safety!BS30</f>
        <v>-134987.70000000001</v>
      </c>
      <c r="R12" s="10">
        <f>ROUND(O12-(Alder!BS30+Beacon!BS30+Cobalt!BS30+Delta!BS30+Ember!BS30+Falcon!BS30+Granite!BS30+Hollis!BS30+SAFEREG!BS30),1)</f>
        <v>0</v>
      </c>
    </row>
    <row r="13" spans="1:18">
      <c r="D13" s="11" t="s">
        <v>119</v>
      </c>
      <c r="F13" s="12">
        <f>IFERROR(F12/F7,0)</f>
        <v>-0.21421393259887825</v>
      </c>
      <c r="I13" s="12">
        <f>IFERROR(I12/I7,0)</f>
        <v>0.10449826989619378</v>
      </c>
      <c r="L13" s="12">
        <f>IFERROR(L12/L7,0)</f>
        <v>-0.590521327014218</v>
      </c>
      <c r="O13" s="12">
        <f>IFERROR(O12/O7,0)</f>
        <v>-0.2128616750838791</v>
      </c>
    </row>
    <row r="15" spans="1:18">
      <c r="D15" s="2" t="s">
        <v>113</v>
      </c>
      <c r="F15" s="6">
        <f>Safety!O31</f>
        <v>61957.000000000007</v>
      </c>
      <c r="I15" s="6">
        <f>Safety!BO31-Safety!K31</f>
        <v>65.079999999999927</v>
      </c>
      <c r="L15" s="6">
        <f>SUM(Safety!BP31:BR31)-SUM(Safety!L31:N31)</f>
        <v>522.24000000000342</v>
      </c>
      <c r="O15" s="6">
        <f>Safety!BS31</f>
        <v>62544.320000000007</v>
      </c>
      <c r="R15" s="10">
        <f>ROUND(O15-(Alder!BS31+Beacon!BS31+Cobalt!BS31+Delta!BS31+Ember!BS31+Falcon!BS31+Granite!BS31+Hollis!BS31+SAFEREG!BS31),1)</f>
        <v>810.3</v>
      </c>
    </row>
    <row r="16" spans="1:18">
      <c r="D16" s="11" t="s">
        <v>119</v>
      </c>
      <c r="F16" s="12">
        <f>IFERROR(F15/F7,0)</f>
        <v>9.7759917723693052E-2</v>
      </c>
      <c r="I16" s="12">
        <f>IFERROR(I15/I7,0)</f>
        <v>4.5038062283736975E-2</v>
      </c>
      <c r="L16" s="12">
        <f>IFERROR(L15/L7,0)</f>
        <v>-0.49501421800948192</v>
      </c>
      <c r="O16" s="12">
        <f>IFERROR(O15/O7,0)</f>
        <v>9.862593941657026E-2</v>
      </c>
    </row>
    <row r="18" spans="3:15">
      <c r="F18" s="2" t="s">
        <v>120</v>
      </c>
      <c r="I18" s="2" t="s">
        <v>121</v>
      </c>
      <c r="L18" s="2" t="s">
        <v>34</v>
      </c>
      <c r="O18" s="2" t="s">
        <v>122</v>
      </c>
    </row>
    <row r="19" spans="3:15">
      <c r="F19" s="2" t="s">
        <v>117</v>
      </c>
      <c r="L19" s="2" t="s">
        <v>123</v>
      </c>
    </row>
    <row r="22" spans="3:15">
      <c r="C22" s="2" t="s">
        <v>100</v>
      </c>
      <c r="F22" s="6">
        <f>Safety!O51</f>
        <v>619998.1</v>
      </c>
      <c r="I22" s="6">
        <f>O7-F22</f>
        <v>14158.800000000047</v>
      </c>
      <c r="L22" s="6">
        <f>Safety!O64</f>
        <v>591912.4</v>
      </c>
      <c r="O22" s="6">
        <f>O7-L22</f>
        <v>42244.5</v>
      </c>
    </row>
    <row r="24" spans="3:15">
      <c r="C24" s="2" t="s">
        <v>111</v>
      </c>
      <c r="F24" s="6">
        <f>Safety!O52</f>
        <v>194749.5</v>
      </c>
      <c r="I24" s="6">
        <f>O9-F24</f>
        <v>2782.5200000000186</v>
      </c>
      <c r="L24" s="6">
        <f>Safety!O65</f>
        <v>185980.19999999998</v>
      </c>
      <c r="O24" s="6">
        <f>O9-L24</f>
        <v>11551.820000000036</v>
      </c>
    </row>
    <row r="25" spans="3:15">
      <c r="C25" s="11" t="s">
        <v>124</v>
      </c>
      <c r="F25" s="12">
        <f>IFERROR(F24/F22,0)</f>
        <v>0.31411305937873035</v>
      </c>
      <c r="L25" s="12">
        <f>IFERROR(L24/L22,0)</f>
        <v>0.31420223668231984</v>
      </c>
    </row>
    <row r="27" spans="3:15">
      <c r="C27" s="2" t="s">
        <v>112</v>
      </c>
      <c r="F27" s="6">
        <f>Safety!O53</f>
        <v>-134726.39999999999</v>
      </c>
      <c r="I27" s="6">
        <f>O12-F27</f>
        <v>-261.30000000001746</v>
      </c>
      <c r="L27" s="6">
        <f>Safety!O66</f>
        <v>-130781</v>
      </c>
      <c r="O27" s="6">
        <f>O12-L27</f>
        <v>-4206.7000000000116</v>
      </c>
    </row>
    <row r="28" spans="3:15">
      <c r="C28" s="11" t="s">
        <v>124</v>
      </c>
      <c r="F28" s="12">
        <f>IFERROR(F27/F22,0)</f>
        <v>-0.217301311084663</v>
      </c>
      <c r="L28" s="12">
        <f>IFERROR(L27/L22,0)</f>
        <v>-0.22094654546855244</v>
      </c>
    </row>
    <row r="30" spans="3:15">
      <c r="C30" s="2" t="s">
        <v>113</v>
      </c>
      <c r="F30" s="6">
        <f>Safety!O54</f>
        <v>60023.099999999991</v>
      </c>
      <c r="I30" s="6">
        <f>O15-F30</f>
        <v>2521.2200000000157</v>
      </c>
      <c r="L30" s="6">
        <f>Safety!O67</f>
        <v>55199.199999999997</v>
      </c>
      <c r="O30" s="6">
        <f>O15-L30</f>
        <v>7345.1200000000099</v>
      </c>
    </row>
    <row r="31" spans="3:15">
      <c r="C31" s="11" t="s">
        <v>124</v>
      </c>
      <c r="F31" s="12">
        <f>IFERROR(F30/F22,0)</f>
        <v>9.6811748294067343E-2</v>
      </c>
      <c r="L31" s="12">
        <f>IFERROR(L30/L22,0)</f>
        <v>9.3255691213767436E-2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3"/>
  <sheetViews>
    <sheetView showGridLines="0" workbookViewId="0"/>
  </sheetViews>
  <sheetFormatPr defaultRowHeight="15"/>
  <cols>
    <col min="2" max="2" width="28" customWidth="1"/>
    <col min="3" max="11" width="14" customWidth="1"/>
  </cols>
  <sheetData>
    <row r="1" spans="1:11">
      <c r="A1" t="s">
        <v>27</v>
      </c>
      <c r="B1" t="s">
        <v>32</v>
      </c>
      <c r="D1" s="3" t="s">
        <v>125</v>
      </c>
    </row>
    <row r="2" spans="1:11">
      <c r="A2" t="s">
        <v>28</v>
      </c>
      <c r="B2" t="s">
        <v>37</v>
      </c>
      <c r="D2" s="1" t="s">
        <v>24</v>
      </c>
    </row>
    <row r="4" spans="1:11">
      <c r="C4" s="8" t="s">
        <v>52</v>
      </c>
    </row>
    <row r="5" spans="1:11">
      <c r="C5" s="2" t="s">
        <v>91</v>
      </c>
      <c r="F5" s="2" t="s">
        <v>92</v>
      </c>
      <c r="I5" s="2" t="s">
        <v>81</v>
      </c>
    </row>
    <row r="6" spans="1:11" ht="30" customHeight="1">
      <c r="B6" s="2" t="s">
        <v>93</v>
      </c>
      <c r="C6" s="4" t="s">
        <v>94</v>
      </c>
      <c r="D6" s="4" t="s">
        <v>95</v>
      </c>
      <c r="E6" s="4" t="s">
        <v>96</v>
      </c>
      <c r="F6" s="4" t="s">
        <v>97</v>
      </c>
      <c r="G6" s="4" t="s">
        <v>98</v>
      </c>
      <c r="H6" s="4" t="s">
        <v>99</v>
      </c>
      <c r="I6" s="4" t="s">
        <v>97</v>
      </c>
      <c r="J6" s="4" t="s">
        <v>98</v>
      </c>
      <c r="K6" s="4" t="s">
        <v>99</v>
      </c>
    </row>
    <row r="8" spans="1:11">
      <c r="B8" s="2" t="s">
        <v>100</v>
      </c>
      <c r="C8" s="6">
        <f>Safety!BU28</f>
        <v>1445</v>
      </c>
      <c r="D8" s="6">
        <f>Safety!BV28</f>
        <v>10937.500000000058</v>
      </c>
      <c r="E8" s="6">
        <f>Safety!BW28</f>
        <v>32001.299999999988</v>
      </c>
      <c r="F8" s="6">
        <f>Safety!BY28</f>
        <v>-1055</v>
      </c>
      <c r="G8" s="6">
        <f>Safety!BZ28</f>
        <v>3221.2999999999884</v>
      </c>
      <c r="H8" s="6">
        <f>Safety!CA28</f>
        <v>10243.200000000012</v>
      </c>
      <c r="I8" s="6">
        <f>Safety!CC28</f>
        <v>390</v>
      </c>
      <c r="J8" s="6">
        <f>Safety!CD28</f>
        <v>14158.800000000047</v>
      </c>
      <c r="K8" s="6">
        <f>Safety!CE28</f>
        <v>42244.5</v>
      </c>
    </row>
    <row r="10" spans="1:11">
      <c r="B10" s="2" t="s">
        <v>111</v>
      </c>
      <c r="C10" s="6">
        <f>Safety!BU29</f>
        <v>-85.919999999983702</v>
      </c>
      <c r="D10" s="6">
        <f>Safety!BV29</f>
        <v>2279.8800000000047</v>
      </c>
      <c r="E10" s="6">
        <f>Safety!BW29</f>
        <v>8917.6800000000221</v>
      </c>
      <c r="F10" s="6">
        <f>Safety!BY29</f>
        <v>-100.76000000000931</v>
      </c>
      <c r="G10" s="6">
        <f>Safety!BZ29</f>
        <v>502.63999999999942</v>
      </c>
      <c r="H10" s="6">
        <f>Safety!CA29</f>
        <v>2634.1399999999994</v>
      </c>
      <c r="I10" s="6">
        <f>Safety!CC29</f>
        <v>-186.67999999996391</v>
      </c>
      <c r="J10" s="6">
        <f>Safety!CD29</f>
        <v>2782.5200000000186</v>
      </c>
      <c r="K10" s="6">
        <f>Safety!CE29</f>
        <v>11551.820000000036</v>
      </c>
    </row>
    <row r="12" spans="1:11">
      <c r="B12" s="2" t="s">
        <v>112</v>
      </c>
      <c r="C12" s="6">
        <f>Safety!BU30</f>
        <v>151</v>
      </c>
      <c r="D12" s="6">
        <f>Safety!BV30</f>
        <v>-634.10000000002037</v>
      </c>
      <c r="E12" s="6">
        <f>Safety!BW30</f>
        <v>-3569.0000000000146</v>
      </c>
      <c r="F12" s="6">
        <f>Safety!BY30</f>
        <v>623</v>
      </c>
      <c r="G12" s="6">
        <f>Safety!BZ30</f>
        <v>372.80000000000291</v>
      </c>
      <c r="H12" s="6">
        <f>Safety!CA30</f>
        <v>-637.69999999999709</v>
      </c>
      <c r="I12" s="6">
        <f>Safety!CC30</f>
        <v>774</v>
      </c>
      <c r="J12" s="6">
        <f>Safety!CD30</f>
        <v>-261.30000000001746</v>
      </c>
      <c r="K12" s="6">
        <f>Safety!CE30</f>
        <v>-4206.7000000000116</v>
      </c>
    </row>
    <row r="14" spans="1:11">
      <c r="B14" s="2" t="s">
        <v>113</v>
      </c>
      <c r="C14" s="6">
        <f>Safety!BU31</f>
        <v>65.07999999999447</v>
      </c>
      <c r="D14" s="6">
        <f>Safety!BV31</f>
        <v>1645.7800000000061</v>
      </c>
      <c r="E14" s="6">
        <f>Safety!BW31</f>
        <v>5348.6800000000148</v>
      </c>
      <c r="F14" s="6">
        <f>Safety!BY31</f>
        <v>522.24000000000342</v>
      </c>
      <c r="G14" s="6">
        <f>Safety!BZ31</f>
        <v>875.44000000000597</v>
      </c>
      <c r="H14" s="6">
        <f>Safety!CA31</f>
        <v>1996.4400000000041</v>
      </c>
      <c r="I14" s="6">
        <f>Safety!CC31</f>
        <v>587.31999999999971</v>
      </c>
      <c r="J14" s="6">
        <f>Safety!CD31</f>
        <v>2521.2200000000157</v>
      </c>
      <c r="K14" s="6">
        <f>Safety!CE31</f>
        <v>7345.1200000000099</v>
      </c>
    </row>
    <row r="17" spans="2:11">
      <c r="B17" s="8" t="s">
        <v>126</v>
      </c>
    </row>
    <row r="18" spans="2:11">
      <c r="B18" s="24"/>
      <c r="C18" s="25"/>
      <c r="D18" s="25"/>
      <c r="E18" s="25"/>
      <c r="F18" s="25"/>
      <c r="G18" s="25"/>
      <c r="H18" s="25"/>
      <c r="I18" s="25"/>
      <c r="J18" s="25"/>
      <c r="K18" s="25"/>
    </row>
    <row r="19" spans="2:11">
      <c r="B19" s="24"/>
      <c r="C19" s="25"/>
      <c r="D19" s="25"/>
      <c r="E19" s="25"/>
      <c r="F19" s="25"/>
      <c r="G19" s="25"/>
      <c r="H19" s="25"/>
      <c r="I19" s="25"/>
      <c r="J19" s="25"/>
      <c r="K19" s="25"/>
    </row>
    <row r="20" spans="2:11">
      <c r="B20" s="24"/>
      <c r="C20" s="25"/>
      <c r="D20" s="25"/>
      <c r="E20" s="25"/>
      <c r="F20" s="25"/>
      <c r="G20" s="25"/>
      <c r="H20" s="25"/>
      <c r="I20" s="25"/>
      <c r="J20" s="25"/>
      <c r="K20" s="25"/>
    </row>
    <row r="21" spans="2:11">
      <c r="B21" s="24"/>
      <c r="C21" s="25"/>
      <c r="D21" s="25"/>
      <c r="E21" s="25"/>
      <c r="F21" s="25"/>
      <c r="G21" s="25"/>
      <c r="H21" s="25"/>
      <c r="I21" s="25"/>
      <c r="J21" s="25"/>
      <c r="K21" s="25"/>
    </row>
    <row r="22" spans="2:11">
      <c r="B22" s="24"/>
      <c r="C22" s="25"/>
      <c r="D22" s="25"/>
      <c r="E22" s="25"/>
      <c r="F22" s="25"/>
      <c r="G22" s="25"/>
      <c r="H22" s="25"/>
      <c r="I22" s="25"/>
      <c r="J22" s="25"/>
      <c r="K22" s="25"/>
    </row>
    <row r="23" spans="2:11">
      <c r="B23" s="24"/>
      <c r="C23" s="25"/>
      <c r="D23" s="25"/>
      <c r="E23" s="25"/>
      <c r="F23" s="25"/>
      <c r="G23" s="25"/>
      <c r="H23" s="25"/>
      <c r="I23" s="25"/>
      <c r="J23" s="25"/>
      <c r="K23" s="25"/>
    </row>
  </sheetData>
  <mergeCells count="6">
    <mergeCell ref="B23:K23"/>
    <mergeCell ref="B22:K22"/>
    <mergeCell ref="B18:K18"/>
    <mergeCell ref="B21:K21"/>
    <mergeCell ref="B20:K20"/>
    <mergeCell ref="B19:K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2060"/>
  </sheetPr>
  <dimension ref="A1:Q100"/>
  <sheetViews>
    <sheetView showGridLines="0" workbookViewId="0">
      <pane xSplit="2" ySplit="4" topLeftCell="C5" activePane="bottomRight" state="frozen"/>
      <selection pane="bottomRight"/>
      <selection pane="bottomLeft"/>
      <selection pane="topRight"/>
    </sheetView>
  </sheetViews>
  <sheetFormatPr defaultRowHeight="15"/>
  <cols>
    <col min="1" max="1" width="7" customWidth="1"/>
    <col min="2" max="2" width="34" customWidth="1"/>
    <col min="3" max="17" width="11" customWidth="1"/>
  </cols>
  <sheetData>
    <row r="1" spans="1:17">
      <c r="A1" t="s">
        <v>114</v>
      </c>
      <c r="C1" s="13">
        <v>46053</v>
      </c>
      <c r="D1" s="13">
        <v>46081</v>
      </c>
      <c r="E1" s="13">
        <v>46112</v>
      </c>
      <c r="F1" s="13">
        <v>46142</v>
      </c>
      <c r="G1" s="13">
        <v>46173</v>
      </c>
      <c r="H1" s="13">
        <v>46203</v>
      </c>
      <c r="I1" s="13">
        <v>46234</v>
      </c>
      <c r="J1" s="13">
        <v>46265</v>
      </c>
      <c r="K1" s="13">
        <v>46295</v>
      </c>
      <c r="L1" s="13">
        <v>46326</v>
      </c>
      <c r="M1" s="13">
        <v>46356</v>
      </c>
      <c r="N1" s="13">
        <v>46387</v>
      </c>
    </row>
    <row r="2" spans="1:17">
      <c r="B2" s="8" t="s">
        <v>127</v>
      </c>
    </row>
    <row r="3" spans="1:17">
      <c r="B3" s="1" t="s">
        <v>24</v>
      </c>
    </row>
    <row r="4" spans="1:17">
      <c r="C4" s="4" t="s">
        <v>70</v>
      </c>
      <c r="D4" s="4" t="s">
        <v>71</v>
      </c>
      <c r="E4" s="4" t="s">
        <v>72</v>
      </c>
      <c r="F4" s="4" t="s">
        <v>73</v>
      </c>
      <c r="G4" s="4" t="s">
        <v>50</v>
      </c>
      <c r="H4" s="4" t="s">
        <v>74</v>
      </c>
      <c r="I4" s="4" t="s">
        <v>75</v>
      </c>
      <c r="J4" s="4" t="s">
        <v>76</v>
      </c>
      <c r="K4" s="4" t="s">
        <v>77</v>
      </c>
      <c r="L4" s="4" t="s">
        <v>78</v>
      </c>
      <c r="M4" s="4" t="s">
        <v>79</v>
      </c>
      <c r="N4" s="4" t="s">
        <v>80</v>
      </c>
      <c r="O4" s="4" t="s">
        <v>128</v>
      </c>
      <c r="Q4" s="2" t="s">
        <v>129</v>
      </c>
    </row>
    <row r="5" spans="1:17">
      <c r="B5" s="2" t="s">
        <v>100</v>
      </c>
    </row>
    <row r="6" spans="1:17">
      <c r="B6" t="s">
        <v>101</v>
      </c>
      <c r="C6" s="6">
        <f>'Alder-Adj'!C$14</f>
        <v>0</v>
      </c>
      <c r="D6" s="6">
        <f>'Alder-Adj'!D$14</f>
        <v>0</v>
      </c>
      <c r="E6" s="6">
        <f>'Alder-Adj'!E$14</f>
        <v>0</v>
      </c>
      <c r="F6" s="6">
        <f>'Alder-Adj'!F$14</f>
        <v>0</v>
      </c>
      <c r="G6" s="6">
        <f>'Alder-Adj'!G$14</f>
        <v>0</v>
      </c>
      <c r="H6" s="6">
        <f>'Alder-Adj'!H$14</f>
        <v>0</v>
      </c>
      <c r="I6" s="6">
        <f>'Alder-Adj'!I$14</f>
        <v>0</v>
      </c>
      <c r="J6" s="6">
        <f>'Alder-Adj'!J$14</f>
        <v>0</v>
      </c>
      <c r="K6" s="6">
        <f>'Alder-Adj'!K$14</f>
        <v>0</v>
      </c>
      <c r="L6" s="6">
        <f>'Alder-Adj'!L$14</f>
        <v>-200</v>
      </c>
      <c r="M6" s="6">
        <f>'Alder-Adj'!M$14</f>
        <v>-200</v>
      </c>
      <c r="N6" s="6">
        <f>'Alder-Adj'!N$14</f>
        <v>-200</v>
      </c>
      <c r="O6" s="6">
        <f>SUM(C6:N6)</f>
        <v>-600</v>
      </c>
      <c r="Q6" s="6">
        <f>SUM(L6:N6)</f>
        <v>-600</v>
      </c>
    </row>
    <row r="7" spans="1:17">
      <c r="B7" t="s">
        <v>102</v>
      </c>
      <c r="C7" s="6">
        <f>'Beacon-Adj'!C$14</f>
        <v>0</v>
      </c>
      <c r="D7" s="6">
        <f>'Beacon-Adj'!D$14</f>
        <v>0</v>
      </c>
      <c r="E7" s="6">
        <f>'Beacon-Adj'!E$14</f>
        <v>0</v>
      </c>
      <c r="F7" s="6">
        <f>'Beacon-Adj'!F$14</f>
        <v>0</v>
      </c>
      <c r="G7" s="6">
        <f>'Beacon-Adj'!G$14</f>
        <v>0</v>
      </c>
      <c r="H7" s="6">
        <f>'Beacon-Adj'!H$14</f>
        <v>0</v>
      </c>
      <c r="I7" s="6">
        <f>'Beacon-Adj'!I$14</f>
        <v>0</v>
      </c>
      <c r="J7" s="6">
        <f>'Beacon-Adj'!J$14</f>
        <v>0</v>
      </c>
      <c r="K7" s="6">
        <f>'Beacon-Adj'!K$14</f>
        <v>150</v>
      </c>
      <c r="L7" s="6">
        <f>'Beacon-Adj'!L$14</f>
        <v>250</v>
      </c>
      <c r="M7" s="6">
        <f>'Beacon-Adj'!M$14</f>
        <v>300</v>
      </c>
      <c r="N7" s="6">
        <f>'Beacon-Adj'!N$14</f>
        <v>200</v>
      </c>
      <c r="O7" s="6">
        <f>SUM(C7:N7)</f>
        <v>900</v>
      </c>
      <c r="Q7" s="6">
        <f>SUM(L7:N7)</f>
        <v>750</v>
      </c>
    </row>
    <row r="8" spans="1:17">
      <c r="B8" t="s">
        <v>103</v>
      </c>
      <c r="C8" s="6">
        <f>'Cobalt-Adj'!C$14</f>
        <v>0</v>
      </c>
      <c r="D8" s="6">
        <f>'Cobalt-Adj'!D$14</f>
        <v>0</v>
      </c>
      <c r="E8" s="6">
        <f>'Cobalt-Adj'!E$14</f>
        <v>0</v>
      </c>
      <c r="F8" s="6">
        <f>'Cobalt-Adj'!F$14</f>
        <v>0</v>
      </c>
      <c r="G8" s="6">
        <f>'Cobalt-Adj'!G$14</f>
        <v>0</v>
      </c>
      <c r="H8" s="6">
        <f>'Cobalt-Adj'!H$14</f>
        <v>0</v>
      </c>
      <c r="I8" s="6">
        <f>'Cobalt-Adj'!I$14</f>
        <v>0</v>
      </c>
      <c r="J8" s="6">
        <f>'Cobalt-Adj'!J$14</f>
        <v>0</v>
      </c>
      <c r="K8" s="6">
        <f>'Cobalt-Adj'!K$14</f>
        <v>30</v>
      </c>
      <c r="L8" s="6">
        <f>'Cobalt-Adj'!L$14</f>
        <v>40</v>
      </c>
      <c r="M8" s="6">
        <f>'Cobalt-Adj'!M$14</f>
        <v>40</v>
      </c>
      <c r="N8" s="6">
        <f>'Cobalt-Adj'!N$14</f>
        <v>40</v>
      </c>
      <c r="O8" s="6">
        <f>SUM(C8:N8)</f>
        <v>150</v>
      </c>
      <c r="Q8" s="6">
        <f>SUM(L8:N8)</f>
        <v>120</v>
      </c>
    </row>
    <row r="9" spans="1:17">
      <c r="B9" t="s">
        <v>104</v>
      </c>
      <c r="C9" s="6">
        <f>'Delta-Adj'!C$14</f>
        <v>0</v>
      </c>
      <c r="D9" s="6">
        <f>'Delta-Adj'!D$14</f>
        <v>0</v>
      </c>
      <c r="E9" s="6">
        <f>'Delta-Adj'!E$14</f>
        <v>0</v>
      </c>
      <c r="F9" s="6">
        <f>'Delta-Adj'!F$14</f>
        <v>0</v>
      </c>
      <c r="G9" s="6">
        <f>'Delta-Adj'!G$14</f>
        <v>0</v>
      </c>
      <c r="H9" s="6">
        <f>'Delta-Adj'!H$14</f>
        <v>0</v>
      </c>
      <c r="I9" s="6">
        <f>'Delta-Adj'!I$14</f>
        <v>0</v>
      </c>
      <c r="J9" s="6">
        <f>'Delta-Adj'!J$14</f>
        <v>0</v>
      </c>
      <c r="K9" s="6">
        <f>'Delta-Adj'!K$14</f>
        <v>0</v>
      </c>
      <c r="L9" s="6">
        <f>'Delta-Adj'!L$14</f>
        <v>0</v>
      </c>
      <c r="M9" s="6">
        <f>'Delta-Adj'!M$14</f>
        <v>0</v>
      </c>
      <c r="N9" s="6">
        <f>'Delta-Adj'!N$14</f>
        <v>0</v>
      </c>
      <c r="O9" s="6">
        <f>SUM(C9:N9)</f>
        <v>0</v>
      </c>
      <c r="Q9" s="6">
        <f>SUM(L9:N9)</f>
        <v>0</v>
      </c>
    </row>
    <row r="10" spans="1:17">
      <c r="B10" t="s">
        <v>105</v>
      </c>
      <c r="C10" s="6">
        <f>'Ember-Adj'!C$14</f>
        <v>0</v>
      </c>
      <c r="D10" s="6">
        <f>'Ember-Adj'!D$14</f>
        <v>0</v>
      </c>
      <c r="E10" s="6">
        <f>'Ember-Adj'!E$14</f>
        <v>0</v>
      </c>
      <c r="F10" s="6">
        <f>'Ember-Adj'!F$14</f>
        <v>0</v>
      </c>
      <c r="G10" s="6">
        <f>'Ember-Adj'!G$14</f>
        <v>0</v>
      </c>
      <c r="H10" s="6">
        <f>'Ember-Adj'!H$14</f>
        <v>0</v>
      </c>
      <c r="I10" s="6">
        <f>'Ember-Adj'!I$14</f>
        <v>0</v>
      </c>
      <c r="J10" s="6">
        <f>'Ember-Adj'!J$14</f>
        <v>0</v>
      </c>
      <c r="K10" s="6">
        <f>'Ember-Adj'!K$14</f>
        <v>-260</v>
      </c>
      <c r="L10" s="6">
        <f>'Ember-Adj'!L$14</f>
        <v>-180</v>
      </c>
      <c r="M10" s="6">
        <f>'Ember-Adj'!M$14</f>
        <v>-60</v>
      </c>
      <c r="N10" s="6">
        <f>'Ember-Adj'!N$14</f>
        <v>0</v>
      </c>
      <c r="O10" s="6">
        <f>SUM(C10:N10)</f>
        <v>-500</v>
      </c>
      <c r="Q10" s="6">
        <f>SUM(L10:N10)</f>
        <v>-240</v>
      </c>
    </row>
    <row r="11" spans="1:17">
      <c r="B11" t="s">
        <v>106</v>
      </c>
      <c r="C11" s="6">
        <f>'Falcon-Adj'!C$14</f>
        <v>0</v>
      </c>
      <c r="D11" s="6">
        <f>'Falcon-Adj'!D$14</f>
        <v>0</v>
      </c>
      <c r="E11" s="6">
        <f>'Falcon-Adj'!E$14</f>
        <v>0</v>
      </c>
      <c r="F11" s="6">
        <f>'Falcon-Adj'!F$14</f>
        <v>0</v>
      </c>
      <c r="G11" s="6">
        <f>'Falcon-Adj'!G$14</f>
        <v>0</v>
      </c>
      <c r="H11" s="6">
        <f>'Falcon-Adj'!H$14</f>
        <v>0</v>
      </c>
      <c r="I11" s="6">
        <f>'Falcon-Adj'!I$14</f>
        <v>0</v>
      </c>
      <c r="J11" s="6">
        <f>'Falcon-Adj'!J$14</f>
        <v>0</v>
      </c>
      <c r="K11" s="6">
        <f>'Falcon-Adj'!K$14</f>
        <v>300</v>
      </c>
      <c r="L11" s="6">
        <f>'Falcon-Adj'!L$14</f>
        <v>300</v>
      </c>
      <c r="M11" s="6">
        <f>'Falcon-Adj'!M$14</f>
        <v>300</v>
      </c>
      <c r="N11" s="6">
        <f>'Falcon-Adj'!N$14</f>
        <v>300</v>
      </c>
      <c r="O11" s="6">
        <f>SUM(C11:N11)</f>
        <v>1200</v>
      </c>
      <c r="Q11" s="6">
        <f>SUM(L11:N11)</f>
        <v>900</v>
      </c>
    </row>
    <row r="12" spans="1:17">
      <c r="B12" t="s">
        <v>107</v>
      </c>
      <c r="C12" s="6">
        <f>'Granite-Adj'!C$14</f>
        <v>0</v>
      </c>
      <c r="D12" s="6">
        <f>'Granite-Adj'!D$14</f>
        <v>0</v>
      </c>
      <c r="E12" s="6">
        <f>'Granite-Adj'!E$14</f>
        <v>0</v>
      </c>
      <c r="F12" s="6">
        <f>'Granite-Adj'!F$14</f>
        <v>0</v>
      </c>
      <c r="G12" s="6">
        <f>'Granite-Adj'!G$14</f>
        <v>0</v>
      </c>
      <c r="H12" s="6">
        <f>'Granite-Adj'!H$14</f>
        <v>0</v>
      </c>
      <c r="I12" s="6">
        <f>'Granite-Adj'!I$14</f>
        <v>0</v>
      </c>
      <c r="J12" s="6">
        <f>'Granite-Adj'!J$14</f>
        <v>0</v>
      </c>
      <c r="K12" s="6">
        <f>'Granite-Adj'!K$14</f>
        <v>-430</v>
      </c>
      <c r="L12" s="6">
        <f>'Granite-Adj'!L$14</f>
        <v>-250</v>
      </c>
      <c r="M12" s="6">
        <f>'Granite-Adj'!M$14</f>
        <v>-200</v>
      </c>
      <c r="N12" s="6">
        <f>'Granite-Adj'!N$14</f>
        <v>-300</v>
      </c>
      <c r="O12" s="6">
        <f>SUM(C12:N12)</f>
        <v>-1180</v>
      </c>
      <c r="Q12" s="6">
        <f>SUM(L12:N12)</f>
        <v>-750</v>
      </c>
    </row>
    <row r="13" spans="1:17">
      <c r="B13" t="s">
        <v>108</v>
      </c>
      <c r="C13" s="6">
        <f>'Hollis-Adj'!C$14</f>
        <v>0</v>
      </c>
      <c r="D13" s="6">
        <f>'Hollis-Adj'!D$14</f>
        <v>0</v>
      </c>
      <c r="E13" s="6">
        <f>'Hollis-Adj'!E$14</f>
        <v>0</v>
      </c>
      <c r="F13" s="6">
        <f>'Hollis-Adj'!F$14</f>
        <v>0</v>
      </c>
      <c r="G13" s="6">
        <f>'Hollis-Adj'!G$14</f>
        <v>0</v>
      </c>
      <c r="H13" s="6">
        <f>'Hollis-Adj'!H$14</f>
        <v>0</v>
      </c>
      <c r="I13" s="6">
        <f>'Hollis-Adj'!I$14</f>
        <v>0</v>
      </c>
      <c r="J13" s="6">
        <f>'Hollis-Adj'!J$14</f>
        <v>0</v>
      </c>
      <c r="K13" s="6">
        <f>'Hollis-Adj'!K$14</f>
        <v>1700</v>
      </c>
      <c r="L13" s="6">
        <f>'Hollis-Adj'!L$14</f>
        <v>-1000</v>
      </c>
      <c r="M13" s="6">
        <f>'Hollis-Adj'!M$14</f>
        <v>-400</v>
      </c>
      <c r="N13" s="6">
        <f>'Hollis-Adj'!N$14</f>
        <v>300</v>
      </c>
      <c r="O13" s="6">
        <f>SUM(C13:N13)</f>
        <v>600</v>
      </c>
      <c r="Q13" s="6">
        <f>SUM(L13:N13)</f>
        <v>-1100</v>
      </c>
    </row>
    <row r="14" spans="1:17">
      <c r="B14" t="s">
        <v>130</v>
      </c>
      <c r="C14" s="6">
        <f>'SAFEREG-Adj'!C$14</f>
        <v>0</v>
      </c>
      <c r="D14" s="6">
        <f>'SAFEREG-Adj'!D$14</f>
        <v>0</v>
      </c>
      <c r="E14" s="6">
        <f>'SAFEREG-Adj'!E$14</f>
        <v>0</v>
      </c>
      <c r="F14" s="6">
        <f>'SAFEREG-Adj'!F$14</f>
        <v>0</v>
      </c>
      <c r="G14" s="6">
        <f>'SAFEREG-Adj'!G$14</f>
        <v>0</v>
      </c>
      <c r="H14" s="6">
        <f>'SAFEREG-Adj'!H$14</f>
        <v>0</v>
      </c>
      <c r="I14" s="6">
        <f>'SAFEREG-Adj'!I$14</f>
        <v>0</v>
      </c>
      <c r="J14" s="6">
        <f>'SAFEREG-Adj'!J$14</f>
        <v>0</v>
      </c>
      <c r="K14" s="6">
        <f>'SAFEREG-Adj'!K$14</f>
        <v>0</v>
      </c>
      <c r="L14" s="6">
        <f>'SAFEREG-Adj'!L$14</f>
        <v>0</v>
      </c>
      <c r="M14" s="6">
        <f>'SAFEREG-Adj'!M$14</f>
        <v>0</v>
      </c>
      <c r="N14" s="6">
        <f>'SAFEREG-Adj'!N$14</f>
        <v>0</v>
      </c>
      <c r="O14" s="6">
        <f>SUM(C14:N14)</f>
        <v>0</v>
      </c>
      <c r="Q14" s="6">
        <f>SUM(L14:N14)</f>
        <v>0</v>
      </c>
    </row>
    <row r="15" spans="1:17">
      <c r="B15" s="2" t="s">
        <v>131</v>
      </c>
      <c r="C15" s="9">
        <f>SUM(C6:C14)</f>
        <v>0</v>
      </c>
      <c r="D15" s="9">
        <f>SUM(D6:D14)</f>
        <v>0</v>
      </c>
      <c r="E15" s="9">
        <f>SUM(E6:E14)</f>
        <v>0</v>
      </c>
      <c r="F15" s="9">
        <f>SUM(F6:F14)</f>
        <v>0</v>
      </c>
      <c r="G15" s="9">
        <f>SUM(G6:G14)</f>
        <v>0</v>
      </c>
      <c r="H15" s="9">
        <f>SUM(H6:H14)</f>
        <v>0</v>
      </c>
      <c r="I15" s="9">
        <f>SUM(I6:I14)</f>
        <v>0</v>
      </c>
      <c r="J15" s="9">
        <f>SUM(J6:J14)</f>
        <v>0</v>
      </c>
      <c r="K15" s="9">
        <f>SUM(K6:K14)</f>
        <v>1490</v>
      </c>
      <c r="L15" s="9">
        <f>SUM(L6:L14)</f>
        <v>-1040</v>
      </c>
      <c r="M15" s="9">
        <f>SUM(M6:M14)</f>
        <v>-220</v>
      </c>
      <c r="N15" s="9">
        <f>SUM(N6:N14)</f>
        <v>340</v>
      </c>
      <c r="O15" s="9">
        <f>SUM(O6:O14)</f>
        <v>570</v>
      </c>
      <c r="Q15" s="6">
        <f>SUM(L15:N15)</f>
        <v>-920</v>
      </c>
    </row>
    <row r="17" spans="2:17">
      <c r="B17" s="2" t="s">
        <v>132</v>
      </c>
    </row>
    <row r="18" spans="2:17">
      <c r="B18" t="s">
        <v>101</v>
      </c>
      <c r="C18" s="12" t="str">
        <f>IFERROR(C30/C6,"-")</f>
        <v>-</v>
      </c>
      <c r="D18" s="12" t="str">
        <f>IFERROR(D30/D6,"-")</f>
        <v>-</v>
      </c>
      <c r="E18" s="12" t="str">
        <f>IFERROR(E30/E6,"-")</f>
        <v>-</v>
      </c>
      <c r="F18" s="12" t="str">
        <f>IFERROR(F30/F6,"-")</f>
        <v>-</v>
      </c>
      <c r="G18" s="12" t="str">
        <f>IFERROR(G30/G6,"-")</f>
        <v>-</v>
      </c>
      <c r="H18" s="12" t="str">
        <f>IFERROR(H30/H6,"-")</f>
        <v>-</v>
      </c>
      <c r="I18" s="12" t="str">
        <f>IFERROR(I30/I6,"-")</f>
        <v>-</v>
      </c>
      <c r="J18" s="12" t="str">
        <f>IFERROR(J30/J6,"-")</f>
        <v>-</v>
      </c>
      <c r="K18" s="12" t="str">
        <f>IFERROR(K30/K6,"-")</f>
        <v>-</v>
      </c>
      <c r="L18" s="12">
        <f>IFERROR(L30/L6,"-")</f>
        <v>0.7</v>
      </c>
      <c r="M18" s="12">
        <f>IFERROR(M30/M6,"-")</f>
        <v>0.7</v>
      </c>
      <c r="N18" s="12">
        <f>IFERROR(N30/N6,"-")</f>
        <v>0.7</v>
      </c>
      <c r="O18" s="12">
        <f>IFERROR(O30/O6,"-")</f>
        <v>0.96666666666666667</v>
      </c>
    </row>
    <row r="19" spans="2:17">
      <c r="B19" t="s">
        <v>102</v>
      </c>
      <c r="C19" s="12" t="str">
        <f>IFERROR(C31/C7,"-")</f>
        <v>-</v>
      </c>
      <c r="D19" s="12" t="str">
        <f>IFERROR(D31/D7,"-")</f>
        <v>-</v>
      </c>
      <c r="E19" s="12" t="str">
        <f>IFERROR(E31/E7,"-")</f>
        <v>-</v>
      </c>
      <c r="F19" s="12" t="str">
        <f>IFERROR(F31/F7,"-")</f>
        <v>-</v>
      </c>
      <c r="G19" s="12" t="str">
        <f>IFERROR(G31/G7,"-")</f>
        <v>-</v>
      </c>
      <c r="H19" s="12" t="str">
        <f>IFERROR(H31/H7,"-")</f>
        <v>-</v>
      </c>
      <c r="I19" s="12" t="str">
        <f>IFERROR(I31/I7,"-")</f>
        <v>-</v>
      </c>
      <c r="J19" s="12" t="str">
        <f>IFERROR(J31/J7,"-")</f>
        <v>-</v>
      </c>
      <c r="K19" s="12">
        <f>IFERROR(K31/K7,"-")</f>
        <v>0.4</v>
      </c>
      <c r="L19" s="12">
        <f>IFERROR(L31/L7,"-")</f>
        <v>0.38</v>
      </c>
      <c r="M19" s="12">
        <f>IFERROR(M31/M7,"-")</f>
        <v>0.38333333333333336</v>
      </c>
      <c r="N19" s="12">
        <f>IFERROR(N31/N7,"-")</f>
        <v>0.4</v>
      </c>
      <c r="O19" s="12">
        <f>IFERROR(O31/O7,"-")</f>
        <v>0.3888888888888889</v>
      </c>
    </row>
    <row r="20" spans="2:17">
      <c r="B20" t="s">
        <v>103</v>
      </c>
      <c r="C20" s="12" t="str">
        <f>IFERROR(C32/C8,"-")</f>
        <v>-</v>
      </c>
      <c r="D20" s="12" t="str">
        <f>IFERROR(D32/D8,"-")</f>
        <v>-</v>
      </c>
      <c r="E20" s="12" t="str">
        <f>IFERROR(E32/E8,"-")</f>
        <v>-</v>
      </c>
      <c r="F20" s="12" t="str">
        <f>IFERROR(F32/F8,"-")</f>
        <v>-</v>
      </c>
      <c r="G20" s="12" t="str">
        <f>IFERROR(G32/G8,"-")</f>
        <v>-</v>
      </c>
      <c r="H20" s="12" t="str">
        <f>IFERROR(H32/H8,"-")</f>
        <v>-</v>
      </c>
      <c r="I20" s="12" t="str">
        <f>IFERROR(I32/I8,"-")</f>
        <v>-</v>
      </c>
      <c r="J20" s="12" t="str">
        <f>IFERROR(J32/J8,"-")</f>
        <v>-</v>
      </c>
      <c r="K20" s="12">
        <f>IFERROR(K32/K8,"-")</f>
        <v>2.6666666666666666E-3</v>
      </c>
      <c r="L20" s="12">
        <f>IFERROR(L32/L8,"-")</f>
        <v>2E-3</v>
      </c>
      <c r="M20" s="12">
        <f>IFERROR(M32/M8,"-")</f>
        <v>2E-3</v>
      </c>
      <c r="N20" s="12">
        <f>IFERROR(N32/N8,"-")</f>
        <v>2E-3</v>
      </c>
      <c r="O20" s="12">
        <f>IFERROR(O32/O8,"-")</f>
        <v>2.1333333333333334E-3</v>
      </c>
    </row>
    <row r="21" spans="2:17">
      <c r="B21" t="s">
        <v>104</v>
      </c>
      <c r="C21" s="12" t="str">
        <f>IFERROR(C33/C9,"-")</f>
        <v>-</v>
      </c>
      <c r="D21" s="12" t="str">
        <f>IFERROR(D33/D9,"-")</f>
        <v>-</v>
      </c>
      <c r="E21" s="12" t="str">
        <f>IFERROR(E33/E9,"-")</f>
        <v>-</v>
      </c>
      <c r="F21" s="12" t="str">
        <f>IFERROR(F33/F9,"-")</f>
        <v>-</v>
      </c>
      <c r="G21" s="12" t="str">
        <f>IFERROR(G33/G9,"-")</f>
        <v>-</v>
      </c>
      <c r="H21" s="12" t="str">
        <f>IFERROR(H33/H9,"-")</f>
        <v>-</v>
      </c>
      <c r="I21" s="12" t="str">
        <f>IFERROR(I33/I9,"-")</f>
        <v>-</v>
      </c>
      <c r="J21" s="12" t="str">
        <f>IFERROR(J33/J9,"-")</f>
        <v>-</v>
      </c>
      <c r="K21" s="12" t="str">
        <f>IFERROR(K33/K9,"-")</f>
        <v>-</v>
      </c>
      <c r="L21" s="12" t="str">
        <f>IFERROR(L33/L9,"-")</f>
        <v>-</v>
      </c>
      <c r="M21" s="12" t="str">
        <f>IFERROR(M33/M9,"-")</f>
        <v>-</v>
      </c>
      <c r="N21" s="12" t="str">
        <f>IFERROR(N33/N9,"-")</f>
        <v>-</v>
      </c>
      <c r="O21" s="12" t="str">
        <f>IFERROR(O33/O9,"-")</f>
        <v>-</v>
      </c>
    </row>
    <row r="22" spans="2:17">
      <c r="B22" t="s">
        <v>105</v>
      </c>
      <c r="C22" s="12" t="str">
        <f>IFERROR(C34/C10,"-")</f>
        <v>-</v>
      </c>
      <c r="D22" s="12" t="str">
        <f>IFERROR(D34/D10,"-")</f>
        <v>-</v>
      </c>
      <c r="E22" s="12" t="str">
        <f>IFERROR(E34/E10,"-")</f>
        <v>-</v>
      </c>
      <c r="F22" s="12" t="str">
        <f>IFERROR(F34/F10,"-")</f>
        <v>-</v>
      </c>
      <c r="G22" s="12" t="str">
        <f>IFERROR(G34/G10,"-")</f>
        <v>-</v>
      </c>
      <c r="H22" s="12" t="str">
        <f>IFERROR(H34/H10,"-")</f>
        <v>-</v>
      </c>
      <c r="I22" s="12" t="str">
        <f>IFERROR(I34/I10,"-")</f>
        <v>-</v>
      </c>
      <c r="J22" s="12" t="str">
        <f>IFERROR(J34/J10,"-")</f>
        <v>-</v>
      </c>
      <c r="K22" s="12">
        <f>IFERROR(K34/K10,"-")</f>
        <v>0.31923076923076921</v>
      </c>
      <c r="L22" s="12">
        <f>IFERROR(L34/L10,"-")</f>
        <v>0.32222222222222224</v>
      </c>
      <c r="M22" s="12">
        <f>IFERROR(M34/M10,"-")</f>
        <v>0.31666666666666665</v>
      </c>
      <c r="N22" s="12" t="str">
        <f>IFERROR(N34/N10,"-")</f>
        <v>-</v>
      </c>
      <c r="O22" s="12">
        <f>IFERROR(O34/O10,"-")</f>
        <v>0.32</v>
      </c>
    </row>
    <row r="23" spans="2:17">
      <c r="B23" t="s">
        <v>106</v>
      </c>
      <c r="C23" s="12" t="str">
        <f>IFERROR(C35/C11,"-")</f>
        <v>-</v>
      </c>
      <c r="D23" s="12" t="str">
        <f>IFERROR(D35/D11,"-")</f>
        <v>-</v>
      </c>
      <c r="E23" s="12" t="str">
        <f>IFERROR(E35/E11,"-")</f>
        <v>-</v>
      </c>
      <c r="F23" s="12" t="str">
        <f>IFERROR(F35/F11,"-")</f>
        <v>-</v>
      </c>
      <c r="G23" s="12" t="str">
        <f>IFERROR(G35/G11,"-")</f>
        <v>-</v>
      </c>
      <c r="H23" s="12" t="str">
        <f>IFERROR(H35/H11,"-")</f>
        <v>-</v>
      </c>
      <c r="I23" s="12" t="str">
        <f>IFERROR(I35/I11,"-")</f>
        <v>-</v>
      </c>
      <c r="J23" s="12" t="str">
        <f>IFERROR(J35/J11,"-")</f>
        <v>-</v>
      </c>
      <c r="K23" s="12">
        <f>IFERROR(K35/K11,"-")</f>
        <v>0.4</v>
      </c>
      <c r="L23" s="12">
        <f>IFERROR(L35/L11,"-")</f>
        <v>0.4</v>
      </c>
      <c r="M23" s="12">
        <f>IFERROR(M35/M11,"-")</f>
        <v>0.4</v>
      </c>
      <c r="N23" s="12">
        <f>IFERROR(N35/N11,"-")</f>
        <v>0.4</v>
      </c>
      <c r="O23" s="12">
        <f>IFERROR(O35/O11,"-")</f>
        <v>0.4</v>
      </c>
    </row>
    <row r="24" spans="2:17">
      <c r="B24" t="s">
        <v>107</v>
      </c>
      <c r="C24" s="12" t="str">
        <f>IFERROR(C36/C12,"-")</f>
        <v>-</v>
      </c>
      <c r="D24" s="12" t="str">
        <f>IFERROR(D36/D12,"-")</f>
        <v>-</v>
      </c>
      <c r="E24" s="12" t="str">
        <f>IFERROR(E36/E12,"-")</f>
        <v>-</v>
      </c>
      <c r="F24" s="12" t="str">
        <f>IFERROR(F36/F12,"-")</f>
        <v>-</v>
      </c>
      <c r="G24" s="12" t="str">
        <f>IFERROR(G36/G12,"-")</f>
        <v>-</v>
      </c>
      <c r="H24" s="12" t="str">
        <f>IFERROR(H36/H12,"-")</f>
        <v>-</v>
      </c>
      <c r="I24" s="12" t="str">
        <f>IFERROR(I36/I12,"-")</f>
        <v>-</v>
      </c>
      <c r="J24" s="12" t="str">
        <f>IFERROR(J36/J12,"-")</f>
        <v>-</v>
      </c>
      <c r="K24" s="12">
        <f>IFERROR(K36/K12,"-")</f>
        <v>0.61627906976744184</v>
      </c>
      <c r="L24" s="12">
        <f>IFERROR(L36/L12,"-")</f>
        <v>0.50800000000000001</v>
      </c>
      <c r="M24" s="12">
        <f>IFERROR(M36/M12,"-")</f>
        <v>0.51</v>
      </c>
      <c r="N24" s="12">
        <f>IFERROR(N36/N12,"-")</f>
        <v>0.10333333333333333</v>
      </c>
      <c r="O24" s="12">
        <f>IFERROR(O36/O12,"-")</f>
        <v>0.44491525423728812</v>
      </c>
    </row>
    <row r="25" spans="2:17">
      <c r="B25" t="s">
        <v>108</v>
      </c>
      <c r="C25" s="12" t="str">
        <f>IFERROR(C37/C13,"-")</f>
        <v>-</v>
      </c>
      <c r="D25" s="12" t="str">
        <f>IFERROR(D37/D13,"-")</f>
        <v>-</v>
      </c>
      <c r="E25" s="12" t="str">
        <f>IFERROR(E37/E13,"-")</f>
        <v>-</v>
      </c>
      <c r="F25" s="12" t="str">
        <f>IFERROR(F37/F13,"-")</f>
        <v>-</v>
      </c>
      <c r="G25" s="12" t="str">
        <f>IFERROR(G37/G13,"-")</f>
        <v>-</v>
      </c>
      <c r="H25" s="12" t="str">
        <f>IFERROR(H37/H13,"-")</f>
        <v>-</v>
      </c>
      <c r="I25" s="12" t="str">
        <f>IFERROR(I37/I13,"-")</f>
        <v>-</v>
      </c>
      <c r="J25" s="12" t="str">
        <f>IFERROR(J37/J13,"-")</f>
        <v>-</v>
      </c>
      <c r="K25" s="12">
        <f>IFERROR(K37/K13,"-")</f>
        <v>0.15</v>
      </c>
      <c r="L25" s="12">
        <f>IFERROR(L37/L13,"-")</f>
        <v>0.15</v>
      </c>
      <c r="M25" s="12">
        <f>IFERROR(M37/M13,"-")</f>
        <v>3.7499999999999999E-2</v>
      </c>
      <c r="N25" s="12">
        <f>IFERROR(N37/N13,"-")</f>
        <v>0.7</v>
      </c>
      <c r="O25" s="12">
        <f>IFERROR(O37/O13,"-")</f>
        <v>0.5</v>
      </c>
    </row>
    <row r="26" spans="2:17">
      <c r="B26" t="s">
        <v>130</v>
      </c>
      <c r="C26" s="12" t="str">
        <f>IFERROR(C38/C14,"-")</f>
        <v>-</v>
      </c>
      <c r="D26" s="12" t="str">
        <f>IFERROR(D38/D14,"-")</f>
        <v>-</v>
      </c>
      <c r="E26" s="12" t="str">
        <f>IFERROR(E38/E14,"-")</f>
        <v>-</v>
      </c>
      <c r="F26" s="12" t="str">
        <f>IFERROR(F38/F14,"-")</f>
        <v>-</v>
      </c>
      <c r="G26" s="12" t="str">
        <f>IFERROR(G38/G14,"-")</f>
        <v>-</v>
      </c>
      <c r="H26" s="12" t="str">
        <f>IFERROR(H38/H14,"-")</f>
        <v>-</v>
      </c>
      <c r="I26" s="12" t="str">
        <f>IFERROR(I38/I14,"-")</f>
        <v>-</v>
      </c>
      <c r="J26" s="12" t="str">
        <f>IFERROR(J38/J14,"-")</f>
        <v>-</v>
      </c>
      <c r="K26" s="12" t="str">
        <f>IFERROR(K38/K14,"-")</f>
        <v>-</v>
      </c>
      <c r="L26" s="12" t="str">
        <f>IFERROR(L38/L14,"-")</f>
        <v>-</v>
      </c>
      <c r="M26" s="12" t="str">
        <f>IFERROR(M38/M14,"-")</f>
        <v>-</v>
      </c>
      <c r="N26" s="12" t="str">
        <f>IFERROR(N38/N14,"-")</f>
        <v>-</v>
      </c>
      <c r="O26" s="12" t="str">
        <f>IFERROR(O38/O14,"-")</f>
        <v>-</v>
      </c>
    </row>
    <row r="27" spans="2:17">
      <c r="B27" s="2" t="s">
        <v>133</v>
      </c>
      <c r="C27" s="14" t="str">
        <f>IFERROR(C39/C15,"-")</f>
        <v>-</v>
      </c>
      <c r="D27" s="14" t="str">
        <f>IFERROR(D39/D15,"-")</f>
        <v>-</v>
      </c>
      <c r="E27" s="14" t="str">
        <f>IFERROR(E39/E15,"-")</f>
        <v>-</v>
      </c>
      <c r="F27" s="14" t="str">
        <f>IFERROR(F39/F15,"-")</f>
        <v>-</v>
      </c>
      <c r="G27" s="14" t="str">
        <f>IFERROR(G39/G15,"-")</f>
        <v>-</v>
      </c>
      <c r="H27" s="14" t="str">
        <f>IFERROR(H39/H15,"-")</f>
        <v>-</v>
      </c>
      <c r="I27" s="14" t="str">
        <f>IFERROR(I39/I15,"-")</f>
        <v>-</v>
      </c>
      <c r="J27" s="14" t="str">
        <f>IFERROR(J39/J15,"-")</f>
        <v>-</v>
      </c>
      <c r="K27" s="14">
        <f>IFERROR(K39/K15,"-")</f>
        <v>-4.8939597315436255E-2</v>
      </c>
      <c r="L27" s="14">
        <f>IFERROR(L39/L15,"-")</f>
        <v>0.24992307692307694</v>
      </c>
      <c r="M27" s="14">
        <f>IFERROR(M39/M15,"-")</f>
        <v>0.186</v>
      </c>
      <c r="N27" s="14">
        <f>IFERROR(N39/N15,"-")</f>
        <v>0.70317647058823529</v>
      </c>
      <c r="O27" s="14">
        <f>IFERROR(O39/O15,"-")</f>
        <v>-0.23628070175438598</v>
      </c>
    </row>
    <row r="29" spans="2:17">
      <c r="B29" s="2" t="s">
        <v>134</v>
      </c>
    </row>
    <row r="30" spans="2:17">
      <c r="B30" t="s">
        <v>101</v>
      </c>
      <c r="C30" s="6">
        <f>'Alder-Adj'!C$36</f>
        <v>0</v>
      </c>
      <c r="D30" s="6">
        <f>'Alder-Adj'!D$36</f>
        <v>0</v>
      </c>
      <c r="E30" s="6">
        <f>'Alder-Adj'!E$36</f>
        <v>0</v>
      </c>
      <c r="F30" s="6">
        <f>'Alder-Adj'!F$36</f>
        <v>0</v>
      </c>
      <c r="G30" s="6">
        <f>'Alder-Adj'!G$36</f>
        <v>0</v>
      </c>
      <c r="H30" s="6">
        <f>'Alder-Adj'!H$36</f>
        <v>0</v>
      </c>
      <c r="I30" s="6">
        <f>'Alder-Adj'!I$36</f>
        <v>0</v>
      </c>
      <c r="J30" s="6">
        <f>'Alder-Adj'!J$36</f>
        <v>0</v>
      </c>
      <c r="K30" s="6">
        <f>'Alder-Adj'!K$36</f>
        <v>-160</v>
      </c>
      <c r="L30" s="6">
        <f>'Alder-Adj'!L$36</f>
        <v>-140</v>
      </c>
      <c r="M30" s="6">
        <f>'Alder-Adj'!M$36</f>
        <v>-140</v>
      </c>
      <c r="N30" s="6">
        <f>'Alder-Adj'!N$36</f>
        <v>-140</v>
      </c>
      <c r="O30" s="6">
        <f>SUM(C30:N30)</f>
        <v>-580</v>
      </c>
      <c r="Q30" s="6">
        <f>SUM(L30:N30)</f>
        <v>-420</v>
      </c>
    </row>
    <row r="31" spans="2:17">
      <c r="B31" t="s">
        <v>102</v>
      </c>
      <c r="C31" s="6">
        <f>'Beacon-Adj'!C$36</f>
        <v>0</v>
      </c>
      <c r="D31" s="6">
        <f>'Beacon-Adj'!D$36</f>
        <v>0</v>
      </c>
      <c r="E31" s="6">
        <f>'Beacon-Adj'!E$36</f>
        <v>0</v>
      </c>
      <c r="F31" s="6">
        <f>'Beacon-Adj'!F$36</f>
        <v>0</v>
      </c>
      <c r="G31" s="6">
        <f>'Beacon-Adj'!G$36</f>
        <v>0</v>
      </c>
      <c r="H31" s="6">
        <f>'Beacon-Adj'!H$36</f>
        <v>0</v>
      </c>
      <c r="I31" s="6">
        <f>'Beacon-Adj'!I$36</f>
        <v>0</v>
      </c>
      <c r="J31" s="6">
        <f>'Beacon-Adj'!J$36</f>
        <v>0</v>
      </c>
      <c r="K31" s="6">
        <f>'Beacon-Adj'!K$36</f>
        <v>60</v>
      </c>
      <c r="L31" s="6">
        <f>'Beacon-Adj'!L$36</f>
        <v>95</v>
      </c>
      <c r="M31" s="6">
        <f>'Beacon-Adj'!M$36</f>
        <v>115</v>
      </c>
      <c r="N31" s="6">
        <f>'Beacon-Adj'!N$36</f>
        <v>80</v>
      </c>
      <c r="O31" s="6">
        <f>SUM(C31:N31)</f>
        <v>350</v>
      </c>
      <c r="Q31" s="6">
        <f>SUM(L31:N31)</f>
        <v>290</v>
      </c>
    </row>
    <row r="32" spans="2:17">
      <c r="B32" t="s">
        <v>103</v>
      </c>
      <c r="C32" s="6">
        <f>'Cobalt-Adj'!C$39</f>
        <v>0</v>
      </c>
      <c r="D32" s="6">
        <f>'Cobalt-Adj'!D$39</f>
        <v>0</v>
      </c>
      <c r="E32" s="6">
        <f>'Cobalt-Adj'!E$39</f>
        <v>0</v>
      </c>
      <c r="F32" s="6"/>
      <c r="G32" s="6"/>
      <c r="H32" s="6">
        <f>'Cobalt-Adj'!H$39</f>
        <v>0</v>
      </c>
      <c r="I32" s="6">
        <f>'Cobalt-Adj'!I$39</f>
        <v>0</v>
      </c>
      <c r="J32" s="6">
        <f>'Cobalt-Adj'!J$39</f>
        <v>0</v>
      </c>
      <c r="K32" s="6">
        <f>'Cobalt-Adj'!K$39</f>
        <v>0.08</v>
      </c>
      <c r="L32" s="6">
        <f>'Cobalt-Adj'!L$39</f>
        <v>0.08</v>
      </c>
      <c r="M32" s="6">
        <f>'Cobalt-Adj'!M$39</f>
        <v>0.08</v>
      </c>
      <c r="N32" s="6">
        <f>'Cobalt-Adj'!N$39</f>
        <v>0.08</v>
      </c>
      <c r="O32" s="6">
        <f>SUM(C32:N32)</f>
        <v>0.32</v>
      </c>
      <c r="Q32" s="6">
        <f>SUM(L32:N32)</f>
        <v>0.24</v>
      </c>
    </row>
    <row r="33" spans="2:17">
      <c r="B33" t="s">
        <v>104</v>
      </c>
      <c r="C33" s="6">
        <f>'Delta-Adj'!C$36</f>
        <v>0</v>
      </c>
      <c r="D33" s="6">
        <f>'Delta-Adj'!D$36</f>
        <v>0</v>
      </c>
      <c r="E33" s="6">
        <f>'Delta-Adj'!E$36</f>
        <v>0</v>
      </c>
      <c r="F33" s="6">
        <f>'Delta-Adj'!F$36</f>
        <v>0</v>
      </c>
      <c r="G33" s="6">
        <f>'Delta-Adj'!G$36</f>
        <v>0</v>
      </c>
      <c r="H33" s="6">
        <f>'Delta-Adj'!H$36</f>
        <v>0</v>
      </c>
      <c r="I33" s="6">
        <f>'Delta-Adj'!I$36</f>
        <v>0</v>
      </c>
      <c r="J33" s="6">
        <f>'Delta-Adj'!J$36</f>
        <v>0</v>
      </c>
      <c r="K33" s="6">
        <f>'Delta-Adj'!K$36</f>
        <v>0</v>
      </c>
      <c r="L33" s="6">
        <f>'Delta-Adj'!L$36</f>
        <v>0</v>
      </c>
      <c r="M33" s="6">
        <f>'Delta-Adj'!M$36</f>
        <v>0</v>
      </c>
      <c r="N33" s="6">
        <f>'Delta-Adj'!N$36</f>
        <v>0</v>
      </c>
      <c r="O33" s="6">
        <f>SUM(C33:N33)</f>
        <v>0</v>
      </c>
      <c r="Q33" s="6">
        <f>SUM(L33:N33)</f>
        <v>0</v>
      </c>
    </row>
    <row r="34" spans="2:17">
      <c r="B34" t="s">
        <v>105</v>
      </c>
      <c r="C34" s="6">
        <f>'Ember-Adj'!C$36</f>
        <v>0</v>
      </c>
      <c r="D34" s="6">
        <f>'Ember-Adj'!D$36</f>
        <v>0</v>
      </c>
      <c r="E34" s="6">
        <f>'Ember-Adj'!E$36</f>
        <v>0</v>
      </c>
      <c r="F34" s="6">
        <f>'Ember-Adj'!F$36</f>
        <v>0</v>
      </c>
      <c r="G34" s="6">
        <f>'Ember-Adj'!G$36</f>
        <v>0</v>
      </c>
      <c r="H34" s="6">
        <f>'Ember-Adj'!H$36</f>
        <v>0</v>
      </c>
      <c r="I34" s="6">
        <f>'Ember-Adj'!I$36</f>
        <v>0</v>
      </c>
      <c r="J34" s="6">
        <f>'Ember-Adj'!J$36</f>
        <v>0</v>
      </c>
      <c r="K34" s="6">
        <f>'Ember-Adj'!K$36</f>
        <v>-83</v>
      </c>
      <c r="L34" s="6">
        <f>'Ember-Adj'!L$36</f>
        <v>-58</v>
      </c>
      <c r="M34" s="6">
        <f>'Ember-Adj'!M$36</f>
        <v>-19</v>
      </c>
      <c r="N34" s="6">
        <f>'Ember-Adj'!N$36</f>
        <v>0</v>
      </c>
      <c r="O34" s="6">
        <f>SUM(C34:N34)</f>
        <v>-160</v>
      </c>
      <c r="Q34" s="6">
        <f>SUM(L34:N34)</f>
        <v>-77</v>
      </c>
    </row>
    <row r="35" spans="2:17">
      <c r="B35" t="s">
        <v>106</v>
      </c>
      <c r="C35" s="6">
        <f>'Falcon-Adj'!C$36</f>
        <v>0</v>
      </c>
      <c r="D35" s="6">
        <f>'Falcon-Adj'!D$36</f>
        <v>0</v>
      </c>
      <c r="E35" s="6">
        <f>'Falcon-Adj'!E$36</f>
        <v>0</v>
      </c>
      <c r="F35" s="6">
        <f>'Falcon-Adj'!F$36</f>
        <v>0</v>
      </c>
      <c r="G35" s="6">
        <f>'Falcon-Adj'!G$36</f>
        <v>0</v>
      </c>
      <c r="H35" s="6">
        <f>'Falcon-Adj'!H$36</f>
        <v>0</v>
      </c>
      <c r="I35" s="6">
        <f>'Falcon-Adj'!I$36</f>
        <v>0</v>
      </c>
      <c r="J35" s="6">
        <f>'Falcon-Adj'!J$36</f>
        <v>0</v>
      </c>
      <c r="K35" s="6">
        <f>'Falcon-Adj'!K$36</f>
        <v>120</v>
      </c>
      <c r="L35" s="6">
        <f>'Falcon-Adj'!L$36</f>
        <v>120</v>
      </c>
      <c r="M35" s="6">
        <f>'Falcon-Adj'!M$36</f>
        <v>120</v>
      </c>
      <c r="N35" s="6">
        <f>'Falcon-Adj'!N$36</f>
        <v>120</v>
      </c>
      <c r="O35" s="6">
        <f>SUM(C35:N35)</f>
        <v>480</v>
      </c>
      <c r="Q35" s="6">
        <f>SUM(L35:N35)</f>
        <v>360</v>
      </c>
    </row>
    <row r="36" spans="2:17">
      <c r="B36" t="s">
        <v>107</v>
      </c>
      <c r="C36" s="6">
        <f>'Granite-Adj'!C$36</f>
        <v>0</v>
      </c>
      <c r="D36" s="6">
        <f>'Granite-Adj'!D$36</f>
        <v>0</v>
      </c>
      <c r="E36" s="6">
        <f>'Granite-Adj'!E$36</f>
        <v>0</v>
      </c>
      <c r="F36" s="6">
        <f>'Granite-Adj'!F$36</f>
        <v>0</v>
      </c>
      <c r="G36" s="6">
        <f>'Granite-Adj'!G$36</f>
        <v>0</v>
      </c>
      <c r="H36" s="6">
        <f>'Granite-Adj'!H$36</f>
        <v>0</v>
      </c>
      <c r="I36" s="6">
        <f>'Granite-Adj'!I$36</f>
        <v>0</v>
      </c>
      <c r="J36" s="6">
        <f>'Granite-Adj'!J$36</f>
        <v>0</v>
      </c>
      <c r="K36" s="6">
        <f>'Granite-Adj'!K$36</f>
        <v>-265</v>
      </c>
      <c r="L36" s="6">
        <f>'Granite-Adj'!L$36</f>
        <v>-127</v>
      </c>
      <c r="M36" s="6">
        <f>'Granite-Adj'!M$36</f>
        <v>-102</v>
      </c>
      <c r="N36" s="6">
        <f>'Granite-Adj'!N$36</f>
        <v>-31</v>
      </c>
      <c r="O36" s="6">
        <f>SUM(C36:N36)</f>
        <v>-525</v>
      </c>
      <c r="Q36" s="6">
        <f>SUM(L36:N36)</f>
        <v>-260</v>
      </c>
    </row>
    <row r="37" spans="2:17">
      <c r="B37" t="s">
        <v>108</v>
      </c>
      <c r="C37" s="6">
        <f>'Hollis-Adj'!C$36</f>
        <v>0</v>
      </c>
      <c r="D37" s="6">
        <f>'Hollis-Adj'!D$36</f>
        <v>0</v>
      </c>
      <c r="E37" s="6">
        <f>'Hollis-Adj'!E$36</f>
        <v>0</v>
      </c>
      <c r="F37" s="6">
        <f>'Hollis-Adj'!F$36</f>
        <v>0</v>
      </c>
      <c r="G37" s="6">
        <f>'Hollis-Adj'!G$36</f>
        <v>0</v>
      </c>
      <c r="H37" s="6">
        <f>'Hollis-Adj'!H$36</f>
        <v>0</v>
      </c>
      <c r="I37" s="6">
        <f>'Hollis-Adj'!I$36</f>
        <v>0</v>
      </c>
      <c r="J37" s="6">
        <f>'Hollis-Adj'!J$36</f>
        <v>0</v>
      </c>
      <c r="K37" s="6">
        <f>'Hollis-Adj'!K$36</f>
        <v>255</v>
      </c>
      <c r="L37" s="6">
        <f>'Hollis-Adj'!L$36</f>
        <v>-150</v>
      </c>
      <c r="M37" s="6">
        <f>'Hollis-Adj'!M$36</f>
        <v>-15</v>
      </c>
      <c r="N37" s="6">
        <f>'Hollis-Adj'!N$36</f>
        <v>210</v>
      </c>
      <c r="O37" s="6">
        <f>SUM(C37:N37)</f>
        <v>300</v>
      </c>
      <c r="Q37" s="6">
        <f>SUM(L37:N37)</f>
        <v>45</v>
      </c>
    </row>
    <row r="38" spans="2:17">
      <c r="B38" t="s">
        <v>130</v>
      </c>
      <c r="C38" s="6">
        <f>'SAFEREG-Adj'!C$36</f>
        <v>0</v>
      </c>
      <c r="D38" s="6">
        <f>'SAFEREG-Adj'!D$36</f>
        <v>0</v>
      </c>
      <c r="E38" s="6">
        <f>'SAFEREG-Adj'!E$36</f>
        <v>0</v>
      </c>
      <c r="F38" s="6">
        <f>'SAFEREG-Adj'!F$36</f>
        <v>0</v>
      </c>
      <c r="G38" s="6">
        <f>'SAFEREG-Adj'!G$36</f>
        <v>0</v>
      </c>
      <c r="H38" s="6">
        <f>'SAFEREG-Adj'!H$36</f>
        <v>0</v>
      </c>
      <c r="I38" s="6">
        <f>'SAFEREG-Adj'!I$36</f>
        <v>0</v>
      </c>
      <c r="J38" s="6">
        <f>'SAFEREG-Adj'!J$36</f>
        <v>0</v>
      </c>
      <c r="K38" s="6">
        <f>'SAFEREG-Adj'!K$36</f>
        <v>0</v>
      </c>
      <c r="L38" s="6">
        <f>'SAFEREG-Adj'!L$36</f>
        <v>0</v>
      </c>
      <c r="M38" s="6">
        <f>'SAFEREG-Adj'!M$36</f>
        <v>0</v>
      </c>
      <c r="N38" s="6">
        <f>'SAFEREG-Adj'!N$36</f>
        <v>0</v>
      </c>
      <c r="O38" s="6">
        <f>SUM(C38:N38)</f>
        <v>0</v>
      </c>
      <c r="Q38" s="6">
        <f>SUM(L38:N38)</f>
        <v>0</v>
      </c>
    </row>
    <row r="39" spans="2:17">
      <c r="B39" s="2" t="s">
        <v>135</v>
      </c>
      <c r="C39" s="9">
        <f>SUM(C30:C38)</f>
        <v>0</v>
      </c>
      <c r="D39" s="9">
        <f>SUM(D30:D38)</f>
        <v>0</v>
      </c>
      <c r="E39" s="9">
        <f>SUM(E30:E38)</f>
        <v>0</v>
      </c>
      <c r="F39" s="9">
        <f>SUM(F30:F38)</f>
        <v>0</v>
      </c>
      <c r="G39" s="9">
        <f>SUM(G30:G38)</f>
        <v>0</v>
      </c>
      <c r="H39" s="9">
        <f>SUM(H30:H38)</f>
        <v>0</v>
      </c>
      <c r="I39" s="9">
        <f>SUM(I30:I38)</f>
        <v>0</v>
      </c>
      <c r="J39" s="9">
        <f>SUM(J30:J38)</f>
        <v>0</v>
      </c>
      <c r="K39" s="9">
        <f>SUM(K30:K38)</f>
        <v>-72.920000000000016</v>
      </c>
      <c r="L39" s="9">
        <f>SUM(L30:L38)</f>
        <v>-259.92</v>
      </c>
      <c r="M39" s="9">
        <f>SUM(M30:M38)</f>
        <v>-40.92</v>
      </c>
      <c r="N39" s="9">
        <f>SUM(N30:N38)</f>
        <v>239.07999999999998</v>
      </c>
      <c r="O39" s="9">
        <f>SUM(O30:O38)</f>
        <v>-134.68</v>
      </c>
      <c r="Q39" s="6">
        <f>SUM(L39:N39)</f>
        <v>-61.760000000000048</v>
      </c>
    </row>
    <row r="41" spans="2:17">
      <c r="B41" s="2" t="s">
        <v>136</v>
      </c>
    </row>
    <row r="42" spans="2:17">
      <c r="B42" t="s">
        <v>101</v>
      </c>
      <c r="C42" s="12" t="str">
        <f>IFERROR(C54/C6,"-")</f>
        <v>-</v>
      </c>
      <c r="D42" s="12" t="str">
        <f>IFERROR(D54/D6,"-")</f>
        <v>-</v>
      </c>
      <c r="E42" s="12" t="str">
        <f>IFERROR(E54/E6,"-")</f>
        <v>-</v>
      </c>
      <c r="F42" s="12" t="str">
        <f>IFERROR(F54/F6,"-")</f>
        <v>-</v>
      </c>
      <c r="G42" s="12" t="str">
        <f>IFERROR(G54/G6,"-")</f>
        <v>-</v>
      </c>
      <c r="H42" s="12" t="str">
        <f>IFERROR(H54/H6,"-")</f>
        <v>-</v>
      </c>
      <c r="I42" s="12" t="str">
        <f>IFERROR(I54/I6,"-")</f>
        <v>-</v>
      </c>
      <c r="J42" s="12" t="str">
        <f>IFERROR(J54/J6,"-")</f>
        <v>-</v>
      </c>
      <c r="K42" s="12" t="str">
        <f>IFERROR(K54/K6,"-")</f>
        <v>-</v>
      </c>
      <c r="L42" s="12">
        <f>IFERROR(L54/L6,"-")</f>
        <v>0.1</v>
      </c>
      <c r="M42" s="12">
        <f>IFERROR(M54/M6,"-")</f>
        <v>0.1</v>
      </c>
      <c r="N42" s="12">
        <f>IFERROR(N54/N6,"-")</f>
        <v>0.1</v>
      </c>
      <c r="O42" s="12">
        <f>IFERROR(O54/O6,"-")</f>
        <v>0.5</v>
      </c>
    </row>
    <row r="43" spans="2:17">
      <c r="B43" t="s">
        <v>102</v>
      </c>
      <c r="C43" s="12" t="str">
        <f>IFERROR(C55/C7,"-")</f>
        <v>-</v>
      </c>
      <c r="D43" s="12" t="str">
        <f>IFERROR(D55/D7,"-")</f>
        <v>-</v>
      </c>
      <c r="E43" s="12" t="str">
        <f>IFERROR(E55/E7,"-")</f>
        <v>-</v>
      </c>
      <c r="F43" s="12" t="str">
        <f>IFERROR(F55/F7,"-")</f>
        <v>-</v>
      </c>
      <c r="G43" s="12" t="str">
        <f>IFERROR(G55/G7,"-")</f>
        <v>-</v>
      </c>
      <c r="H43" s="12" t="str">
        <f>IFERROR(H55/H7,"-")</f>
        <v>-</v>
      </c>
      <c r="I43" s="12" t="str">
        <f>IFERROR(I55/I7,"-")</f>
        <v>-</v>
      </c>
      <c r="J43" s="12" t="str">
        <f>IFERROR(J55/J7,"-")</f>
        <v>-</v>
      </c>
      <c r="K43" s="12">
        <f>IFERROR(K55/K7,"-")</f>
        <v>0.50666666666666671</v>
      </c>
      <c r="L43" s="12">
        <f>IFERROR(L55/L7,"-")</f>
        <v>0.04</v>
      </c>
      <c r="M43" s="12">
        <f>IFERROR(M55/M7,"-")</f>
        <v>0.04</v>
      </c>
      <c r="N43" s="12">
        <f>IFERROR(N55/N7,"-")</f>
        <v>0.04</v>
      </c>
      <c r="O43" s="12">
        <f>IFERROR(O55/O7,"-")</f>
        <v>0.11777777777777777</v>
      </c>
    </row>
    <row r="44" spans="2:17">
      <c r="B44" t="s">
        <v>103</v>
      </c>
      <c r="C44" s="12" t="str">
        <f>IFERROR(C56/C8,"-")</f>
        <v>-</v>
      </c>
      <c r="D44" s="12" t="str">
        <f>IFERROR(D56/D8,"-")</f>
        <v>-</v>
      </c>
      <c r="E44" s="12" t="str">
        <f>IFERROR(E56/E8,"-")</f>
        <v>-</v>
      </c>
      <c r="F44" s="12" t="str">
        <f>IFERROR(F56/F8,"-")</f>
        <v>-</v>
      </c>
      <c r="G44" s="12" t="str">
        <f>IFERROR(G56/G8,"-")</f>
        <v>-</v>
      </c>
      <c r="H44" s="12" t="str">
        <f>IFERROR(H56/H8,"-")</f>
        <v>-</v>
      </c>
      <c r="I44" s="12" t="str">
        <f>IFERROR(I56/I8,"-")</f>
        <v>-</v>
      </c>
      <c r="J44" s="12" t="str">
        <f>IFERROR(J56/J8,"-")</f>
        <v>-</v>
      </c>
      <c r="K44" s="12">
        <f>IFERROR(K56/K8,"-")</f>
        <v>-0.2</v>
      </c>
      <c r="L44" s="12">
        <f>IFERROR(L56/L8,"-")</f>
        <v>0.3</v>
      </c>
      <c r="M44" s="12">
        <f>IFERROR(M56/M8,"-")</f>
        <v>0.3</v>
      </c>
      <c r="N44" s="12">
        <f>IFERROR(N56/N8,"-")</f>
        <v>0.3</v>
      </c>
      <c r="O44" s="12">
        <f>IFERROR(O56/O8,"-")</f>
        <v>0.2</v>
      </c>
    </row>
    <row r="45" spans="2:17">
      <c r="B45" t="s">
        <v>104</v>
      </c>
      <c r="C45" s="12" t="str">
        <f>IFERROR(C57/C9,"-")</f>
        <v>-</v>
      </c>
      <c r="D45" s="12" t="str">
        <f>IFERROR(D57/D9,"-")</f>
        <v>-</v>
      </c>
      <c r="E45" s="12" t="str">
        <f>IFERROR(E57/E9,"-")</f>
        <v>-</v>
      </c>
      <c r="F45" s="12" t="str">
        <f>IFERROR(F57/F9,"-")</f>
        <v>-</v>
      </c>
      <c r="G45" s="12" t="str">
        <f>IFERROR(G57/G9,"-")</f>
        <v>-</v>
      </c>
      <c r="H45" s="12" t="str">
        <f>IFERROR(H57/H9,"-")</f>
        <v>-</v>
      </c>
      <c r="I45" s="12" t="str">
        <f>IFERROR(I57/I9,"-")</f>
        <v>-</v>
      </c>
      <c r="J45" s="12" t="str">
        <f>IFERROR(J57/J9,"-")</f>
        <v>-</v>
      </c>
      <c r="K45" s="12" t="str">
        <f>IFERROR(K57/K9,"-")</f>
        <v>-</v>
      </c>
      <c r="L45" s="12" t="str">
        <f>IFERROR(L57/L9,"-")</f>
        <v>-</v>
      </c>
      <c r="M45" s="12" t="str">
        <f>IFERROR(M57/M9,"-")</f>
        <v>-</v>
      </c>
      <c r="N45" s="12" t="str">
        <f>IFERROR(N57/N9,"-")</f>
        <v>-</v>
      </c>
      <c r="O45" s="12" t="str">
        <f>IFERROR(O57/O9,"-")</f>
        <v>-</v>
      </c>
    </row>
    <row r="46" spans="2:17">
      <c r="B46" t="s">
        <v>105</v>
      </c>
      <c r="C46" s="12" t="str">
        <f>IFERROR(C58/C10,"-")</f>
        <v>-</v>
      </c>
      <c r="D46" s="12" t="str">
        <f>IFERROR(D58/D10,"-")</f>
        <v>-</v>
      </c>
      <c r="E46" s="12" t="str">
        <f>IFERROR(E58/E10,"-")</f>
        <v>-</v>
      </c>
      <c r="F46" s="12" t="str">
        <f>IFERROR(F58/F10,"-")</f>
        <v>-</v>
      </c>
      <c r="G46" s="12" t="str">
        <f>IFERROR(G58/G10,"-")</f>
        <v>-</v>
      </c>
      <c r="H46" s="12" t="str">
        <f>IFERROR(H58/H10,"-")</f>
        <v>-</v>
      </c>
      <c r="I46" s="12" t="str">
        <f>IFERROR(I58/I10,"-")</f>
        <v>-</v>
      </c>
      <c r="J46" s="12" t="str">
        <f>IFERROR(J58/J10,"-")</f>
        <v>-</v>
      </c>
      <c r="K46" s="12">
        <f>IFERROR(K58/K10,"-")</f>
        <v>3.8461538461538464E-2</v>
      </c>
      <c r="L46" s="12">
        <f>IFERROR(L58/L10,"-")</f>
        <v>5.5555555555555552E-2</v>
      </c>
      <c r="M46" s="12">
        <f>IFERROR(M58/M10,"-")</f>
        <v>0.16666666666666666</v>
      </c>
      <c r="N46" s="12" t="str">
        <f>IFERROR(N58/N10,"-")</f>
        <v>-</v>
      </c>
      <c r="O46" s="12">
        <f>IFERROR(O58/O10,"-")</f>
        <v>0.08</v>
      </c>
    </row>
    <row r="47" spans="2:17">
      <c r="B47" t="s">
        <v>106</v>
      </c>
      <c r="C47" s="12" t="str">
        <f>IFERROR(C59/C11,"-")</f>
        <v>-</v>
      </c>
      <c r="D47" s="12" t="str">
        <f>IFERROR(D59/D11,"-")</f>
        <v>-</v>
      </c>
      <c r="E47" s="12" t="str">
        <f>IFERROR(E59/E11,"-")</f>
        <v>-</v>
      </c>
      <c r="F47" s="12" t="str">
        <f>IFERROR(F59/F11,"-")</f>
        <v>-</v>
      </c>
      <c r="G47" s="12" t="str">
        <f>IFERROR(G59/G11,"-")</f>
        <v>-</v>
      </c>
      <c r="H47" s="12" t="str">
        <f>IFERROR(H59/H11,"-")</f>
        <v>-</v>
      </c>
      <c r="I47" s="12" t="str">
        <f>IFERROR(I59/I11,"-")</f>
        <v>-</v>
      </c>
      <c r="J47" s="12" t="str">
        <f>IFERROR(J59/J11,"-")</f>
        <v>-</v>
      </c>
      <c r="K47" s="12">
        <f>IFERROR(K59/K11,"-")</f>
        <v>0.36666666666666664</v>
      </c>
      <c r="L47" s="12">
        <f>IFERROR(L59/L11,"-")</f>
        <v>0.05</v>
      </c>
      <c r="M47" s="12">
        <f>IFERROR(M59/M11,"-")</f>
        <v>0.05</v>
      </c>
      <c r="N47" s="12">
        <f>IFERROR(N59/N11,"-")</f>
        <v>3.3333333333333333E-2</v>
      </c>
      <c r="O47" s="12">
        <f>IFERROR(O59/O11,"-")</f>
        <v>0.125</v>
      </c>
    </row>
    <row r="48" spans="2:17">
      <c r="B48" t="s">
        <v>107</v>
      </c>
      <c r="C48" s="12" t="str">
        <f>IFERROR(C60/C12,"-")</f>
        <v>-</v>
      </c>
      <c r="D48" s="12" t="str">
        <f>IFERROR(D60/D12,"-")</f>
        <v>-</v>
      </c>
      <c r="E48" s="12" t="str">
        <f>IFERROR(E60/E12,"-")</f>
        <v>-</v>
      </c>
      <c r="F48" s="12" t="str">
        <f>IFERROR(F60/F12,"-")</f>
        <v>-</v>
      </c>
      <c r="G48" s="12" t="str">
        <f>IFERROR(G60/G12,"-")</f>
        <v>-</v>
      </c>
      <c r="H48" s="12" t="str">
        <f>IFERROR(H60/H12,"-")</f>
        <v>-</v>
      </c>
      <c r="I48" s="12" t="str">
        <f>IFERROR(I60/I12,"-")</f>
        <v>-</v>
      </c>
      <c r="J48" s="12" t="str">
        <f>IFERROR(J60/J12,"-")</f>
        <v>-</v>
      </c>
      <c r="K48" s="12">
        <f>IFERROR(K60/K12,"-")</f>
        <v>9.7674418604651161E-2</v>
      </c>
      <c r="L48" s="12">
        <f>IFERROR(L60/L12,"-")</f>
        <v>0.17599999999999999</v>
      </c>
      <c r="M48" s="12">
        <f>IFERROR(M60/M12,"-")</f>
        <v>0.20499999999999999</v>
      </c>
      <c r="N48" s="12">
        <f>IFERROR(N60/N12,"-")</f>
        <v>0.15666666666666668</v>
      </c>
      <c r="O48" s="12">
        <f>IFERROR(O60/O12,"-")</f>
        <v>0.14745762711864407</v>
      </c>
    </row>
    <row r="49" spans="2:17">
      <c r="B49" t="s">
        <v>108</v>
      </c>
      <c r="C49" s="12" t="str">
        <f>IFERROR(C61/C13,"-")</f>
        <v>-</v>
      </c>
      <c r="D49" s="12" t="str">
        <f>IFERROR(D61/D13,"-")</f>
        <v>-</v>
      </c>
      <c r="E49" s="12" t="str">
        <f>IFERROR(E61/E13,"-")</f>
        <v>-</v>
      </c>
      <c r="F49" s="12" t="str">
        <f>IFERROR(F61/F13,"-")</f>
        <v>-</v>
      </c>
      <c r="G49" s="12" t="str">
        <f>IFERROR(G61/G13,"-")</f>
        <v>-</v>
      </c>
      <c r="H49" s="12" t="str">
        <f>IFERROR(H61/H13,"-")</f>
        <v>-</v>
      </c>
      <c r="I49" s="12" t="str">
        <f>IFERROR(I61/I13,"-")</f>
        <v>-</v>
      </c>
      <c r="J49" s="12" t="str">
        <f>IFERROR(J61/J13,"-")</f>
        <v>-</v>
      </c>
      <c r="K49" s="12">
        <f>IFERROR(K61/K13,"-")</f>
        <v>-1.7647058823529412E-2</v>
      </c>
      <c r="L49" s="12">
        <f>IFERROR(L61/L13,"-")</f>
        <v>0.12</v>
      </c>
      <c r="M49" s="12">
        <f>IFERROR(M61/M13,"-")</f>
        <v>0.45</v>
      </c>
      <c r="N49" s="12">
        <f>IFERROR(N61/N13,"-")</f>
        <v>-0.6</v>
      </c>
      <c r="O49" s="12">
        <f>IFERROR(O61/O13,"-")</f>
        <v>-0.85</v>
      </c>
    </row>
    <row r="50" spans="2:17">
      <c r="B50" t="s">
        <v>130</v>
      </c>
      <c r="C50" s="12" t="str">
        <f>IFERROR(C62/C14,"-")</f>
        <v>-</v>
      </c>
      <c r="D50" s="12" t="str">
        <f>IFERROR(D62/D14,"-")</f>
        <v>-</v>
      </c>
      <c r="E50" s="12" t="str">
        <f>IFERROR(E62/E14,"-")</f>
        <v>-</v>
      </c>
      <c r="F50" s="12" t="str">
        <f>IFERROR(F62/F14,"-")</f>
        <v>-</v>
      </c>
      <c r="G50" s="12" t="str">
        <f>IFERROR(G62/G14,"-")</f>
        <v>-</v>
      </c>
      <c r="H50" s="12" t="str">
        <f>IFERROR(H62/H14,"-")</f>
        <v>-</v>
      </c>
      <c r="I50" s="12" t="str">
        <f>IFERROR(I62/I14,"-")</f>
        <v>-</v>
      </c>
      <c r="J50" s="12" t="str">
        <f>IFERROR(J62/J14,"-")</f>
        <v>-</v>
      </c>
      <c r="K50" s="12" t="str">
        <f>IFERROR(K62/K14,"-")</f>
        <v>-</v>
      </c>
      <c r="L50" s="12" t="str">
        <f>IFERROR(L62/L14,"-")</f>
        <v>-</v>
      </c>
      <c r="M50" s="12" t="str">
        <f>IFERROR(M62/M14,"-")</f>
        <v>-</v>
      </c>
      <c r="N50" s="12" t="str">
        <f>IFERROR(N62/N14,"-")</f>
        <v>-</v>
      </c>
      <c r="O50" s="12" t="str">
        <f>IFERROR(O62/O14,"-")</f>
        <v>-</v>
      </c>
    </row>
    <row r="51" spans="2:17">
      <c r="B51" s="2" t="s">
        <v>137</v>
      </c>
      <c r="C51" s="14" t="str">
        <f>IFERROR(C63/C15,"-")</f>
        <v>-</v>
      </c>
      <c r="D51" s="14" t="str">
        <f>IFERROR(D63/D15,"-")</f>
        <v>-</v>
      </c>
      <c r="E51" s="14" t="str">
        <f>IFERROR(E63/E15,"-")</f>
        <v>-</v>
      </c>
      <c r="F51" s="14" t="str">
        <f>IFERROR(F63/F15,"-")</f>
        <v>-</v>
      </c>
      <c r="G51" s="14" t="str">
        <f>IFERROR(G63/G15,"-")</f>
        <v>-</v>
      </c>
      <c r="H51" s="14" t="str">
        <f>IFERROR(H63/H15,"-")</f>
        <v>-</v>
      </c>
      <c r="I51" s="14" t="str">
        <f>IFERROR(I63/I15,"-")</f>
        <v>-</v>
      </c>
      <c r="J51" s="14" t="str">
        <f>IFERROR(J63/J15,"-")</f>
        <v>-</v>
      </c>
      <c r="K51" s="14">
        <f>IFERROR(K63/K15,"-")</f>
        <v>-9.5302013422818799E-2</v>
      </c>
      <c r="L51" s="14">
        <f>IFERROR(L63/L15,"-")</f>
        <v>0.15096153846153845</v>
      </c>
      <c r="M51" s="14">
        <f>IFERROR(M63/M15,"-")</f>
        <v>0.96363636363636362</v>
      </c>
      <c r="N51" s="14">
        <f>IFERROR(N63/N15,"-")</f>
        <v>-0.66764705882352937</v>
      </c>
      <c r="O51" s="14">
        <f>IFERROR(O63/O15,"-")</f>
        <v>-1.2947368421052632</v>
      </c>
    </row>
    <row r="53" spans="2:17">
      <c r="B53" s="2" t="s">
        <v>138</v>
      </c>
    </row>
    <row r="54" spans="2:17">
      <c r="B54" t="s">
        <v>101</v>
      </c>
      <c r="C54" s="6">
        <f>'Alder-Adj'!C$58</f>
        <v>0</v>
      </c>
      <c r="D54" s="6">
        <f>'Alder-Adj'!D$58</f>
        <v>0</v>
      </c>
      <c r="E54" s="6">
        <f>'Alder-Adj'!E$58</f>
        <v>0</v>
      </c>
      <c r="F54" s="6">
        <f>'Alder-Adj'!F$58</f>
        <v>0</v>
      </c>
      <c r="G54" s="6">
        <f>'Alder-Adj'!G$58</f>
        <v>0</v>
      </c>
      <c r="H54" s="6">
        <f>'Alder-Adj'!H$58</f>
        <v>0</v>
      </c>
      <c r="I54" s="6">
        <f>'Alder-Adj'!I$58</f>
        <v>0</v>
      </c>
      <c r="J54" s="6">
        <f>'Alder-Adj'!J$58</f>
        <v>0</v>
      </c>
      <c r="K54" s="6">
        <f>'Alder-Adj'!K$58</f>
        <v>-240</v>
      </c>
      <c r="L54" s="6">
        <f>'Alder-Adj'!L$58</f>
        <v>-20</v>
      </c>
      <c r="M54" s="6">
        <f>'Alder-Adj'!M$58</f>
        <v>-20</v>
      </c>
      <c r="N54" s="6">
        <f>'Alder-Adj'!N$58</f>
        <v>-20</v>
      </c>
      <c r="O54" s="6">
        <f>SUM(C54:N54)</f>
        <v>-300</v>
      </c>
      <c r="Q54" s="6">
        <f>SUM(L54:N54)</f>
        <v>-60</v>
      </c>
    </row>
    <row r="55" spans="2:17">
      <c r="B55" t="s">
        <v>102</v>
      </c>
      <c r="C55" s="6">
        <f>'Beacon-Adj'!C$58</f>
        <v>0</v>
      </c>
      <c r="D55" s="6">
        <f>'Beacon-Adj'!D$58</f>
        <v>0</v>
      </c>
      <c r="E55" s="6">
        <f>'Beacon-Adj'!E$58</f>
        <v>0</v>
      </c>
      <c r="F55" s="6">
        <f>'Beacon-Adj'!F$58</f>
        <v>0</v>
      </c>
      <c r="G55" s="6">
        <f>'Beacon-Adj'!G$58</f>
        <v>0</v>
      </c>
      <c r="H55" s="6">
        <f>'Beacon-Adj'!H$58</f>
        <v>0</v>
      </c>
      <c r="I55" s="6">
        <f>'Beacon-Adj'!I$58</f>
        <v>0</v>
      </c>
      <c r="J55" s="6">
        <f>'Beacon-Adj'!J$58</f>
        <v>0</v>
      </c>
      <c r="K55" s="6">
        <f>'Beacon-Adj'!K$58</f>
        <v>76</v>
      </c>
      <c r="L55" s="6">
        <f>'Beacon-Adj'!L$58</f>
        <v>10</v>
      </c>
      <c r="M55" s="6">
        <f>'Beacon-Adj'!M$58</f>
        <v>12</v>
      </c>
      <c r="N55" s="6">
        <f>'Beacon-Adj'!N$58</f>
        <v>8</v>
      </c>
      <c r="O55" s="6">
        <f>SUM(C55:N55)</f>
        <v>106</v>
      </c>
      <c r="Q55" s="6">
        <f>SUM(L55:N55)</f>
        <v>30</v>
      </c>
    </row>
    <row r="56" spans="2:17">
      <c r="B56" t="s">
        <v>103</v>
      </c>
      <c r="C56" s="6">
        <f>'Cobalt-Adj'!C$58</f>
        <v>0</v>
      </c>
      <c r="D56" s="6">
        <f>'Cobalt-Adj'!D$58</f>
        <v>0</v>
      </c>
      <c r="E56" s="6">
        <f>'Cobalt-Adj'!E$58</f>
        <v>0</v>
      </c>
      <c r="F56" s="6">
        <f>'Cobalt-Adj'!F$58</f>
        <v>0</v>
      </c>
      <c r="G56" s="6">
        <f>'Cobalt-Adj'!G$58</f>
        <v>0</v>
      </c>
      <c r="H56" s="6">
        <f>'Cobalt-Adj'!H$58</f>
        <v>0</v>
      </c>
      <c r="I56" s="6">
        <f>'Cobalt-Adj'!I$58</f>
        <v>0</v>
      </c>
      <c r="J56" s="6">
        <f>'Cobalt-Adj'!J$58</f>
        <v>0</v>
      </c>
      <c r="K56" s="6">
        <f>'Cobalt-Adj'!K$58</f>
        <v>-6</v>
      </c>
      <c r="L56" s="6">
        <f>'Cobalt-Adj'!L$58</f>
        <v>12</v>
      </c>
      <c r="M56" s="6">
        <f>'Cobalt-Adj'!M$58</f>
        <v>12</v>
      </c>
      <c r="N56" s="6">
        <f>'Cobalt-Adj'!N$58</f>
        <v>12</v>
      </c>
      <c r="O56" s="6">
        <f>SUM(C56:N56)</f>
        <v>30</v>
      </c>
      <c r="Q56" s="6">
        <f>SUM(L56:N56)</f>
        <v>36</v>
      </c>
    </row>
    <row r="57" spans="2:17">
      <c r="B57" t="s">
        <v>104</v>
      </c>
      <c r="C57" s="6">
        <f>'Delta-Adj'!C$58</f>
        <v>0</v>
      </c>
      <c r="D57" s="6">
        <f>'Delta-Adj'!D$58</f>
        <v>0</v>
      </c>
      <c r="E57" s="6">
        <f>'Delta-Adj'!E$58</f>
        <v>0</v>
      </c>
      <c r="F57" s="6">
        <f>'Delta-Adj'!F$58</f>
        <v>0</v>
      </c>
      <c r="G57" s="6">
        <f>'Delta-Adj'!G$58</f>
        <v>0</v>
      </c>
      <c r="H57" s="6">
        <f>'Delta-Adj'!H$58</f>
        <v>0</v>
      </c>
      <c r="I57" s="6">
        <f>'Delta-Adj'!I$58</f>
        <v>0</v>
      </c>
      <c r="J57" s="6">
        <f>'Delta-Adj'!J$58</f>
        <v>0</v>
      </c>
      <c r="K57" s="6">
        <f>'Delta-Adj'!K$58</f>
        <v>0</v>
      </c>
      <c r="L57" s="6">
        <f>'Delta-Adj'!L$58</f>
        <v>0</v>
      </c>
      <c r="M57" s="6">
        <f>'Delta-Adj'!M$58</f>
        <v>0</v>
      </c>
      <c r="N57" s="6">
        <f>'Delta-Adj'!N$58</f>
        <v>0</v>
      </c>
      <c r="O57" s="6">
        <f>SUM(C57:N57)</f>
        <v>0</v>
      </c>
      <c r="Q57" s="6">
        <f>SUM(L57:N57)</f>
        <v>0</v>
      </c>
    </row>
    <row r="58" spans="2:17">
      <c r="B58" t="s">
        <v>105</v>
      </c>
      <c r="C58" s="6">
        <f>'Ember-Adj'!C$58</f>
        <v>0</v>
      </c>
      <c r="D58" s="6">
        <f>'Ember-Adj'!D$58</f>
        <v>0</v>
      </c>
      <c r="E58" s="6">
        <f>'Ember-Adj'!E$58</f>
        <v>0</v>
      </c>
      <c r="F58" s="6">
        <f>'Ember-Adj'!F$58</f>
        <v>0</v>
      </c>
      <c r="G58" s="6">
        <f>'Ember-Adj'!G$58</f>
        <v>0</v>
      </c>
      <c r="H58" s="6">
        <f>'Ember-Adj'!H$58</f>
        <v>0</v>
      </c>
      <c r="I58" s="6">
        <f>'Ember-Adj'!I$58</f>
        <v>0</v>
      </c>
      <c r="J58" s="6">
        <f>'Ember-Adj'!J$58</f>
        <v>0</v>
      </c>
      <c r="K58" s="6">
        <f>'Ember-Adj'!K$58</f>
        <v>-10</v>
      </c>
      <c r="L58" s="6">
        <f>'Ember-Adj'!L$58</f>
        <v>-10</v>
      </c>
      <c r="M58" s="6">
        <f>'Ember-Adj'!M$58</f>
        <v>-10</v>
      </c>
      <c r="N58" s="6">
        <f>'Ember-Adj'!N$58</f>
        <v>-10</v>
      </c>
      <c r="O58" s="6">
        <f>SUM(C58:N58)</f>
        <v>-40</v>
      </c>
      <c r="Q58" s="6">
        <f>SUM(L58:N58)</f>
        <v>-30</v>
      </c>
    </row>
    <row r="59" spans="2:17">
      <c r="B59" t="s">
        <v>106</v>
      </c>
      <c r="C59" s="6">
        <f>'Falcon-Adj'!C$58</f>
        <v>0</v>
      </c>
      <c r="D59" s="6">
        <f>'Falcon-Adj'!D$58</f>
        <v>0</v>
      </c>
      <c r="E59" s="6">
        <f>'Falcon-Adj'!E$58</f>
        <v>0</v>
      </c>
      <c r="F59" s="6">
        <f>'Falcon-Adj'!F$58</f>
        <v>0</v>
      </c>
      <c r="G59" s="6">
        <f>'Falcon-Adj'!G$58</f>
        <v>0</v>
      </c>
      <c r="H59" s="6">
        <f>'Falcon-Adj'!H$58</f>
        <v>0</v>
      </c>
      <c r="I59" s="6">
        <f>'Falcon-Adj'!I$58</f>
        <v>0</v>
      </c>
      <c r="J59" s="6">
        <f>'Falcon-Adj'!J$58</f>
        <v>0</v>
      </c>
      <c r="K59" s="6">
        <f>'Falcon-Adj'!K$58</f>
        <v>110</v>
      </c>
      <c r="L59" s="6">
        <f>'Falcon-Adj'!L$58</f>
        <v>15</v>
      </c>
      <c r="M59" s="6">
        <f>'Falcon-Adj'!M$58</f>
        <v>15</v>
      </c>
      <c r="N59" s="6">
        <f>'Falcon-Adj'!N$58</f>
        <v>10</v>
      </c>
      <c r="O59" s="6">
        <f>SUM(C59:N59)</f>
        <v>150</v>
      </c>
      <c r="Q59" s="6">
        <f>SUM(L59:N59)</f>
        <v>40</v>
      </c>
    </row>
    <row r="60" spans="2:17">
      <c r="B60" t="s">
        <v>107</v>
      </c>
      <c r="C60" s="6">
        <f>'Granite-Adj'!C$58</f>
        <v>0</v>
      </c>
      <c r="D60" s="6">
        <f>'Granite-Adj'!D$58</f>
        <v>0</v>
      </c>
      <c r="E60" s="6">
        <f>'Granite-Adj'!E$58</f>
        <v>0</v>
      </c>
      <c r="F60" s="6">
        <f>'Granite-Adj'!F$58</f>
        <v>0</v>
      </c>
      <c r="G60" s="6">
        <f>'Granite-Adj'!G$58</f>
        <v>0</v>
      </c>
      <c r="H60" s="6">
        <f>'Granite-Adj'!H$58</f>
        <v>0</v>
      </c>
      <c r="I60" s="6">
        <f>'Granite-Adj'!I$58</f>
        <v>0</v>
      </c>
      <c r="J60" s="6">
        <f>'Granite-Adj'!J$58</f>
        <v>0</v>
      </c>
      <c r="K60" s="6">
        <f>'Granite-Adj'!K$58</f>
        <v>-42</v>
      </c>
      <c r="L60" s="6">
        <f>'Granite-Adj'!L$58</f>
        <v>-44</v>
      </c>
      <c r="M60" s="6">
        <f>'Granite-Adj'!M$58</f>
        <v>-41</v>
      </c>
      <c r="N60" s="6">
        <f>'Granite-Adj'!N$58</f>
        <v>-47</v>
      </c>
      <c r="O60" s="6">
        <f>SUM(C60:N60)</f>
        <v>-174</v>
      </c>
      <c r="Q60" s="6">
        <f>SUM(L60:N60)</f>
        <v>-132</v>
      </c>
    </row>
    <row r="61" spans="2:17">
      <c r="B61" t="s">
        <v>108</v>
      </c>
      <c r="C61" s="6">
        <f>'Hollis-Adj'!C$58</f>
        <v>0</v>
      </c>
      <c r="D61" s="6">
        <f>'Hollis-Adj'!D$58</f>
        <v>0</v>
      </c>
      <c r="E61" s="6">
        <f>'Hollis-Adj'!E$58</f>
        <v>0</v>
      </c>
      <c r="F61" s="6">
        <f>'Hollis-Adj'!F$58</f>
        <v>0</v>
      </c>
      <c r="G61" s="6">
        <f>'Hollis-Adj'!G$58</f>
        <v>0</v>
      </c>
      <c r="H61" s="6">
        <f>'Hollis-Adj'!H$58</f>
        <v>0</v>
      </c>
      <c r="I61" s="6">
        <f>'Hollis-Adj'!I$58</f>
        <v>0</v>
      </c>
      <c r="J61" s="6">
        <f>'Hollis-Adj'!J$58</f>
        <v>0</v>
      </c>
      <c r="K61" s="6">
        <f>'Hollis-Adj'!K$58</f>
        <v>-30</v>
      </c>
      <c r="L61" s="6">
        <f>'Hollis-Adj'!L$58</f>
        <v>-120</v>
      </c>
      <c r="M61" s="6">
        <f>'Hollis-Adj'!M$58</f>
        <v>-180</v>
      </c>
      <c r="N61" s="6">
        <f>'Hollis-Adj'!N$58</f>
        <v>-180</v>
      </c>
      <c r="O61" s="6">
        <f>SUM(C61:N61)</f>
        <v>-510</v>
      </c>
      <c r="Q61" s="6">
        <f>SUM(L61:N61)</f>
        <v>-480</v>
      </c>
    </row>
    <row r="62" spans="2:17">
      <c r="B62" t="s">
        <v>130</v>
      </c>
      <c r="C62" s="6">
        <f>'SAFEREG-Adj'!C$58</f>
        <v>0</v>
      </c>
      <c r="D62" s="6">
        <f>'SAFEREG-Adj'!D$58</f>
        <v>0</v>
      </c>
      <c r="E62" s="6">
        <f>'SAFEREG-Adj'!E$58</f>
        <v>0</v>
      </c>
      <c r="F62" s="6">
        <f>'SAFEREG-Adj'!F$58</f>
        <v>0</v>
      </c>
      <c r="G62" s="6">
        <f>'SAFEREG-Adj'!G$58</f>
        <v>0</v>
      </c>
      <c r="H62" s="6">
        <f>'SAFEREG-Adj'!H$58</f>
        <v>0</v>
      </c>
      <c r="I62" s="6">
        <f>'SAFEREG-Adj'!I$58</f>
        <v>0</v>
      </c>
      <c r="J62" s="6">
        <f>'SAFEREG-Adj'!J$58</f>
        <v>0</v>
      </c>
      <c r="K62" s="6">
        <f>'SAFEREG-Adj'!K$58</f>
        <v>0</v>
      </c>
      <c r="L62" s="6">
        <f>'SAFEREG-Adj'!L$58</f>
        <v>0</v>
      </c>
      <c r="M62" s="6">
        <f>'SAFEREG-Adj'!M$58</f>
        <v>0</v>
      </c>
      <c r="N62" s="6">
        <f>'SAFEREG-Adj'!N$58</f>
        <v>0</v>
      </c>
      <c r="O62" s="6">
        <f>SUM(C62:N62)</f>
        <v>0</v>
      </c>
      <c r="Q62" s="6">
        <f>SUM(L62:N62)</f>
        <v>0</v>
      </c>
    </row>
    <row r="63" spans="2:17">
      <c r="B63" s="2" t="s">
        <v>139</v>
      </c>
      <c r="C63" s="9">
        <f>SUM(C54:C62)</f>
        <v>0</v>
      </c>
      <c r="D63" s="9">
        <f>SUM(D54:D62)</f>
        <v>0</v>
      </c>
      <c r="E63" s="9">
        <f>SUM(E54:E62)</f>
        <v>0</v>
      </c>
      <c r="F63" s="9">
        <f>SUM(F54:F62)</f>
        <v>0</v>
      </c>
      <c r="G63" s="9">
        <f>SUM(G54:G62)</f>
        <v>0</v>
      </c>
      <c r="H63" s="9">
        <f>SUM(H54:H62)</f>
        <v>0</v>
      </c>
      <c r="I63" s="9">
        <f>SUM(I54:I62)</f>
        <v>0</v>
      </c>
      <c r="J63" s="9">
        <f>SUM(J54:J62)</f>
        <v>0</v>
      </c>
      <c r="K63" s="9">
        <f>SUM(K54:K62)</f>
        <v>-142</v>
      </c>
      <c r="L63" s="9">
        <f>SUM(L54:L62)</f>
        <v>-157</v>
      </c>
      <c r="M63" s="9">
        <f>SUM(M54:M62)</f>
        <v>-212</v>
      </c>
      <c r="N63" s="9">
        <f>SUM(N54:N62)</f>
        <v>-227</v>
      </c>
      <c r="O63" s="9">
        <f>SUM(O54:O62)</f>
        <v>-738</v>
      </c>
      <c r="Q63" s="6">
        <f>SUM(L63:N63)</f>
        <v>-596</v>
      </c>
    </row>
    <row r="65" spans="2:17">
      <c r="B65" s="2" t="s">
        <v>113</v>
      </c>
    </row>
    <row r="66" spans="2:17">
      <c r="B66" t="s">
        <v>101</v>
      </c>
      <c r="C66" s="6">
        <f>C30-C54</f>
        <v>0</v>
      </c>
      <c r="D66" s="6">
        <f>D30-D54</f>
        <v>0</v>
      </c>
      <c r="E66" s="6">
        <f>E30-E54</f>
        <v>0</v>
      </c>
      <c r="F66" s="6">
        <f>F30-F54</f>
        <v>0</v>
      </c>
      <c r="G66" s="6">
        <f>G30-G54</f>
        <v>0</v>
      </c>
      <c r="H66" s="6">
        <f>H30-H54</f>
        <v>0</v>
      </c>
      <c r="I66" s="6">
        <f>I30-I54</f>
        <v>0</v>
      </c>
      <c r="J66" s="6">
        <f>J30-J54</f>
        <v>0</v>
      </c>
      <c r="K66" s="6">
        <f>K30-K54</f>
        <v>80</v>
      </c>
      <c r="L66" s="6">
        <f>L30-L54</f>
        <v>-120</v>
      </c>
      <c r="M66" s="6">
        <f>M30-M54</f>
        <v>-120</v>
      </c>
      <c r="N66" s="6">
        <f>N30-N54</f>
        <v>-120</v>
      </c>
      <c r="O66" s="6">
        <f>SUM(C66:N66)</f>
        <v>-280</v>
      </c>
      <c r="Q66" s="6">
        <f>SUM(L66:N66)</f>
        <v>-360</v>
      </c>
    </row>
    <row r="67" spans="2:17">
      <c r="B67" t="s">
        <v>102</v>
      </c>
      <c r="C67" s="6">
        <f>C31-C55</f>
        <v>0</v>
      </c>
      <c r="D67" s="6">
        <f>D31-D55</f>
        <v>0</v>
      </c>
      <c r="E67" s="6">
        <f>E31-E55</f>
        <v>0</v>
      </c>
      <c r="F67" s="6">
        <f>F31-F55</f>
        <v>0</v>
      </c>
      <c r="G67" s="6">
        <f>G31-G55</f>
        <v>0</v>
      </c>
      <c r="H67" s="6">
        <f>H31-H55</f>
        <v>0</v>
      </c>
      <c r="I67" s="6">
        <f>I31-I55</f>
        <v>0</v>
      </c>
      <c r="J67" s="6">
        <f>J31-J55</f>
        <v>0</v>
      </c>
      <c r="K67" s="6">
        <f>K31-K55</f>
        <v>-16</v>
      </c>
      <c r="L67" s="6">
        <f>L31-L55</f>
        <v>85</v>
      </c>
      <c r="M67" s="6">
        <f>M31-M55</f>
        <v>103</v>
      </c>
      <c r="N67" s="6">
        <f>N31-N55</f>
        <v>72</v>
      </c>
      <c r="O67" s="6">
        <f>SUM(C67:N67)</f>
        <v>244</v>
      </c>
      <c r="Q67" s="6">
        <f>SUM(L67:N67)</f>
        <v>260</v>
      </c>
    </row>
    <row r="68" spans="2:17">
      <c r="B68" t="s">
        <v>103</v>
      </c>
      <c r="C68" s="6">
        <f>C32-C56</f>
        <v>0</v>
      </c>
      <c r="D68" s="6">
        <f>D32-D56</f>
        <v>0</v>
      </c>
      <c r="E68" s="6">
        <f>E32-E56</f>
        <v>0</v>
      </c>
      <c r="F68" s="6">
        <f>F32-F56</f>
        <v>0</v>
      </c>
      <c r="G68" s="6">
        <f>G32-G56</f>
        <v>0</v>
      </c>
      <c r="H68" s="6">
        <f>H32-H56</f>
        <v>0</v>
      </c>
      <c r="I68" s="6">
        <f>I32-I56</f>
        <v>0</v>
      </c>
      <c r="J68" s="6">
        <f>J32-J56</f>
        <v>0</v>
      </c>
      <c r="K68" s="6">
        <f>K32-K56</f>
        <v>6.08</v>
      </c>
      <c r="L68" s="6">
        <f>L32-L56</f>
        <v>-11.92</v>
      </c>
      <c r="M68" s="6">
        <f>M32-M56</f>
        <v>-11.92</v>
      </c>
      <c r="N68" s="6">
        <f>N32-N56</f>
        <v>-11.92</v>
      </c>
      <c r="O68" s="6">
        <f>SUM(C68:N68)</f>
        <v>-29.68</v>
      </c>
      <c r="Q68" s="6">
        <f>SUM(L68:N68)</f>
        <v>-35.76</v>
      </c>
    </row>
    <row r="69" spans="2:17">
      <c r="B69" t="s">
        <v>104</v>
      </c>
      <c r="C69" s="6">
        <f>C33-C57</f>
        <v>0</v>
      </c>
      <c r="D69" s="6">
        <f>D33-D57</f>
        <v>0</v>
      </c>
      <c r="E69" s="6">
        <f>E33-E57</f>
        <v>0</v>
      </c>
      <c r="F69" s="6">
        <f>F33-F57</f>
        <v>0</v>
      </c>
      <c r="G69" s="6">
        <f>G33-G57</f>
        <v>0</v>
      </c>
      <c r="H69" s="6">
        <f>H33-H57</f>
        <v>0</v>
      </c>
      <c r="I69" s="6">
        <f>I33-I57</f>
        <v>0</v>
      </c>
      <c r="J69" s="6">
        <f>J33-J57</f>
        <v>0</v>
      </c>
      <c r="K69" s="6">
        <f>K33-K57</f>
        <v>0</v>
      </c>
      <c r="L69" s="6">
        <f>L33-L57</f>
        <v>0</v>
      </c>
      <c r="M69" s="6">
        <f>M33-M57</f>
        <v>0</v>
      </c>
      <c r="N69" s="6">
        <f>N33-N57</f>
        <v>0</v>
      </c>
      <c r="O69" s="6">
        <f>SUM(C69:N69)</f>
        <v>0</v>
      </c>
      <c r="Q69" s="6">
        <f>SUM(L69:N69)</f>
        <v>0</v>
      </c>
    </row>
    <row r="70" spans="2:17">
      <c r="B70" t="s">
        <v>105</v>
      </c>
      <c r="C70" s="6">
        <f>C34-C58</f>
        <v>0</v>
      </c>
      <c r="D70" s="6">
        <f>D34-D58</f>
        <v>0</v>
      </c>
      <c r="E70" s="6">
        <f>E34-E58</f>
        <v>0</v>
      </c>
      <c r="F70" s="6">
        <f>F34-F58</f>
        <v>0</v>
      </c>
      <c r="G70" s="6">
        <f>G34-G58</f>
        <v>0</v>
      </c>
      <c r="H70" s="6">
        <f>H34-H58</f>
        <v>0</v>
      </c>
      <c r="I70" s="6">
        <f>I34-I58</f>
        <v>0</v>
      </c>
      <c r="J70" s="6">
        <f>J34-J58</f>
        <v>0</v>
      </c>
      <c r="K70" s="6">
        <f>K34-K58</f>
        <v>-73</v>
      </c>
      <c r="L70" s="6">
        <f>L34-L58</f>
        <v>-48</v>
      </c>
      <c r="M70" s="6">
        <f>M34-M58</f>
        <v>-9</v>
      </c>
      <c r="N70" s="6">
        <f>N34-N58</f>
        <v>10</v>
      </c>
      <c r="O70" s="6">
        <f>SUM(C70:N70)</f>
        <v>-120</v>
      </c>
      <c r="Q70" s="6">
        <f>SUM(L70:N70)</f>
        <v>-47</v>
      </c>
    </row>
    <row r="71" spans="2:17">
      <c r="B71" t="s">
        <v>106</v>
      </c>
      <c r="C71" s="6">
        <f>C35-C59</f>
        <v>0</v>
      </c>
      <c r="D71" s="6">
        <f>D35-D59</f>
        <v>0</v>
      </c>
      <c r="E71" s="6">
        <f>E35-E59</f>
        <v>0</v>
      </c>
      <c r="F71" s="6">
        <f>F35-F59</f>
        <v>0</v>
      </c>
      <c r="G71" s="6">
        <f>G35-G59</f>
        <v>0</v>
      </c>
      <c r="H71" s="6">
        <f>H35-H59</f>
        <v>0</v>
      </c>
      <c r="I71" s="6">
        <f>I35-I59</f>
        <v>0</v>
      </c>
      <c r="J71" s="6">
        <f>J35-J59</f>
        <v>0</v>
      </c>
      <c r="K71" s="6">
        <f>K35-K59</f>
        <v>10</v>
      </c>
      <c r="L71" s="6">
        <f>L35-L59</f>
        <v>105</v>
      </c>
      <c r="M71" s="6">
        <f>M35-M59</f>
        <v>105</v>
      </c>
      <c r="N71" s="6">
        <f>N35-N59</f>
        <v>110</v>
      </c>
      <c r="O71" s="6">
        <f>SUM(C71:N71)</f>
        <v>330</v>
      </c>
      <c r="Q71" s="6">
        <f>SUM(L71:N71)</f>
        <v>320</v>
      </c>
    </row>
    <row r="72" spans="2:17">
      <c r="B72" t="s">
        <v>107</v>
      </c>
      <c r="C72" s="6">
        <f>C36-C60</f>
        <v>0</v>
      </c>
      <c r="D72" s="6">
        <f>D36-D60</f>
        <v>0</v>
      </c>
      <c r="E72" s="6">
        <f>E36-E60</f>
        <v>0</v>
      </c>
      <c r="F72" s="6">
        <f>F36-F60</f>
        <v>0</v>
      </c>
      <c r="G72" s="6">
        <f>G36-G60</f>
        <v>0</v>
      </c>
      <c r="H72" s="6">
        <f>H36-H60</f>
        <v>0</v>
      </c>
      <c r="I72" s="6">
        <f>I36-I60</f>
        <v>0</v>
      </c>
      <c r="J72" s="6">
        <f>J36-J60</f>
        <v>0</v>
      </c>
      <c r="K72" s="6">
        <f>K36-K60</f>
        <v>-223</v>
      </c>
      <c r="L72" s="6">
        <f>L36-L60</f>
        <v>-83</v>
      </c>
      <c r="M72" s="6">
        <f>M36-M60</f>
        <v>-61</v>
      </c>
      <c r="N72" s="6">
        <f>N36-N60</f>
        <v>16</v>
      </c>
      <c r="O72" s="6">
        <f>SUM(C72:N72)</f>
        <v>-351</v>
      </c>
      <c r="Q72" s="6">
        <f>SUM(L72:N72)</f>
        <v>-128</v>
      </c>
    </row>
    <row r="73" spans="2:17">
      <c r="B73" t="s">
        <v>108</v>
      </c>
      <c r="C73" s="6">
        <f>C37-C61</f>
        <v>0</v>
      </c>
      <c r="D73" s="6">
        <f>D37-D61</f>
        <v>0</v>
      </c>
      <c r="E73" s="6">
        <f>E37-E61</f>
        <v>0</v>
      </c>
      <c r="F73" s="6">
        <f>F37-F61</f>
        <v>0</v>
      </c>
      <c r="G73" s="6">
        <f>G37-G61</f>
        <v>0</v>
      </c>
      <c r="H73" s="6">
        <f>H37-H61</f>
        <v>0</v>
      </c>
      <c r="I73" s="6">
        <f>I37-I61</f>
        <v>0</v>
      </c>
      <c r="J73" s="6">
        <f>J37-J61</f>
        <v>0</v>
      </c>
      <c r="K73" s="6">
        <f>K37-K61</f>
        <v>285</v>
      </c>
      <c r="L73" s="6">
        <f>L37-L61</f>
        <v>-30</v>
      </c>
      <c r="M73" s="6">
        <f>M37-M61</f>
        <v>165</v>
      </c>
      <c r="N73" s="6">
        <f>N37-N61</f>
        <v>390</v>
      </c>
      <c r="O73" s="6">
        <f>SUM(C73:N73)</f>
        <v>810</v>
      </c>
      <c r="Q73" s="6">
        <f>SUM(L73:N73)</f>
        <v>525</v>
      </c>
    </row>
    <row r="74" spans="2:17">
      <c r="B74" t="s">
        <v>130</v>
      </c>
      <c r="C74" s="6">
        <f>C38-C62</f>
        <v>0</v>
      </c>
      <c r="D74" s="6">
        <f>D38-D62</f>
        <v>0</v>
      </c>
      <c r="E74" s="6">
        <f>E38-E62</f>
        <v>0</v>
      </c>
      <c r="F74" s="6">
        <f>F38-F62</f>
        <v>0</v>
      </c>
      <c r="G74" s="6">
        <f>G38-G62</f>
        <v>0</v>
      </c>
      <c r="H74" s="6">
        <f>H38-H62</f>
        <v>0</v>
      </c>
      <c r="I74" s="6">
        <f>I38-I62</f>
        <v>0</v>
      </c>
      <c r="J74" s="6">
        <f>J38-J62</f>
        <v>0</v>
      </c>
      <c r="K74" s="6">
        <f>K38-K62</f>
        <v>0</v>
      </c>
      <c r="L74" s="6">
        <f>L38-L62</f>
        <v>0</v>
      </c>
      <c r="M74" s="6">
        <f>M38-M62</f>
        <v>0</v>
      </c>
      <c r="N74" s="6">
        <f>N38-N62</f>
        <v>0</v>
      </c>
      <c r="O74" s="6">
        <f>SUM(C74:N74)</f>
        <v>0</v>
      </c>
      <c r="Q74" s="6">
        <f>SUM(L74:N74)</f>
        <v>0</v>
      </c>
    </row>
    <row r="75" spans="2:17">
      <c r="B75" s="2" t="s">
        <v>140</v>
      </c>
      <c r="C75" s="9">
        <f>SUM(C66:C74)</f>
        <v>0</v>
      </c>
      <c r="D75" s="9">
        <f>SUM(D66:D74)</f>
        <v>0</v>
      </c>
      <c r="E75" s="9">
        <f>SUM(E66:E74)</f>
        <v>0</v>
      </c>
      <c r="F75" s="9">
        <f>SUM(F66:F74)</f>
        <v>0</v>
      </c>
      <c r="G75" s="9">
        <f>SUM(G66:G74)</f>
        <v>0</v>
      </c>
      <c r="H75" s="9">
        <f>SUM(H66:H74)</f>
        <v>0</v>
      </c>
      <c r="I75" s="9">
        <f>SUM(I66:I74)</f>
        <v>0</v>
      </c>
      <c r="J75" s="9">
        <f>SUM(J66:J74)</f>
        <v>0</v>
      </c>
      <c r="K75" s="9">
        <f>SUM(K66:K74)</f>
        <v>69.079999999999984</v>
      </c>
      <c r="L75" s="9">
        <f>SUM(L66:L74)</f>
        <v>-102.92</v>
      </c>
      <c r="M75" s="9">
        <f>SUM(M66:M74)</f>
        <v>171.07999999999998</v>
      </c>
      <c r="N75" s="9">
        <f>SUM(N66:N74)</f>
        <v>466.08</v>
      </c>
      <c r="O75" s="9">
        <f>SUM(O66:O74)</f>
        <v>603.31999999999994</v>
      </c>
      <c r="Q75" s="6">
        <f>SUM(L75:N75)</f>
        <v>534.24</v>
      </c>
    </row>
    <row r="77" spans="2:17">
      <c r="B77" s="8" t="s">
        <v>141</v>
      </c>
    </row>
    <row r="79" spans="2:17">
      <c r="C79" s="4" t="s">
        <v>70</v>
      </c>
      <c r="D79" s="4" t="s">
        <v>71</v>
      </c>
      <c r="E79" s="4" t="s">
        <v>72</v>
      </c>
      <c r="F79" s="4" t="s">
        <v>73</v>
      </c>
      <c r="G79" s="4" t="s">
        <v>50</v>
      </c>
      <c r="H79" s="4" t="s">
        <v>74</v>
      </c>
      <c r="I79" s="4" t="s">
        <v>75</v>
      </c>
      <c r="J79" s="4" t="s">
        <v>76</v>
      </c>
      <c r="K79" s="4" t="s">
        <v>77</v>
      </c>
      <c r="L79" s="4" t="s">
        <v>78</v>
      </c>
      <c r="M79" s="4" t="s">
        <v>79</v>
      </c>
      <c r="N79" s="4" t="s">
        <v>80</v>
      </c>
      <c r="O79" s="4" t="s">
        <v>142</v>
      </c>
    </row>
    <row r="80" spans="2:17">
      <c r="B80" s="2" t="s">
        <v>111</v>
      </c>
    </row>
    <row r="81" spans="1:14">
      <c r="B81" s="5" t="s">
        <v>143</v>
      </c>
      <c r="C81" s="12">
        <f>Safety!C35</f>
        <v>0.31612380893068437</v>
      </c>
      <c r="D81" s="12">
        <f>Safety!D35</f>
        <v>0.31498529573719136</v>
      </c>
      <c r="E81" s="12">
        <f>Safety!E35</f>
        <v>0.31445908223106245</v>
      </c>
      <c r="F81" s="12">
        <f>Safety!F35</f>
        <v>0.315383276578314</v>
      </c>
      <c r="G81" s="12">
        <f>Safety!G35</f>
        <v>0.31534818216018601</v>
      </c>
      <c r="H81" s="12">
        <f>Safety!H35</f>
        <v>0.31013541102761993</v>
      </c>
      <c r="I81" s="12">
        <f>Safety!I35</f>
        <v>0.30982950840382184</v>
      </c>
      <c r="J81" s="12">
        <f>Safety!J35</f>
        <v>0.30938682226900249</v>
      </c>
      <c r="K81" s="12">
        <f>Safety!K35</f>
        <v>0.30992769477770071</v>
      </c>
      <c r="L81" s="12">
        <f>Safety!L35</f>
        <v>0.30957764393670506</v>
      </c>
      <c r="M81" s="12">
        <f>Safety!M35</f>
        <v>0.30967197154834997</v>
      </c>
      <c r="N81" s="12">
        <f>Safety!N35</f>
        <v>0.30930255395604955</v>
      </c>
    </row>
    <row r="82" spans="1:14">
      <c r="B82" s="5" t="s">
        <v>144</v>
      </c>
      <c r="C82" t="s">
        <v>145</v>
      </c>
      <c r="D82" t="s">
        <v>145</v>
      </c>
      <c r="E82" t="s">
        <v>145</v>
      </c>
      <c r="F82" t="s">
        <v>145</v>
      </c>
      <c r="G82" t="s">
        <v>145</v>
      </c>
      <c r="H82" t="s">
        <v>145</v>
      </c>
      <c r="I82" t="s">
        <v>145</v>
      </c>
      <c r="J82" t="s">
        <v>145</v>
      </c>
      <c r="K82" t="s">
        <v>145</v>
      </c>
      <c r="L82" t="s">
        <v>145</v>
      </c>
      <c r="M82" t="s">
        <v>145</v>
      </c>
      <c r="N82" t="s">
        <v>145</v>
      </c>
    </row>
    <row r="83" spans="1:14">
      <c r="B83" s="5" t="s">
        <v>146</v>
      </c>
      <c r="C83" s="6">
        <f>IF(C82="None",0,(((Safety!C28*('Safety-Adj'!C81+'Safety-Adj'!C82))-Safety!C29)))</f>
        <v>0</v>
      </c>
      <c r="D83" s="6">
        <f>IF(D82="None",0,(((Safety!D28*('Safety-Adj'!D81+'Safety-Adj'!D82))-Safety!D29)))</f>
        <v>0</v>
      </c>
      <c r="E83" s="6">
        <f>IF(E82="None",0,(((Safety!E28*('Safety-Adj'!E81+'Safety-Adj'!E82))-Safety!E29)))</f>
        <v>0</v>
      </c>
      <c r="F83" s="6">
        <f>IF(F82="None",0,(((Safety!F28*('Safety-Adj'!F81+'Safety-Adj'!F82))-Safety!F29)))</f>
        <v>0</v>
      </c>
      <c r="G83" s="6">
        <f>IF(G82="None",0,(((Safety!G28*('Safety-Adj'!G81+'Safety-Adj'!G82))-Safety!G29)))</f>
        <v>0</v>
      </c>
      <c r="H83" s="6">
        <f>IF(H82="None",0,(((Safety!H28*('Safety-Adj'!H81+'Safety-Adj'!H82))-Safety!H29)))</f>
        <v>0</v>
      </c>
      <c r="I83" s="6">
        <f>IF(I82="None",0,(((Safety!I28*('Safety-Adj'!I81+'Safety-Adj'!I82))-Safety!I29)))</f>
        <v>0</v>
      </c>
      <c r="J83" s="6">
        <f>IF(J82="None",0,(((Safety!J28*('Safety-Adj'!J81+'Safety-Adj'!J82))-Safety!J29)))</f>
        <v>0</v>
      </c>
      <c r="K83" s="6">
        <f>IF(K82="None",0,(((Safety!K28*('Safety-Adj'!K81+'Safety-Adj'!K82))-Safety!K29)))</f>
        <v>0</v>
      </c>
      <c r="L83" s="6">
        <f>IF(L82="None",0,(((Safety!L28*('Safety-Adj'!L81+'Safety-Adj'!L82))-Safety!L29)))</f>
        <v>0</v>
      </c>
      <c r="M83" s="6">
        <f>IF(M82="None",0,(((Safety!M28*('Safety-Adj'!M81+'Safety-Adj'!M82))-Safety!M29)))</f>
        <v>0</v>
      </c>
      <c r="N83" s="6">
        <f>IF(N82="None",0,(((Safety!N28*('Safety-Adj'!N81+'Safety-Adj'!N82))-Safety!N29)))</f>
        <v>0</v>
      </c>
    </row>
    <row r="84" spans="1:14">
      <c r="B84" s="5" t="s">
        <v>147</v>
      </c>
      <c r="C84" s="12">
        <f>SUM(C81:C82)</f>
        <v>0.31612380893068437</v>
      </c>
      <c r="D84" s="12">
        <f>SUM(D81:D82)</f>
        <v>0.31498529573719136</v>
      </c>
      <c r="E84" s="12">
        <f>SUM(E81:E82)</f>
        <v>0.31445908223106245</v>
      </c>
      <c r="F84" s="12">
        <f>SUM(F81:F82)</f>
        <v>0.315383276578314</v>
      </c>
      <c r="G84" s="12">
        <f>SUM(G81:G82)</f>
        <v>0.31534818216018601</v>
      </c>
      <c r="H84" s="12">
        <f>SUM(H81:H82)</f>
        <v>0.31013541102761993</v>
      </c>
      <c r="I84" s="12">
        <f>SUM(I81:I82)</f>
        <v>0.30982950840382184</v>
      </c>
      <c r="J84" s="12">
        <f>SUM(J81:J82)</f>
        <v>0.30938682226900249</v>
      </c>
      <c r="K84" s="12">
        <f>SUM(K81:K82)</f>
        <v>0.30992769477770071</v>
      </c>
      <c r="L84" s="12">
        <f>SUM(L81:L82)</f>
        <v>0.30957764393670506</v>
      </c>
      <c r="M84" s="12">
        <f>SUM(M81:M82)</f>
        <v>0.30967197154834997</v>
      </c>
      <c r="N84" s="12">
        <f>SUM(N81:N82)</f>
        <v>0.30930255395604955</v>
      </c>
    </row>
    <row r="86" spans="1:14">
      <c r="B86" s="2" t="s">
        <v>112</v>
      </c>
    </row>
    <row r="87" spans="1:14">
      <c r="B87" s="5" t="s">
        <v>148</v>
      </c>
      <c r="C87" s="12">
        <f>Safety!C36</f>
        <v>-0.21573547462969617</v>
      </c>
      <c r="D87" s="12">
        <f>Safety!D36</f>
        <v>-0.21492084986968069</v>
      </c>
      <c r="E87" s="12">
        <f>Safety!E36</f>
        <v>-0.21497136250579973</v>
      </c>
      <c r="F87" s="12">
        <f>Safety!F36</f>
        <v>-0.21416302901274392</v>
      </c>
      <c r="G87" s="12">
        <f>Safety!G36</f>
        <v>-0.21463725197025088</v>
      </c>
      <c r="H87" s="12">
        <f>Safety!H36</f>
        <v>-0.214433126832594</v>
      </c>
      <c r="I87" s="12">
        <f>Safety!I36</f>
        <v>-0.21377866374866003</v>
      </c>
      <c r="J87" s="12">
        <f>Safety!J36</f>
        <v>-0.21631584641988713</v>
      </c>
      <c r="K87" s="12">
        <f>Safety!K36</f>
        <v>-0.21266433440494756</v>
      </c>
      <c r="L87" s="12">
        <f>Safety!L36</f>
        <v>-0.21355618292307221</v>
      </c>
      <c r="M87" s="12">
        <f>Safety!M36</f>
        <v>-0.21361188929288111</v>
      </c>
      <c r="N87" s="12">
        <f>Safety!N36</f>
        <v>-0.21201799626108397</v>
      </c>
    </row>
    <row r="88" spans="1:14">
      <c r="B88" s="5" t="s">
        <v>144</v>
      </c>
      <c r="C88" t="s">
        <v>145</v>
      </c>
      <c r="D88" t="s">
        <v>145</v>
      </c>
      <c r="E88" t="s">
        <v>145</v>
      </c>
      <c r="F88" t="s">
        <v>145</v>
      </c>
      <c r="G88" t="s">
        <v>145</v>
      </c>
      <c r="H88" t="s">
        <v>145</v>
      </c>
      <c r="I88" t="s">
        <v>145</v>
      </c>
      <c r="J88" t="s">
        <v>145</v>
      </c>
      <c r="K88" t="s">
        <v>145</v>
      </c>
      <c r="L88" t="s">
        <v>145</v>
      </c>
      <c r="M88" t="s">
        <v>145</v>
      </c>
      <c r="N88" t="s">
        <v>145</v>
      </c>
    </row>
    <row r="89" spans="1:14">
      <c r="B89" s="5" t="s">
        <v>146</v>
      </c>
      <c r="C89" s="6">
        <f>-IF(C88="None",0,(((Safety!C28*-('Safety-Adj'!C87+'Safety-Adj'!C88))-Safety!C30)))</f>
        <v>0</v>
      </c>
      <c r="D89" s="6">
        <f>-IF(D88="None",0,(((Safety!D28*-('Safety-Adj'!D87+'Safety-Adj'!D88))-Safety!D30)))</f>
        <v>0</v>
      </c>
      <c r="E89" s="6">
        <f>-IF(E88="None",0,(((Safety!E28*-('Safety-Adj'!E87+'Safety-Adj'!E88))-Safety!E30)))</f>
        <v>0</v>
      </c>
      <c r="F89" s="6">
        <f>-IF(F88="None",0,(((Safety!F28*-('Safety-Adj'!F87+'Safety-Adj'!F88))-Safety!F30)))</f>
        <v>0</v>
      </c>
      <c r="G89" s="6">
        <f>-IF(G88="None",0,(((Safety!G28*-('Safety-Adj'!G87+'Safety-Adj'!G88))-Safety!G30)))</f>
        <v>0</v>
      </c>
      <c r="H89" s="6">
        <f>-IF(H88="None",0,(((Safety!H28*-('Safety-Adj'!H87+'Safety-Adj'!H88))-Safety!H30)))</f>
        <v>0</v>
      </c>
      <c r="I89" s="6">
        <f>-IF(I88="None",0,(((Safety!I28*-('Safety-Adj'!I87+'Safety-Adj'!I88))-Safety!I30)))</f>
        <v>0</v>
      </c>
      <c r="J89" s="6">
        <f>-IF(J88="None",0,(((Safety!J28*-('Safety-Adj'!J87+'Safety-Adj'!J88))-Safety!J30)))</f>
        <v>0</v>
      </c>
      <c r="K89" s="6">
        <f>-IF(K88="None",0,(((Safety!K28*-('Safety-Adj'!K87+'Safety-Adj'!K88))-Safety!K30)))</f>
        <v>0</v>
      </c>
      <c r="L89" s="6">
        <f>-IF(L88="None",0,(((Safety!L28*-('Safety-Adj'!L87+'Safety-Adj'!L88))-Safety!L30)))</f>
        <v>0</v>
      </c>
      <c r="M89" s="6">
        <f>-IF(M88="None",0,(((Safety!M28*-('Safety-Adj'!M87+'Safety-Adj'!M88))-Safety!M30)))</f>
        <v>0</v>
      </c>
      <c r="N89" s="6">
        <f>-IF(N88="None",0,(((Safety!N28*-('Safety-Adj'!N87+'Safety-Adj'!N88))-Safety!N30)))</f>
        <v>0</v>
      </c>
    </row>
    <row r="90" spans="1:14">
      <c r="B90" s="5" t="s">
        <v>149</v>
      </c>
      <c r="C90" s="12">
        <f>SUM(C87:C88)</f>
        <v>-0.21573547462969617</v>
      </c>
      <c r="D90" s="12">
        <f>SUM(D87:D88)</f>
        <v>-0.21492084986968069</v>
      </c>
      <c r="E90" s="12">
        <f>SUM(E87:E88)</f>
        <v>-0.21497136250579973</v>
      </c>
      <c r="F90" s="12">
        <f>SUM(F87:F88)</f>
        <v>-0.21416302901274392</v>
      </c>
      <c r="G90" s="12">
        <f>SUM(G87:G88)</f>
        <v>-0.21463725197025088</v>
      </c>
      <c r="H90" s="12">
        <f>SUM(H87:H88)</f>
        <v>-0.214433126832594</v>
      </c>
      <c r="I90" s="12">
        <f>SUM(I87:I88)</f>
        <v>-0.21377866374866003</v>
      </c>
      <c r="J90" s="12">
        <f>SUM(J87:J88)</f>
        <v>-0.21631584641988713</v>
      </c>
      <c r="K90" s="12">
        <f>SUM(K87:K88)</f>
        <v>-0.21266433440494756</v>
      </c>
      <c r="L90" s="12">
        <f>SUM(L87:L88)</f>
        <v>-0.21355618292307221</v>
      </c>
      <c r="M90" s="12">
        <f>SUM(M87:M88)</f>
        <v>-0.21361188929288111</v>
      </c>
      <c r="N90" s="12">
        <f>SUM(N87:N88)</f>
        <v>-0.21201799626108397</v>
      </c>
    </row>
    <row r="92" spans="1:14">
      <c r="B92" s="8" t="s">
        <v>150</v>
      </c>
    </row>
    <row r="94" spans="1:14">
      <c r="C94" s="4" t="s">
        <v>70</v>
      </c>
      <c r="D94" s="4" t="s">
        <v>71</v>
      </c>
      <c r="E94" s="4" t="s">
        <v>72</v>
      </c>
      <c r="F94" s="4" t="s">
        <v>73</v>
      </c>
      <c r="G94" s="4" t="s">
        <v>50</v>
      </c>
      <c r="H94" s="4" t="s">
        <v>74</v>
      </c>
      <c r="I94" s="4" t="s">
        <v>75</v>
      </c>
      <c r="J94" s="4" t="s">
        <v>76</v>
      </c>
      <c r="K94" s="4" t="s">
        <v>77</v>
      </c>
      <c r="L94" s="4" t="s">
        <v>78</v>
      </c>
      <c r="M94" s="4" t="s">
        <v>79</v>
      </c>
      <c r="N94" s="4" t="s">
        <v>80</v>
      </c>
    </row>
    <row r="95" spans="1:14">
      <c r="A95">
        <v>2090</v>
      </c>
      <c r="B95" t="s">
        <v>151</v>
      </c>
      <c r="C95" s="6">
        <f>'Alder-Adj'!C90+'Beacon-Adj'!C90+'Cobalt-Adj'!C90+'Delta-Adj'!C90+'Ember-Adj'!C90+'Falcon-Adj'!C90+'Granite-Adj'!C90+'Hollis-Adj'!C90+'SAFEREG-Adj'!C90</f>
        <v>0</v>
      </c>
      <c r="D95" s="6">
        <f>'Alder-Adj'!D90+'Beacon-Adj'!D90+'Cobalt-Adj'!D90+'Delta-Adj'!D90+'Ember-Adj'!D90+'Falcon-Adj'!D90+'Granite-Adj'!D90+'Hollis-Adj'!D90+'SAFEREG-Adj'!D90</f>
        <v>0</v>
      </c>
      <c r="E95" s="6">
        <f>'Alder-Adj'!E90+'Beacon-Adj'!E90+'Cobalt-Adj'!E90+'Delta-Adj'!E90+'Ember-Adj'!E90+'Falcon-Adj'!E90+'Granite-Adj'!E90+'Hollis-Adj'!E90+'SAFEREG-Adj'!E90</f>
        <v>0</v>
      </c>
      <c r="F95" s="6">
        <f>'Alder-Adj'!F90+'Beacon-Adj'!F90+'Cobalt-Adj'!F90+'Delta-Adj'!F90+'Ember-Adj'!F90+'Falcon-Adj'!F90+'Granite-Adj'!F90+'Hollis-Adj'!F90+'SAFEREG-Adj'!F90</f>
        <v>0</v>
      </c>
      <c r="G95" s="6">
        <f>'Alder-Adj'!G90+'Beacon-Adj'!G90+'Cobalt-Adj'!G90+'Delta-Adj'!G90+'Ember-Adj'!G90+'Falcon-Adj'!G90+'Granite-Adj'!G90+'Hollis-Adj'!G90+'SAFEREG-Adj'!G90</f>
        <v>0</v>
      </c>
      <c r="H95" s="6">
        <f>'Alder-Adj'!H90+'Beacon-Adj'!H90+'Cobalt-Adj'!H90+'Delta-Adj'!H90+'Ember-Adj'!H90+'Falcon-Adj'!H90+'Granite-Adj'!H90+'Hollis-Adj'!H90+'SAFEREG-Adj'!H90</f>
        <v>0</v>
      </c>
      <c r="I95" s="6">
        <f>'Alder-Adj'!I90+'Beacon-Adj'!I90+'Cobalt-Adj'!I90+'Delta-Adj'!I90+'Ember-Adj'!I90+'Falcon-Adj'!I90+'Granite-Adj'!I90+'Hollis-Adj'!I90+'SAFEREG-Adj'!I90</f>
        <v>0</v>
      </c>
      <c r="J95" s="6">
        <f>'Alder-Adj'!J90+'Beacon-Adj'!J90+'Cobalt-Adj'!J90+'Delta-Adj'!J90+'Ember-Adj'!J90+'Falcon-Adj'!J90+'Granite-Adj'!J90+'Hollis-Adj'!J90+'SAFEREG-Adj'!J90</f>
        <v>0</v>
      </c>
      <c r="K95" s="6">
        <f>'Alder-Adj'!K90+'Beacon-Adj'!K90+'Cobalt-Adj'!K90+'Delta-Adj'!K90+'Ember-Adj'!K90+'Falcon-Adj'!K90+'Granite-Adj'!K90+'Hollis-Adj'!K90+'SAFEREG-Adj'!K90</f>
        <v>400</v>
      </c>
      <c r="L95" s="6">
        <f>'Alder-Adj'!L90+'Beacon-Adj'!L90+'Cobalt-Adj'!L90+'Delta-Adj'!L90+'Ember-Adj'!L90+'Falcon-Adj'!L90+'Granite-Adj'!L90+'Hollis-Adj'!L90+'SAFEREG-Adj'!L90</f>
        <v>-1400</v>
      </c>
      <c r="M95" s="6">
        <f>'Alder-Adj'!M90+'Beacon-Adj'!M90+'Cobalt-Adj'!M90+'Delta-Adj'!M90+'Ember-Adj'!M90+'Falcon-Adj'!M90+'Granite-Adj'!M90+'Hollis-Adj'!M90+'SAFEREG-Adj'!M90</f>
        <v>-3200</v>
      </c>
      <c r="N95" s="6">
        <f>'Alder-Adj'!N90+'Beacon-Adj'!N90+'Cobalt-Adj'!N90+'Delta-Adj'!N90+'Ember-Adj'!N90+'Falcon-Adj'!N90+'Granite-Adj'!N90+'Hollis-Adj'!N90+'SAFEREG-Adj'!N90</f>
        <v>-4000</v>
      </c>
    </row>
    <row r="96" spans="1:14">
      <c r="A96">
        <v>2135</v>
      </c>
      <c r="B96" t="s">
        <v>152</v>
      </c>
      <c r="C96" s="6">
        <f>'Alder-Adj'!C91+'Beacon-Adj'!C91+'Cobalt-Adj'!C91+'Delta-Adj'!C91+'Ember-Adj'!C91+'Falcon-Adj'!C91+'Granite-Adj'!C91+'Hollis-Adj'!C91+'SAFEREG-Adj'!C91</f>
        <v>0</v>
      </c>
      <c r="D96" s="6">
        <f>'Alder-Adj'!D91+'Beacon-Adj'!D91+'Cobalt-Adj'!D91+'Delta-Adj'!D91+'Ember-Adj'!D91+'Falcon-Adj'!D91+'Granite-Adj'!D91+'Hollis-Adj'!D91+'SAFEREG-Adj'!D91</f>
        <v>0</v>
      </c>
      <c r="E96" s="6">
        <f>'Alder-Adj'!E91+'Beacon-Adj'!E91+'Cobalt-Adj'!E91+'Delta-Adj'!E91+'Ember-Adj'!E91+'Falcon-Adj'!E91+'Granite-Adj'!E91+'Hollis-Adj'!E91+'SAFEREG-Adj'!E91</f>
        <v>0</v>
      </c>
      <c r="F96" s="6">
        <f>'Alder-Adj'!F91+'Beacon-Adj'!F91+'Cobalt-Adj'!F91+'Delta-Adj'!F91+'Ember-Adj'!F91+'Falcon-Adj'!F91+'Granite-Adj'!F91+'Hollis-Adj'!F91+'SAFEREG-Adj'!F91</f>
        <v>0</v>
      </c>
      <c r="G96" s="6">
        <f>'Alder-Adj'!G91+'Beacon-Adj'!G91+'Cobalt-Adj'!G91+'Delta-Adj'!G91+'Ember-Adj'!G91+'Falcon-Adj'!G91+'Granite-Adj'!G91+'Hollis-Adj'!G91+'SAFEREG-Adj'!G91</f>
        <v>0</v>
      </c>
      <c r="H96" s="6">
        <f>'Alder-Adj'!H91+'Beacon-Adj'!H91+'Cobalt-Adj'!H91+'Delta-Adj'!H91+'Ember-Adj'!H91+'Falcon-Adj'!H91+'Granite-Adj'!H91+'Hollis-Adj'!H91+'SAFEREG-Adj'!H91</f>
        <v>0</v>
      </c>
      <c r="I96" s="6">
        <f>'Alder-Adj'!I91+'Beacon-Adj'!I91+'Cobalt-Adj'!I91+'Delta-Adj'!I91+'Ember-Adj'!I91+'Falcon-Adj'!I91+'Granite-Adj'!I91+'Hollis-Adj'!I91+'SAFEREG-Adj'!I91</f>
        <v>0</v>
      </c>
      <c r="J96" s="6">
        <f>'Alder-Adj'!J91+'Beacon-Adj'!J91+'Cobalt-Adj'!J91+'Delta-Adj'!J91+'Ember-Adj'!J91+'Falcon-Adj'!J91+'Granite-Adj'!J91+'Hollis-Adj'!J91+'SAFEREG-Adj'!J91</f>
        <v>0</v>
      </c>
      <c r="K96" s="6">
        <f>'Alder-Adj'!K91+'Beacon-Adj'!K91+'Cobalt-Adj'!K91+'Delta-Adj'!K91+'Ember-Adj'!K91+'Falcon-Adj'!K91+'Granite-Adj'!K91+'Hollis-Adj'!K91+'SAFEREG-Adj'!K91</f>
        <v>600</v>
      </c>
      <c r="L96" s="6">
        <f>'Alder-Adj'!L91+'Beacon-Adj'!L91+'Cobalt-Adj'!L91+'Delta-Adj'!L91+'Ember-Adj'!L91+'Falcon-Adj'!L91+'Granite-Adj'!L91+'Hollis-Adj'!L91+'SAFEREG-Adj'!L91</f>
        <v>-300</v>
      </c>
      <c r="M96" s="6">
        <f>'Alder-Adj'!M91+'Beacon-Adj'!M91+'Cobalt-Adj'!M91+'Delta-Adj'!M91+'Ember-Adj'!M91+'Falcon-Adj'!M91+'Granite-Adj'!M91+'Hollis-Adj'!M91+'SAFEREG-Adj'!M91</f>
        <v>-300</v>
      </c>
      <c r="N96" s="6">
        <f>'Alder-Adj'!N91+'Beacon-Adj'!N91+'Cobalt-Adj'!N91+'Delta-Adj'!N91+'Ember-Adj'!N91+'Falcon-Adj'!N91+'Granite-Adj'!N91+'Hollis-Adj'!N91+'SAFEREG-Adj'!N91</f>
        <v>0</v>
      </c>
    </row>
    <row r="97" spans="1:14">
      <c r="A97">
        <v>2175</v>
      </c>
      <c r="B97" t="s">
        <v>153</v>
      </c>
      <c r="C97" s="6">
        <f>'Alder-Adj'!C92+'Beacon-Adj'!C92+'Cobalt-Adj'!C92+'Delta-Adj'!C92+'Ember-Adj'!C92+'Falcon-Adj'!C92+'Granite-Adj'!C92+'Hollis-Adj'!C92+'SAFEREG-Adj'!C92</f>
        <v>0</v>
      </c>
      <c r="D97" s="6">
        <f>'Alder-Adj'!D92+'Beacon-Adj'!D92+'Cobalt-Adj'!D92+'Delta-Adj'!D92+'Ember-Adj'!D92+'Falcon-Adj'!D92+'Granite-Adj'!D92+'Hollis-Adj'!D92+'SAFEREG-Adj'!D92</f>
        <v>0</v>
      </c>
      <c r="E97" s="6">
        <f>'Alder-Adj'!E92+'Beacon-Adj'!E92+'Cobalt-Adj'!E92+'Delta-Adj'!E92+'Ember-Adj'!E92+'Falcon-Adj'!E92+'Granite-Adj'!E92+'Hollis-Adj'!E92+'SAFEREG-Adj'!E92</f>
        <v>0</v>
      </c>
      <c r="F97" s="6">
        <f>'Alder-Adj'!F92+'Beacon-Adj'!F92+'Cobalt-Adj'!F92+'Delta-Adj'!F92+'Ember-Adj'!F92+'Falcon-Adj'!F92+'Granite-Adj'!F92+'Hollis-Adj'!F92+'SAFEREG-Adj'!F92</f>
        <v>0</v>
      </c>
      <c r="G97" s="6">
        <f>'Alder-Adj'!G92+'Beacon-Adj'!G92+'Cobalt-Adj'!G92+'Delta-Adj'!G92+'Ember-Adj'!G92+'Falcon-Adj'!G92+'Granite-Adj'!G92+'Hollis-Adj'!G92+'SAFEREG-Adj'!G92</f>
        <v>0</v>
      </c>
      <c r="H97" s="6">
        <f>'Alder-Adj'!H92+'Beacon-Adj'!H92+'Cobalt-Adj'!H92+'Delta-Adj'!H92+'Ember-Adj'!H92+'Falcon-Adj'!H92+'Granite-Adj'!H92+'Hollis-Adj'!H92+'SAFEREG-Adj'!H92</f>
        <v>0</v>
      </c>
      <c r="I97" s="6">
        <f>'Alder-Adj'!I92+'Beacon-Adj'!I92+'Cobalt-Adj'!I92+'Delta-Adj'!I92+'Ember-Adj'!I92+'Falcon-Adj'!I92+'Granite-Adj'!I92+'Hollis-Adj'!I92+'SAFEREG-Adj'!I92</f>
        <v>0</v>
      </c>
      <c r="J97" s="6">
        <f>'Alder-Adj'!J92+'Beacon-Adj'!J92+'Cobalt-Adj'!J92+'Delta-Adj'!J92+'Ember-Adj'!J92+'Falcon-Adj'!J92+'Granite-Adj'!J92+'Hollis-Adj'!J92+'SAFEREG-Adj'!J92</f>
        <v>0</v>
      </c>
      <c r="K97" s="6">
        <f>'Alder-Adj'!K92+'Beacon-Adj'!K92+'Cobalt-Adj'!K92+'Delta-Adj'!K92+'Ember-Adj'!K92+'Falcon-Adj'!K92+'Granite-Adj'!K92+'Hollis-Adj'!K92+'SAFEREG-Adj'!K92</f>
        <v>0</v>
      </c>
      <c r="L97" s="6">
        <f>'Alder-Adj'!L92+'Beacon-Adj'!L92+'Cobalt-Adj'!L92+'Delta-Adj'!L92+'Ember-Adj'!L92+'Falcon-Adj'!L92+'Granite-Adj'!L92+'Hollis-Adj'!L92+'SAFEREG-Adj'!L92</f>
        <v>0</v>
      </c>
      <c r="M97" s="6">
        <f>'Alder-Adj'!M92+'Beacon-Adj'!M92+'Cobalt-Adj'!M92+'Delta-Adj'!M92+'Ember-Adj'!M92+'Falcon-Adj'!M92+'Granite-Adj'!M92+'Hollis-Adj'!M92+'SAFEREG-Adj'!M92</f>
        <v>0</v>
      </c>
      <c r="N97" s="6">
        <f>'Alder-Adj'!N92+'Beacon-Adj'!N92+'Cobalt-Adj'!N92+'Delta-Adj'!N92+'Ember-Adj'!N92+'Falcon-Adj'!N92+'Granite-Adj'!N92+'Hollis-Adj'!N92+'SAFEREG-Adj'!N92</f>
        <v>0</v>
      </c>
    </row>
    <row r="98" spans="1:14">
      <c r="A98">
        <v>2140</v>
      </c>
      <c r="B98" t="s">
        <v>154</v>
      </c>
      <c r="C98" s="6">
        <f>'Alder-Adj'!C93+'Beacon-Adj'!C93+'Cobalt-Adj'!C93+'Delta-Adj'!C93+'Ember-Adj'!C93+'Falcon-Adj'!C93+'Granite-Adj'!C93+'Hollis-Adj'!C93+'SAFEREG-Adj'!C93</f>
        <v>0</v>
      </c>
      <c r="D98" s="6">
        <f>'Alder-Adj'!D93+'Beacon-Adj'!D93+'Cobalt-Adj'!D93+'Delta-Adj'!D93+'Ember-Adj'!D93+'Falcon-Adj'!D93+'Granite-Adj'!D93+'Hollis-Adj'!D93+'SAFEREG-Adj'!D93</f>
        <v>0</v>
      </c>
      <c r="E98" s="6">
        <f>'Alder-Adj'!E93+'Beacon-Adj'!E93+'Cobalt-Adj'!E93+'Delta-Adj'!E93+'Ember-Adj'!E93+'Falcon-Adj'!E93+'Granite-Adj'!E93+'Hollis-Adj'!E93+'SAFEREG-Adj'!E93</f>
        <v>0</v>
      </c>
      <c r="F98" s="6">
        <f>'Alder-Adj'!F93+'Beacon-Adj'!F93+'Cobalt-Adj'!F93+'Delta-Adj'!F93+'Ember-Adj'!F93+'Falcon-Adj'!F93+'Granite-Adj'!F93+'Hollis-Adj'!F93+'SAFEREG-Adj'!F93</f>
        <v>0</v>
      </c>
      <c r="G98" s="6">
        <f>'Alder-Adj'!G93+'Beacon-Adj'!G93+'Cobalt-Adj'!G93+'Delta-Adj'!G93+'Ember-Adj'!G93+'Falcon-Adj'!G93+'Granite-Adj'!G93+'Hollis-Adj'!G93+'SAFEREG-Adj'!G93</f>
        <v>0</v>
      </c>
      <c r="H98" s="6">
        <f>'Alder-Adj'!H93+'Beacon-Adj'!H93+'Cobalt-Adj'!H93+'Delta-Adj'!H93+'Ember-Adj'!H93+'Falcon-Adj'!H93+'Granite-Adj'!H93+'Hollis-Adj'!H93+'SAFEREG-Adj'!H93</f>
        <v>0</v>
      </c>
      <c r="I98" s="6">
        <f>'Alder-Adj'!I93+'Beacon-Adj'!I93+'Cobalt-Adj'!I93+'Delta-Adj'!I93+'Ember-Adj'!I93+'Falcon-Adj'!I93+'Granite-Adj'!I93+'Hollis-Adj'!I93+'SAFEREG-Adj'!I93</f>
        <v>0</v>
      </c>
      <c r="J98" s="6">
        <f>'Alder-Adj'!J93+'Beacon-Adj'!J93+'Cobalt-Adj'!J93+'Delta-Adj'!J93+'Ember-Adj'!J93+'Falcon-Adj'!J93+'Granite-Adj'!J93+'Hollis-Adj'!J93+'SAFEREG-Adj'!J93</f>
        <v>0</v>
      </c>
      <c r="K98" s="6">
        <f>'Alder-Adj'!K93+'Beacon-Adj'!K93+'Cobalt-Adj'!K93+'Delta-Adj'!K93+'Ember-Adj'!K93+'Falcon-Adj'!K93+'Granite-Adj'!K93+'Hollis-Adj'!K93+'SAFEREG-Adj'!K93</f>
        <v>0</v>
      </c>
      <c r="L98" s="6">
        <f>'Alder-Adj'!L93+'Beacon-Adj'!L93+'Cobalt-Adj'!L93+'Delta-Adj'!L93+'Ember-Adj'!L93+'Falcon-Adj'!L93+'Granite-Adj'!L93+'Hollis-Adj'!L93+'SAFEREG-Adj'!L93</f>
        <v>0</v>
      </c>
      <c r="M98" s="6">
        <f>'Alder-Adj'!M93+'Beacon-Adj'!M93+'Cobalt-Adj'!M93+'Delta-Adj'!M93+'Ember-Adj'!M93+'Falcon-Adj'!M93+'Granite-Adj'!M93+'Hollis-Adj'!M93+'SAFEREG-Adj'!M93</f>
        <v>0</v>
      </c>
      <c r="N98" s="6">
        <f>'Alder-Adj'!N93+'Beacon-Adj'!N93+'Cobalt-Adj'!N93+'Delta-Adj'!N93+'Ember-Adj'!N93+'Falcon-Adj'!N93+'Granite-Adj'!N93+'Hollis-Adj'!N93+'SAFEREG-Adj'!N93</f>
        <v>0</v>
      </c>
    </row>
    <row r="99" spans="1:14">
      <c r="A99">
        <v>2180</v>
      </c>
      <c r="B99" t="s">
        <v>155</v>
      </c>
      <c r="C99" s="6">
        <f>'Alder-Adj'!C94+'Beacon-Adj'!C94+'Cobalt-Adj'!C94+'Delta-Adj'!C94+'Ember-Adj'!C94+'Falcon-Adj'!C94+'Granite-Adj'!C94+'Hollis-Adj'!C94+'SAFEREG-Adj'!C94</f>
        <v>0</v>
      </c>
      <c r="D99" s="6">
        <f>'Alder-Adj'!D94+'Beacon-Adj'!D94+'Cobalt-Adj'!D94+'Delta-Adj'!D94+'Ember-Adj'!D94+'Falcon-Adj'!D94+'Granite-Adj'!D94+'Hollis-Adj'!D94+'SAFEREG-Adj'!D94</f>
        <v>0</v>
      </c>
      <c r="E99" s="6">
        <f>'Alder-Adj'!E94+'Beacon-Adj'!E94+'Cobalt-Adj'!E94+'Delta-Adj'!E94+'Ember-Adj'!E94+'Falcon-Adj'!E94+'Granite-Adj'!E94+'Hollis-Adj'!E94+'SAFEREG-Adj'!E94</f>
        <v>0</v>
      </c>
      <c r="F99" s="6">
        <f>'Alder-Adj'!F94+'Beacon-Adj'!F94+'Cobalt-Adj'!F94+'Delta-Adj'!F94+'Ember-Adj'!F94+'Falcon-Adj'!F94+'Granite-Adj'!F94+'Hollis-Adj'!F94+'SAFEREG-Adj'!F94</f>
        <v>0</v>
      </c>
      <c r="G99" s="6">
        <f>'Alder-Adj'!G94+'Beacon-Adj'!G94+'Cobalt-Adj'!G94+'Delta-Adj'!G94+'Ember-Adj'!G94+'Falcon-Adj'!G94+'Granite-Adj'!G94+'Hollis-Adj'!G94+'SAFEREG-Adj'!G94</f>
        <v>0</v>
      </c>
      <c r="H99" s="6">
        <f>'Alder-Adj'!H94+'Beacon-Adj'!H94+'Cobalt-Adj'!H94+'Delta-Adj'!H94+'Ember-Adj'!H94+'Falcon-Adj'!H94+'Granite-Adj'!H94+'Hollis-Adj'!H94+'SAFEREG-Adj'!H94</f>
        <v>0</v>
      </c>
      <c r="I99" s="6">
        <f>'Alder-Adj'!I94+'Beacon-Adj'!I94+'Cobalt-Adj'!I94+'Delta-Adj'!I94+'Ember-Adj'!I94+'Falcon-Adj'!I94+'Granite-Adj'!I94+'Hollis-Adj'!I94+'SAFEREG-Adj'!I94</f>
        <v>0</v>
      </c>
      <c r="J99" s="6">
        <f>'Alder-Adj'!J94+'Beacon-Adj'!J94+'Cobalt-Adj'!J94+'Delta-Adj'!J94+'Ember-Adj'!J94+'Falcon-Adj'!J94+'Granite-Adj'!J94+'Hollis-Adj'!J94+'SAFEREG-Adj'!J94</f>
        <v>0</v>
      </c>
      <c r="K99" s="6">
        <f>'Alder-Adj'!K94+'Beacon-Adj'!K94+'Cobalt-Adj'!K94+'Delta-Adj'!K94+'Ember-Adj'!K94+'Falcon-Adj'!K94+'Granite-Adj'!K94+'Hollis-Adj'!K94+'SAFEREG-Adj'!K94</f>
        <v>0</v>
      </c>
      <c r="L99" s="6">
        <f>'Alder-Adj'!L94+'Beacon-Adj'!L94+'Cobalt-Adj'!L94+'Delta-Adj'!L94+'Ember-Adj'!L94+'Falcon-Adj'!L94+'Granite-Adj'!L94+'Hollis-Adj'!L94+'SAFEREG-Adj'!L94</f>
        <v>0</v>
      </c>
      <c r="M99" s="6">
        <f>'Alder-Adj'!M94+'Beacon-Adj'!M94+'Cobalt-Adj'!M94+'Delta-Adj'!M94+'Ember-Adj'!M94+'Falcon-Adj'!M94+'Granite-Adj'!M94+'Hollis-Adj'!M94+'SAFEREG-Adj'!M94</f>
        <v>0</v>
      </c>
      <c r="N99" s="6">
        <f>'Alder-Adj'!N94+'Beacon-Adj'!N94+'Cobalt-Adj'!N94+'Delta-Adj'!N94+'Ember-Adj'!N94+'Falcon-Adj'!N94+'Granite-Adj'!N94+'Hollis-Adj'!N94+'SAFEREG-Adj'!N94</f>
        <v>0</v>
      </c>
    </row>
    <row r="100" spans="1:14">
      <c r="A100">
        <v>2185</v>
      </c>
      <c r="B100" s="2" t="s">
        <v>156</v>
      </c>
      <c r="C100" s="6">
        <f>SUM(C95:C99)</f>
        <v>0</v>
      </c>
      <c r="D100" s="6">
        <f>SUM(D95:D99)</f>
        <v>0</v>
      </c>
      <c r="E100" s="6">
        <f>SUM(E95:E99)</f>
        <v>0</v>
      </c>
      <c r="F100" s="6">
        <f>SUM(F95:F99)</f>
        <v>0</v>
      </c>
      <c r="G100" s="6">
        <f>SUM(G95:G99)</f>
        <v>0</v>
      </c>
      <c r="H100" s="6">
        <f>SUM(H95:H99)</f>
        <v>0</v>
      </c>
      <c r="I100" s="6">
        <f>SUM(I95:I99)</f>
        <v>0</v>
      </c>
      <c r="J100" s="6">
        <f>SUM(J95:J99)</f>
        <v>0</v>
      </c>
      <c r="K100" s="6">
        <f>SUM(K95:K99)</f>
        <v>1000</v>
      </c>
      <c r="L100" s="6">
        <f>SUM(L95:L99)</f>
        <v>-1700</v>
      </c>
      <c r="M100" s="6">
        <f>SUM(M95:M99)</f>
        <v>-3500</v>
      </c>
      <c r="N100" s="6">
        <f>SUM(N95:N99)</f>
        <v>-4000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2060"/>
  </sheetPr>
  <dimension ref="B1:CE73"/>
  <sheetViews>
    <sheetView showGridLines="0" workbookViewId="0">
      <pane xSplit="2" ySplit="26" topLeftCell="C27" activePane="bottomRight" state="frozen"/>
      <selection pane="bottomRight"/>
      <selection pane="bottomLeft"/>
      <selection pane="topRight"/>
    </sheetView>
  </sheetViews>
  <sheetFormatPr defaultRowHeight="15" outlineLevelRow="1"/>
  <cols>
    <col min="1" max="1" width="2" customWidth="1"/>
    <col min="2" max="2" width="30" customWidth="1"/>
    <col min="3" max="15" width="11" customWidth="1"/>
    <col min="16" max="16" width="2" customWidth="1"/>
    <col min="17" max="29" width="11" customWidth="1"/>
    <col min="30" max="30" width="2" customWidth="1"/>
    <col min="31" max="43" width="11" customWidth="1"/>
    <col min="44" max="44" width="2" customWidth="1"/>
    <col min="45" max="57" width="11" customWidth="1"/>
    <col min="58" max="58" width="2" customWidth="1"/>
    <col min="59" max="71" width="11" customWidth="1"/>
    <col min="72" max="72" width="2" customWidth="1"/>
    <col min="73" max="75" width="11" customWidth="1"/>
    <col min="76" max="76" width="2" customWidth="1"/>
    <col min="77" max="79" width="11" customWidth="1"/>
    <col min="80" max="80" width="2" customWidth="1"/>
    <col min="81" max="83" width="11" customWidth="1"/>
  </cols>
  <sheetData>
    <row r="1" spans="2:14" outlineLevel="1">
      <c r="C1" s="15" t="s">
        <v>34</v>
      </c>
      <c r="D1" s="15" t="s">
        <v>34</v>
      </c>
      <c r="E1" s="15" t="s">
        <v>34</v>
      </c>
      <c r="F1" s="15" t="s">
        <v>34</v>
      </c>
      <c r="G1" s="15" t="s">
        <v>34</v>
      </c>
      <c r="H1" s="15" t="s">
        <v>34</v>
      </c>
      <c r="I1" s="15" t="s">
        <v>34</v>
      </c>
      <c r="J1" s="15" t="s">
        <v>34</v>
      </c>
      <c r="K1" s="15" t="s">
        <v>45</v>
      </c>
      <c r="L1" s="15" t="s">
        <v>45</v>
      </c>
      <c r="M1" s="15" t="s">
        <v>45</v>
      </c>
      <c r="N1" s="15" t="s">
        <v>45</v>
      </c>
    </row>
    <row r="2" spans="2:14" outlineLevel="1">
      <c r="B2" s="15" t="s">
        <v>2</v>
      </c>
      <c r="C2" s="15" t="s">
        <v>34</v>
      </c>
      <c r="D2" s="15" t="s">
        <v>34</v>
      </c>
      <c r="E2" s="15" t="s">
        <v>34</v>
      </c>
      <c r="F2" s="15" t="s">
        <v>34</v>
      </c>
      <c r="G2" s="15" t="s">
        <v>34</v>
      </c>
      <c r="H2" s="15" t="s">
        <v>34</v>
      </c>
      <c r="I2" s="15" t="s">
        <v>34</v>
      </c>
      <c r="J2" s="15" t="s">
        <v>34</v>
      </c>
      <c r="K2" s="15" t="s">
        <v>34</v>
      </c>
      <c r="L2" s="15" t="s">
        <v>34</v>
      </c>
      <c r="M2" s="15" t="s">
        <v>34</v>
      </c>
      <c r="N2" s="15" t="s">
        <v>34</v>
      </c>
    </row>
    <row r="3" spans="2:14" outlineLevel="1"/>
    <row r="4" spans="2:14" outlineLevel="1"/>
    <row r="5" spans="2:14" outlineLevel="1">
      <c r="B5" s="15" t="s">
        <v>4</v>
      </c>
      <c r="C5" s="15">
        <v>2026</v>
      </c>
      <c r="D5" s="15">
        <v>2026</v>
      </c>
      <c r="E5" s="15">
        <v>2026</v>
      </c>
      <c r="F5" s="15">
        <v>2026</v>
      </c>
      <c r="G5" s="15">
        <v>2026</v>
      </c>
      <c r="H5" s="15">
        <v>2026</v>
      </c>
      <c r="I5" s="15">
        <v>2026</v>
      </c>
      <c r="J5" s="15">
        <v>2026</v>
      </c>
      <c r="K5" s="15">
        <v>2026</v>
      </c>
      <c r="L5" s="15">
        <v>2026</v>
      </c>
      <c r="M5" s="15">
        <v>2026</v>
      </c>
      <c r="N5" s="15">
        <v>2026</v>
      </c>
    </row>
    <row r="6" spans="2:14" outlineLevel="1"/>
    <row r="7" spans="2:14" outlineLevel="1"/>
    <row r="8" spans="2:14" outlineLevel="1">
      <c r="B8" s="15" t="s">
        <v>5</v>
      </c>
      <c r="C8" s="15" t="s">
        <v>35</v>
      </c>
      <c r="D8" s="15" t="s">
        <v>39</v>
      </c>
      <c r="E8" s="15" t="s">
        <v>43</v>
      </c>
      <c r="F8" s="15" t="s">
        <v>47</v>
      </c>
      <c r="G8" s="15" t="s">
        <v>51</v>
      </c>
      <c r="H8" s="15" t="s">
        <v>54</v>
      </c>
      <c r="I8" s="15" t="s">
        <v>56</v>
      </c>
      <c r="J8" s="15" t="s">
        <v>58</v>
      </c>
      <c r="K8" s="15" t="s">
        <v>32</v>
      </c>
      <c r="L8" s="15" t="s">
        <v>37</v>
      </c>
      <c r="M8" s="15" t="s">
        <v>66</v>
      </c>
      <c r="N8" s="15" t="s">
        <v>68</v>
      </c>
    </row>
    <row r="9" spans="2:14" outlineLevel="1">
      <c r="B9" s="15" t="s">
        <v>13</v>
      </c>
    </row>
    <row r="10" spans="2:14" outlineLevel="1">
      <c r="B10" s="15" t="s">
        <v>14</v>
      </c>
    </row>
    <row r="11" spans="2:14" outlineLevel="1">
      <c r="B11" s="15" t="s">
        <v>16</v>
      </c>
      <c r="C11" s="15" t="s">
        <v>17</v>
      </c>
      <c r="D11" s="15" t="s">
        <v>17</v>
      </c>
      <c r="E11" s="15" t="s">
        <v>17</v>
      </c>
      <c r="F11" s="15" t="s">
        <v>17</v>
      </c>
      <c r="G11" s="15" t="s">
        <v>17</v>
      </c>
      <c r="H11" s="15" t="s">
        <v>17</v>
      </c>
      <c r="I11" s="15" t="s">
        <v>17</v>
      </c>
      <c r="J11" s="15" t="s">
        <v>17</v>
      </c>
      <c r="K11" s="15" t="s">
        <v>17</v>
      </c>
      <c r="L11" s="15" t="s">
        <v>17</v>
      </c>
      <c r="M11" s="15" t="s">
        <v>17</v>
      </c>
      <c r="N11" s="15" t="s">
        <v>17</v>
      </c>
    </row>
    <row r="12" spans="2:14" outlineLevel="1">
      <c r="B12" s="15" t="s">
        <v>18</v>
      </c>
      <c r="C12" s="15" t="s">
        <v>19</v>
      </c>
      <c r="D12" s="15" t="s">
        <v>19</v>
      </c>
      <c r="E12" s="15" t="s">
        <v>19</v>
      </c>
      <c r="F12" s="15" t="s">
        <v>19</v>
      </c>
      <c r="G12" s="15" t="s">
        <v>19</v>
      </c>
      <c r="H12" s="15" t="s">
        <v>19</v>
      </c>
      <c r="I12" s="15" t="s">
        <v>19</v>
      </c>
      <c r="J12" s="15" t="s">
        <v>19</v>
      </c>
      <c r="K12" s="15" t="s">
        <v>19</v>
      </c>
      <c r="L12" s="15" t="s">
        <v>19</v>
      </c>
      <c r="M12" s="15" t="s">
        <v>19</v>
      </c>
      <c r="N12" s="15" t="s">
        <v>19</v>
      </c>
    </row>
    <row r="13" spans="2:14" outlineLevel="1">
      <c r="B13" s="15" t="s">
        <v>20</v>
      </c>
    </row>
    <row r="14" spans="2:14" outlineLevel="1">
      <c r="B14" s="15" t="s">
        <v>22</v>
      </c>
    </row>
    <row r="15" spans="2:14" outlineLevel="1"/>
    <row r="16" spans="2:14" outlineLevel="1"/>
    <row r="17" spans="2:83" outlineLevel="1"/>
    <row r="18" spans="2:83" outlineLevel="1">
      <c r="B18" s="15" t="s">
        <v>7</v>
      </c>
      <c r="C18" s="15" t="s">
        <v>157</v>
      </c>
      <c r="D18" s="15" t="s">
        <v>157</v>
      </c>
      <c r="E18" s="15" t="s">
        <v>157</v>
      </c>
      <c r="F18" s="15" t="s">
        <v>157</v>
      </c>
      <c r="G18" s="15" t="s">
        <v>157</v>
      </c>
      <c r="H18" s="15" t="s">
        <v>157</v>
      </c>
      <c r="I18" s="15" t="s">
        <v>157</v>
      </c>
      <c r="J18" s="15" t="s">
        <v>157</v>
      </c>
      <c r="K18" s="15" t="s">
        <v>157</v>
      </c>
      <c r="L18" s="15" t="s">
        <v>157</v>
      </c>
      <c r="M18" s="15" t="s">
        <v>157</v>
      </c>
      <c r="N18" s="15" t="s">
        <v>157</v>
      </c>
    </row>
    <row r="19" spans="2:83" outlineLevel="1">
      <c r="B19" s="15" t="s">
        <v>11</v>
      </c>
      <c r="C19" s="15" t="s">
        <v>12</v>
      </c>
      <c r="D19" s="15" t="s">
        <v>12</v>
      </c>
      <c r="E19" s="15" t="s">
        <v>12</v>
      </c>
      <c r="F19" s="15" t="s">
        <v>12</v>
      </c>
      <c r="G19" s="15" t="s">
        <v>12</v>
      </c>
      <c r="H19" s="15" t="s">
        <v>12</v>
      </c>
      <c r="I19" s="15" t="s">
        <v>12</v>
      </c>
      <c r="J19" s="15" t="s">
        <v>12</v>
      </c>
      <c r="K19" s="15" t="s">
        <v>12</v>
      </c>
      <c r="L19" s="15" t="s">
        <v>12</v>
      </c>
      <c r="M19" s="15" t="s">
        <v>12</v>
      </c>
      <c r="N19" s="15" t="s">
        <v>12</v>
      </c>
    </row>
    <row r="21" spans="2:83">
      <c r="B21" s="1" t="s">
        <v>24</v>
      </c>
    </row>
    <row r="22" spans="2:83">
      <c r="B22" s="15" t="s">
        <v>26</v>
      </c>
    </row>
    <row r="23" spans="2:83">
      <c r="B23" s="3" t="s">
        <v>125</v>
      </c>
      <c r="BU23" s="8" t="s">
        <v>158</v>
      </c>
    </row>
    <row r="24" spans="2:83">
      <c r="C24" s="8" t="s">
        <v>159</v>
      </c>
      <c r="Q24" s="8" t="s">
        <v>160</v>
      </c>
      <c r="AE24" s="8" t="s">
        <v>161</v>
      </c>
      <c r="AS24" s="8" t="s">
        <v>162</v>
      </c>
      <c r="BG24" s="8" t="s">
        <v>52</v>
      </c>
      <c r="BU24" s="2" t="s">
        <v>91</v>
      </c>
      <c r="BY24" s="2" t="s">
        <v>92</v>
      </c>
      <c r="CC24" s="2" t="s">
        <v>81</v>
      </c>
    </row>
    <row r="25" spans="2:83"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34</v>
      </c>
      <c r="I25" t="s">
        <v>34</v>
      </c>
      <c r="J25" t="s">
        <v>34</v>
      </c>
      <c r="K25" t="s">
        <v>45</v>
      </c>
      <c r="L25" t="s">
        <v>45</v>
      </c>
      <c r="M25" t="s">
        <v>45</v>
      </c>
      <c r="N25" t="s">
        <v>45</v>
      </c>
      <c r="O25" t="s">
        <v>163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45</v>
      </c>
      <c r="Z25" t="s">
        <v>45</v>
      </c>
      <c r="AA25" t="s">
        <v>45</v>
      </c>
      <c r="AB25" t="s">
        <v>45</v>
      </c>
      <c r="AC25" t="s">
        <v>163</v>
      </c>
      <c r="BG25" t="s">
        <v>34</v>
      </c>
      <c r="BH25" t="s">
        <v>34</v>
      </c>
      <c r="BI25" t="s">
        <v>34</v>
      </c>
      <c r="BJ25" t="s">
        <v>34</v>
      </c>
      <c r="BK25" t="s">
        <v>34</v>
      </c>
      <c r="BL25" t="s">
        <v>34</v>
      </c>
      <c r="BM25" t="s">
        <v>34</v>
      </c>
      <c r="BN25" t="s">
        <v>34</v>
      </c>
      <c r="BO25" t="s">
        <v>34</v>
      </c>
      <c r="BP25" t="s">
        <v>52</v>
      </c>
      <c r="BQ25" t="s">
        <v>52</v>
      </c>
      <c r="BR25" t="s">
        <v>52</v>
      </c>
      <c r="BS25" t="s">
        <v>163</v>
      </c>
    </row>
    <row r="26" spans="2:83" ht="30" customHeight="1">
      <c r="B26" s="2" t="s">
        <v>164</v>
      </c>
      <c r="C26" s="16" t="s">
        <v>70</v>
      </c>
      <c r="D26" s="16" t="s">
        <v>71</v>
      </c>
      <c r="E26" s="16" t="s">
        <v>72</v>
      </c>
      <c r="F26" s="16" t="s">
        <v>73</v>
      </c>
      <c r="G26" s="16" t="s">
        <v>50</v>
      </c>
      <c r="H26" s="16" t="s">
        <v>74</v>
      </c>
      <c r="I26" s="16" t="s">
        <v>75</v>
      </c>
      <c r="J26" s="16" t="s">
        <v>76</v>
      </c>
      <c r="K26" s="16" t="s">
        <v>77</v>
      </c>
      <c r="L26" s="16" t="s">
        <v>78</v>
      </c>
      <c r="M26" s="16" t="s">
        <v>79</v>
      </c>
      <c r="N26" s="16" t="s">
        <v>80</v>
      </c>
      <c r="O26" s="16" t="s">
        <v>165</v>
      </c>
      <c r="Q26" s="16" t="s">
        <v>70</v>
      </c>
      <c r="R26" s="16" t="s">
        <v>71</v>
      </c>
      <c r="S26" s="16" t="s">
        <v>72</v>
      </c>
      <c r="T26" s="16" t="s">
        <v>73</v>
      </c>
      <c r="U26" s="16" t="s">
        <v>50</v>
      </c>
      <c r="V26" s="16" t="s">
        <v>74</v>
      </c>
      <c r="W26" s="16" t="s">
        <v>75</v>
      </c>
      <c r="X26" s="16" t="s">
        <v>76</v>
      </c>
      <c r="Y26" s="16" t="s">
        <v>77</v>
      </c>
      <c r="Z26" s="16" t="s">
        <v>78</v>
      </c>
      <c r="AA26" s="16" t="s">
        <v>79</v>
      </c>
      <c r="AB26" s="16" t="s">
        <v>80</v>
      </c>
      <c r="AC26" s="16" t="s">
        <v>165</v>
      </c>
      <c r="AE26" s="16" t="s">
        <v>70</v>
      </c>
      <c r="AF26" s="16" t="s">
        <v>71</v>
      </c>
      <c r="AG26" s="16" t="s">
        <v>72</v>
      </c>
      <c r="AH26" s="16" t="s">
        <v>73</v>
      </c>
      <c r="AI26" s="16" t="s">
        <v>50</v>
      </c>
      <c r="AJ26" s="16" t="s">
        <v>74</v>
      </c>
      <c r="AK26" s="16" t="s">
        <v>75</v>
      </c>
      <c r="AL26" s="16" t="s">
        <v>76</v>
      </c>
      <c r="AM26" s="16" t="s">
        <v>77</v>
      </c>
      <c r="AN26" s="16" t="s">
        <v>78</v>
      </c>
      <c r="AO26" s="16" t="s">
        <v>79</v>
      </c>
      <c r="AP26" s="16" t="s">
        <v>80</v>
      </c>
      <c r="AQ26" s="16" t="s">
        <v>165</v>
      </c>
      <c r="AS26" s="16" t="s">
        <v>70</v>
      </c>
      <c r="AT26" s="16" t="s">
        <v>71</v>
      </c>
      <c r="AU26" s="16" t="s">
        <v>72</v>
      </c>
      <c r="AV26" s="16" t="s">
        <v>73</v>
      </c>
      <c r="AW26" s="16" t="s">
        <v>50</v>
      </c>
      <c r="AX26" s="16" t="s">
        <v>74</v>
      </c>
      <c r="AY26" s="16" t="s">
        <v>75</v>
      </c>
      <c r="AZ26" s="16" t="s">
        <v>76</v>
      </c>
      <c r="BA26" s="16" t="s">
        <v>77</v>
      </c>
      <c r="BB26" s="16" t="s">
        <v>78</v>
      </c>
      <c r="BC26" s="16" t="s">
        <v>79</v>
      </c>
      <c r="BD26" s="16" t="s">
        <v>80</v>
      </c>
      <c r="BE26" s="16" t="s">
        <v>165</v>
      </c>
      <c r="BG26" s="16" t="s">
        <v>70</v>
      </c>
      <c r="BH26" s="16" t="s">
        <v>71</v>
      </c>
      <c r="BI26" s="16" t="s">
        <v>72</v>
      </c>
      <c r="BJ26" s="16" t="s">
        <v>73</v>
      </c>
      <c r="BK26" s="16" t="s">
        <v>50</v>
      </c>
      <c r="BL26" s="16" t="s">
        <v>74</v>
      </c>
      <c r="BM26" s="16" t="s">
        <v>75</v>
      </c>
      <c r="BN26" s="16" t="s">
        <v>76</v>
      </c>
      <c r="BO26" s="16" t="s">
        <v>77</v>
      </c>
      <c r="BP26" s="16" t="s">
        <v>78</v>
      </c>
      <c r="BQ26" s="16" t="s">
        <v>79</v>
      </c>
      <c r="BR26" s="16" t="s">
        <v>80</v>
      </c>
      <c r="BS26" s="16" t="s">
        <v>165</v>
      </c>
      <c r="BU26" s="17" t="s">
        <v>94</v>
      </c>
      <c r="BV26" s="17" t="s">
        <v>95</v>
      </c>
      <c r="BW26" s="17" t="s">
        <v>96</v>
      </c>
      <c r="BY26" s="17" t="s">
        <v>97</v>
      </c>
      <c r="BZ26" s="17" t="s">
        <v>98</v>
      </c>
      <c r="CA26" s="17" t="s">
        <v>99</v>
      </c>
      <c r="CC26" s="17" t="s">
        <v>97</v>
      </c>
      <c r="CD26" s="17" t="s">
        <v>98</v>
      </c>
      <c r="CE26" s="17" t="s">
        <v>99</v>
      </c>
    </row>
    <row r="28" spans="2:83">
      <c r="B28" s="2" t="s">
        <v>100</v>
      </c>
      <c r="C28" s="6">
        <f>Alder!C28+Beacon!C28+Cobalt!C28+Delta!C28+Ember!C28+Falcon!C28+Granite!C28+Hollis!C28+SAFEREG!C28</f>
        <v>49776.700000000004</v>
      </c>
      <c r="D28" s="6">
        <f>Alder!D28+Beacon!D28+Cobalt!D28+Delta!D28+Ember!D28+Falcon!D28+Granite!D28+Hollis!D28+SAFEREG!D28</f>
        <v>49033.4</v>
      </c>
      <c r="E28" s="6">
        <f>Alder!E28+Beacon!E28+Cobalt!E28+Delta!E28+Ember!E28+Falcon!E28+Granite!E28+Hollis!E28+SAFEREG!E28</f>
        <v>52588.399999999994</v>
      </c>
      <c r="F28" s="6">
        <f>Alder!F28+Beacon!F28+Cobalt!F28+Delta!F28+Ember!F28+Falcon!F28+Granite!F28+Hollis!F28+SAFEREG!F28</f>
        <v>56881.900000000009</v>
      </c>
      <c r="G28" s="6">
        <f>Alder!G28+Beacon!G28+Cobalt!G28+Delta!G28+Ember!G28+Falcon!G28+Granite!G28+Hollis!G28+SAFEREG!G28</f>
        <v>51833.5</v>
      </c>
      <c r="H28" s="6">
        <f>Alder!H28+Beacon!H28+Cobalt!H28+Delta!H28+Ember!H28+Falcon!H28+Granite!H28+Hollis!H28+SAFEREG!H28</f>
        <v>54124.1</v>
      </c>
      <c r="I28" s="6">
        <f>Alder!I28+Beacon!I28+Cobalt!I28+Delta!I28+Ember!I28+Falcon!I28+Granite!I28+Hollis!I28+SAFEREG!I28</f>
        <v>53826.700000000004</v>
      </c>
      <c r="J28" s="6">
        <f>Alder!J28+Beacon!J28+Cobalt!J28+Delta!J28+Ember!J28+Falcon!J28+Granite!J28+Hollis!J28+SAFEREG!J28</f>
        <v>52681.299999999996</v>
      </c>
      <c r="K28" s="6">
        <f>Alder!K28+Beacon!K28+Cobalt!K28+Delta!K28+Ember!K28+Falcon!K28+Granite!K28+Hollis!K28+SAFEREG!K28</f>
        <v>52195.4</v>
      </c>
      <c r="L28" s="6">
        <f>Alder!L28+Beacon!L28+Cobalt!L28+Delta!L28+Ember!L28+Falcon!L28+Granite!L28+Hollis!L28+SAFEREG!L28</f>
        <v>55505.3</v>
      </c>
      <c r="M28" s="6">
        <f>Alder!M28+Beacon!M28+Cobalt!M28+Delta!M28+Ember!M28+Falcon!M28+Granite!M28+Hollis!M28+SAFEREG!M28</f>
        <v>50331</v>
      </c>
      <c r="N28" s="6">
        <f>Alder!N28+Beacon!N28+Cobalt!N28+Delta!N28+Ember!N28+Falcon!N28+Granite!N28+Hollis!N28+SAFEREG!N28</f>
        <v>54989.2</v>
      </c>
      <c r="O28" s="18">
        <f>SUM(C28:N28)</f>
        <v>633766.9</v>
      </c>
      <c r="Q28" s="6">
        <f>Alder!Q28+Beacon!Q28+Cobalt!Q28+Delta!Q28+Ember!Q28+Falcon!Q28+Granite!Q28+Hollis!Q28+SAFEREG!Q28</f>
        <v>49776.700000000004</v>
      </c>
      <c r="R28" s="6">
        <f>Alder!R28+Beacon!R28+Cobalt!R28+Delta!R28+Ember!R28+Falcon!R28+Granite!R28+Hollis!R28+SAFEREG!R28</f>
        <v>49033.4</v>
      </c>
      <c r="S28" s="6">
        <f>Alder!S28+Beacon!S28+Cobalt!S28+Delta!S28+Ember!S28+Falcon!S28+Granite!S28+Hollis!S28+SAFEREG!S28</f>
        <v>52588.399999999994</v>
      </c>
      <c r="T28" s="6">
        <f>Alder!T28+Beacon!T28+Cobalt!T28+Delta!T28+Ember!T28+Falcon!T28+Granite!T28+Hollis!T28+SAFEREG!T28</f>
        <v>56881.900000000009</v>
      </c>
      <c r="U28" s="6">
        <f>Alder!U28+Beacon!U28+Cobalt!U28+Delta!U28+Ember!U28+Falcon!U28+Granite!U28+Hollis!U28+SAFEREG!U28</f>
        <v>51833.5</v>
      </c>
      <c r="V28" s="6">
        <f>Alder!V28+Beacon!V28+Cobalt!V28+Delta!V28+Ember!V28+Falcon!V28+Granite!V28+Hollis!V28+SAFEREG!V28</f>
        <v>54124.1</v>
      </c>
      <c r="W28" s="6">
        <f>Alder!W28+Beacon!W28+Cobalt!W28+Delta!W28+Ember!W28+Falcon!W28+Granite!W28+Hollis!W28+SAFEREG!W28</f>
        <v>53826.700000000004</v>
      </c>
      <c r="X28" s="6">
        <f>Alder!X28+Beacon!X28+Cobalt!X28+Delta!X28+Ember!X28+Falcon!X28+Granite!X28+Hollis!X28+SAFEREG!X28</f>
        <v>52681.299999999996</v>
      </c>
      <c r="Y28" s="6">
        <f>Alder!Y28+Beacon!Y28+Cobalt!Y28+Delta!Y28+Ember!Y28+Falcon!Y28+Granite!Y28+Hollis!Y28+SAFEREG!Y28</f>
        <v>52150.400000000001</v>
      </c>
      <c r="Z28" s="6">
        <f>Alder!Z28+Beacon!Z28+Cobalt!Z28+Delta!Z28+Ember!Z28+Falcon!Z28+Granite!Z28+Hollis!Z28+SAFEREG!Z28</f>
        <v>55460.3</v>
      </c>
      <c r="AA28" s="6">
        <f>Alder!AA28+Beacon!AA28+Cobalt!AA28+Delta!AA28+Ember!AA28+Falcon!AA28+Granite!AA28+Hollis!AA28+SAFEREG!AA28</f>
        <v>50286</v>
      </c>
      <c r="AB28" s="6">
        <f>Alder!AB28+Beacon!AB28+Cobalt!AB28+Delta!AB28+Ember!AB28+Falcon!AB28+Granite!AB28+Hollis!AB28+SAFEREG!AB28</f>
        <v>54944.2</v>
      </c>
      <c r="AC28" s="18">
        <f>SUM(Q28:AB28)</f>
        <v>633586.9</v>
      </c>
      <c r="AE28" s="6">
        <f>Q28-C28</f>
        <v>0</v>
      </c>
      <c r="AF28" s="6">
        <f>R28-D28</f>
        <v>0</v>
      </c>
      <c r="AG28" s="6">
        <f>S28-E28</f>
        <v>0</v>
      </c>
      <c r="AH28" s="6">
        <f>T28-F28</f>
        <v>0</v>
      </c>
      <c r="AI28" s="6">
        <f>U28-G28</f>
        <v>0</v>
      </c>
      <c r="AJ28" s="6">
        <f>V28-H28</f>
        <v>0</v>
      </c>
      <c r="AK28" s="6">
        <f>W28-I28</f>
        <v>0</v>
      </c>
      <c r="AL28" s="6">
        <f>X28-J28</f>
        <v>0</v>
      </c>
      <c r="AM28" s="6">
        <f>Y28-K28</f>
        <v>-45</v>
      </c>
      <c r="AN28" s="6">
        <f>Z28-L28</f>
        <v>-45</v>
      </c>
      <c r="AO28" s="6">
        <f>AA28-M28</f>
        <v>-45</v>
      </c>
      <c r="AP28" s="6">
        <f>AB28-N28</f>
        <v>-45</v>
      </c>
      <c r="AQ28" s="18">
        <f>SUM(AE28:AP28)</f>
        <v>-180</v>
      </c>
      <c r="AS28" s="6">
        <f>'Safety-Adj'!C15</f>
        <v>0</v>
      </c>
      <c r="AT28" s="6">
        <f>'Safety-Adj'!D15</f>
        <v>0</v>
      </c>
      <c r="AU28" s="6">
        <f>'Safety-Adj'!E15</f>
        <v>0</v>
      </c>
      <c r="AV28" s="6">
        <f>'Safety-Adj'!F15</f>
        <v>0</v>
      </c>
      <c r="AW28" s="6">
        <f>'Safety-Adj'!G15</f>
        <v>0</v>
      </c>
      <c r="AX28" s="6">
        <f>'Safety-Adj'!H15</f>
        <v>0</v>
      </c>
      <c r="AY28" s="6">
        <f>'Safety-Adj'!I15</f>
        <v>0</v>
      </c>
      <c r="AZ28" s="6">
        <f>'Safety-Adj'!J15</f>
        <v>0</v>
      </c>
      <c r="BA28" s="6">
        <f>'Safety-Adj'!K15</f>
        <v>1490</v>
      </c>
      <c r="BB28" s="6">
        <f>'Safety-Adj'!L15</f>
        <v>-1040</v>
      </c>
      <c r="BC28" s="6">
        <f>'Safety-Adj'!M15</f>
        <v>-220</v>
      </c>
      <c r="BD28" s="6">
        <f>'Safety-Adj'!N15</f>
        <v>340</v>
      </c>
      <c r="BE28" s="18">
        <f>SUM(AS28:BD28)</f>
        <v>570</v>
      </c>
      <c r="BG28" s="6">
        <f>C28+AE28+AS28</f>
        <v>49776.700000000004</v>
      </c>
      <c r="BH28" s="6">
        <f>D28+AF28+AT28</f>
        <v>49033.4</v>
      </c>
      <c r="BI28" s="6">
        <f>E28+AG28+AU28</f>
        <v>52588.399999999994</v>
      </c>
      <c r="BJ28" s="6">
        <f>F28+AH28+AV28</f>
        <v>56881.900000000009</v>
      </c>
      <c r="BK28" s="6">
        <f>G28+AI28+AW28</f>
        <v>51833.5</v>
      </c>
      <c r="BL28" s="6">
        <f>H28+AJ28+AX28</f>
        <v>54124.1</v>
      </c>
      <c r="BM28" s="6">
        <f>I28+AK28+AY28</f>
        <v>53826.700000000004</v>
      </c>
      <c r="BN28" s="6">
        <f>J28+AL28+AZ28</f>
        <v>52681.299999999996</v>
      </c>
      <c r="BO28" s="6">
        <f>K28+AM28+BA28</f>
        <v>53640.4</v>
      </c>
      <c r="BP28" s="6">
        <f>L28+AN28+BB28</f>
        <v>54420.3</v>
      </c>
      <c r="BQ28" s="6">
        <f>M28+AO28+BC28</f>
        <v>50066</v>
      </c>
      <c r="BR28" s="6">
        <f>N28+AP28+BD28</f>
        <v>55284.2</v>
      </c>
      <c r="BS28" s="18">
        <f>SUM(BG28:BR28)</f>
        <v>634156.9</v>
      </c>
      <c r="BU28" s="6">
        <f>SUM(BG28:BO28)-SUM(C28:K28)</f>
        <v>1445</v>
      </c>
      <c r="BV28" s="6">
        <f>SUM(BG28:BO28)-SUM(C51:K51)</f>
        <v>10937.500000000058</v>
      </c>
      <c r="BW28" s="6">
        <f>SUM(BG28:BO28)-SUM(C64:K64)</f>
        <v>32001.299999999988</v>
      </c>
      <c r="BY28" s="6">
        <f>SUM(BP28:BR28)-SUM(L28:N28)</f>
        <v>-1055</v>
      </c>
      <c r="BZ28" s="6">
        <f>SUM(BP28:BR28)-SUM(L51:N51)</f>
        <v>3221.2999999999884</v>
      </c>
      <c r="CA28" s="6">
        <f>SUM(BP28:BR28)-SUM(L64:N64)</f>
        <v>10243.200000000012</v>
      </c>
      <c r="CC28" s="6">
        <f>BS28-O28</f>
        <v>390</v>
      </c>
      <c r="CD28" s="6">
        <f>BS28-O51</f>
        <v>14158.800000000047</v>
      </c>
      <c r="CE28" s="6">
        <f>BS28-O64</f>
        <v>42244.5</v>
      </c>
    </row>
    <row r="29" spans="2:83">
      <c r="B29" s="5" t="s">
        <v>111</v>
      </c>
      <c r="C29" s="6">
        <f>Alder!C29+Beacon!C29+Cobalt!C29+Delta!C29+Ember!C29+Falcon!C29+Granite!C29+Hollis!C29+SAFEREG!C29</f>
        <v>15735.599999999999</v>
      </c>
      <c r="D29" s="6">
        <f>Alder!D29+Beacon!D29+Cobalt!D29+Delta!D29+Ember!D29+Falcon!D29+Granite!D29+Hollis!D29+SAFEREG!D29</f>
        <v>15444.8</v>
      </c>
      <c r="E29" s="6">
        <f>Alder!E29+Beacon!E29+Cobalt!E29+Delta!E29+Ember!E29+Falcon!E29+Granite!E29+Hollis!E29+SAFEREG!E29</f>
        <v>16536.900000000001</v>
      </c>
      <c r="F29" s="6">
        <f>Alder!F29+Beacon!F29+Cobalt!F29+Delta!F29+Ember!F29+Falcon!F29+Granite!F29+Hollis!F29+SAFEREG!F29</f>
        <v>17939.600000000002</v>
      </c>
      <c r="G29" s="6">
        <f>Alder!G29+Beacon!G29+Cobalt!G29+Delta!G29+Ember!G29+Falcon!G29+Granite!G29+Hollis!G29+SAFEREG!G29</f>
        <v>16345.6</v>
      </c>
      <c r="H29" s="6">
        <f>Alder!H29+Beacon!H29+Cobalt!H29+Delta!H29+Ember!H29+Falcon!H29+Granite!H29+Hollis!H29+SAFEREG!H29</f>
        <v>16785.800000000003</v>
      </c>
      <c r="I29" s="6">
        <f>Alder!I29+Beacon!I29+Cobalt!I29+Delta!I29+Ember!I29+Falcon!I29+Granite!I29+Hollis!I29+SAFEREG!I29</f>
        <v>16677.099999999999</v>
      </c>
      <c r="J29" s="6">
        <f>Alder!J29+Beacon!J29+Cobalt!J29+Delta!J29+Ember!J29+Falcon!J29+Granite!J29+Hollis!J29+SAFEREG!J29</f>
        <v>16298.9</v>
      </c>
      <c r="K29" s="6">
        <f>Alder!K29+Beacon!K29+Cobalt!K29+Delta!K29+Ember!K29+Falcon!K29+Granite!K29+Hollis!K29+SAFEREG!K29</f>
        <v>16176.800000000001</v>
      </c>
      <c r="L29" s="6">
        <f>Alder!L29+Beacon!L29+Cobalt!L29+Delta!L29+Ember!L29+Falcon!L29+Granite!L29+Hollis!L29+SAFEREG!L29</f>
        <v>17183.199999999997</v>
      </c>
      <c r="M29" s="6">
        <f>Alder!M29+Beacon!M29+Cobalt!M29+Delta!M29+Ember!M29+Falcon!M29+Granite!M29+Hollis!M29+SAFEREG!M29</f>
        <v>15586.100000000002</v>
      </c>
      <c r="N29" s="6">
        <f>Alder!N29+Beacon!N29+Cobalt!N29+Delta!N29+Ember!N29+Falcon!N29+Granite!N29+Hollis!N29+SAFEREG!N29</f>
        <v>17008.3</v>
      </c>
      <c r="O29" s="18">
        <f>SUM(C29:N29)</f>
        <v>197718.69999999998</v>
      </c>
      <c r="Q29" s="6">
        <f>Alder!Q29+Beacon!Q29+Cobalt!Q29+Delta!Q29+Ember!Q29+Falcon!Q29+Granite!Q29+Hollis!Q29+SAFEREG!Q29</f>
        <v>15735.599999999999</v>
      </c>
      <c r="R29" s="6">
        <f>Alder!R29+Beacon!R29+Cobalt!R29+Delta!R29+Ember!R29+Falcon!R29+Granite!R29+Hollis!R29+SAFEREG!R29</f>
        <v>15444.8</v>
      </c>
      <c r="S29" s="6">
        <f>Alder!S29+Beacon!S29+Cobalt!S29+Delta!S29+Ember!S29+Falcon!S29+Granite!S29+Hollis!S29+SAFEREG!S29</f>
        <v>16536.900000000001</v>
      </c>
      <c r="T29" s="6">
        <f>Alder!T29+Beacon!T29+Cobalt!T29+Delta!T29+Ember!T29+Falcon!T29+Granite!T29+Hollis!T29+SAFEREG!T29</f>
        <v>17939.600000000002</v>
      </c>
      <c r="U29" s="6">
        <f>Alder!U29+Beacon!U29+Cobalt!U29+Delta!U29+Ember!U29+Falcon!U29+Granite!U29+Hollis!U29+SAFEREG!U29</f>
        <v>16345.6</v>
      </c>
      <c r="V29" s="6">
        <f>Alder!V29+Beacon!V29+Cobalt!V29+Delta!V29+Ember!V29+Falcon!V29+Granite!V29+Hollis!V29+SAFEREG!V29</f>
        <v>16785.800000000003</v>
      </c>
      <c r="W29" s="6">
        <f>Alder!W29+Beacon!W29+Cobalt!W29+Delta!W29+Ember!W29+Falcon!W29+Granite!W29+Hollis!W29+SAFEREG!W29</f>
        <v>16677.099999999999</v>
      </c>
      <c r="X29" s="6">
        <f>Alder!X29+Beacon!X29+Cobalt!X29+Delta!X29+Ember!X29+Falcon!X29+Granite!X29+Hollis!X29+SAFEREG!X29</f>
        <v>16298.9</v>
      </c>
      <c r="Y29" s="6">
        <f>Alder!Y29+Beacon!Y29+Cobalt!Y29+Delta!Y29+Ember!Y29+Falcon!Y29+Granite!Y29+Hollis!Y29+SAFEREG!Y29</f>
        <v>16163.800000000001</v>
      </c>
      <c r="Z29" s="6">
        <f>Alder!Z29+Beacon!Z29+Cobalt!Z29+Delta!Z29+Ember!Z29+Falcon!Z29+Granite!Z29+Hollis!Z29+SAFEREG!Z29</f>
        <v>17170.199999999997</v>
      </c>
      <c r="AA29" s="6">
        <f>Alder!AA29+Beacon!AA29+Cobalt!AA29+Delta!AA29+Ember!AA29+Falcon!AA29+Granite!AA29+Hollis!AA29+SAFEREG!AA29</f>
        <v>15573.100000000002</v>
      </c>
      <c r="AB29" s="6">
        <f>Alder!AB29+Beacon!AB29+Cobalt!AB29+Delta!AB29+Ember!AB29+Falcon!AB29+Granite!AB29+Hollis!AB29+SAFEREG!AB29</f>
        <v>16995.3</v>
      </c>
      <c r="AC29" s="18">
        <f>SUM(Q29:AB29)</f>
        <v>197666.69999999998</v>
      </c>
      <c r="AE29" s="6">
        <f>Q29-C29</f>
        <v>0</v>
      </c>
      <c r="AF29" s="6">
        <f>R29-D29</f>
        <v>0</v>
      </c>
      <c r="AG29" s="6">
        <f>S29-E29</f>
        <v>0</v>
      </c>
      <c r="AH29" s="6">
        <f>T29-F29</f>
        <v>0</v>
      </c>
      <c r="AI29" s="6">
        <f>U29-G29</f>
        <v>0</v>
      </c>
      <c r="AJ29" s="6">
        <f>V29-H29</f>
        <v>0</v>
      </c>
      <c r="AK29" s="6">
        <f>W29-I29</f>
        <v>0</v>
      </c>
      <c r="AL29" s="6">
        <f>X29-J29</f>
        <v>0</v>
      </c>
      <c r="AM29" s="6">
        <f>Y29-K29</f>
        <v>-13</v>
      </c>
      <c r="AN29" s="6">
        <f>Z29-L29</f>
        <v>-13</v>
      </c>
      <c r="AO29" s="6">
        <f>AA29-M29</f>
        <v>-13</v>
      </c>
      <c r="AP29" s="6">
        <f>AB29-N29</f>
        <v>-13</v>
      </c>
      <c r="AQ29" s="18">
        <f>SUM(AE29:AP29)</f>
        <v>-52</v>
      </c>
      <c r="AS29" s="6">
        <f>'Safety-Adj'!C39+'Safety-Adj'!C83</f>
        <v>0</v>
      </c>
      <c r="AT29" s="6">
        <f>'Safety-Adj'!D39+'Safety-Adj'!D83</f>
        <v>0</v>
      </c>
      <c r="AU29" s="6">
        <f>'Safety-Adj'!E39+'Safety-Adj'!E83</f>
        <v>0</v>
      </c>
      <c r="AV29" s="6">
        <f>'Safety-Adj'!F39+'Safety-Adj'!F83</f>
        <v>0</v>
      </c>
      <c r="AW29" s="6">
        <f>'Safety-Adj'!G39+'Safety-Adj'!G83</f>
        <v>0</v>
      </c>
      <c r="AX29" s="6">
        <f>'Safety-Adj'!H39+'Safety-Adj'!H83</f>
        <v>0</v>
      </c>
      <c r="AY29" s="6">
        <f>'Safety-Adj'!I39+'Safety-Adj'!I83</f>
        <v>0</v>
      </c>
      <c r="AZ29" s="6">
        <f>'Safety-Adj'!J39+'Safety-Adj'!J83</f>
        <v>0</v>
      </c>
      <c r="BA29" s="6">
        <f>'Safety-Adj'!K39+'Safety-Adj'!K83</f>
        <v>-72.920000000000016</v>
      </c>
      <c r="BB29" s="6">
        <f>'Safety-Adj'!L39+'Safety-Adj'!L83</f>
        <v>-259.92</v>
      </c>
      <c r="BC29" s="6">
        <f>'Safety-Adj'!M39+'Safety-Adj'!M83</f>
        <v>-40.92</v>
      </c>
      <c r="BD29" s="6">
        <f>'Safety-Adj'!N39+'Safety-Adj'!N83</f>
        <v>239.07999999999998</v>
      </c>
      <c r="BE29" s="18">
        <f>SUM(AS29:BD29)</f>
        <v>-134.68000000000006</v>
      </c>
      <c r="BG29" s="6">
        <f>C29+AE29+AS29</f>
        <v>15735.599999999999</v>
      </c>
      <c r="BH29" s="6">
        <f>D29+AF29+AT29</f>
        <v>15444.8</v>
      </c>
      <c r="BI29" s="6">
        <f>E29+AG29+AU29</f>
        <v>16536.900000000001</v>
      </c>
      <c r="BJ29" s="6">
        <f>F29+AH29+AV29</f>
        <v>17939.600000000002</v>
      </c>
      <c r="BK29" s="6">
        <f>G29+AI29+AW29</f>
        <v>16345.6</v>
      </c>
      <c r="BL29" s="6">
        <f>H29+AJ29+AX29</f>
        <v>16785.800000000003</v>
      </c>
      <c r="BM29" s="6">
        <f>I29+AK29+AY29</f>
        <v>16677.099999999999</v>
      </c>
      <c r="BN29" s="6">
        <f>J29+AL29+AZ29</f>
        <v>16298.9</v>
      </c>
      <c r="BO29" s="6">
        <f>K29+AM29+BA29</f>
        <v>16090.880000000001</v>
      </c>
      <c r="BP29" s="6">
        <f>L29+AN29+BB29</f>
        <v>16910.28</v>
      </c>
      <c r="BQ29" s="6">
        <f>M29+AO29+BC29</f>
        <v>15532.180000000002</v>
      </c>
      <c r="BR29" s="6">
        <f>N29+AP29+BD29</f>
        <v>17234.38</v>
      </c>
      <c r="BS29" s="18">
        <f>SUM(BG29:BR29)</f>
        <v>197532.02000000002</v>
      </c>
      <c r="BU29" s="6">
        <f>SUM(BG29:BO29)-SUM(C29:K29)</f>
        <v>-85.919999999983702</v>
      </c>
      <c r="BV29" s="6">
        <f>SUM(BG29:BO29)-SUM(C52:K52)</f>
        <v>2279.8800000000047</v>
      </c>
      <c r="BW29" s="6">
        <f>SUM(BG29:BO29)-SUM(C65:K65)</f>
        <v>8917.6800000000221</v>
      </c>
      <c r="BY29" s="6">
        <f>SUM(BP29:BR29)-SUM(L29:N29)</f>
        <v>-100.76000000000931</v>
      </c>
      <c r="BZ29" s="6">
        <f>SUM(BP29:BR29)-SUM(L52:N52)</f>
        <v>502.63999999999942</v>
      </c>
      <c r="CA29" s="6">
        <f>SUM(BP29:BR29)-SUM(L65:N65)</f>
        <v>2634.1399999999994</v>
      </c>
      <c r="CC29" s="6">
        <f>BS29-O29</f>
        <v>-186.67999999996391</v>
      </c>
      <c r="CD29" s="6">
        <f>BS29-O52</f>
        <v>2782.5200000000186</v>
      </c>
      <c r="CE29" s="6">
        <f>BS29-O65</f>
        <v>11551.820000000036</v>
      </c>
    </row>
    <row r="30" spans="2:83">
      <c r="B30" s="5" t="s">
        <v>112</v>
      </c>
      <c r="C30" s="6">
        <f>Alder!C30+Beacon!C30+Cobalt!C30+Delta!C30+Ember!C30+Falcon!C30+Granite!C30+Hollis!C30+SAFEREG!C30</f>
        <v>-10738.599999999999</v>
      </c>
      <c r="D30" s="6">
        <f>Alder!D30+Beacon!D30+Cobalt!D30+Delta!D30+Ember!D30+Falcon!D30+Granite!D30+Hollis!D30+SAFEREG!D30</f>
        <v>-10538.300000000001</v>
      </c>
      <c r="E30" s="6">
        <f>Alder!E30+Beacon!E30+Cobalt!E30+Delta!E30+Ember!E30+Falcon!E30+Granite!E30+Hollis!E30+SAFEREG!E30</f>
        <v>-11304.999999999998</v>
      </c>
      <c r="F30" s="6">
        <f>Alder!F30+Beacon!F30+Cobalt!F30+Delta!F30+Ember!F30+Falcon!F30+Granite!F30+Hollis!F30+SAFEREG!F30</f>
        <v>-12182</v>
      </c>
      <c r="G30" s="6">
        <f>Alder!G30+Beacon!G30+Cobalt!G30+Delta!G30+Ember!G30+Falcon!G30+Granite!G30+Hollis!G30+SAFEREG!G30</f>
        <v>-11125.4</v>
      </c>
      <c r="H30" s="6">
        <f>Alder!H30+Beacon!H30+Cobalt!H30+Delta!H30+Ember!H30+Falcon!H30+Granite!H30+Hollis!H30+SAFEREG!H30</f>
        <v>-11606</v>
      </c>
      <c r="I30" s="6">
        <f>Alder!I30+Beacon!I30+Cobalt!I30+Delta!I30+Ember!I30+Falcon!I30+Granite!I30+Hollis!I30+SAFEREG!I30</f>
        <v>-11507</v>
      </c>
      <c r="J30" s="6">
        <f>Alder!J30+Beacon!J30+Cobalt!J30+Delta!J30+Ember!J30+Falcon!J30+Granite!J30+Hollis!J30+SAFEREG!J30</f>
        <v>-11395.8</v>
      </c>
      <c r="K30" s="6">
        <f>Alder!K30+Beacon!K30+Cobalt!K30+Delta!K30+Ember!K30+Falcon!K30+Granite!K30+Hollis!K30+SAFEREG!K30</f>
        <v>-11100.1</v>
      </c>
      <c r="L30" s="6">
        <f>Alder!L30+Beacon!L30+Cobalt!L30+Delta!L30+Ember!L30+Falcon!L30+Granite!L30+Hollis!L30+SAFEREG!L30</f>
        <v>-11853.5</v>
      </c>
      <c r="M30" s="6">
        <f>Alder!M30+Beacon!M30+Cobalt!M30+Delta!M30+Ember!M30+Falcon!M30+Granite!M30+Hollis!M30+SAFEREG!M30</f>
        <v>-10751.3</v>
      </c>
      <c r="N30" s="6">
        <f>Alder!N30+Beacon!N30+Cobalt!N30+Delta!N30+Ember!N30+Falcon!N30+Granite!N30+Hollis!N30+SAFEREG!N30</f>
        <v>-11658.699999999999</v>
      </c>
      <c r="O30" s="18">
        <f>SUM(C30:N30)</f>
        <v>-135761.70000000001</v>
      </c>
      <c r="Q30" s="6">
        <f>Alder!Q30+Beacon!Q30+Cobalt!Q30+Delta!Q30+Ember!Q30+Falcon!Q30+Granite!Q30+Hollis!Q30+SAFEREG!Q30</f>
        <v>-10738.599999999999</v>
      </c>
      <c r="R30" s="6">
        <f>Alder!R30+Beacon!R30+Cobalt!R30+Delta!R30+Ember!R30+Falcon!R30+Granite!R30+Hollis!R30+SAFEREG!R30</f>
        <v>-10538.300000000001</v>
      </c>
      <c r="S30" s="6">
        <f>Alder!S30+Beacon!S30+Cobalt!S30+Delta!S30+Ember!S30+Falcon!S30+Granite!S30+Hollis!S30+SAFEREG!S30</f>
        <v>-11304.999999999998</v>
      </c>
      <c r="T30" s="6">
        <f>Alder!T30+Beacon!T30+Cobalt!T30+Delta!T30+Ember!T30+Falcon!T30+Granite!T30+Hollis!T30+SAFEREG!T30</f>
        <v>-12182</v>
      </c>
      <c r="U30" s="6">
        <f>Alder!U30+Beacon!U30+Cobalt!U30+Delta!U30+Ember!U30+Falcon!U30+Granite!U30+Hollis!U30+SAFEREG!U30</f>
        <v>-11125.4</v>
      </c>
      <c r="V30" s="6">
        <f>Alder!V30+Beacon!V30+Cobalt!V30+Delta!V30+Ember!V30+Falcon!V30+Granite!V30+Hollis!V30+SAFEREG!V30</f>
        <v>-11606</v>
      </c>
      <c r="W30" s="6">
        <f>Alder!W30+Beacon!W30+Cobalt!W30+Delta!W30+Ember!W30+Falcon!W30+Granite!W30+Hollis!W30+SAFEREG!W30</f>
        <v>-11507</v>
      </c>
      <c r="X30" s="6">
        <f>Alder!X30+Beacon!X30+Cobalt!X30+Delta!X30+Ember!X30+Falcon!X30+Granite!X30+Hollis!X30+SAFEREG!X30</f>
        <v>-11395.8</v>
      </c>
      <c r="Y30" s="6">
        <f>Alder!Y30+Beacon!Y30+Cobalt!Y30+Delta!Y30+Ember!Y30+Falcon!Y30+Granite!Y30+Hollis!Y30+SAFEREG!Y30</f>
        <v>-11091.1</v>
      </c>
      <c r="Z30" s="6">
        <f>Alder!Z30+Beacon!Z30+Cobalt!Z30+Delta!Z30+Ember!Z30+Falcon!Z30+Granite!Z30+Hollis!Z30+SAFEREG!Z30</f>
        <v>-11844.5</v>
      </c>
      <c r="AA30" s="6">
        <f>Alder!AA30+Beacon!AA30+Cobalt!AA30+Delta!AA30+Ember!AA30+Falcon!AA30+Granite!AA30+Hollis!AA30+SAFEREG!AA30</f>
        <v>-10742.3</v>
      </c>
      <c r="AB30" s="6">
        <f>Alder!AB30+Beacon!AB30+Cobalt!AB30+Delta!AB30+Ember!AB30+Falcon!AB30+Granite!AB30+Hollis!AB30+SAFEREG!AB30</f>
        <v>-11649.699999999999</v>
      </c>
      <c r="AC30" s="18">
        <f>SUM(Q30:AB30)</f>
        <v>-135725.70000000001</v>
      </c>
      <c r="AE30" s="6">
        <f>Q30-C30</f>
        <v>0</v>
      </c>
      <c r="AF30" s="6">
        <f>R30-D30</f>
        <v>0</v>
      </c>
      <c r="AG30" s="6">
        <f>S30-E30</f>
        <v>0</v>
      </c>
      <c r="AH30" s="6">
        <f>T30-F30</f>
        <v>0</v>
      </c>
      <c r="AI30" s="6">
        <f>U30-G30</f>
        <v>0</v>
      </c>
      <c r="AJ30" s="6">
        <f>V30-H30</f>
        <v>0</v>
      </c>
      <c r="AK30" s="6">
        <f>W30-I30</f>
        <v>0</v>
      </c>
      <c r="AL30" s="6">
        <f>X30-J30</f>
        <v>0</v>
      </c>
      <c r="AM30" s="6">
        <f>Y30-K30</f>
        <v>9</v>
      </c>
      <c r="AN30" s="6">
        <f>Z30-L30</f>
        <v>9</v>
      </c>
      <c r="AO30" s="6">
        <f>AA30-M30</f>
        <v>9</v>
      </c>
      <c r="AP30" s="6">
        <f>AB30-N30</f>
        <v>9</v>
      </c>
      <c r="AQ30" s="18">
        <f>SUM(AE30:AP30)</f>
        <v>36</v>
      </c>
      <c r="AS30" s="6">
        <f>-'Safety-Adj'!C63-'Safety-Adj'!C89</f>
        <v>0</v>
      </c>
      <c r="AT30" s="6">
        <f>-'Safety-Adj'!D63-'Safety-Adj'!D89</f>
        <v>0</v>
      </c>
      <c r="AU30" s="6">
        <f>-'Safety-Adj'!E63-'Safety-Adj'!E89</f>
        <v>0</v>
      </c>
      <c r="AV30" s="6">
        <f>-'Safety-Adj'!F63-'Safety-Adj'!F89</f>
        <v>0</v>
      </c>
      <c r="AW30" s="6">
        <f>-'Safety-Adj'!G63-'Safety-Adj'!G89</f>
        <v>0</v>
      </c>
      <c r="AX30" s="6">
        <f>-'Safety-Adj'!H63-'Safety-Adj'!H89</f>
        <v>0</v>
      </c>
      <c r="AY30" s="6">
        <f>-'Safety-Adj'!I63-'Safety-Adj'!I89</f>
        <v>0</v>
      </c>
      <c r="AZ30" s="6">
        <f>-'Safety-Adj'!J63-'Safety-Adj'!J89</f>
        <v>0</v>
      </c>
      <c r="BA30" s="6">
        <f>-'Safety-Adj'!K63-'Safety-Adj'!K89</f>
        <v>142</v>
      </c>
      <c r="BB30" s="6">
        <f>-'Safety-Adj'!L63-'Safety-Adj'!L89</f>
        <v>157</v>
      </c>
      <c r="BC30" s="6">
        <f>-'Safety-Adj'!M63-'Safety-Adj'!M89</f>
        <v>212</v>
      </c>
      <c r="BD30" s="6">
        <f>-'Safety-Adj'!N63-'Safety-Adj'!N89</f>
        <v>227</v>
      </c>
      <c r="BE30" s="18">
        <f>SUM(AS30:BD30)</f>
        <v>738</v>
      </c>
      <c r="BG30" s="6">
        <f>C30+AE30+AS30</f>
        <v>-10738.599999999999</v>
      </c>
      <c r="BH30" s="6">
        <f>D30+AF30+AT30</f>
        <v>-10538.300000000001</v>
      </c>
      <c r="BI30" s="6">
        <f>E30+AG30+AU30</f>
        <v>-11304.999999999998</v>
      </c>
      <c r="BJ30" s="6">
        <f>F30+AH30+AV30</f>
        <v>-12182</v>
      </c>
      <c r="BK30" s="6">
        <f>G30+AI30+AW30</f>
        <v>-11125.4</v>
      </c>
      <c r="BL30" s="6">
        <f>H30+AJ30+AX30</f>
        <v>-11606</v>
      </c>
      <c r="BM30" s="6">
        <f>I30+AK30+AY30</f>
        <v>-11507</v>
      </c>
      <c r="BN30" s="6">
        <f>J30+AL30+AZ30</f>
        <v>-11395.8</v>
      </c>
      <c r="BO30" s="6">
        <f>K30+AM30+BA30</f>
        <v>-10949.1</v>
      </c>
      <c r="BP30" s="6">
        <f>L30+AN30+BB30</f>
        <v>-11687.5</v>
      </c>
      <c r="BQ30" s="6">
        <f>M30+AO30+BC30</f>
        <v>-10530.3</v>
      </c>
      <c r="BR30" s="6">
        <f>N30+AP30+BD30</f>
        <v>-11422.699999999999</v>
      </c>
      <c r="BS30" s="18">
        <f>SUM(BG30:BR30)</f>
        <v>-134987.70000000001</v>
      </c>
      <c r="BU30" s="6">
        <f>SUM(BG30:BO30)-SUM(C30:K30)</f>
        <v>151</v>
      </c>
      <c r="BV30" s="6">
        <f>SUM(BG30:BO30)-SUM(C53:K53)</f>
        <v>-634.10000000002037</v>
      </c>
      <c r="BW30" s="6">
        <f>SUM(BG30:BO30)-SUM(C66:K66)</f>
        <v>-3569.0000000000146</v>
      </c>
      <c r="BY30" s="6">
        <f>SUM(BP30:BR30)-SUM(L30:N30)</f>
        <v>623</v>
      </c>
      <c r="BZ30" s="6">
        <f>SUM(BP30:BR30)-SUM(L53:N53)</f>
        <v>372.80000000000291</v>
      </c>
      <c r="CA30" s="6">
        <f>SUM(BP30:BR30)-SUM(L66:N66)</f>
        <v>-637.69999999999709</v>
      </c>
      <c r="CC30" s="6">
        <f>BS30-O30</f>
        <v>774</v>
      </c>
      <c r="CD30" s="6">
        <f>BS30-O53</f>
        <v>-261.30000000001746</v>
      </c>
      <c r="CE30" s="6">
        <f>BS30-O66</f>
        <v>-4206.7000000000116</v>
      </c>
    </row>
    <row r="31" spans="2:83">
      <c r="B31" s="2" t="s">
        <v>113</v>
      </c>
      <c r="C31" s="6">
        <f>C29+C30</f>
        <v>4997</v>
      </c>
      <c r="D31" s="6">
        <f>D29+D30</f>
        <v>4906.4999999999982</v>
      </c>
      <c r="E31" s="6">
        <f>E29+E30</f>
        <v>5231.9000000000033</v>
      </c>
      <c r="F31" s="6">
        <f>F29+F30</f>
        <v>5757.6000000000022</v>
      </c>
      <c r="G31" s="6">
        <f>G29+G30</f>
        <v>5220.2000000000007</v>
      </c>
      <c r="H31" s="6">
        <f>H29+H30</f>
        <v>5179.8000000000029</v>
      </c>
      <c r="I31" s="6">
        <f>I29+I30</f>
        <v>5170.0999999999985</v>
      </c>
      <c r="J31" s="6">
        <f>J29+J30</f>
        <v>4903.1000000000004</v>
      </c>
      <c r="K31" s="6">
        <f>K29+K30</f>
        <v>5076.7000000000007</v>
      </c>
      <c r="L31" s="6">
        <f>L29+L30</f>
        <v>5329.6999999999971</v>
      </c>
      <c r="M31" s="6">
        <f>M29+M30</f>
        <v>4834.8000000000029</v>
      </c>
      <c r="N31" s="6">
        <f>N29+N30</f>
        <v>5349.6</v>
      </c>
      <c r="O31" s="18">
        <f>SUM(C31:N31)</f>
        <v>61957.000000000007</v>
      </c>
      <c r="Q31" s="6">
        <f>Q29+Q30</f>
        <v>4997</v>
      </c>
      <c r="R31" s="6">
        <f>R29+R30</f>
        <v>4906.4999999999982</v>
      </c>
      <c r="S31" s="6">
        <f>S29+S30</f>
        <v>5231.9000000000033</v>
      </c>
      <c r="T31" s="6">
        <f>T29+T30</f>
        <v>5757.6000000000022</v>
      </c>
      <c r="U31" s="6">
        <f>U29+U30</f>
        <v>5220.2000000000007</v>
      </c>
      <c r="V31" s="6">
        <f>V29+V30</f>
        <v>5179.8000000000029</v>
      </c>
      <c r="W31" s="6">
        <f>W29+W30</f>
        <v>5170.0999999999985</v>
      </c>
      <c r="X31" s="6">
        <f>X29+X30</f>
        <v>4903.1000000000004</v>
      </c>
      <c r="Y31" s="6">
        <f>Y29+Y30</f>
        <v>5072.7000000000007</v>
      </c>
      <c r="Z31" s="6">
        <f>Z29+Z30</f>
        <v>5325.6999999999971</v>
      </c>
      <c r="AA31" s="6">
        <f>AA29+AA30</f>
        <v>4830.8000000000029</v>
      </c>
      <c r="AB31" s="6">
        <f>AB29+AB30</f>
        <v>5345.6</v>
      </c>
      <c r="AC31" s="18">
        <f>SUM(Q31:AB31)</f>
        <v>61941.000000000007</v>
      </c>
      <c r="AE31" s="6">
        <f>AE29+AE30</f>
        <v>0</v>
      </c>
      <c r="AF31" s="6">
        <f>AF29+AF30</f>
        <v>0</v>
      </c>
      <c r="AG31" s="6">
        <f>AG29+AG30</f>
        <v>0</v>
      </c>
      <c r="AH31" s="6">
        <f>AH29+AH30</f>
        <v>0</v>
      </c>
      <c r="AI31" s="6">
        <f>AI29+AI30</f>
        <v>0</v>
      </c>
      <c r="AJ31" s="6">
        <f>AJ29+AJ30</f>
        <v>0</v>
      </c>
      <c r="AK31" s="6">
        <f>AK29+AK30</f>
        <v>0</v>
      </c>
      <c r="AL31" s="6">
        <f>AL29+AL30</f>
        <v>0</v>
      </c>
      <c r="AM31" s="6">
        <f>AM29+AM30</f>
        <v>-4</v>
      </c>
      <c r="AN31" s="6">
        <f>AN29+AN30</f>
        <v>-4</v>
      </c>
      <c r="AO31" s="6">
        <f>AO29+AO30</f>
        <v>-4</v>
      </c>
      <c r="AP31" s="6">
        <f>AP29+AP30</f>
        <v>-4</v>
      </c>
      <c r="AQ31" s="18">
        <f>SUM(AE31:AP31)</f>
        <v>-16</v>
      </c>
      <c r="AS31" s="6">
        <f>AS29+AS30</f>
        <v>0</v>
      </c>
      <c r="AT31" s="6">
        <f>AT29+AT30</f>
        <v>0</v>
      </c>
      <c r="AU31" s="6">
        <f>AU29+AU30</f>
        <v>0</v>
      </c>
      <c r="AV31" s="6">
        <f>AV29+AV30</f>
        <v>0</v>
      </c>
      <c r="AW31" s="6">
        <f>AW29+AW30</f>
        <v>0</v>
      </c>
      <c r="AX31" s="6">
        <f>AX29+AX30</f>
        <v>0</v>
      </c>
      <c r="AY31" s="6">
        <f>AY29+AY30</f>
        <v>0</v>
      </c>
      <c r="AZ31" s="6">
        <f>AZ29+AZ30</f>
        <v>0</v>
      </c>
      <c r="BA31" s="6">
        <f>BA29+BA30</f>
        <v>69.079999999999984</v>
      </c>
      <c r="BB31" s="6">
        <f>BB29+BB30</f>
        <v>-102.92000000000002</v>
      </c>
      <c r="BC31" s="6">
        <f>BC29+BC30</f>
        <v>171.07999999999998</v>
      </c>
      <c r="BD31" s="6">
        <f>BD29+BD30</f>
        <v>466.08</v>
      </c>
      <c r="BE31" s="18">
        <f>SUM(AS31:BD31)</f>
        <v>603.31999999999994</v>
      </c>
      <c r="BG31" s="6">
        <f>BG29+BG30</f>
        <v>4997</v>
      </c>
      <c r="BH31" s="6">
        <f>BH29+BH30</f>
        <v>4906.4999999999982</v>
      </c>
      <c r="BI31" s="6">
        <f>BI29+BI30</f>
        <v>5231.9000000000033</v>
      </c>
      <c r="BJ31" s="6">
        <f>BJ29+BJ30</f>
        <v>5757.6000000000022</v>
      </c>
      <c r="BK31" s="6">
        <f>BK29+BK30</f>
        <v>5220.2000000000007</v>
      </c>
      <c r="BL31" s="6">
        <f>BL29+BL30</f>
        <v>5179.8000000000029</v>
      </c>
      <c r="BM31" s="6">
        <f>BM29+BM30</f>
        <v>5170.0999999999985</v>
      </c>
      <c r="BN31" s="6">
        <f>BN29+BN30</f>
        <v>4903.1000000000004</v>
      </c>
      <c r="BO31" s="6">
        <f>BO29+BO30</f>
        <v>5141.7800000000007</v>
      </c>
      <c r="BP31" s="6">
        <f>BP29+BP30</f>
        <v>5222.7799999999988</v>
      </c>
      <c r="BQ31" s="6">
        <f>BQ29+BQ30</f>
        <v>5001.8800000000028</v>
      </c>
      <c r="BR31" s="6">
        <f>BR29+BR30</f>
        <v>5811.6800000000021</v>
      </c>
      <c r="BS31" s="18">
        <f>SUM(BG31:BR31)</f>
        <v>62544.320000000007</v>
      </c>
      <c r="BU31" s="6">
        <f>SUM(BG31:BO31)-SUM(C31:K31)</f>
        <v>65.07999999999447</v>
      </c>
      <c r="BV31" s="6">
        <f>SUM(BG31:BO31)-SUM(C54:K54)</f>
        <v>1645.7800000000061</v>
      </c>
      <c r="BW31" s="6">
        <f>SUM(BG31:BO31)-SUM(C67:K67)</f>
        <v>5348.6800000000148</v>
      </c>
      <c r="BY31" s="6">
        <f>SUM(BP31:BR31)-SUM(L31:N31)</f>
        <v>522.24000000000342</v>
      </c>
      <c r="BZ31" s="6">
        <f>SUM(BP31:BR31)-SUM(L54:N54)</f>
        <v>875.44000000000597</v>
      </c>
      <c r="CA31" s="6">
        <f>SUM(BP31:BR31)-SUM(L67:N67)</f>
        <v>1996.4400000000041</v>
      </c>
      <c r="CC31" s="6">
        <f>BS31-O31</f>
        <v>587.31999999999971</v>
      </c>
      <c r="CD31" s="6">
        <f>BS31-O54</f>
        <v>2521.2200000000157</v>
      </c>
      <c r="CE31" s="6">
        <f>BS31-O67</f>
        <v>7345.1200000000099</v>
      </c>
    </row>
    <row r="35" spans="2:71">
      <c r="B35" s="5" t="s">
        <v>166</v>
      </c>
      <c r="C35" s="12">
        <f>IFERROR(C29/C28,0)</f>
        <v>0.31612380893068437</v>
      </c>
      <c r="D35" s="12">
        <f>IFERROR(D29/D28,0)</f>
        <v>0.31498529573719136</v>
      </c>
      <c r="E35" s="12">
        <f>IFERROR(E29/E28,0)</f>
        <v>0.31445908223106245</v>
      </c>
      <c r="F35" s="12">
        <f>IFERROR(F29/F28,0)</f>
        <v>0.315383276578314</v>
      </c>
      <c r="G35" s="12">
        <f>IFERROR(G29/G28,0)</f>
        <v>0.31534818216018601</v>
      </c>
      <c r="H35" s="12">
        <f>IFERROR(H29/H28,0)</f>
        <v>0.31013541102761993</v>
      </c>
      <c r="I35" s="12">
        <f>IFERROR(I29/I28,0)</f>
        <v>0.30982950840382184</v>
      </c>
      <c r="J35" s="12">
        <f>IFERROR(J29/J28,0)</f>
        <v>0.30938682226900249</v>
      </c>
      <c r="K35" s="12">
        <f>IFERROR(K29/K28,0)</f>
        <v>0.30992769477770071</v>
      </c>
      <c r="L35" s="12">
        <f>IFERROR(L29/L28,0)</f>
        <v>0.30957764393670506</v>
      </c>
      <c r="M35" s="12">
        <f>IFERROR(M29/M28,0)</f>
        <v>0.30967197154834997</v>
      </c>
      <c r="N35" s="12">
        <f>IFERROR(N29/N28,0)</f>
        <v>0.30930255395604955</v>
      </c>
      <c r="O35" s="12">
        <f>IFERROR(O29/O28,0)</f>
        <v>0.31197385032257124</v>
      </c>
      <c r="Q35" s="12">
        <f>IFERROR(Q29/Q28,0)</f>
        <v>0.31612380893068437</v>
      </c>
      <c r="R35" s="12">
        <f>IFERROR(R29/R28,0)</f>
        <v>0.31498529573719136</v>
      </c>
      <c r="S35" s="12">
        <f>IFERROR(S29/S28,0)</f>
        <v>0.31445908223106245</v>
      </c>
      <c r="T35" s="12">
        <f>IFERROR(T29/T28,0)</f>
        <v>0.315383276578314</v>
      </c>
      <c r="U35" s="12">
        <f>IFERROR(U29/U28,0)</f>
        <v>0.31534818216018601</v>
      </c>
      <c r="V35" s="12">
        <f>IFERROR(V29/V28,0)</f>
        <v>0.31013541102761993</v>
      </c>
      <c r="W35" s="12">
        <f>IFERROR(W29/W28,0)</f>
        <v>0.30982950840382184</v>
      </c>
      <c r="X35" s="12">
        <f>IFERROR(X29/X28,0)</f>
        <v>0.30938682226900249</v>
      </c>
      <c r="Y35" s="12">
        <f>IFERROR(Y29/Y28,0)</f>
        <v>0.30994584892925081</v>
      </c>
      <c r="Z35" s="12">
        <f>IFERROR(Z29/Z28,0)</f>
        <v>0.30959443061072506</v>
      </c>
      <c r="AA35" s="12">
        <f>IFERROR(AA29/AA28,0)</f>
        <v>0.30969056993994359</v>
      </c>
      <c r="AB35" s="12">
        <f>IFERROR(AB29/AB28,0)</f>
        <v>0.30931927300788803</v>
      </c>
      <c r="AC35" s="12">
        <f>IFERROR(AC29/AC28,0)</f>
        <v>0.31198040868584875</v>
      </c>
      <c r="AE35" s="12">
        <f>IFERROR(AE29/AE28,0)</f>
        <v>0</v>
      </c>
      <c r="AF35" s="12">
        <f>IFERROR(AF29/AF28,0)</f>
        <v>0</v>
      </c>
      <c r="AG35" s="12">
        <f>IFERROR(AG29/AG28,0)</f>
        <v>0</v>
      </c>
      <c r="AH35" s="12">
        <f>IFERROR(AH29/AH28,0)</f>
        <v>0</v>
      </c>
      <c r="AI35" s="12">
        <f>IFERROR(AI29/AI28,0)</f>
        <v>0</v>
      </c>
      <c r="AJ35" s="12">
        <f>IFERROR(AJ29/AJ28,0)</f>
        <v>0</v>
      </c>
      <c r="AK35" s="12">
        <f>IFERROR(AK29/AK28,0)</f>
        <v>0</v>
      </c>
      <c r="AL35" s="12">
        <f>IFERROR(AL29/AL28,0)</f>
        <v>0</v>
      </c>
      <c r="AM35" s="12">
        <f>IFERROR(AM29/AM28,0)</f>
        <v>0.28888888888888886</v>
      </c>
      <c r="AN35" s="12">
        <f>IFERROR(AN29/AN28,0)</f>
        <v>0.28888888888888886</v>
      </c>
      <c r="AO35" s="12">
        <f>IFERROR(AO29/AO28,0)</f>
        <v>0.28888888888888886</v>
      </c>
      <c r="AP35" s="12">
        <f>IFERROR(AP29/AP28,0)</f>
        <v>0.28888888888888886</v>
      </c>
      <c r="AQ35" s="12">
        <f>IFERROR(AQ29/AQ28,0)</f>
        <v>0.28888888888888886</v>
      </c>
      <c r="AS35" s="12">
        <f>IFERROR(AS29/AS28,0)</f>
        <v>0</v>
      </c>
      <c r="AT35" s="12">
        <f>IFERROR(AT29/AT28,0)</f>
        <v>0</v>
      </c>
      <c r="AU35" s="12">
        <f>IFERROR(AU29/AU28,0)</f>
        <v>0</v>
      </c>
      <c r="AV35" s="12">
        <f>IFERROR(AV29/AV28,0)</f>
        <v>0</v>
      </c>
      <c r="AW35" s="12">
        <f>IFERROR(AW29/AW28,0)</f>
        <v>0</v>
      </c>
      <c r="AX35" s="12">
        <f>IFERROR(AX29/AX28,0)</f>
        <v>0</v>
      </c>
      <c r="AY35" s="12">
        <f>IFERROR(AY29/AY28,0)</f>
        <v>0</v>
      </c>
      <c r="AZ35" s="12">
        <f>IFERROR(AZ29/AZ28,0)</f>
        <v>0</v>
      </c>
      <c r="BA35" s="12">
        <f>IFERROR(BA29/BA28,0)</f>
        <v>-4.8939597315436255E-2</v>
      </c>
      <c r="BB35" s="12">
        <f>IFERROR(BB29/BB28,0)</f>
        <v>0.24992307692307694</v>
      </c>
      <c r="BC35" s="12">
        <f>IFERROR(BC29/BC28,0)</f>
        <v>0.186</v>
      </c>
      <c r="BD35" s="12">
        <f>IFERROR(BD29/BD28,0)</f>
        <v>0.70317647058823529</v>
      </c>
      <c r="BE35" s="12">
        <f>IFERROR(BE29/BE28,0)</f>
        <v>-0.23628070175438606</v>
      </c>
      <c r="BG35" s="12">
        <f>IFERROR(BG29/BG28,0)</f>
        <v>0.31612380893068437</v>
      </c>
      <c r="BH35" s="12">
        <f>IFERROR(BH29/BH28,0)</f>
        <v>0.31498529573719136</v>
      </c>
      <c r="BI35" s="12">
        <f>IFERROR(BI29/BI28,0)</f>
        <v>0.31445908223106245</v>
      </c>
      <c r="BJ35" s="12">
        <f>IFERROR(BJ29/BJ28,0)</f>
        <v>0.315383276578314</v>
      </c>
      <c r="BK35" s="12">
        <f>IFERROR(BK29/BK28,0)</f>
        <v>0.31534818216018601</v>
      </c>
      <c r="BL35" s="12">
        <f>IFERROR(BL29/BL28,0)</f>
        <v>0.31013541102761993</v>
      </c>
      <c r="BM35" s="12">
        <f>IFERROR(BM29/BM28,0)</f>
        <v>0.30982950840382184</v>
      </c>
      <c r="BN35" s="12">
        <f>IFERROR(BN29/BN28,0)</f>
        <v>0.30938682226900249</v>
      </c>
      <c r="BO35" s="12">
        <f>IFERROR(BO29/BO28,0)</f>
        <v>0.29997688309557724</v>
      </c>
      <c r="BP35" s="12">
        <f>IFERROR(BP29/BP28,0)</f>
        <v>0.31073478095490098</v>
      </c>
      <c r="BQ35" s="12">
        <f>IFERROR(BQ29/BQ28,0)</f>
        <v>0.3102340909998802</v>
      </c>
      <c r="BR35" s="12">
        <f>IFERROR(BR29/BR28,0)</f>
        <v>0.31174151023258007</v>
      </c>
      <c r="BS35" s="12">
        <f>IFERROR(BS29/BS28,0)</f>
        <v>0.31148761450044937</v>
      </c>
    </row>
    <row r="36" spans="2:71">
      <c r="B36" s="5" t="s">
        <v>167</v>
      </c>
      <c r="C36" s="12">
        <f>IFERROR(C30/C28,0)</f>
        <v>-0.21573547462969617</v>
      </c>
      <c r="D36" s="12">
        <f>IFERROR(D30/D28,0)</f>
        <v>-0.21492084986968069</v>
      </c>
      <c r="E36" s="12">
        <f>IFERROR(E30/E28,0)</f>
        <v>-0.21497136250579973</v>
      </c>
      <c r="F36" s="12">
        <f>IFERROR(F30/F28,0)</f>
        <v>-0.21416302901274392</v>
      </c>
      <c r="G36" s="12">
        <f>IFERROR(G30/G28,0)</f>
        <v>-0.21463725197025088</v>
      </c>
      <c r="H36" s="12">
        <f>IFERROR(H30/H28,0)</f>
        <v>-0.214433126832594</v>
      </c>
      <c r="I36" s="12">
        <f>IFERROR(I30/I28,0)</f>
        <v>-0.21377866374866003</v>
      </c>
      <c r="J36" s="12">
        <f>IFERROR(J30/J28,0)</f>
        <v>-0.21631584641988713</v>
      </c>
      <c r="K36" s="12">
        <f>IFERROR(K30/K28,0)</f>
        <v>-0.21266433440494756</v>
      </c>
      <c r="L36" s="12">
        <f>IFERROR(L30/L28,0)</f>
        <v>-0.21355618292307221</v>
      </c>
      <c r="M36" s="12">
        <f>IFERROR(M30/M28,0)</f>
        <v>-0.21361188929288111</v>
      </c>
      <c r="N36" s="12">
        <f>IFERROR(N30/N28,0)</f>
        <v>-0.21201799626108397</v>
      </c>
      <c r="O36" s="12">
        <f>IFERROR(O30/O28,0)</f>
        <v>-0.21421393259887825</v>
      </c>
      <c r="Q36" s="12">
        <f>IFERROR(Q30/Q28,0)</f>
        <v>-0.21573547462969617</v>
      </c>
      <c r="R36" s="12">
        <f>IFERROR(R30/R28,0)</f>
        <v>-0.21492084986968069</v>
      </c>
      <c r="S36" s="12">
        <f>IFERROR(S30/S28,0)</f>
        <v>-0.21497136250579973</v>
      </c>
      <c r="T36" s="12">
        <f>IFERROR(T30/T28,0)</f>
        <v>-0.21416302901274392</v>
      </c>
      <c r="U36" s="12">
        <f>IFERROR(U30/U28,0)</f>
        <v>-0.21463725197025088</v>
      </c>
      <c r="V36" s="12">
        <f>IFERROR(V30/V28,0)</f>
        <v>-0.214433126832594</v>
      </c>
      <c r="W36" s="12">
        <f>IFERROR(W30/W28,0)</f>
        <v>-0.21377866374866003</v>
      </c>
      <c r="X36" s="12">
        <f>IFERROR(X30/X28,0)</f>
        <v>-0.21631584641988713</v>
      </c>
      <c r="Y36" s="12">
        <f>IFERROR(Y30/Y28,0)</f>
        <v>-0.21267526231821807</v>
      </c>
      <c r="Z36" s="12">
        <f>IFERROR(Z30/Z28,0)</f>
        <v>-0.21356718229075572</v>
      </c>
      <c r="AA36" s="12">
        <f>IFERROR(AA30/AA28,0)</f>
        <v>-0.21362407031778227</v>
      </c>
      <c r="AB36" s="12">
        <f>IFERROR(AB30/AB28,0)</f>
        <v>-0.21202783915317722</v>
      </c>
      <c r="AC36" s="12">
        <f>IFERROR(AC30/AC28,0)</f>
        <v>-0.21421797073140245</v>
      </c>
      <c r="AE36" s="12">
        <f>IFERROR(AE30/AE28,0)</f>
        <v>0</v>
      </c>
      <c r="AF36" s="12">
        <f>IFERROR(AF30/AF28,0)</f>
        <v>0</v>
      </c>
      <c r="AG36" s="12">
        <f>IFERROR(AG30/AG28,0)</f>
        <v>0</v>
      </c>
      <c r="AH36" s="12">
        <f>IFERROR(AH30/AH28,0)</f>
        <v>0</v>
      </c>
      <c r="AI36" s="12">
        <f>IFERROR(AI30/AI28,0)</f>
        <v>0</v>
      </c>
      <c r="AJ36" s="12">
        <f>IFERROR(AJ30/AJ28,0)</f>
        <v>0</v>
      </c>
      <c r="AK36" s="12">
        <f>IFERROR(AK30/AK28,0)</f>
        <v>0</v>
      </c>
      <c r="AL36" s="12">
        <f>IFERROR(AL30/AL28,0)</f>
        <v>0</v>
      </c>
      <c r="AM36" s="12">
        <f>IFERROR(AM30/AM28,0)</f>
        <v>-0.2</v>
      </c>
      <c r="AN36" s="12">
        <f>IFERROR(AN30/AN28,0)</f>
        <v>-0.2</v>
      </c>
      <c r="AO36" s="12">
        <f>IFERROR(AO30/AO28,0)</f>
        <v>-0.2</v>
      </c>
      <c r="AP36" s="12">
        <f>IFERROR(AP30/AP28,0)</f>
        <v>-0.2</v>
      </c>
      <c r="AQ36" s="12">
        <f>IFERROR(AQ30/AQ28,0)</f>
        <v>-0.2</v>
      </c>
      <c r="AS36" s="12">
        <f>IFERROR(AS30/AS28,0)</f>
        <v>0</v>
      </c>
      <c r="AT36" s="12">
        <f>IFERROR(AT30/AT28,0)</f>
        <v>0</v>
      </c>
      <c r="AU36" s="12">
        <f>IFERROR(AU30/AU28,0)</f>
        <v>0</v>
      </c>
      <c r="AV36" s="12">
        <f>IFERROR(AV30/AV28,0)</f>
        <v>0</v>
      </c>
      <c r="AW36" s="12">
        <f>IFERROR(AW30/AW28,0)</f>
        <v>0</v>
      </c>
      <c r="AX36" s="12">
        <f>IFERROR(AX30/AX28,0)</f>
        <v>0</v>
      </c>
      <c r="AY36" s="12">
        <f>IFERROR(AY30/AY28,0)</f>
        <v>0</v>
      </c>
      <c r="AZ36" s="12">
        <f>IFERROR(AZ30/AZ28,0)</f>
        <v>0</v>
      </c>
      <c r="BA36" s="12">
        <f>IFERROR(BA30/BA28,0)</f>
        <v>9.5302013422818799E-2</v>
      </c>
      <c r="BB36" s="12">
        <f>IFERROR(BB30/BB28,0)</f>
        <v>-0.15096153846153845</v>
      </c>
      <c r="BC36" s="12">
        <f>IFERROR(BC30/BC28,0)</f>
        <v>-0.96363636363636362</v>
      </c>
      <c r="BD36" s="12">
        <f>IFERROR(BD30/BD28,0)</f>
        <v>0.66764705882352937</v>
      </c>
      <c r="BE36" s="12">
        <f>IFERROR(BE30/BE28,0)</f>
        <v>1.2947368421052632</v>
      </c>
      <c r="BG36" s="12">
        <f>IFERROR(BG30/BG28,0)</f>
        <v>-0.21573547462969617</v>
      </c>
      <c r="BH36" s="12">
        <f>IFERROR(BH30/BH28,0)</f>
        <v>-0.21492084986968069</v>
      </c>
      <c r="BI36" s="12">
        <f>IFERROR(BI30/BI28,0)</f>
        <v>-0.21497136250579973</v>
      </c>
      <c r="BJ36" s="12">
        <f>IFERROR(BJ30/BJ28,0)</f>
        <v>-0.21416302901274392</v>
      </c>
      <c r="BK36" s="12">
        <f>IFERROR(BK30/BK28,0)</f>
        <v>-0.21463725197025088</v>
      </c>
      <c r="BL36" s="12">
        <f>IFERROR(BL30/BL28,0)</f>
        <v>-0.214433126832594</v>
      </c>
      <c r="BM36" s="12">
        <f>IFERROR(BM30/BM28,0)</f>
        <v>-0.21377866374866003</v>
      </c>
      <c r="BN36" s="12">
        <f>IFERROR(BN30/BN28,0)</f>
        <v>-0.21631584641988713</v>
      </c>
      <c r="BO36" s="12">
        <f>IFERROR(BO30/BO28,0)</f>
        <v>-0.20412040178671301</v>
      </c>
      <c r="BP36" s="12">
        <f>IFERROR(BP30/BP28,0)</f>
        <v>-0.21476360843288256</v>
      </c>
      <c r="BQ36" s="12">
        <f>IFERROR(BQ30/BQ28,0)</f>
        <v>-0.21032836655614587</v>
      </c>
      <c r="BR36" s="12">
        <f>IFERROR(BR30/BR28,0)</f>
        <v>-0.20661780400186672</v>
      </c>
      <c r="BS36" s="12">
        <f>IFERROR(BS30/BS28,0)</f>
        <v>-0.2128616750838791</v>
      </c>
    </row>
    <row r="37" spans="2:71">
      <c r="B37" s="5" t="s">
        <v>168</v>
      </c>
      <c r="C37" s="12">
        <f>IFERROR(C31/C28,0)</f>
        <v>0.1003883343009882</v>
      </c>
      <c r="D37" s="12">
        <f>IFERROR(D31/D28,0)</f>
        <v>0.10006444586751068</v>
      </c>
      <c r="E37" s="12">
        <f>IFERROR(E31/E28,0)</f>
        <v>9.9487719725262685E-2</v>
      </c>
      <c r="F37" s="12">
        <f>IFERROR(F31/F28,0)</f>
        <v>0.10122024756557009</v>
      </c>
      <c r="G37" s="12">
        <f>IFERROR(G31/G28,0)</f>
        <v>0.1007109301899351</v>
      </c>
      <c r="H37" s="12">
        <f>IFERROR(H31/H28,0)</f>
        <v>9.5702284195025938E-2</v>
      </c>
      <c r="I37" s="12">
        <f>IFERROR(I31/I28,0)</f>
        <v>9.605084465516181E-2</v>
      </c>
      <c r="J37" s="12">
        <f>IFERROR(J31/J28,0)</f>
        <v>9.3070975849115362E-2</v>
      </c>
      <c r="K37" s="12">
        <f>IFERROR(K31/K28,0)</f>
        <v>9.7263360372753169E-2</v>
      </c>
      <c r="L37" s="12">
        <f>IFERROR(L31/L28,0)</f>
        <v>9.6021461013632875E-2</v>
      </c>
      <c r="M37" s="12">
        <f>IFERROR(M31/M28,0)</f>
        <v>9.6060082255468859E-2</v>
      </c>
      <c r="N37" s="12">
        <f>IFERROR(N31/N28,0)</f>
        <v>9.7284557694965565E-2</v>
      </c>
      <c r="O37" s="12">
        <f>IFERROR(O31/O28,0)</f>
        <v>9.7759917723693052E-2</v>
      </c>
      <c r="Q37" s="12">
        <f>IFERROR(Q31/Q28,0)</f>
        <v>0.1003883343009882</v>
      </c>
      <c r="R37" s="12">
        <f>IFERROR(R31/R28,0)</f>
        <v>0.10006444586751068</v>
      </c>
      <c r="S37" s="12">
        <f>IFERROR(S31/S28,0)</f>
        <v>9.9487719725262685E-2</v>
      </c>
      <c r="T37" s="12">
        <f>IFERROR(T31/T28,0)</f>
        <v>0.10122024756557009</v>
      </c>
      <c r="U37" s="12">
        <f>IFERROR(U31/U28,0)</f>
        <v>0.1007109301899351</v>
      </c>
      <c r="V37" s="12">
        <f>IFERROR(V31/V28,0)</f>
        <v>9.5702284195025938E-2</v>
      </c>
      <c r="W37" s="12">
        <f>IFERROR(W31/W28,0)</f>
        <v>9.605084465516181E-2</v>
      </c>
      <c r="X37" s="12">
        <f>IFERROR(X31/X28,0)</f>
        <v>9.3070975849115362E-2</v>
      </c>
      <c r="Y37" s="12">
        <f>IFERROR(Y31/Y28,0)</f>
        <v>9.7270586611032717E-2</v>
      </c>
      <c r="Z37" s="12">
        <f>IFERROR(Z31/Z28,0)</f>
        <v>9.6027248319969366E-2</v>
      </c>
      <c r="AA37" s="12">
        <f>IFERROR(AA31/AA28,0)</f>
        <v>9.6066499622161294E-2</v>
      </c>
      <c r="AB37" s="12">
        <f>IFERROR(AB31/AB28,0)</f>
        <v>9.7291433854710785E-2</v>
      </c>
      <c r="AC37" s="12">
        <f>IFERROR(AC31/AC28,0)</f>
        <v>9.7762437954446349E-2</v>
      </c>
      <c r="AE37" s="12">
        <f>IFERROR(AE31/AE28,0)</f>
        <v>0</v>
      </c>
      <c r="AF37" s="12">
        <f>IFERROR(AF31/AF28,0)</f>
        <v>0</v>
      </c>
      <c r="AG37" s="12">
        <f>IFERROR(AG31/AG28,0)</f>
        <v>0</v>
      </c>
      <c r="AH37" s="12">
        <f>IFERROR(AH31/AH28,0)</f>
        <v>0</v>
      </c>
      <c r="AI37" s="12">
        <f>IFERROR(AI31/AI28,0)</f>
        <v>0</v>
      </c>
      <c r="AJ37" s="12">
        <f>IFERROR(AJ31/AJ28,0)</f>
        <v>0</v>
      </c>
      <c r="AK37" s="12">
        <f>IFERROR(AK31/AK28,0)</f>
        <v>0</v>
      </c>
      <c r="AL37" s="12">
        <f>IFERROR(AL31/AL28,0)</f>
        <v>0</v>
      </c>
      <c r="AM37" s="12">
        <f>IFERROR(AM31/AM28,0)</f>
        <v>8.8888888888888892E-2</v>
      </c>
      <c r="AN37" s="12">
        <f>IFERROR(AN31/AN28,0)</f>
        <v>8.8888888888888892E-2</v>
      </c>
      <c r="AO37" s="12">
        <f>IFERROR(AO31/AO28,0)</f>
        <v>8.8888888888888892E-2</v>
      </c>
      <c r="AP37" s="12">
        <f>IFERROR(AP31/AP28,0)</f>
        <v>8.8888888888888892E-2</v>
      </c>
      <c r="AQ37" s="12">
        <f>IFERROR(AQ31/AQ28,0)</f>
        <v>8.8888888888888892E-2</v>
      </c>
      <c r="AS37" s="12">
        <f>IFERROR(AS31/AS28,0)</f>
        <v>0</v>
      </c>
      <c r="AT37" s="12">
        <f>IFERROR(AT31/AT28,0)</f>
        <v>0</v>
      </c>
      <c r="AU37" s="12">
        <f>IFERROR(AU31/AU28,0)</f>
        <v>0</v>
      </c>
      <c r="AV37" s="12">
        <f>IFERROR(AV31/AV28,0)</f>
        <v>0</v>
      </c>
      <c r="AW37" s="12">
        <f>IFERROR(AW31/AW28,0)</f>
        <v>0</v>
      </c>
      <c r="AX37" s="12">
        <f>IFERROR(AX31/AX28,0)</f>
        <v>0</v>
      </c>
      <c r="AY37" s="12">
        <f>IFERROR(AY31/AY28,0)</f>
        <v>0</v>
      </c>
      <c r="AZ37" s="12">
        <f>IFERROR(AZ31/AZ28,0)</f>
        <v>0</v>
      </c>
      <c r="BA37" s="12">
        <f>IFERROR(BA31/BA28,0)</f>
        <v>4.6362416107382537E-2</v>
      </c>
      <c r="BB37" s="12">
        <f>IFERROR(BB31/BB28,0)</f>
        <v>9.8961538461538476E-2</v>
      </c>
      <c r="BC37" s="12">
        <f>IFERROR(BC31/BC28,0)</f>
        <v>-0.77763636363636357</v>
      </c>
      <c r="BD37" s="12">
        <f>IFERROR(BD31/BD28,0)</f>
        <v>1.3708235294117646</v>
      </c>
      <c r="BE37" s="12">
        <f>IFERROR(BE31/BE28,0)</f>
        <v>1.058456140350877</v>
      </c>
      <c r="BG37" s="12">
        <f>IFERROR(BG31/BG28,0)</f>
        <v>0.1003883343009882</v>
      </c>
      <c r="BH37" s="12">
        <f>IFERROR(BH31/BH28,0)</f>
        <v>0.10006444586751068</v>
      </c>
      <c r="BI37" s="12">
        <f>IFERROR(BI31/BI28,0)</f>
        <v>9.9487719725262685E-2</v>
      </c>
      <c r="BJ37" s="12">
        <f>IFERROR(BJ31/BJ28,0)</f>
        <v>0.10122024756557009</v>
      </c>
      <c r="BK37" s="12">
        <f>IFERROR(BK31/BK28,0)</f>
        <v>0.1007109301899351</v>
      </c>
      <c r="BL37" s="12">
        <f>IFERROR(BL31/BL28,0)</f>
        <v>9.5702284195025938E-2</v>
      </c>
      <c r="BM37" s="12">
        <f>IFERROR(BM31/BM28,0)</f>
        <v>9.605084465516181E-2</v>
      </c>
      <c r="BN37" s="12">
        <f>IFERROR(BN31/BN28,0)</f>
        <v>9.3070975849115362E-2</v>
      </c>
      <c r="BO37" s="12">
        <f>IFERROR(BO31/BO28,0)</f>
        <v>9.5856481308864219E-2</v>
      </c>
      <c r="BP37" s="12">
        <f>IFERROR(BP31/BP28,0)</f>
        <v>9.5971172522018408E-2</v>
      </c>
      <c r="BQ37" s="12">
        <f>IFERROR(BQ31/BQ28,0)</f>
        <v>9.9905724443734328E-2</v>
      </c>
      <c r="BR37" s="12">
        <f>IFERROR(BR31/BR28,0)</f>
        <v>0.10512370623071333</v>
      </c>
      <c r="BS37" s="12">
        <f>IFERROR(BS31/BS28,0)</f>
        <v>9.862593941657026E-2</v>
      </c>
    </row>
    <row r="38" spans="2:71">
      <c r="B38" s="5" t="s">
        <v>169</v>
      </c>
      <c r="C38" s="6">
        <f>IFERROR(C28/21,0)</f>
        <v>2370.319047619048</v>
      </c>
      <c r="D38" s="6">
        <f>IFERROR(D28/20,0)</f>
        <v>2451.67</v>
      </c>
      <c r="E38" s="6">
        <f>IFERROR(E28/22,0)</f>
        <v>2390.3818181818178</v>
      </c>
      <c r="F38" s="6">
        <f>IFERROR(F28/22,0)</f>
        <v>2585.5409090909093</v>
      </c>
      <c r="G38" s="6">
        <f>IFERROR(G28/20,0)</f>
        <v>2591.6750000000002</v>
      </c>
      <c r="H38" s="6">
        <f>IFERROR(H28/22,0)</f>
        <v>2460.1863636363637</v>
      </c>
      <c r="I38" s="6">
        <f>IFERROR(I28/22,0)</f>
        <v>2446.6681818181819</v>
      </c>
      <c r="J38" s="6">
        <f>IFERROR(J28/21,0)</f>
        <v>2508.6333333333332</v>
      </c>
      <c r="K38" s="6">
        <f>IFERROR(K28/21,0)</f>
        <v>2485.4952380952382</v>
      </c>
      <c r="L38" s="6">
        <f>IFERROR(L28/22,0)</f>
        <v>2522.9681818181821</v>
      </c>
      <c r="M38" s="6">
        <f>IFERROR(M28/19,0)</f>
        <v>2649</v>
      </c>
      <c r="N38" s="6">
        <f>IFERROR(N28/22,0)</f>
        <v>2499.5090909090909</v>
      </c>
      <c r="O38" s="6">
        <f>IFERROR(O28/254,0)</f>
        <v>2495.1452755905511</v>
      </c>
      <c r="Q38" s="6">
        <f>IFERROR(Q28/21,0)</f>
        <v>2370.319047619048</v>
      </c>
      <c r="R38" s="6">
        <f>IFERROR(R28/20,0)</f>
        <v>2451.67</v>
      </c>
      <c r="S38" s="6">
        <f>IFERROR(S28/22,0)</f>
        <v>2390.3818181818178</v>
      </c>
      <c r="T38" s="6">
        <f>IFERROR(T28/22,0)</f>
        <v>2585.5409090909093</v>
      </c>
      <c r="U38" s="6">
        <f>IFERROR(U28/20,0)</f>
        <v>2591.6750000000002</v>
      </c>
      <c r="V38" s="6">
        <f>IFERROR(V28/22,0)</f>
        <v>2460.1863636363637</v>
      </c>
      <c r="W38" s="6">
        <f>IFERROR(W28/22,0)</f>
        <v>2446.6681818181819</v>
      </c>
      <c r="X38" s="6">
        <f>IFERROR(X28/21,0)</f>
        <v>2508.6333333333332</v>
      </c>
      <c r="Y38" s="6">
        <f>IFERROR(Y28/21,0)</f>
        <v>2483.3523809523808</v>
      </c>
      <c r="Z38" s="6">
        <f>IFERROR(Z28/22,0)</f>
        <v>2520.9227272727276</v>
      </c>
      <c r="AA38" s="6">
        <f>IFERROR(AA28/19,0)</f>
        <v>2646.6315789473683</v>
      </c>
      <c r="AB38" s="6">
        <f>IFERROR(AB28/22,0)</f>
        <v>2497.4636363636364</v>
      </c>
      <c r="AC38" s="6">
        <f>IFERROR(AC28/254,0)</f>
        <v>2494.4366141732285</v>
      </c>
      <c r="AE38" s="6">
        <f>IFERROR(AE28/21,0)</f>
        <v>0</v>
      </c>
      <c r="AF38" s="6">
        <f>IFERROR(AF28/20,0)</f>
        <v>0</v>
      </c>
      <c r="AG38" s="6">
        <f>IFERROR(AG28/22,0)</f>
        <v>0</v>
      </c>
      <c r="AH38" s="6">
        <f>IFERROR(AH28/22,0)</f>
        <v>0</v>
      </c>
      <c r="AI38" s="6">
        <f>IFERROR(AI28/20,0)</f>
        <v>0</v>
      </c>
      <c r="AJ38" s="6">
        <f>IFERROR(AJ28/22,0)</f>
        <v>0</v>
      </c>
      <c r="AK38" s="6">
        <f>IFERROR(AK28/22,0)</f>
        <v>0</v>
      </c>
      <c r="AL38" s="6">
        <f>IFERROR(AL28/21,0)</f>
        <v>0</v>
      </c>
      <c r="AM38" s="6">
        <f>IFERROR(AM28/21,0)</f>
        <v>-2.1428571428571428</v>
      </c>
      <c r="AN38" s="6">
        <f>IFERROR(AN28/22,0)</f>
        <v>-2.0454545454545454</v>
      </c>
      <c r="AO38" s="6">
        <f>IFERROR(AO28/19,0)</f>
        <v>-2.3684210526315788</v>
      </c>
      <c r="AP38" s="6">
        <f>IFERROR(AP28/22,0)</f>
        <v>-2.0454545454545454</v>
      </c>
      <c r="AQ38" s="6">
        <f>IFERROR(AQ28/254,0)</f>
        <v>-0.70866141732283461</v>
      </c>
      <c r="AS38" s="6">
        <f>IFERROR(AS28/21,0)</f>
        <v>0</v>
      </c>
      <c r="AT38" s="6">
        <f>IFERROR(AT28/20,0)</f>
        <v>0</v>
      </c>
      <c r="AU38" s="6">
        <f>IFERROR(AU28/22,0)</f>
        <v>0</v>
      </c>
      <c r="AV38" s="6">
        <f>IFERROR(AV28/22,0)</f>
        <v>0</v>
      </c>
      <c r="AW38" s="6">
        <f>IFERROR(AW28/20,0)</f>
        <v>0</v>
      </c>
      <c r="AX38" s="6">
        <f>IFERROR(AX28/22,0)</f>
        <v>0</v>
      </c>
      <c r="AY38" s="6">
        <f>IFERROR(AY28/22,0)</f>
        <v>0</v>
      </c>
      <c r="AZ38" s="6">
        <f>IFERROR(AZ28/21,0)</f>
        <v>0</v>
      </c>
      <c r="BA38" s="6">
        <f>IFERROR(BA28/21,0)</f>
        <v>70.952380952380949</v>
      </c>
      <c r="BB38" s="6">
        <f>IFERROR(BB28/22,0)</f>
        <v>-47.272727272727273</v>
      </c>
      <c r="BC38" s="6">
        <f>IFERROR(BC28/19,0)</f>
        <v>-11.578947368421053</v>
      </c>
      <c r="BD38" s="6">
        <f>IFERROR(BD28/22,0)</f>
        <v>15.454545454545455</v>
      </c>
      <c r="BE38" s="6">
        <f>IFERROR(BE28/254,0)</f>
        <v>2.2440944881889764</v>
      </c>
      <c r="BG38" s="6">
        <f>IFERROR(BG28/21,0)</f>
        <v>2370.319047619048</v>
      </c>
      <c r="BH38" s="6">
        <f>IFERROR(BH28/20,0)</f>
        <v>2451.67</v>
      </c>
      <c r="BI38" s="6">
        <f>IFERROR(BI28/22,0)</f>
        <v>2390.3818181818178</v>
      </c>
      <c r="BJ38" s="6">
        <f>IFERROR(BJ28/22,0)</f>
        <v>2585.5409090909093</v>
      </c>
      <c r="BK38" s="6">
        <f>IFERROR(BK28/20,0)</f>
        <v>2591.6750000000002</v>
      </c>
      <c r="BL38" s="6">
        <f>IFERROR(BL28/22,0)</f>
        <v>2460.1863636363637</v>
      </c>
      <c r="BM38" s="6">
        <f>IFERROR(BM28/22,0)</f>
        <v>2446.6681818181819</v>
      </c>
      <c r="BN38" s="6">
        <f>IFERROR(BN28/21,0)</f>
        <v>2508.6333333333332</v>
      </c>
      <c r="BO38" s="6">
        <f>IFERROR(BO28/21,0)</f>
        <v>2554.304761904762</v>
      </c>
      <c r="BP38" s="6">
        <f>IFERROR(BP28/22,0)</f>
        <v>2473.65</v>
      </c>
      <c r="BQ38" s="6">
        <f>IFERROR(BQ28/19,0)</f>
        <v>2635.0526315789475</v>
      </c>
      <c r="BR38" s="6">
        <f>IFERROR(BR28/22,0)</f>
        <v>2512.9181818181819</v>
      </c>
      <c r="BS38" s="6">
        <f>IFERROR(BS28/254,0)</f>
        <v>2496.6807086614176</v>
      </c>
    </row>
    <row r="40" spans="2:71">
      <c r="B40" s="5" t="s">
        <v>151</v>
      </c>
      <c r="C40" s="6">
        <f>Alder!C40+Beacon!C40+Cobalt!C40+Delta!C40+Ember!C40+Falcon!C40+Granite!C40+Hollis!C40+SAFEREG!C40</f>
        <v>85813.1</v>
      </c>
      <c r="D40" s="6">
        <f>Alder!D40+Beacon!D40+Cobalt!D40+Delta!D40+Ember!D40+Falcon!D40+Granite!D40+Hollis!D40+SAFEREG!D40</f>
        <v>85188.2</v>
      </c>
      <c r="E40" s="6">
        <f>Alder!E40+Beacon!E40+Cobalt!E40+Delta!E40+Ember!E40+Falcon!E40+Granite!E40+Hollis!E40+SAFEREG!E40</f>
        <v>90743.6</v>
      </c>
      <c r="F40" s="6">
        <f>Alder!F40+Beacon!F40+Cobalt!F40+Delta!F40+Ember!F40+Falcon!F40+Granite!F40+Hollis!F40+SAFEREG!F40</f>
        <v>98182</v>
      </c>
      <c r="G40" s="6">
        <f>Alder!G40+Beacon!G40+Cobalt!G40+Delta!G40+Ember!G40+Falcon!G40+Granite!G40+Hollis!G40+SAFEREG!G40</f>
        <v>87470.399999999994</v>
      </c>
      <c r="H40" s="6">
        <f>Alder!H40+Beacon!H40+Cobalt!H40+Delta!H40+Ember!H40+Falcon!H40+Granite!H40+Hollis!H40+SAFEREG!H40</f>
        <v>88474.900000000009</v>
      </c>
      <c r="I40" s="6">
        <f>Alder!I40+Beacon!I40+Cobalt!I40+Delta!I40+Ember!I40+Falcon!I40+Granite!I40+Hollis!I40+SAFEREG!I40</f>
        <v>86267.1</v>
      </c>
      <c r="J40" s="6">
        <f>Alder!J40+Beacon!J40+Cobalt!J40+Delta!J40+Ember!J40+Falcon!J40+Granite!J40+Hollis!J40+SAFEREG!J40</f>
        <v>81103.400000000009</v>
      </c>
      <c r="K40" s="6">
        <f>Alder!K40+Beacon!K40+Cobalt!K40+Delta!K40+Ember!K40+Falcon!K40+Granite!K40+Hollis!K40+SAFEREG!K40</f>
        <v>83019.8</v>
      </c>
      <c r="L40" s="6">
        <f>Alder!L40+Beacon!L40+Cobalt!L40+Delta!L40+Ember!L40+Falcon!L40+Granite!L40+Hollis!L40+SAFEREG!L40</f>
        <v>82986.400000000009</v>
      </c>
      <c r="M40" s="6">
        <f>Alder!M40+Beacon!M40+Cobalt!M40+Delta!M40+Ember!M40+Falcon!M40+Granite!M40+Hollis!M40+SAFEREG!M40</f>
        <v>76603.399999999994</v>
      </c>
      <c r="N40" s="6">
        <f>Alder!N40+Beacon!N40+Cobalt!N40+Delta!N40+Ember!N40+Falcon!N40+Granite!N40+Hollis!N40+SAFEREG!N40</f>
        <v>84145.9</v>
      </c>
      <c r="O40" s="6">
        <f>N40</f>
        <v>84145.9</v>
      </c>
      <c r="Q40" s="6">
        <f>Alder!Q40+Beacon!Q40+Cobalt!Q40+Delta!Q40+Ember!Q40+Falcon!Q40+Granite!Q40+Hollis!Q40+SAFEREG!Q40</f>
        <v>85813.1</v>
      </c>
      <c r="R40" s="6">
        <f>Alder!R40+Beacon!R40+Cobalt!R40+Delta!R40+Ember!R40+Falcon!R40+Granite!R40+Hollis!R40+SAFEREG!R40</f>
        <v>85188.2</v>
      </c>
      <c r="S40" s="6">
        <f>Alder!S40+Beacon!S40+Cobalt!S40+Delta!S40+Ember!S40+Falcon!S40+Granite!S40+Hollis!S40+SAFEREG!S40</f>
        <v>90743.6</v>
      </c>
      <c r="T40" s="6">
        <f>Alder!T40+Beacon!T40+Cobalt!T40+Delta!T40+Ember!T40+Falcon!T40+Granite!T40+Hollis!T40+SAFEREG!T40</f>
        <v>98182</v>
      </c>
      <c r="U40" s="6">
        <f>Alder!U40+Beacon!U40+Cobalt!U40+Delta!U40+Ember!U40+Falcon!U40+Granite!U40+Hollis!U40+SAFEREG!U40</f>
        <v>87470.399999999994</v>
      </c>
      <c r="V40" s="6">
        <f>Alder!V40+Beacon!V40+Cobalt!V40+Delta!V40+Ember!V40+Falcon!V40+Granite!V40+Hollis!V40+SAFEREG!V40</f>
        <v>88474.900000000009</v>
      </c>
      <c r="W40" s="6">
        <f>Alder!W40+Beacon!W40+Cobalt!W40+Delta!W40+Ember!W40+Falcon!W40+Granite!W40+Hollis!W40+SAFEREG!W40</f>
        <v>86267.1</v>
      </c>
      <c r="X40" s="6">
        <f>Alder!X40+Beacon!X40+Cobalt!X40+Delta!X40+Ember!X40+Falcon!X40+Granite!X40+Hollis!X40+SAFEREG!X40</f>
        <v>81103.400000000009</v>
      </c>
      <c r="Y40" s="6">
        <f>Alder!Y40+Beacon!Y40+Cobalt!Y40+Delta!Y40+Ember!Y40+Falcon!Y40+Granite!Y40+Hollis!Y40+SAFEREG!Y40</f>
        <v>83019.8</v>
      </c>
      <c r="Z40" s="6">
        <f>Alder!Z40+Beacon!Z40+Cobalt!Z40+Delta!Z40+Ember!Z40+Falcon!Z40+Granite!Z40+Hollis!Z40+SAFEREG!Z40</f>
        <v>82986.400000000009</v>
      </c>
      <c r="AA40" s="6">
        <f>Alder!AA40+Beacon!AA40+Cobalt!AA40+Delta!AA40+Ember!AA40+Falcon!AA40+Granite!AA40+Hollis!AA40+SAFEREG!AA40</f>
        <v>76603.399999999994</v>
      </c>
      <c r="AB40" s="6">
        <f>Alder!AB40+Beacon!AB40+Cobalt!AB40+Delta!AB40+Ember!AB40+Falcon!AB40+Granite!AB40+Hollis!AB40+SAFEREG!AB40</f>
        <v>84145.9</v>
      </c>
      <c r="AC40" s="6">
        <f>AB40</f>
        <v>84145.9</v>
      </c>
      <c r="AE40" s="6">
        <f>Q40-C40</f>
        <v>0</v>
      </c>
      <c r="AF40" s="6">
        <f>R40-D40</f>
        <v>0</v>
      </c>
      <c r="AG40" s="6">
        <f>S40-E40</f>
        <v>0</v>
      </c>
      <c r="AH40" s="6">
        <f>T40-F40</f>
        <v>0</v>
      </c>
      <c r="AI40" s="6">
        <f>U40-G40</f>
        <v>0</v>
      </c>
      <c r="AJ40" s="6">
        <f>V40-H40</f>
        <v>0</v>
      </c>
      <c r="AK40" s="6">
        <f>W40-I40</f>
        <v>0</v>
      </c>
      <c r="AL40" s="6">
        <f>X40-J40</f>
        <v>0</v>
      </c>
      <c r="AM40" s="6">
        <f>Y40-K40</f>
        <v>0</v>
      </c>
      <c r="AN40" s="6">
        <f>Z40-L40</f>
        <v>0</v>
      </c>
      <c r="AO40" s="6">
        <f>AA40-M40</f>
        <v>0</v>
      </c>
      <c r="AP40" s="6">
        <f>AB40-N40</f>
        <v>0</v>
      </c>
      <c r="AQ40" s="6">
        <f>AP40</f>
        <v>0</v>
      </c>
      <c r="AS40" s="6">
        <f>'Safety-Adj'!C95</f>
        <v>0</v>
      </c>
      <c r="AT40" s="6">
        <f>'Safety-Adj'!D95</f>
        <v>0</v>
      </c>
      <c r="AU40" s="6">
        <f>'Safety-Adj'!E95</f>
        <v>0</v>
      </c>
      <c r="AV40" s="6">
        <f>'Safety-Adj'!F95</f>
        <v>0</v>
      </c>
      <c r="AW40" s="6">
        <f>'Safety-Adj'!G95</f>
        <v>0</v>
      </c>
      <c r="AX40" s="6">
        <f>'Safety-Adj'!H95</f>
        <v>0</v>
      </c>
      <c r="AY40" s="6">
        <f>'Safety-Adj'!I95</f>
        <v>0</v>
      </c>
      <c r="AZ40" s="6">
        <f>'Safety-Adj'!J95</f>
        <v>0</v>
      </c>
      <c r="BA40" s="6">
        <f>'Safety-Adj'!K95</f>
        <v>400</v>
      </c>
      <c r="BB40" s="6">
        <f>'Safety-Adj'!L95</f>
        <v>-1400</v>
      </c>
      <c r="BC40" s="6">
        <f>'Safety-Adj'!M95</f>
        <v>-3200</v>
      </c>
      <c r="BD40" s="6">
        <f>'Safety-Adj'!N95</f>
        <v>-4000</v>
      </c>
      <c r="BE40" s="6">
        <f>BD40</f>
        <v>-4000</v>
      </c>
      <c r="BG40" s="6">
        <f>C40+AE40+AS40</f>
        <v>85813.1</v>
      </c>
      <c r="BH40" s="6">
        <f>D40+AF40+AT40</f>
        <v>85188.2</v>
      </c>
      <c r="BI40" s="6">
        <f>E40+AG40+AU40</f>
        <v>90743.6</v>
      </c>
      <c r="BJ40" s="6">
        <f>F40+AH40+AV40</f>
        <v>98182</v>
      </c>
      <c r="BK40" s="6">
        <f>G40+AI40+AW40</f>
        <v>87470.399999999994</v>
      </c>
      <c r="BL40" s="6">
        <f>H40+AJ40+AX40</f>
        <v>88474.900000000009</v>
      </c>
      <c r="BM40" s="6">
        <f>I40+AK40+AY40</f>
        <v>86267.1</v>
      </c>
      <c r="BN40" s="6">
        <f>J40+AL40+AZ40</f>
        <v>81103.400000000009</v>
      </c>
      <c r="BO40" s="6">
        <f>K40+AM40+BA40</f>
        <v>83419.8</v>
      </c>
      <c r="BP40" s="6">
        <f>L40+AN40+BB40</f>
        <v>81586.400000000009</v>
      </c>
      <c r="BQ40" s="6">
        <f>M40+AO40+BC40</f>
        <v>73403.399999999994</v>
      </c>
      <c r="BR40" s="6">
        <f>N40+AP40+BD40</f>
        <v>80145.899999999994</v>
      </c>
      <c r="BS40" s="6">
        <f>BR40</f>
        <v>80145.899999999994</v>
      </c>
    </row>
    <row r="41" spans="2:71">
      <c r="B41" s="5" t="s">
        <v>152</v>
      </c>
      <c r="C41" s="6">
        <f>Alder!C41+Beacon!C41+Cobalt!C41+Delta!C41+Ember!C41+Falcon!C41+Granite!C41+Hollis!C41+SAFEREG!C41</f>
        <v>75494.8</v>
      </c>
      <c r="D41" s="6">
        <f>Alder!D41+Beacon!D41+Cobalt!D41+Delta!D41+Ember!D41+Falcon!D41+Granite!D41+Hollis!D41+SAFEREG!D41</f>
        <v>74367.199999999997</v>
      </c>
      <c r="E41" s="6">
        <f>Alder!E41+Beacon!E41+Cobalt!E41+Delta!E41+Ember!E41+Falcon!E41+Granite!E41+Hollis!E41+SAFEREG!E41</f>
        <v>79758.899999999994</v>
      </c>
      <c r="F41" s="6">
        <f>Alder!F41+Beacon!F41+Cobalt!F41+Delta!F41+Ember!F41+Falcon!F41+Granite!F41+Hollis!F41+SAFEREG!F41</f>
        <v>86270.8</v>
      </c>
      <c r="G41" s="6">
        <f>Alder!G41+Beacon!G41+Cobalt!G41+Delta!G41+Ember!G41+Falcon!G41+Granite!G41+Hollis!G41+SAFEREG!G41</f>
        <v>78614.2</v>
      </c>
      <c r="H41" s="6">
        <f>Alder!H41+Beacon!H41+Cobalt!H41+Delta!H41+Ember!H41+Falcon!H41+Granite!H41+Hollis!H41+SAFEREG!H41</f>
        <v>82088.200000000012</v>
      </c>
      <c r="I41" s="6">
        <f>Alder!I41+Beacon!I41+Cobalt!I41+Delta!I41+Ember!I41+Falcon!I41+Granite!I41+Hollis!I41+SAFEREG!I41</f>
        <v>81637.3</v>
      </c>
      <c r="J41" s="6">
        <f>Alder!J41+Beacon!J41+Cobalt!J41+Delta!J41+Ember!J41+Falcon!J41+Granite!J41+Hollis!J41+SAFEREG!J41</f>
        <v>79899.999999999985</v>
      </c>
      <c r="K41" s="6">
        <f>Alder!K41+Beacon!K41+Cobalt!K41+Delta!K41+Ember!K41+Falcon!K41+Granite!K41+Hollis!K41+SAFEREG!K41</f>
        <v>81354.499999999985</v>
      </c>
      <c r="L41" s="6">
        <f>Alder!L41+Beacon!L41+Cobalt!L41+Delta!L41+Ember!L41+Falcon!L41+Granite!L41+Hollis!L41+SAFEREG!L41</f>
        <v>82537.299999999988</v>
      </c>
      <c r="M41" s="6">
        <f>Alder!M41+Beacon!M41+Cobalt!M41+Delta!M41+Ember!M41+Falcon!M41+Granite!M41+Hollis!M41+SAFEREG!M41</f>
        <v>75933.400000000009</v>
      </c>
      <c r="N41" s="6">
        <f>Alder!N41+Beacon!N41+Cobalt!N41+Delta!N41+Ember!N41+Falcon!N41+Granite!N41+Hollis!N41+SAFEREG!N41</f>
        <v>83847.7</v>
      </c>
      <c r="O41" s="6">
        <f>N41</f>
        <v>83847.7</v>
      </c>
      <c r="Q41" s="6">
        <f>Alder!Q41+Beacon!Q41+Cobalt!Q41+Delta!Q41+Ember!Q41+Falcon!Q41+Granite!Q41+Hollis!Q41+SAFEREG!Q41</f>
        <v>75494.8</v>
      </c>
      <c r="R41" s="6">
        <f>Alder!R41+Beacon!R41+Cobalt!R41+Delta!R41+Ember!R41+Falcon!R41+Granite!R41+Hollis!R41+SAFEREG!R41</f>
        <v>74367.199999999997</v>
      </c>
      <c r="S41" s="6">
        <f>Alder!S41+Beacon!S41+Cobalt!S41+Delta!S41+Ember!S41+Falcon!S41+Granite!S41+Hollis!S41+SAFEREG!S41</f>
        <v>79758.899999999994</v>
      </c>
      <c r="T41" s="6">
        <f>Alder!T41+Beacon!T41+Cobalt!T41+Delta!T41+Ember!T41+Falcon!T41+Granite!T41+Hollis!T41+SAFEREG!T41</f>
        <v>86270.8</v>
      </c>
      <c r="U41" s="6">
        <f>Alder!U41+Beacon!U41+Cobalt!U41+Delta!U41+Ember!U41+Falcon!U41+Granite!U41+Hollis!U41+SAFEREG!U41</f>
        <v>78614.2</v>
      </c>
      <c r="V41" s="6">
        <f>Alder!V41+Beacon!V41+Cobalt!V41+Delta!V41+Ember!V41+Falcon!V41+Granite!V41+Hollis!V41+SAFEREG!V41</f>
        <v>82088.200000000012</v>
      </c>
      <c r="W41" s="6">
        <f>Alder!W41+Beacon!W41+Cobalt!W41+Delta!W41+Ember!W41+Falcon!W41+Granite!W41+Hollis!W41+SAFEREG!W41</f>
        <v>81637.3</v>
      </c>
      <c r="X41" s="6">
        <f>Alder!X41+Beacon!X41+Cobalt!X41+Delta!X41+Ember!X41+Falcon!X41+Granite!X41+Hollis!X41+SAFEREG!X41</f>
        <v>79899.999999999985</v>
      </c>
      <c r="Y41" s="6">
        <f>Alder!Y41+Beacon!Y41+Cobalt!Y41+Delta!Y41+Ember!Y41+Falcon!Y41+Granite!Y41+Hollis!Y41+SAFEREG!Y41</f>
        <v>81354.499999999985</v>
      </c>
      <c r="Z41" s="6">
        <f>Alder!Z41+Beacon!Z41+Cobalt!Z41+Delta!Z41+Ember!Z41+Falcon!Z41+Granite!Z41+Hollis!Z41+SAFEREG!Z41</f>
        <v>82537.299999999988</v>
      </c>
      <c r="AA41" s="6">
        <f>Alder!AA41+Beacon!AA41+Cobalt!AA41+Delta!AA41+Ember!AA41+Falcon!AA41+Granite!AA41+Hollis!AA41+SAFEREG!AA41</f>
        <v>75933.400000000009</v>
      </c>
      <c r="AB41" s="6">
        <f>Alder!AB41+Beacon!AB41+Cobalt!AB41+Delta!AB41+Ember!AB41+Falcon!AB41+Granite!AB41+Hollis!AB41+SAFEREG!AB41</f>
        <v>83847.7</v>
      </c>
      <c r="AC41" s="6">
        <f>AB41</f>
        <v>83847.7</v>
      </c>
      <c r="AE41" s="6">
        <f>Q41-C41</f>
        <v>0</v>
      </c>
      <c r="AF41" s="6">
        <f>R41-D41</f>
        <v>0</v>
      </c>
      <c r="AG41" s="6">
        <f>S41-E41</f>
        <v>0</v>
      </c>
      <c r="AH41" s="6">
        <f>T41-F41</f>
        <v>0</v>
      </c>
      <c r="AI41" s="6">
        <f>U41-G41</f>
        <v>0</v>
      </c>
      <c r="AJ41" s="6">
        <f>V41-H41</f>
        <v>0</v>
      </c>
      <c r="AK41" s="6">
        <f>W41-I41</f>
        <v>0</v>
      </c>
      <c r="AL41" s="6">
        <f>X41-J41</f>
        <v>0</v>
      </c>
      <c r="AM41" s="6">
        <f>Y41-K41</f>
        <v>0</v>
      </c>
      <c r="AN41" s="6">
        <f>Z41-L41</f>
        <v>0</v>
      </c>
      <c r="AO41" s="6">
        <f>AA41-M41</f>
        <v>0</v>
      </c>
      <c r="AP41" s="6">
        <f>AB41-N41</f>
        <v>0</v>
      </c>
      <c r="AQ41" s="6">
        <f>AP41</f>
        <v>0</v>
      </c>
      <c r="AS41" s="6">
        <f>'Safety-Adj'!C96</f>
        <v>0</v>
      </c>
      <c r="AT41" s="6">
        <f>'Safety-Adj'!D96</f>
        <v>0</v>
      </c>
      <c r="AU41" s="6">
        <f>'Safety-Adj'!E96</f>
        <v>0</v>
      </c>
      <c r="AV41" s="6">
        <f>'Safety-Adj'!F96</f>
        <v>0</v>
      </c>
      <c r="AW41" s="6">
        <f>'Safety-Adj'!G96</f>
        <v>0</v>
      </c>
      <c r="AX41" s="6">
        <f>'Safety-Adj'!H96</f>
        <v>0</v>
      </c>
      <c r="AY41" s="6">
        <f>'Safety-Adj'!I96</f>
        <v>0</v>
      </c>
      <c r="AZ41" s="6">
        <f>'Safety-Adj'!J96</f>
        <v>0</v>
      </c>
      <c r="BA41" s="6">
        <f>'Safety-Adj'!K96</f>
        <v>600</v>
      </c>
      <c r="BB41" s="6">
        <f>'Safety-Adj'!L96</f>
        <v>-300</v>
      </c>
      <c r="BC41" s="6">
        <f>'Safety-Adj'!M96</f>
        <v>-300</v>
      </c>
      <c r="BD41" s="6">
        <f>'Safety-Adj'!N96</f>
        <v>0</v>
      </c>
      <c r="BE41" s="6">
        <f>BD41</f>
        <v>0</v>
      </c>
      <c r="BG41" s="6">
        <f>C41+AE41+AS41</f>
        <v>75494.8</v>
      </c>
      <c r="BH41" s="6">
        <f>D41+AF41+AT41</f>
        <v>74367.199999999997</v>
      </c>
      <c r="BI41" s="6">
        <f>E41+AG41+AU41</f>
        <v>79758.899999999994</v>
      </c>
      <c r="BJ41" s="6">
        <f>F41+AH41+AV41</f>
        <v>86270.8</v>
      </c>
      <c r="BK41" s="6">
        <f>G41+AI41+AW41</f>
        <v>78614.2</v>
      </c>
      <c r="BL41" s="6">
        <f>H41+AJ41+AX41</f>
        <v>82088.200000000012</v>
      </c>
      <c r="BM41" s="6">
        <f>I41+AK41+AY41</f>
        <v>81637.3</v>
      </c>
      <c r="BN41" s="6">
        <f>J41+AL41+AZ41</f>
        <v>79899.999999999985</v>
      </c>
      <c r="BO41" s="6">
        <f>K41+AM41+BA41</f>
        <v>81954.499999999985</v>
      </c>
      <c r="BP41" s="6">
        <f>L41+AN41+BB41</f>
        <v>82237.299999999988</v>
      </c>
      <c r="BQ41" s="6">
        <f>M41+AO41+BC41</f>
        <v>75633.400000000009</v>
      </c>
      <c r="BR41" s="6">
        <f>N41+AP41+BD41</f>
        <v>83847.7</v>
      </c>
      <c r="BS41" s="6">
        <f>BR41</f>
        <v>83847.7</v>
      </c>
    </row>
    <row r="42" spans="2:71">
      <c r="B42" s="5" t="s">
        <v>153</v>
      </c>
      <c r="C42" s="6">
        <f>Alder!C42+Beacon!C42+Cobalt!C42+Delta!C42+Ember!C42+Falcon!C42+Granite!C42+Hollis!C42+SAFEREG!C42</f>
        <v>771.60000000000014</v>
      </c>
      <c r="D42" s="6">
        <f>Alder!D42+Beacon!D42+Cobalt!D42+Delta!D42+Ember!D42+Falcon!D42+Granite!D42+Hollis!D42+SAFEREG!D42</f>
        <v>760.5</v>
      </c>
      <c r="E42" s="6">
        <f>Alder!E42+Beacon!E42+Cobalt!E42+Delta!E42+Ember!E42+Falcon!E42+Granite!E42+Hollis!E42+SAFEREG!E42</f>
        <v>813.80000000000007</v>
      </c>
      <c r="F42" s="6">
        <f>Alder!F42+Beacon!F42+Cobalt!F42+Delta!F42+Ember!F42+Falcon!F42+Granite!F42+Hollis!F42+SAFEREG!F42</f>
        <v>878.2</v>
      </c>
      <c r="G42" s="6">
        <f>Alder!G42+Beacon!G42+Cobalt!G42+Delta!G42+Ember!G42+Falcon!G42+Granite!G42+Hollis!G42+SAFEREG!G42</f>
        <v>802.39999999999986</v>
      </c>
      <c r="H42" s="6">
        <f>Alder!H42+Beacon!H42+Cobalt!H42+Delta!H42+Ember!H42+Falcon!H42+Granite!H42+Hollis!H42+SAFEREG!H42</f>
        <v>837</v>
      </c>
      <c r="I42" s="6">
        <f>Alder!I42+Beacon!I42+Cobalt!I42+Delta!I42+Ember!I42+Falcon!I42+Granite!I42+Hollis!I42+SAFEREG!I42</f>
        <v>832.4</v>
      </c>
      <c r="J42" s="6">
        <f>Alder!J42+Beacon!J42+Cobalt!J42+Delta!J42+Ember!J42+Falcon!J42+Granite!J42+Hollis!J42+SAFEREG!J42</f>
        <v>815.2</v>
      </c>
      <c r="K42" s="6">
        <f>Alder!K42+Beacon!K42+Cobalt!K42+Delta!K42+Ember!K42+Falcon!K42+Granite!K42+Hollis!K42+SAFEREG!K42</f>
        <v>829.6</v>
      </c>
      <c r="L42" s="6">
        <f>Alder!L42+Beacon!L42+Cobalt!L42+Delta!L42+Ember!L42+Falcon!L42+Granite!L42+Hollis!L42+SAFEREG!L42</f>
        <v>841.19999999999982</v>
      </c>
      <c r="M42" s="6">
        <f>Alder!M42+Beacon!M42+Cobalt!M42+Delta!M42+Ember!M42+Falcon!M42+Granite!M42+Hollis!M42+SAFEREG!M42</f>
        <v>776.00000000000011</v>
      </c>
      <c r="N42" s="6">
        <f>Alder!N42+Beacon!N42+Cobalt!N42+Delta!N42+Ember!N42+Falcon!N42+Granite!N42+Hollis!N42+SAFEREG!N42</f>
        <v>854.19999999999993</v>
      </c>
      <c r="O42" s="6">
        <f>N42</f>
        <v>854.19999999999993</v>
      </c>
      <c r="Q42" s="6">
        <f>Alder!Q42+Beacon!Q42+Cobalt!Q42+Delta!Q42+Ember!Q42+Falcon!Q42+Granite!Q42+Hollis!Q42+SAFEREG!Q42</f>
        <v>771.60000000000014</v>
      </c>
      <c r="R42" s="6">
        <f>Alder!R42+Beacon!R42+Cobalt!R42+Delta!R42+Ember!R42+Falcon!R42+Granite!R42+Hollis!R42+SAFEREG!R42</f>
        <v>760.5</v>
      </c>
      <c r="S42" s="6">
        <f>Alder!S42+Beacon!S42+Cobalt!S42+Delta!S42+Ember!S42+Falcon!S42+Granite!S42+Hollis!S42+SAFEREG!S42</f>
        <v>813.80000000000007</v>
      </c>
      <c r="T42" s="6">
        <f>Alder!T42+Beacon!T42+Cobalt!T42+Delta!T42+Ember!T42+Falcon!T42+Granite!T42+Hollis!T42+SAFEREG!T42</f>
        <v>878.2</v>
      </c>
      <c r="U42" s="6">
        <f>Alder!U42+Beacon!U42+Cobalt!U42+Delta!U42+Ember!U42+Falcon!U42+Granite!U42+Hollis!U42+SAFEREG!U42</f>
        <v>802.39999999999986</v>
      </c>
      <c r="V42" s="6">
        <f>Alder!V42+Beacon!V42+Cobalt!V42+Delta!V42+Ember!V42+Falcon!V42+Granite!V42+Hollis!V42+SAFEREG!V42</f>
        <v>837</v>
      </c>
      <c r="W42" s="6">
        <f>Alder!W42+Beacon!W42+Cobalt!W42+Delta!W42+Ember!W42+Falcon!W42+Granite!W42+Hollis!W42+SAFEREG!W42</f>
        <v>832.4</v>
      </c>
      <c r="X42" s="6">
        <f>Alder!X42+Beacon!X42+Cobalt!X42+Delta!X42+Ember!X42+Falcon!X42+Granite!X42+Hollis!X42+SAFEREG!X42</f>
        <v>815.2</v>
      </c>
      <c r="Y42" s="6">
        <f>Alder!Y42+Beacon!Y42+Cobalt!Y42+Delta!Y42+Ember!Y42+Falcon!Y42+Granite!Y42+Hollis!Y42+SAFEREG!Y42</f>
        <v>829.6</v>
      </c>
      <c r="Z42" s="6">
        <f>Alder!Z42+Beacon!Z42+Cobalt!Z42+Delta!Z42+Ember!Z42+Falcon!Z42+Granite!Z42+Hollis!Z42+SAFEREG!Z42</f>
        <v>841.19999999999982</v>
      </c>
      <c r="AA42" s="6">
        <f>Alder!AA42+Beacon!AA42+Cobalt!AA42+Delta!AA42+Ember!AA42+Falcon!AA42+Granite!AA42+Hollis!AA42+SAFEREG!AA42</f>
        <v>776.00000000000011</v>
      </c>
      <c r="AB42" s="6">
        <f>Alder!AB42+Beacon!AB42+Cobalt!AB42+Delta!AB42+Ember!AB42+Falcon!AB42+Granite!AB42+Hollis!AB42+SAFEREG!AB42</f>
        <v>854.19999999999993</v>
      </c>
      <c r="AC42" s="6">
        <f>AB42</f>
        <v>854.19999999999993</v>
      </c>
      <c r="AE42" s="6">
        <f>Q42-C42</f>
        <v>0</v>
      </c>
      <c r="AF42" s="6">
        <f>R42-D42</f>
        <v>0</v>
      </c>
      <c r="AG42" s="6">
        <f>S42-E42</f>
        <v>0</v>
      </c>
      <c r="AH42" s="6">
        <f>T42-F42</f>
        <v>0</v>
      </c>
      <c r="AI42" s="6">
        <f>U42-G42</f>
        <v>0</v>
      </c>
      <c r="AJ42" s="6">
        <f>V42-H42</f>
        <v>0</v>
      </c>
      <c r="AK42" s="6">
        <f>W42-I42</f>
        <v>0</v>
      </c>
      <c r="AL42" s="6">
        <f>X42-J42</f>
        <v>0</v>
      </c>
      <c r="AM42" s="6">
        <f>Y42-K42</f>
        <v>0</v>
      </c>
      <c r="AN42" s="6">
        <f>Z42-L42</f>
        <v>0</v>
      </c>
      <c r="AO42" s="6">
        <f>AA42-M42</f>
        <v>0</v>
      </c>
      <c r="AP42" s="6">
        <f>AB42-N42</f>
        <v>0</v>
      </c>
      <c r="AQ42" s="6">
        <f>AP42</f>
        <v>0</v>
      </c>
      <c r="AS42" s="6">
        <f>'Safety-Adj'!C97</f>
        <v>0</v>
      </c>
      <c r="AT42" s="6">
        <f>'Safety-Adj'!D97</f>
        <v>0</v>
      </c>
      <c r="AU42" s="6">
        <f>'Safety-Adj'!E97</f>
        <v>0</v>
      </c>
      <c r="AV42" s="6">
        <f>'Safety-Adj'!F97</f>
        <v>0</v>
      </c>
      <c r="AW42" s="6">
        <f>'Safety-Adj'!G97</f>
        <v>0</v>
      </c>
      <c r="AX42" s="6">
        <f>'Safety-Adj'!H97</f>
        <v>0</v>
      </c>
      <c r="AY42" s="6">
        <f>'Safety-Adj'!I97</f>
        <v>0</v>
      </c>
      <c r="AZ42" s="6">
        <f>'Safety-Adj'!J97</f>
        <v>0</v>
      </c>
      <c r="BA42" s="6">
        <f>'Safety-Adj'!K97</f>
        <v>0</v>
      </c>
      <c r="BB42" s="6">
        <f>'Safety-Adj'!L97</f>
        <v>0</v>
      </c>
      <c r="BC42" s="6">
        <f>'Safety-Adj'!M97</f>
        <v>0</v>
      </c>
      <c r="BD42" s="6">
        <f>'Safety-Adj'!N97</f>
        <v>0</v>
      </c>
      <c r="BE42" s="6">
        <f>BD42</f>
        <v>0</v>
      </c>
      <c r="BG42" s="6">
        <f>C42+AE42+AS42</f>
        <v>771.60000000000014</v>
      </c>
      <c r="BH42" s="6">
        <f>D42+AF42+AT42</f>
        <v>760.5</v>
      </c>
      <c r="BI42" s="6">
        <f>E42+AG42+AU42</f>
        <v>813.80000000000007</v>
      </c>
      <c r="BJ42" s="6">
        <f>F42+AH42+AV42</f>
        <v>878.2</v>
      </c>
      <c r="BK42" s="6">
        <f>G42+AI42+AW42</f>
        <v>802.39999999999986</v>
      </c>
      <c r="BL42" s="6">
        <f>H42+AJ42+AX42</f>
        <v>837</v>
      </c>
      <c r="BM42" s="6">
        <f>I42+AK42+AY42</f>
        <v>832.4</v>
      </c>
      <c r="BN42" s="6">
        <f>J42+AL42+AZ42</f>
        <v>815.2</v>
      </c>
      <c r="BO42" s="6">
        <f>K42+AM42+BA42</f>
        <v>829.6</v>
      </c>
      <c r="BP42" s="6">
        <f>L42+AN42+BB42</f>
        <v>841.19999999999982</v>
      </c>
      <c r="BQ42" s="6">
        <f>M42+AO42+BC42</f>
        <v>776.00000000000011</v>
      </c>
      <c r="BR42" s="6">
        <f>N42+AP42+BD42</f>
        <v>854.19999999999993</v>
      </c>
      <c r="BS42" s="6">
        <f>BR42</f>
        <v>854.19999999999993</v>
      </c>
    </row>
    <row r="43" spans="2:71">
      <c r="B43" s="5" t="s">
        <v>154</v>
      </c>
      <c r="C43" s="6">
        <f>Alder!C43+Beacon!C43+Cobalt!C43+Delta!C43+Ember!C43+Falcon!C43+Granite!C43+Hollis!C43+SAFEREG!C43</f>
        <v>-48792.2</v>
      </c>
      <c r="D43" s="6">
        <f>Alder!D43+Beacon!D43+Cobalt!D43+Delta!D43+Ember!D43+Falcon!D43+Granite!D43+Hollis!D43+SAFEREG!D43</f>
        <v>-48143.7</v>
      </c>
      <c r="E43" s="6">
        <f>Alder!E43+Beacon!E43+Cobalt!E43+Delta!E43+Ember!E43+Falcon!E43+Granite!E43+Hollis!E43+SAFEREG!E43</f>
        <v>-51673.799999999996</v>
      </c>
      <c r="F43" s="6">
        <f>Alder!F43+Beacon!F43+Cobalt!F43+Delta!F43+Ember!F43+Falcon!F43+Granite!F43+Hollis!F43+SAFEREG!F43</f>
        <v>-55817.4</v>
      </c>
      <c r="G43" s="6">
        <f>Alder!G43+Beacon!G43+Cobalt!G43+Delta!G43+Ember!G43+Falcon!G43+Granite!G43+Hollis!G43+SAFEREG!G43</f>
        <v>-50866</v>
      </c>
      <c r="H43" s="6">
        <f>Alder!H43+Beacon!H43+Cobalt!H43+Delta!H43+Ember!H43+Falcon!H43+Granite!H43+Hollis!H43+SAFEREG!H43</f>
        <v>-53518.299999999988</v>
      </c>
      <c r="I43" s="6">
        <f>Alder!I43+Beacon!I43+Cobalt!I43+Delta!I43+Ember!I43+Falcon!I43+Granite!I43+Hollis!I43+SAFEREG!I43</f>
        <v>-53247.700000000004</v>
      </c>
      <c r="J43" s="6">
        <f>Alder!J43+Beacon!J43+Cobalt!J43+Delta!J43+Ember!J43+Falcon!J43+Granite!J43+Hollis!J43+SAFEREG!J43</f>
        <v>-52148</v>
      </c>
      <c r="K43" s="6">
        <f>Alder!K43+Beacon!K43+Cobalt!K43+Delta!K43+Ember!K43+Falcon!K43+Granite!K43+Hollis!K43+SAFEREG!K43</f>
        <v>-54053.299999999996</v>
      </c>
      <c r="L43" s="6">
        <f>Alder!L43+Beacon!L43+Cobalt!L43+Delta!L43+Ember!L43+Falcon!L43+Granite!L43+Hollis!L43+SAFEREG!L43</f>
        <v>-54074.1</v>
      </c>
      <c r="M43" s="6">
        <f>Alder!M43+Beacon!M43+Cobalt!M43+Delta!M43+Ember!M43+Falcon!M43+Granite!M43+Hollis!M43+SAFEREG!M43</f>
        <v>-49808.2</v>
      </c>
      <c r="N43" s="6">
        <f>Alder!N43+Beacon!N43+Cobalt!N43+Delta!N43+Ember!N43+Falcon!N43+Granite!N43+Hollis!N43+SAFEREG!N43</f>
        <v>-54847.799999999996</v>
      </c>
      <c r="O43" s="6">
        <f>N43</f>
        <v>-54847.799999999996</v>
      </c>
      <c r="Q43" s="6">
        <f>Alder!Q43+Beacon!Q43+Cobalt!Q43+Delta!Q43+Ember!Q43+Falcon!Q43+Granite!Q43+Hollis!Q43+SAFEREG!Q43</f>
        <v>-48792.2</v>
      </c>
      <c r="R43" s="6">
        <f>Alder!R43+Beacon!R43+Cobalt!R43+Delta!R43+Ember!R43+Falcon!R43+Granite!R43+Hollis!R43+SAFEREG!R43</f>
        <v>-48143.7</v>
      </c>
      <c r="S43" s="6">
        <f>Alder!S43+Beacon!S43+Cobalt!S43+Delta!S43+Ember!S43+Falcon!S43+Granite!S43+Hollis!S43+SAFEREG!S43</f>
        <v>-51673.799999999996</v>
      </c>
      <c r="T43" s="6">
        <f>Alder!T43+Beacon!T43+Cobalt!T43+Delta!T43+Ember!T43+Falcon!T43+Granite!T43+Hollis!T43+SAFEREG!T43</f>
        <v>-55817.4</v>
      </c>
      <c r="U43" s="6">
        <f>Alder!U43+Beacon!U43+Cobalt!U43+Delta!U43+Ember!U43+Falcon!U43+Granite!U43+Hollis!U43+SAFEREG!U43</f>
        <v>-50866</v>
      </c>
      <c r="V43" s="6">
        <f>Alder!V43+Beacon!V43+Cobalt!V43+Delta!V43+Ember!V43+Falcon!V43+Granite!V43+Hollis!V43+SAFEREG!V43</f>
        <v>-53518.299999999988</v>
      </c>
      <c r="W43" s="6">
        <f>Alder!W43+Beacon!W43+Cobalt!W43+Delta!W43+Ember!W43+Falcon!W43+Granite!W43+Hollis!W43+SAFEREG!W43</f>
        <v>-53247.700000000004</v>
      </c>
      <c r="X43" s="6">
        <f>Alder!X43+Beacon!X43+Cobalt!X43+Delta!X43+Ember!X43+Falcon!X43+Granite!X43+Hollis!X43+SAFEREG!X43</f>
        <v>-52148</v>
      </c>
      <c r="Y43" s="6">
        <f>Alder!Y43+Beacon!Y43+Cobalt!Y43+Delta!Y43+Ember!Y43+Falcon!Y43+Granite!Y43+Hollis!Y43+SAFEREG!Y43</f>
        <v>-54053.299999999996</v>
      </c>
      <c r="Z43" s="6">
        <f>Alder!Z43+Beacon!Z43+Cobalt!Z43+Delta!Z43+Ember!Z43+Falcon!Z43+Granite!Z43+Hollis!Z43+SAFEREG!Z43</f>
        <v>-54074.1</v>
      </c>
      <c r="AA43" s="6">
        <f>Alder!AA43+Beacon!AA43+Cobalt!AA43+Delta!AA43+Ember!AA43+Falcon!AA43+Granite!AA43+Hollis!AA43+SAFEREG!AA43</f>
        <v>-49808.2</v>
      </c>
      <c r="AB43" s="6">
        <f>Alder!AB43+Beacon!AB43+Cobalt!AB43+Delta!AB43+Ember!AB43+Falcon!AB43+Granite!AB43+Hollis!AB43+SAFEREG!AB43</f>
        <v>-54847.799999999996</v>
      </c>
      <c r="AC43" s="6">
        <f>AB43</f>
        <v>-54847.799999999996</v>
      </c>
      <c r="AE43" s="6">
        <f>Q43-C43</f>
        <v>0</v>
      </c>
      <c r="AF43" s="6">
        <f>R43-D43</f>
        <v>0</v>
      </c>
      <c r="AG43" s="6">
        <f>S43-E43</f>
        <v>0</v>
      </c>
      <c r="AH43" s="6">
        <f>T43-F43</f>
        <v>0</v>
      </c>
      <c r="AI43" s="6">
        <f>U43-G43</f>
        <v>0</v>
      </c>
      <c r="AJ43" s="6">
        <f>V43-H43</f>
        <v>0</v>
      </c>
      <c r="AK43" s="6">
        <f>W43-I43</f>
        <v>0</v>
      </c>
      <c r="AL43" s="6">
        <f>X43-J43</f>
        <v>0</v>
      </c>
      <c r="AM43" s="6">
        <f>Y43-K43</f>
        <v>0</v>
      </c>
      <c r="AN43" s="6">
        <f>Z43-L43</f>
        <v>0</v>
      </c>
      <c r="AO43" s="6">
        <f>AA43-M43</f>
        <v>0</v>
      </c>
      <c r="AP43" s="6">
        <f>AB43-N43</f>
        <v>0</v>
      </c>
      <c r="AQ43" s="6">
        <f>AP43</f>
        <v>0</v>
      </c>
      <c r="AS43" s="6">
        <f>'Safety-Adj'!C98</f>
        <v>0</v>
      </c>
      <c r="AT43" s="6">
        <f>'Safety-Adj'!D98</f>
        <v>0</v>
      </c>
      <c r="AU43" s="6">
        <f>'Safety-Adj'!E98</f>
        <v>0</v>
      </c>
      <c r="AV43" s="6">
        <f>'Safety-Adj'!F98</f>
        <v>0</v>
      </c>
      <c r="AW43" s="6">
        <f>'Safety-Adj'!G98</f>
        <v>0</v>
      </c>
      <c r="AX43" s="6">
        <f>'Safety-Adj'!H98</f>
        <v>0</v>
      </c>
      <c r="AY43" s="6">
        <f>'Safety-Adj'!I98</f>
        <v>0</v>
      </c>
      <c r="AZ43" s="6">
        <f>'Safety-Adj'!J98</f>
        <v>0</v>
      </c>
      <c r="BA43" s="6">
        <f>'Safety-Adj'!K98</f>
        <v>0</v>
      </c>
      <c r="BB43" s="6">
        <f>'Safety-Adj'!L98</f>
        <v>0</v>
      </c>
      <c r="BC43" s="6">
        <f>'Safety-Adj'!M98</f>
        <v>0</v>
      </c>
      <c r="BD43" s="6">
        <f>'Safety-Adj'!N98</f>
        <v>0</v>
      </c>
      <c r="BE43" s="6">
        <f>BD43</f>
        <v>0</v>
      </c>
      <c r="BG43" s="6">
        <f>C43+AE43+AS43</f>
        <v>-48792.2</v>
      </c>
      <c r="BH43" s="6">
        <f>D43+AF43+AT43</f>
        <v>-48143.7</v>
      </c>
      <c r="BI43" s="6">
        <f>E43+AG43+AU43</f>
        <v>-51673.799999999996</v>
      </c>
      <c r="BJ43" s="6">
        <f>F43+AH43+AV43</f>
        <v>-55817.4</v>
      </c>
      <c r="BK43" s="6">
        <f>G43+AI43+AW43</f>
        <v>-50866</v>
      </c>
      <c r="BL43" s="6">
        <f>H43+AJ43+AX43</f>
        <v>-53518.299999999988</v>
      </c>
      <c r="BM43" s="6">
        <f>I43+AK43+AY43</f>
        <v>-53247.700000000004</v>
      </c>
      <c r="BN43" s="6">
        <f>J43+AL43+AZ43</f>
        <v>-52148</v>
      </c>
      <c r="BO43" s="6">
        <f>K43+AM43+BA43</f>
        <v>-54053.299999999996</v>
      </c>
      <c r="BP43" s="6">
        <f>L43+AN43+BB43</f>
        <v>-54074.1</v>
      </c>
      <c r="BQ43" s="6">
        <f>M43+AO43+BC43</f>
        <v>-49808.2</v>
      </c>
      <c r="BR43" s="6">
        <f>N43+AP43+BD43</f>
        <v>-54847.799999999996</v>
      </c>
      <c r="BS43" s="6">
        <f>BR43</f>
        <v>-54847.799999999996</v>
      </c>
    </row>
    <row r="44" spans="2:71">
      <c r="B44" s="5" t="s">
        <v>155</v>
      </c>
      <c r="C44" s="6">
        <f>Alder!C44+Beacon!C44+Cobalt!C44+Delta!C44+Ember!C44+Falcon!C44+Granite!C44+Hollis!C44+SAFEREG!C44</f>
        <v>-1673.5</v>
      </c>
      <c r="D44" s="6">
        <f>Alder!D44+Beacon!D44+Cobalt!D44+Delta!D44+Ember!D44+Falcon!D44+Granite!D44+Hollis!D44+SAFEREG!D44</f>
        <v>-1650.9</v>
      </c>
      <c r="E44" s="6">
        <f>Alder!E44+Beacon!E44+Cobalt!E44+Delta!E44+Ember!E44+Falcon!E44+Granite!E44+Hollis!E44+SAFEREG!E44</f>
        <v>-1757.8</v>
      </c>
      <c r="F44" s="6">
        <f>Alder!F44+Beacon!F44+Cobalt!F44+Delta!F44+Ember!F44+Falcon!F44+Granite!F44+Hollis!F44+SAFEREG!F44</f>
        <v>-1886.4</v>
      </c>
      <c r="G44" s="6">
        <f>Alder!G44+Beacon!G44+Cobalt!G44+Delta!G44+Ember!G44+Falcon!G44+Granite!G44+Hollis!G44+SAFEREG!G44</f>
        <v>-1734.7999999999997</v>
      </c>
      <c r="H44" s="6">
        <f>Alder!H44+Beacon!H44+Cobalt!H44+Delta!H44+Ember!H44+Falcon!H44+Granite!H44+Hollis!H44+SAFEREG!H44</f>
        <v>-1803.7</v>
      </c>
      <c r="I44" s="6">
        <f>Alder!I44+Beacon!I44+Cobalt!I44+Delta!I44+Ember!I44+Falcon!I44+Granite!I44+Hollis!I44+SAFEREG!I44</f>
        <v>-1794.7</v>
      </c>
      <c r="J44" s="6">
        <f>Alder!J44+Beacon!J44+Cobalt!J44+Delta!J44+Ember!J44+Falcon!J44+Granite!J44+Hollis!J44+SAFEREG!J44</f>
        <v>-1760.5</v>
      </c>
      <c r="K44" s="6">
        <f>Alder!K44+Beacon!K44+Cobalt!K44+Delta!K44+Ember!K44+Falcon!K44+Granite!K44+Hollis!K44+SAFEREG!K44</f>
        <v>-1789.1999999999998</v>
      </c>
      <c r="L44" s="6">
        <f>Alder!L44+Beacon!L44+Cobalt!L44+Delta!L44+Ember!L44+Falcon!L44+Granite!L44+Hollis!L44+SAFEREG!L44</f>
        <v>-1812.6999999999998</v>
      </c>
      <c r="M44" s="6">
        <f>Alder!M44+Beacon!M44+Cobalt!M44+Delta!M44+Ember!M44+Falcon!M44+Granite!M44+Hollis!M44+SAFEREG!M44</f>
        <v>-1682.1000000000001</v>
      </c>
      <c r="N44" s="6">
        <f>Alder!N44+Beacon!N44+Cobalt!N44+Delta!N44+Ember!N44+Falcon!N44+Granite!N44+Hollis!N44+SAFEREG!N44</f>
        <v>-1838.3999999999999</v>
      </c>
      <c r="O44" s="6">
        <f>N44</f>
        <v>-1838.3999999999999</v>
      </c>
      <c r="Q44" s="6">
        <f>Alder!Q44+Beacon!Q44+Cobalt!Q44+Delta!Q44+Ember!Q44+Falcon!Q44+Granite!Q44+Hollis!Q44+SAFEREG!Q44</f>
        <v>-1673.5</v>
      </c>
      <c r="R44" s="6">
        <f>Alder!R44+Beacon!R44+Cobalt!R44+Delta!R44+Ember!R44+Falcon!R44+Granite!R44+Hollis!R44+SAFEREG!R44</f>
        <v>-1650.9</v>
      </c>
      <c r="S44" s="6">
        <f>Alder!S44+Beacon!S44+Cobalt!S44+Delta!S44+Ember!S44+Falcon!S44+Granite!S44+Hollis!S44+SAFEREG!S44</f>
        <v>-1757.8</v>
      </c>
      <c r="T44" s="6">
        <f>Alder!T44+Beacon!T44+Cobalt!T44+Delta!T44+Ember!T44+Falcon!T44+Granite!T44+Hollis!T44+SAFEREG!T44</f>
        <v>-1886.4</v>
      </c>
      <c r="U44" s="6">
        <f>Alder!U44+Beacon!U44+Cobalt!U44+Delta!U44+Ember!U44+Falcon!U44+Granite!U44+Hollis!U44+SAFEREG!U44</f>
        <v>-1734.7999999999997</v>
      </c>
      <c r="V44" s="6">
        <f>Alder!V44+Beacon!V44+Cobalt!V44+Delta!V44+Ember!V44+Falcon!V44+Granite!V44+Hollis!V44+SAFEREG!V44</f>
        <v>-1803.7</v>
      </c>
      <c r="W44" s="6">
        <f>Alder!W44+Beacon!W44+Cobalt!W44+Delta!W44+Ember!W44+Falcon!W44+Granite!W44+Hollis!W44+SAFEREG!W44</f>
        <v>-1794.7</v>
      </c>
      <c r="X44" s="6">
        <f>Alder!X44+Beacon!X44+Cobalt!X44+Delta!X44+Ember!X44+Falcon!X44+Granite!X44+Hollis!X44+SAFEREG!X44</f>
        <v>-1760.5</v>
      </c>
      <c r="Y44" s="6">
        <f>Alder!Y44+Beacon!Y44+Cobalt!Y44+Delta!Y44+Ember!Y44+Falcon!Y44+Granite!Y44+Hollis!Y44+SAFEREG!Y44</f>
        <v>-1789.1999999999998</v>
      </c>
      <c r="Z44" s="6">
        <f>Alder!Z44+Beacon!Z44+Cobalt!Z44+Delta!Z44+Ember!Z44+Falcon!Z44+Granite!Z44+Hollis!Z44+SAFEREG!Z44</f>
        <v>-1812.6999999999998</v>
      </c>
      <c r="AA44" s="6">
        <f>Alder!AA44+Beacon!AA44+Cobalt!AA44+Delta!AA44+Ember!AA44+Falcon!AA44+Granite!AA44+Hollis!AA44+SAFEREG!AA44</f>
        <v>-1682.1000000000001</v>
      </c>
      <c r="AB44" s="6">
        <f>Alder!AB44+Beacon!AB44+Cobalt!AB44+Delta!AB44+Ember!AB44+Falcon!AB44+Granite!AB44+Hollis!AB44+SAFEREG!AB44</f>
        <v>-1838.3999999999999</v>
      </c>
      <c r="AC44" s="6">
        <f>AB44</f>
        <v>-1838.3999999999999</v>
      </c>
      <c r="AE44" s="6">
        <f>Q44-C44</f>
        <v>0</v>
      </c>
      <c r="AF44" s="6">
        <f>R44-D44</f>
        <v>0</v>
      </c>
      <c r="AG44" s="6">
        <f>S44-E44</f>
        <v>0</v>
      </c>
      <c r="AH44" s="6">
        <f>T44-F44</f>
        <v>0</v>
      </c>
      <c r="AI44" s="6">
        <f>U44-G44</f>
        <v>0</v>
      </c>
      <c r="AJ44" s="6">
        <f>V44-H44</f>
        <v>0</v>
      </c>
      <c r="AK44" s="6">
        <f>W44-I44</f>
        <v>0</v>
      </c>
      <c r="AL44" s="6">
        <f>X44-J44</f>
        <v>0</v>
      </c>
      <c r="AM44" s="6">
        <f>Y44-K44</f>
        <v>0</v>
      </c>
      <c r="AN44" s="6">
        <f>Z44-L44</f>
        <v>0</v>
      </c>
      <c r="AO44" s="6">
        <f>AA44-M44</f>
        <v>0</v>
      </c>
      <c r="AP44" s="6">
        <f>AB44-N44</f>
        <v>0</v>
      </c>
      <c r="AQ44" s="6">
        <f>AP44</f>
        <v>0</v>
      </c>
      <c r="AS44" s="6">
        <f>'Safety-Adj'!C99</f>
        <v>0</v>
      </c>
      <c r="AT44" s="6">
        <f>'Safety-Adj'!D99</f>
        <v>0</v>
      </c>
      <c r="AU44" s="6">
        <f>'Safety-Adj'!E99</f>
        <v>0</v>
      </c>
      <c r="AV44" s="6">
        <f>'Safety-Adj'!F99</f>
        <v>0</v>
      </c>
      <c r="AW44" s="6">
        <f>'Safety-Adj'!G99</f>
        <v>0</v>
      </c>
      <c r="AX44" s="6">
        <f>'Safety-Adj'!H99</f>
        <v>0</v>
      </c>
      <c r="AY44" s="6">
        <f>'Safety-Adj'!I99</f>
        <v>0</v>
      </c>
      <c r="AZ44" s="6">
        <f>'Safety-Adj'!J99</f>
        <v>0</v>
      </c>
      <c r="BA44" s="6">
        <f>'Safety-Adj'!K99</f>
        <v>0</v>
      </c>
      <c r="BB44" s="6">
        <f>'Safety-Adj'!L99</f>
        <v>0</v>
      </c>
      <c r="BC44" s="6">
        <f>'Safety-Adj'!M99</f>
        <v>0</v>
      </c>
      <c r="BD44" s="6">
        <f>'Safety-Adj'!N99</f>
        <v>0</v>
      </c>
      <c r="BE44" s="6">
        <f>BD44</f>
        <v>0</v>
      </c>
      <c r="BG44" s="6">
        <f>C44+AE44+AS44</f>
        <v>-1673.5</v>
      </c>
      <c r="BH44" s="6">
        <f>D44+AF44+AT44</f>
        <v>-1650.9</v>
      </c>
      <c r="BI44" s="6">
        <f>E44+AG44+AU44</f>
        <v>-1757.8</v>
      </c>
      <c r="BJ44" s="6">
        <f>F44+AH44+AV44</f>
        <v>-1886.4</v>
      </c>
      <c r="BK44" s="6">
        <f>G44+AI44+AW44</f>
        <v>-1734.7999999999997</v>
      </c>
      <c r="BL44" s="6">
        <f>H44+AJ44+AX44</f>
        <v>-1803.7</v>
      </c>
      <c r="BM44" s="6">
        <f>I44+AK44+AY44</f>
        <v>-1794.7</v>
      </c>
      <c r="BN44" s="6">
        <f>J44+AL44+AZ44</f>
        <v>-1760.5</v>
      </c>
      <c r="BO44" s="6">
        <f>K44+AM44+BA44</f>
        <v>-1789.1999999999998</v>
      </c>
      <c r="BP44" s="6">
        <f>L44+AN44+BB44</f>
        <v>-1812.6999999999998</v>
      </c>
      <c r="BQ44" s="6">
        <f>M44+AO44+BC44</f>
        <v>-1682.1000000000001</v>
      </c>
      <c r="BR44" s="6">
        <f>N44+AP44+BD44</f>
        <v>-1838.3999999999999</v>
      </c>
      <c r="BS44" s="6">
        <f>BR44</f>
        <v>-1838.3999999999999</v>
      </c>
    </row>
    <row r="45" spans="2:71">
      <c r="B45" s="2" t="s">
        <v>170</v>
      </c>
      <c r="C45" s="6">
        <f>SUM(C40:C44)</f>
        <v>111613.80000000003</v>
      </c>
      <c r="D45" s="6">
        <f>SUM(D40:D44)</f>
        <v>110521.3</v>
      </c>
      <c r="E45" s="6">
        <f>SUM(E40:E44)</f>
        <v>117884.7</v>
      </c>
      <c r="F45" s="6">
        <f>SUM(F40:F44)</f>
        <v>127627.20000000001</v>
      </c>
      <c r="G45" s="6">
        <f>SUM(G40:G44)</f>
        <v>114286.19999999997</v>
      </c>
      <c r="H45" s="6">
        <f>SUM(H40:H44)</f>
        <v>116078.10000000005</v>
      </c>
      <c r="I45" s="6">
        <f>SUM(I40:I44)</f>
        <v>113694.40000000001</v>
      </c>
      <c r="J45" s="6">
        <f>SUM(J40:J44)</f>
        <v>107910.1</v>
      </c>
      <c r="K45" s="6">
        <f>SUM(K40:K44)</f>
        <v>109361.40000000001</v>
      </c>
      <c r="L45" s="6">
        <f>SUM(L40:L44)</f>
        <v>110478.10000000002</v>
      </c>
      <c r="M45" s="6">
        <f>SUM(M40:M44)</f>
        <v>101822.49999999999</v>
      </c>
      <c r="N45" s="6">
        <f>SUM(N40:N44)</f>
        <v>112161.60000000001</v>
      </c>
      <c r="O45" s="6">
        <f>N45</f>
        <v>112161.60000000001</v>
      </c>
      <c r="Q45" s="6">
        <f>SUM(Q40:Q44)</f>
        <v>111613.80000000003</v>
      </c>
      <c r="R45" s="6">
        <f>SUM(R40:R44)</f>
        <v>110521.3</v>
      </c>
      <c r="S45" s="6">
        <f>SUM(S40:S44)</f>
        <v>117884.7</v>
      </c>
      <c r="T45" s="6">
        <f>SUM(T40:T44)</f>
        <v>127627.20000000001</v>
      </c>
      <c r="U45" s="6">
        <f>SUM(U40:U44)</f>
        <v>114286.19999999997</v>
      </c>
      <c r="V45" s="6">
        <f>SUM(V40:V44)</f>
        <v>116078.10000000005</v>
      </c>
      <c r="W45" s="6">
        <f>SUM(W40:W44)</f>
        <v>113694.40000000001</v>
      </c>
      <c r="X45" s="6">
        <f>SUM(X40:X44)</f>
        <v>107910.1</v>
      </c>
      <c r="Y45" s="6">
        <f>SUM(Y40:Y44)</f>
        <v>109361.40000000001</v>
      </c>
      <c r="Z45" s="6">
        <f>SUM(Z40:Z44)</f>
        <v>110478.10000000002</v>
      </c>
      <c r="AA45" s="6">
        <f>SUM(AA40:AA44)</f>
        <v>101822.49999999999</v>
      </c>
      <c r="AB45" s="6">
        <f>SUM(AB40:AB44)</f>
        <v>112161.60000000001</v>
      </c>
      <c r="AC45" s="6">
        <f>AB45</f>
        <v>112161.60000000001</v>
      </c>
      <c r="AE45" s="6">
        <f>SUM(AE40:AE44)</f>
        <v>0</v>
      </c>
      <c r="AF45" s="6">
        <f>SUM(AF40:AF44)</f>
        <v>0</v>
      </c>
      <c r="AG45" s="6">
        <f>SUM(AG40:AG44)</f>
        <v>0</v>
      </c>
      <c r="AH45" s="6">
        <f>SUM(AH40:AH44)</f>
        <v>0</v>
      </c>
      <c r="AI45" s="6">
        <f>SUM(AI40:AI44)</f>
        <v>0</v>
      </c>
      <c r="AJ45" s="6">
        <f>SUM(AJ40:AJ44)</f>
        <v>0</v>
      </c>
      <c r="AK45" s="6">
        <f>SUM(AK40:AK44)</f>
        <v>0</v>
      </c>
      <c r="AL45" s="6">
        <f>SUM(AL40:AL44)</f>
        <v>0</v>
      </c>
      <c r="AM45" s="6">
        <f>SUM(AM40:AM44)</f>
        <v>0</v>
      </c>
      <c r="AN45" s="6">
        <f>SUM(AN40:AN44)</f>
        <v>0</v>
      </c>
      <c r="AO45" s="6">
        <f>SUM(AO40:AO44)</f>
        <v>0</v>
      </c>
      <c r="AP45" s="6">
        <f>SUM(AP40:AP44)</f>
        <v>0</v>
      </c>
      <c r="AQ45" s="6">
        <f>AP45</f>
        <v>0</v>
      </c>
      <c r="AS45" s="6">
        <f>SUM(AS40:AS44)</f>
        <v>0</v>
      </c>
      <c r="AT45" s="6">
        <f>SUM(AT40:AT44)</f>
        <v>0</v>
      </c>
      <c r="AU45" s="6">
        <f>SUM(AU40:AU44)</f>
        <v>0</v>
      </c>
      <c r="AV45" s="6">
        <f>SUM(AV40:AV44)</f>
        <v>0</v>
      </c>
      <c r="AW45" s="6">
        <f>SUM(AW40:AW44)</f>
        <v>0</v>
      </c>
      <c r="AX45" s="6">
        <f>SUM(AX40:AX44)</f>
        <v>0</v>
      </c>
      <c r="AY45" s="6">
        <f>SUM(AY40:AY44)</f>
        <v>0</v>
      </c>
      <c r="AZ45" s="6">
        <f>SUM(AZ40:AZ44)</f>
        <v>0</v>
      </c>
      <c r="BA45" s="6">
        <f>SUM(BA40:BA44)</f>
        <v>1000</v>
      </c>
      <c r="BB45" s="6">
        <f>SUM(BB40:BB44)</f>
        <v>-1700</v>
      </c>
      <c r="BC45" s="6">
        <f>SUM(BC40:BC44)</f>
        <v>-3500</v>
      </c>
      <c r="BD45" s="6">
        <f>SUM(BD40:BD44)</f>
        <v>-4000</v>
      </c>
      <c r="BE45" s="6">
        <f>BD45</f>
        <v>-4000</v>
      </c>
      <c r="BG45" s="6">
        <f>SUM(BG40:BG44)</f>
        <v>111613.80000000003</v>
      </c>
      <c r="BH45" s="6">
        <f>SUM(BH40:BH44)</f>
        <v>110521.3</v>
      </c>
      <c r="BI45" s="6">
        <f>SUM(BI40:BI44)</f>
        <v>117884.7</v>
      </c>
      <c r="BJ45" s="6">
        <f>SUM(BJ40:BJ44)</f>
        <v>127627.20000000001</v>
      </c>
      <c r="BK45" s="6">
        <f>SUM(BK40:BK44)</f>
        <v>114286.19999999997</v>
      </c>
      <c r="BL45" s="6">
        <f>SUM(BL40:BL44)</f>
        <v>116078.10000000005</v>
      </c>
      <c r="BM45" s="6">
        <f>SUM(BM40:BM44)</f>
        <v>113694.40000000001</v>
      </c>
      <c r="BN45" s="6">
        <f>SUM(BN40:BN44)</f>
        <v>107910.1</v>
      </c>
      <c r="BO45" s="6">
        <f>SUM(BO40:BO44)</f>
        <v>110361.40000000001</v>
      </c>
      <c r="BP45" s="6">
        <f>SUM(BP40:BP44)</f>
        <v>108778.10000000002</v>
      </c>
      <c r="BQ45" s="6">
        <f>SUM(BQ40:BQ44)</f>
        <v>98322.499999999985</v>
      </c>
      <c r="BR45" s="6">
        <f>SUM(BR40:BR44)</f>
        <v>108161.60000000001</v>
      </c>
      <c r="BS45" s="6">
        <f>BR45</f>
        <v>108161.60000000001</v>
      </c>
    </row>
    <row r="46" spans="2:71">
      <c r="B46" s="5" t="s">
        <v>171</v>
      </c>
      <c r="C46" s="12">
        <f>IFERROR(C45/(C28*12),0)</f>
        <v>0.18685750562009942</v>
      </c>
      <c r="D46" s="12">
        <f>IFERROR(D45/(D28*12),0)</f>
        <v>0.18783336120549121</v>
      </c>
      <c r="E46" s="12">
        <f>IFERROR(E45/(E28*12),0)</f>
        <v>0.18680402902541246</v>
      </c>
      <c r="F46" s="12">
        <f>IFERROR(F45/(F28*12),0)</f>
        <v>0.18697687665144799</v>
      </c>
      <c r="G46" s="12">
        <f>IFERROR(G45/(G28*12),0)</f>
        <v>0.18373928058109132</v>
      </c>
      <c r="H46" s="12">
        <f>IFERROR(H45/(H28*12),0)</f>
        <v>0.17872214041434417</v>
      </c>
      <c r="I46" s="12">
        <f>IFERROR(I45/(I28*12),0)</f>
        <v>0.17601921227445363</v>
      </c>
      <c r="J46" s="12">
        <f>IFERROR(J45/(J28*12),0)</f>
        <v>0.17069640144289025</v>
      </c>
      <c r="K46" s="12">
        <f>IFERROR(K45/(K28*12),0)</f>
        <v>0.17460255118267126</v>
      </c>
      <c r="L46" s="12">
        <f>IFERROR(L45/(L28*12),0)</f>
        <v>0.16586719346320683</v>
      </c>
      <c r="M46" s="12">
        <f>IFERROR(M45/(M28*12),0)</f>
        <v>0.16858811335624829</v>
      </c>
      <c r="N46" s="12">
        <f>IFERROR(N45/(N28*12),0)</f>
        <v>0.1699751951292254</v>
      </c>
      <c r="Q46" s="12">
        <f>IFERROR(Q45/(Q28*12),0)</f>
        <v>0.18685750562009942</v>
      </c>
      <c r="R46" s="12">
        <f>IFERROR(R45/(R28*12),0)</f>
        <v>0.18783336120549121</v>
      </c>
      <c r="S46" s="12">
        <f>IFERROR(S45/(S28*12),0)</f>
        <v>0.18680402902541246</v>
      </c>
      <c r="T46" s="12">
        <f>IFERROR(T45/(T28*12),0)</f>
        <v>0.18697687665144799</v>
      </c>
      <c r="U46" s="12">
        <f>IFERROR(U45/(U28*12),0)</f>
        <v>0.18373928058109132</v>
      </c>
      <c r="V46" s="12">
        <f>IFERROR(V45/(V28*12),0)</f>
        <v>0.17872214041434417</v>
      </c>
      <c r="W46" s="12">
        <f>IFERROR(W45/(W28*12),0)</f>
        <v>0.17601921227445363</v>
      </c>
      <c r="X46" s="12">
        <f>IFERROR(X45/(X28*12),0)</f>
        <v>0.17069640144289025</v>
      </c>
      <c r="Y46" s="12">
        <f>IFERROR(Y45/(Y28*12),0)</f>
        <v>0.1747532137816776</v>
      </c>
      <c r="Z46" s="12">
        <f>IFERROR(Z45/(Z28*12),0)</f>
        <v>0.16600177664623764</v>
      </c>
      <c r="AA46" s="12">
        <f>IFERROR(AA45/(AA28*12),0)</f>
        <v>0.16873897970276683</v>
      </c>
      <c r="AB46" s="12">
        <f>IFERROR(AB45/(AB28*12),0)</f>
        <v>0.17011440698017263</v>
      </c>
      <c r="AE46" s="12">
        <f>IFERROR(AE45/(AE28*12),0)</f>
        <v>0</v>
      </c>
      <c r="AF46" s="12">
        <f>IFERROR(AF45/(AF28*12),0)</f>
        <v>0</v>
      </c>
      <c r="AG46" s="12">
        <f>IFERROR(AG45/(AG28*12),0)</f>
        <v>0</v>
      </c>
      <c r="AH46" s="12">
        <f>IFERROR(AH45/(AH28*12),0)</f>
        <v>0</v>
      </c>
      <c r="AI46" s="12">
        <f>IFERROR(AI45/(AI28*12),0)</f>
        <v>0</v>
      </c>
      <c r="AJ46" s="12">
        <f>IFERROR(AJ45/(AJ28*12),0)</f>
        <v>0</v>
      </c>
      <c r="AK46" s="12">
        <f>IFERROR(AK45/(AK28*12),0)</f>
        <v>0</v>
      </c>
      <c r="AL46" s="12">
        <f>IFERROR(AL45/(AL28*12),0)</f>
        <v>0</v>
      </c>
      <c r="AM46" s="12">
        <f>IFERROR(AM45/(AM28*12),0)</f>
        <v>0</v>
      </c>
      <c r="AN46" s="12">
        <f>IFERROR(AN45/(AN28*12),0)</f>
        <v>0</v>
      </c>
      <c r="AO46" s="12">
        <f>IFERROR(AO45/(AO28*12),0)</f>
        <v>0</v>
      </c>
      <c r="AP46" s="12">
        <f>IFERROR(AP45/(AP28*12),0)</f>
        <v>0</v>
      </c>
      <c r="AS46" s="12">
        <f>IFERROR(AS45/(AS28*12),0)</f>
        <v>0</v>
      </c>
      <c r="AT46" s="12">
        <f>IFERROR(AT45/(AT28*12),0)</f>
        <v>0</v>
      </c>
      <c r="AU46" s="12">
        <f>IFERROR(AU45/(AU28*12),0)</f>
        <v>0</v>
      </c>
      <c r="AV46" s="12">
        <f>IFERROR(AV45/(AV28*12),0)</f>
        <v>0</v>
      </c>
      <c r="AW46" s="12">
        <f>IFERROR(AW45/(AW28*12),0)</f>
        <v>0</v>
      </c>
      <c r="AX46" s="12">
        <f>IFERROR(AX45/(AX28*12),0)</f>
        <v>0</v>
      </c>
      <c r="AY46" s="12">
        <f>IFERROR(AY45/(AY28*12),0)</f>
        <v>0</v>
      </c>
      <c r="AZ46" s="12">
        <f>IFERROR(AZ45/(AZ28*12),0)</f>
        <v>0</v>
      </c>
      <c r="BA46" s="12">
        <f>IFERROR(BA45/(BA28*12),0)</f>
        <v>5.5928411633109618E-2</v>
      </c>
      <c r="BB46" s="12">
        <f>IFERROR(BB45/(BB28*12),0)</f>
        <v>0.13621794871794871</v>
      </c>
      <c r="BC46" s="12">
        <f>IFERROR(BC45/(BC28*12),0)</f>
        <v>1.3257575757575757</v>
      </c>
      <c r="BD46" s="12">
        <f>IFERROR(BD45/(BD28*12),0)</f>
        <v>-0.98039215686274506</v>
      </c>
      <c r="BG46" s="12">
        <f>IFERROR(BG45/(BG28*12),0)</f>
        <v>0.18685750562009942</v>
      </c>
      <c r="BH46" s="12">
        <f>IFERROR(BH45/(BH28*12),0)</f>
        <v>0.18783336120549121</v>
      </c>
      <c r="BI46" s="12">
        <f>IFERROR(BI45/(BI28*12),0)</f>
        <v>0.18680402902541246</v>
      </c>
      <c r="BJ46" s="12">
        <f>IFERROR(BJ45/(BJ28*12),0)</f>
        <v>0.18697687665144799</v>
      </c>
      <c r="BK46" s="12">
        <f>IFERROR(BK45/(BK28*12),0)</f>
        <v>0.18373928058109132</v>
      </c>
      <c r="BL46" s="12">
        <f>IFERROR(BL45/(BL28*12),0)</f>
        <v>0.17872214041434417</v>
      </c>
      <c r="BM46" s="12">
        <f>IFERROR(BM45/(BM28*12),0)</f>
        <v>0.17601921227445363</v>
      </c>
      <c r="BN46" s="12">
        <f>IFERROR(BN45/(BN28*12),0)</f>
        <v>0.17069640144289025</v>
      </c>
      <c r="BO46" s="12">
        <f>IFERROR(BO45/(BO28*12),0)</f>
        <v>0.17145254944656144</v>
      </c>
      <c r="BP46" s="12">
        <f>IFERROR(BP45/(BP28*12),0)</f>
        <v>0.16657096095880888</v>
      </c>
      <c r="BQ46" s="12">
        <f>IFERROR(BQ45/(BQ28*12),0)</f>
        <v>0.16365480898547249</v>
      </c>
      <c r="BR46" s="12">
        <f>IFERROR(BR45/(BR28*12),0)</f>
        <v>0.16303874645317593</v>
      </c>
    </row>
    <row r="49" spans="2:15">
      <c r="B49" s="8" t="s">
        <v>172</v>
      </c>
    </row>
    <row r="50" spans="2:15">
      <c r="C50" s="19" t="s">
        <v>70</v>
      </c>
      <c r="D50" s="19" t="s">
        <v>71</v>
      </c>
      <c r="E50" s="19" t="s">
        <v>72</v>
      </c>
      <c r="F50" s="19" t="s">
        <v>73</v>
      </c>
      <c r="G50" s="19" t="s">
        <v>50</v>
      </c>
      <c r="H50" s="19" t="s">
        <v>74</v>
      </c>
      <c r="I50" s="19" t="s">
        <v>75</v>
      </c>
      <c r="J50" s="19" t="s">
        <v>76</v>
      </c>
      <c r="K50" s="19" t="s">
        <v>77</v>
      </c>
      <c r="L50" s="19" t="s">
        <v>78</v>
      </c>
      <c r="M50" s="19" t="s">
        <v>79</v>
      </c>
      <c r="N50" s="19" t="s">
        <v>80</v>
      </c>
      <c r="O50" s="2" t="s">
        <v>165</v>
      </c>
    </row>
    <row r="51" spans="2:15">
      <c r="B51" t="s">
        <v>100</v>
      </c>
      <c r="C51" s="6">
        <f>Alder!C51+Beacon!C51+Cobalt!C51+Delta!C51+Ember!C51+Falcon!C51+Granite!C51+Hollis!C51+SAFEREG!C51</f>
        <v>49083</v>
      </c>
      <c r="D51" s="6">
        <f>Alder!D51+Beacon!D51+Cobalt!D51+Delta!D51+Ember!D51+Falcon!D51+Granite!D51+Hollis!D51+SAFEREG!D51</f>
        <v>48050</v>
      </c>
      <c r="E51" s="6">
        <f>Alder!E51+Beacon!E51+Cobalt!E51+Delta!E51+Ember!E51+Falcon!E51+Granite!E51+Hollis!E51+SAFEREG!E51</f>
        <v>51666.400000000001</v>
      </c>
      <c r="F51" s="6">
        <f>Alder!F51+Beacon!F51+Cobalt!F51+Delta!F51+Ember!F51+Falcon!F51+Granite!F51+Hollis!F51+SAFEREG!F51</f>
        <v>55799.9</v>
      </c>
      <c r="G51" s="6">
        <f>Alder!G51+Beacon!G51+Cobalt!G51+Delta!G51+Ember!G51+Falcon!G51+Granite!G51+Hollis!G51+SAFEREG!G51</f>
        <v>50633.4</v>
      </c>
      <c r="H51" s="6">
        <f>Alder!H51+Beacon!H51+Cobalt!H51+Delta!H51+Ember!H51+Falcon!H51+Granite!H51+Hollis!H51+SAFEREG!H51</f>
        <v>53216.800000000003</v>
      </c>
      <c r="I51" s="6">
        <f>Alder!I51+Beacon!I51+Cobalt!I51+Delta!I51+Ember!I51+Falcon!I51+Granite!I51+Hollis!I51+SAFEREG!I51</f>
        <v>52699.6</v>
      </c>
      <c r="J51" s="6">
        <f>Alder!J51+Beacon!J51+Cobalt!J51+Delta!J51+Ember!J51+Falcon!J51+Granite!J51+Hollis!J51+SAFEREG!J51</f>
        <v>51666.6</v>
      </c>
      <c r="K51" s="6">
        <f>Alder!K51+Beacon!K51+Cobalt!K51+Delta!K51+Ember!K51+Falcon!K51+Granite!K51+Hollis!K51+SAFEREG!K51</f>
        <v>50633.2</v>
      </c>
      <c r="L51" s="6">
        <f>Alder!L51+Beacon!L51+Cobalt!L51+Delta!L51+Ember!L51+Falcon!L51+Granite!L51+Hollis!L51+SAFEREG!L51</f>
        <v>54249.799999999996</v>
      </c>
      <c r="M51" s="6">
        <f>Alder!M51+Beacon!M51+Cobalt!M51+Delta!M51+Ember!M51+Falcon!M51+Granite!M51+Hollis!M51+SAFEREG!M51</f>
        <v>49083.100000000006</v>
      </c>
      <c r="N51" s="6">
        <f>Alder!N51+Beacon!N51+Cobalt!N51+Delta!N51+Ember!N51+Falcon!N51+Granite!N51+Hollis!N51+SAFEREG!N51</f>
        <v>53216.3</v>
      </c>
      <c r="O51" s="6">
        <f>SUM(C51:N51)</f>
        <v>619998.1</v>
      </c>
    </row>
    <row r="52" spans="2:15">
      <c r="B52" t="s">
        <v>111</v>
      </c>
      <c r="C52" s="6">
        <f>Alder!C52+Beacon!C52+Cobalt!C52+Delta!C52+Ember!C52+Falcon!C52+Granite!C52+Hollis!C52+SAFEREG!C52</f>
        <v>15417.599999999999</v>
      </c>
      <c r="D52" s="6">
        <f>Alder!D52+Beacon!D52+Cobalt!D52+Delta!D52+Ember!D52+Falcon!D52+Granite!D52+Hollis!D52+SAFEREG!D52</f>
        <v>15093.2</v>
      </c>
      <c r="E52" s="6">
        <f>Alder!E52+Beacon!E52+Cobalt!E52+Delta!E52+Ember!E52+Falcon!E52+Granite!E52+Hollis!E52+SAFEREG!E52</f>
        <v>16228.9</v>
      </c>
      <c r="F52" s="6">
        <f>Alder!F52+Beacon!F52+Cobalt!F52+Delta!F52+Ember!F52+Falcon!F52+Granite!F52+Hollis!F52+SAFEREG!F52</f>
        <v>17527.5</v>
      </c>
      <c r="G52" s="6">
        <f>Alder!G52+Beacon!G52+Cobalt!G52+Delta!G52+Ember!G52+Falcon!G52+Granite!G52+Hollis!G52+SAFEREG!G52</f>
        <v>15904.900000000001</v>
      </c>
      <c r="H52" s="6">
        <f>Alder!H52+Beacon!H52+Cobalt!H52+Delta!H52+Ember!H52+Falcon!H52+Granite!H52+Hollis!H52+SAFEREG!H52</f>
        <v>16716.100000000002</v>
      </c>
      <c r="I52" s="6">
        <f>Alder!I52+Beacon!I52+Cobalt!I52+Delta!I52+Ember!I52+Falcon!I52+Granite!I52+Hollis!I52+SAFEREG!I52</f>
        <v>16553.3</v>
      </c>
      <c r="J52" s="6">
        <f>Alder!J52+Beacon!J52+Cobalt!J52+Delta!J52+Ember!J52+Falcon!J52+Granite!J52+Hollis!J52+SAFEREG!J52</f>
        <v>16229.1</v>
      </c>
      <c r="K52" s="6">
        <f>Alder!K52+Beacon!K52+Cobalt!K52+Delta!K52+Ember!K52+Falcon!K52+Granite!K52+Hollis!K52+SAFEREG!K52</f>
        <v>15904.7</v>
      </c>
      <c r="L52" s="6">
        <f>Alder!L52+Beacon!L52+Cobalt!L52+Delta!L52+Ember!L52+Falcon!L52+Granite!L52+Hollis!L52+SAFEREG!L52</f>
        <v>17040.699999999997</v>
      </c>
      <c r="M52" s="6">
        <f>Alder!M52+Beacon!M52+Cobalt!M52+Delta!M52+Ember!M52+Falcon!M52+Granite!M52+Hollis!M52+SAFEREG!M52</f>
        <v>15417.9</v>
      </c>
      <c r="N52" s="6">
        <f>Alder!N52+Beacon!N52+Cobalt!N52+Delta!N52+Ember!N52+Falcon!N52+Granite!N52+Hollis!N52+SAFEREG!N52</f>
        <v>16715.600000000002</v>
      </c>
      <c r="O52" s="6">
        <f>SUM(C52:N52)</f>
        <v>194749.5</v>
      </c>
    </row>
    <row r="53" spans="2:15">
      <c r="B53" t="s">
        <v>112</v>
      </c>
      <c r="C53" s="6">
        <f>Alder!C53+Beacon!C53+Cobalt!C53+Delta!C53+Ember!C53+Falcon!C53+Granite!C53+Hollis!C53+SAFEREG!C53</f>
        <v>-10679.099999999999</v>
      </c>
      <c r="D53" s="6">
        <f>Alder!D53+Beacon!D53+Cobalt!D53+Delta!D53+Ember!D53+Falcon!D53+Granite!D53+Hollis!D53+SAFEREG!D53</f>
        <v>-10462.000000000002</v>
      </c>
      <c r="E53" s="6">
        <f>Alder!E53+Beacon!E53+Cobalt!E53+Delta!E53+Ember!E53+Falcon!E53+Granite!E53+Hollis!E53+SAFEREG!E53</f>
        <v>-11225.599999999999</v>
      </c>
      <c r="F53" s="6">
        <f>Alder!F53+Beacon!F53+Cobalt!F53+Delta!F53+Ember!F53+Falcon!F53+Granite!F53+Hollis!F53+SAFEREG!F53</f>
        <v>-12101.3</v>
      </c>
      <c r="G53" s="6">
        <f>Alder!G53+Beacon!G53+Cobalt!G53+Delta!G53+Ember!G53+Falcon!G53+Granite!G53+Hollis!G53+SAFEREG!G53</f>
        <v>-11011.9</v>
      </c>
      <c r="H53" s="6">
        <f>Alder!H53+Beacon!H53+Cobalt!H53+Delta!H53+Ember!H53+Falcon!H53+Granite!H53+Hollis!H53+SAFEREG!H53</f>
        <v>-11552.800000000001</v>
      </c>
      <c r="I53" s="6">
        <f>Alder!I53+Beacon!I53+Cobalt!I53+Delta!I53+Ember!I53+Falcon!I53+Granite!I53+Hollis!I53+SAFEREG!I53</f>
        <v>-11445</v>
      </c>
      <c r="J53" s="6">
        <f>Alder!J53+Beacon!J53+Cobalt!J53+Delta!J53+Ember!J53+Falcon!J53+Granite!J53+Hollis!J53+SAFEREG!J53</f>
        <v>-11226.9</v>
      </c>
      <c r="K53" s="6">
        <f>Alder!K53+Beacon!K53+Cobalt!K53+Delta!K53+Ember!K53+Falcon!K53+Granite!K53+Hollis!K53+SAFEREG!K53</f>
        <v>-11008.5</v>
      </c>
      <c r="L53" s="6">
        <f>Alder!L53+Beacon!L53+Cobalt!L53+Delta!L53+Ember!L53+Falcon!L53+Granite!L53+Hollis!L53+SAFEREG!L53</f>
        <v>-11771.2</v>
      </c>
      <c r="M53" s="6">
        <f>Alder!M53+Beacon!M53+Cobalt!M53+Delta!M53+Ember!M53+Falcon!M53+Granite!M53+Hollis!M53+SAFEREG!M53</f>
        <v>-10684.699999999999</v>
      </c>
      <c r="N53" s="6">
        <f>Alder!N53+Beacon!N53+Cobalt!N53+Delta!N53+Ember!N53+Falcon!N53+Granite!N53+Hollis!N53+SAFEREG!N53</f>
        <v>-11557.400000000001</v>
      </c>
      <c r="O53" s="6">
        <f>SUM(C53:N53)</f>
        <v>-134726.39999999999</v>
      </c>
    </row>
    <row r="54" spans="2:15">
      <c r="B54" t="s">
        <v>113</v>
      </c>
      <c r="C54" s="6">
        <f>C52+C53</f>
        <v>4738.5</v>
      </c>
      <c r="D54" s="6">
        <f>D52+D53</f>
        <v>4631.1999999999989</v>
      </c>
      <c r="E54" s="6">
        <f>E52+E53</f>
        <v>5003.3000000000011</v>
      </c>
      <c r="F54" s="6">
        <f>F52+F53</f>
        <v>5426.2000000000007</v>
      </c>
      <c r="G54" s="6">
        <f>G52+G53</f>
        <v>4893.0000000000018</v>
      </c>
      <c r="H54" s="6">
        <f>H52+H53</f>
        <v>5163.3000000000011</v>
      </c>
      <c r="I54" s="6">
        <f>I52+I53</f>
        <v>5108.2999999999993</v>
      </c>
      <c r="J54" s="6">
        <f>J52+J53</f>
        <v>5002.2000000000007</v>
      </c>
      <c r="K54" s="6">
        <f>K52+K53</f>
        <v>4896.2000000000007</v>
      </c>
      <c r="L54" s="6">
        <f>L52+L53</f>
        <v>5269.4999999999964</v>
      </c>
      <c r="M54" s="6">
        <f>M52+M53</f>
        <v>4733.2000000000007</v>
      </c>
      <c r="N54" s="6">
        <f>N52+N53</f>
        <v>5158.2000000000007</v>
      </c>
      <c r="O54" s="6">
        <f>SUM(C54:N54)</f>
        <v>60023.099999999991</v>
      </c>
    </row>
    <row r="55" spans="2:15">
      <c r="B55" t="s">
        <v>151</v>
      </c>
      <c r="C55" s="6">
        <f>Alder!C55+Beacon!C55+Cobalt!C55+Delta!C55+Ember!C55+Falcon!C55+Granite!C55+Hollis!C55+SAFEREG!C55</f>
        <v>84927.3</v>
      </c>
      <c r="D55" s="6">
        <f>Alder!D55+Beacon!D55+Cobalt!D55+Delta!D55+Ember!D55+Falcon!D55+Granite!D55+Hollis!D55+SAFEREG!D55</f>
        <v>83666.2</v>
      </c>
      <c r="E55" s="6">
        <f>Alder!E55+Beacon!E55+Cobalt!E55+Delta!E55+Ember!E55+Falcon!E55+Granite!E55+Hollis!E55+SAFEREG!E55</f>
        <v>89845.3</v>
      </c>
      <c r="F55" s="6">
        <f>Alder!F55+Beacon!F55+Cobalt!F55+Delta!F55+Ember!F55+Falcon!F55+Granite!F55+Hollis!F55+SAFEREG!F55</f>
        <v>96096.800000000017</v>
      </c>
      <c r="G55" s="6">
        <f>Alder!G55+Beacon!G55+Cobalt!G55+Delta!G55+Ember!G55+Falcon!G55+Granite!G55+Hollis!G55+SAFEREG!G55</f>
        <v>87623.9</v>
      </c>
      <c r="H55" s="6">
        <f>Alder!H55+Beacon!H55+Cobalt!H55+Delta!H55+Ember!H55+Falcon!H55+Granite!H55+Hollis!H55+SAFEREG!H55</f>
        <v>92050.6</v>
      </c>
      <c r="I55" s="6">
        <f>Alder!I55+Beacon!I55+Cobalt!I55+Delta!I55+Ember!I55+Falcon!I55+Granite!I55+Hollis!I55+SAFEREG!I55</f>
        <v>91390.2</v>
      </c>
      <c r="J55" s="6">
        <f>Alder!J55+Beacon!J55+Cobalt!J55+Delta!J55+Ember!J55+Falcon!J55+Granite!J55+Hollis!J55+SAFEREG!J55</f>
        <v>90209.5</v>
      </c>
      <c r="K55" s="6">
        <f>Alder!K55+Beacon!K55+Cobalt!K55+Delta!K55+Ember!K55+Falcon!K55+Granite!K55+Hollis!K55+SAFEREG!K55</f>
        <v>88155.3</v>
      </c>
      <c r="L55" s="6">
        <f>Alder!L55+Beacon!L55+Cobalt!L55+Delta!L55+Ember!L55+Falcon!L55+Granite!L55+Hollis!L55+SAFEREG!L55</f>
        <v>93644.7</v>
      </c>
      <c r="M55" s="6">
        <f>Alder!M55+Beacon!M55+Cobalt!M55+Delta!M55+Ember!M55+Falcon!M55+Granite!M55+Hollis!M55+SAFEREG!M55</f>
        <v>84849.5</v>
      </c>
      <c r="N55" s="6">
        <f>Alder!N55+Beacon!N55+Cobalt!N55+Delta!N55+Ember!N55+Falcon!N55+Granite!N55+Hollis!N55+SAFEREG!N55</f>
        <v>91808.200000000012</v>
      </c>
      <c r="O55" s="6">
        <f>N55</f>
        <v>91808.200000000012</v>
      </c>
    </row>
    <row r="56" spans="2:15">
      <c r="B56" t="s">
        <v>152</v>
      </c>
      <c r="C56" s="6">
        <f>Alder!C56+Beacon!C56+Cobalt!C56+Delta!C56+Ember!C56+Falcon!C56+Granite!C56+Hollis!C56+SAFEREG!C56</f>
        <v>73624.5</v>
      </c>
      <c r="D56" s="6">
        <f>Alder!D56+Beacon!D56+Cobalt!D56+Delta!D56+Ember!D56+Falcon!D56+Granite!D56+Hollis!D56+SAFEREG!D56</f>
        <v>72074.899999999994</v>
      </c>
      <c r="E56" s="6">
        <f>Alder!E56+Beacon!E56+Cobalt!E56+Delta!E56+Ember!E56+Falcon!E56+Granite!E56+Hollis!E56+SAFEREG!E56</f>
        <v>77499.600000000006</v>
      </c>
      <c r="F56" s="6">
        <f>Alder!F56+Beacon!F56+Cobalt!F56+Delta!F56+Ember!F56+Falcon!F56+Granite!F56+Hollis!F56+SAFEREG!F56</f>
        <v>83700</v>
      </c>
      <c r="G56" s="6">
        <f>Alder!G56+Beacon!G56+Cobalt!G56+Delta!G56+Ember!G56+Falcon!G56+Granite!G56+Hollis!G56+SAFEREG!G56</f>
        <v>75950.100000000006</v>
      </c>
      <c r="H56" s="6">
        <f>Alder!H56+Beacon!H56+Cobalt!H56+Delta!H56+Ember!H56+Falcon!H56+Granite!H56+Hollis!H56+SAFEREG!H56</f>
        <v>79825.3</v>
      </c>
      <c r="I56" s="6">
        <f>Alder!I56+Beacon!I56+Cobalt!I56+Delta!I56+Ember!I56+Falcon!I56+Granite!I56+Hollis!I56+SAFEREG!I56</f>
        <v>79049.5</v>
      </c>
      <c r="J56" s="6">
        <f>Alder!J56+Beacon!J56+Cobalt!J56+Delta!J56+Ember!J56+Falcon!J56+Granite!J56+Hollis!J56+SAFEREG!J56</f>
        <v>77500</v>
      </c>
      <c r="K56" s="6">
        <f>Alder!K56+Beacon!K56+Cobalt!K56+Delta!K56+Ember!K56+Falcon!K56+Granite!K56+Hollis!K56+SAFEREG!K56</f>
        <v>75949.599999999991</v>
      </c>
      <c r="L56" s="6">
        <f>Alder!L56+Beacon!L56+Cobalt!L56+Delta!L56+Ember!L56+Falcon!L56+Granite!L56+Hollis!L56+SAFEREG!L56</f>
        <v>81374.7</v>
      </c>
      <c r="M56" s="6">
        <f>Alder!M56+Beacon!M56+Cobalt!M56+Delta!M56+Ember!M56+Falcon!M56+Granite!M56+Hollis!M56+SAFEREG!M56</f>
        <v>73624.599999999991</v>
      </c>
      <c r="N56" s="6">
        <f>Alder!N56+Beacon!N56+Cobalt!N56+Delta!N56+Ember!N56+Falcon!N56+Granite!N56+Hollis!N56+SAFEREG!N56</f>
        <v>79824.600000000006</v>
      </c>
      <c r="O56" s="6">
        <f>N56</f>
        <v>79824.600000000006</v>
      </c>
    </row>
    <row r="57" spans="2:15">
      <c r="B57" t="s">
        <v>153</v>
      </c>
      <c r="C57" s="6">
        <f>Alder!C57+Beacon!C57+Cobalt!C57+Delta!C57+Ember!C57+Falcon!C57+Granite!C57+Hollis!C57+SAFEREG!C57</f>
        <v>761.1</v>
      </c>
      <c r="D57" s="6">
        <f>Alder!D57+Beacon!D57+Cobalt!D57+Delta!D57+Ember!D57+Falcon!D57+Granite!D57+Hollis!D57+SAFEREG!D57</f>
        <v>745.8</v>
      </c>
      <c r="E57" s="6">
        <f>Alder!E57+Beacon!E57+Cobalt!E57+Delta!E57+Ember!E57+Falcon!E57+Granite!E57+Hollis!E57+SAFEREG!E57</f>
        <v>799.80000000000007</v>
      </c>
      <c r="F57" s="6">
        <f>Alder!F57+Beacon!F57+Cobalt!F57+Delta!F57+Ember!F57+Falcon!F57+Granite!F57+Hollis!F57+SAFEREG!F57</f>
        <v>862.1</v>
      </c>
      <c r="G57" s="6">
        <f>Alder!G57+Beacon!G57+Cobalt!G57+Delta!G57+Ember!G57+Falcon!G57+Granite!G57+Hollis!G57+SAFEREG!G57</f>
        <v>784.60000000000014</v>
      </c>
      <c r="H57" s="6">
        <f>Alder!H57+Beacon!H57+Cobalt!H57+Delta!H57+Ember!H57+Falcon!H57+Granite!H57+Hollis!H57+SAFEREG!H57</f>
        <v>823.1</v>
      </c>
      <c r="I57" s="6">
        <f>Alder!I57+Beacon!I57+Cobalt!I57+Delta!I57+Ember!I57+Falcon!I57+Granite!I57+Hollis!I57+SAFEREG!I57</f>
        <v>815.39999999999986</v>
      </c>
      <c r="J57" s="6">
        <f>Alder!J57+Beacon!J57+Cobalt!J57+Delta!J57+Ember!J57+Falcon!J57+Granite!J57+Hollis!J57+SAFEREG!J57</f>
        <v>800</v>
      </c>
      <c r="K57" s="6">
        <f>Alder!K57+Beacon!K57+Cobalt!K57+Delta!K57+Ember!K57+Falcon!K57+Granite!K57+Hollis!K57+SAFEREG!K57</f>
        <v>784.40000000000009</v>
      </c>
      <c r="L57" s="6">
        <f>Alder!L57+Beacon!L57+Cobalt!L57+Delta!L57+Ember!L57+Falcon!L57+Granite!L57+Hollis!L57+SAFEREG!L57</f>
        <v>838.9</v>
      </c>
      <c r="M57" s="6">
        <f>Alder!M57+Beacon!M57+Cobalt!M57+Delta!M57+Ember!M57+Falcon!M57+Granite!M57+Hollis!M57+SAFEREG!M57</f>
        <v>761.1</v>
      </c>
      <c r="N57" s="6">
        <f>Alder!N57+Beacon!N57+Cobalt!N57+Delta!N57+Ember!N57+Falcon!N57+Granite!N57+Hollis!N57+SAFEREG!N57</f>
        <v>823.1</v>
      </c>
      <c r="O57" s="6">
        <f>N57</f>
        <v>823.1</v>
      </c>
    </row>
    <row r="58" spans="2:15">
      <c r="B58" t="s">
        <v>154</v>
      </c>
      <c r="C58" s="6">
        <f>Alder!C58+Beacon!C58+Cobalt!C58+Delta!C58+Ember!C58+Falcon!C58+Granite!C58+Hollis!C58+SAFEREG!C58</f>
        <v>-47131.5</v>
      </c>
      <c r="D58" s="6">
        <f>Alder!D58+Beacon!D58+Cobalt!D58+Delta!D58+Ember!D58+Falcon!D58+Granite!D58+Hollis!D58+SAFEREG!D58</f>
        <v>-46139.6</v>
      </c>
      <c r="E58" s="6">
        <f>Alder!E58+Beacon!E58+Cobalt!E58+Delta!E58+Ember!E58+Falcon!E58+Granite!E58+Hollis!E58+SAFEREG!E58</f>
        <v>-49612.399999999994</v>
      </c>
      <c r="F58" s="6">
        <f>Alder!F58+Beacon!F58+Cobalt!F58+Delta!F58+Ember!F58+Falcon!F58+Granite!F58+Hollis!F58+SAFEREG!F58</f>
        <v>-53581.4</v>
      </c>
      <c r="G58" s="6">
        <f>Alder!G58+Beacon!G58+Cobalt!G58+Delta!G58+Ember!G58+Falcon!G58+Granite!G58+Hollis!G58+SAFEREG!G58</f>
        <v>-48619.8</v>
      </c>
      <c r="H58" s="6">
        <f>Alder!H58+Beacon!H58+Cobalt!H58+Delta!H58+Ember!H58+Falcon!H58+Granite!H58+Hollis!H58+SAFEREG!H58</f>
        <v>-51100.999999999993</v>
      </c>
      <c r="I58" s="6">
        <f>Alder!I58+Beacon!I58+Cobalt!I58+Delta!I58+Ember!I58+Falcon!I58+Granite!I58+Hollis!I58+SAFEREG!I58</f>
        <v>-50604.700000000004</v>
      </c>
      <c r="J58" s="6">
        <f>Alder!J58+Beacon!J58+Cobalt!J58+Delta!J58+Ember!J58+Falcon!J58+Granite!J58+Hollis!J58+SAFEREG!J58</f>
        <v>-49612.5</v>
      </c>
      <c r="K58" s="6">
        <f>Alder!K58+Beacon!K58+Cobalt!K58+Delta!K58+Ember!K58+Falcon!K58+Granite!K58+Hollis!K58+SAFEREG!K58</f>
        <v>-48619.8</v>
      </c>
      <c r="L58" s="6">
        <f>Alder!L58+Beacon!L58+Cobalt!L58+Delta!L58+Ember!L58+Falcon!L58+Granite!L58+Hollis!L58+SAFEREG!L58</f>
        <v>-52092.800000000003</v>
      </c>
      <c r="M58" s="6">
        <f>Alder!M58+Beacon!M58+Cobalt!M58+Delta!M58+Ember!M58+Falcon!M58+Granite!M58+Hollis!M58+SAFEREG!M58</f>
        <v>-47131.200000000004</v>
      </c>
      <c r="N58" s="6">
        <f>Alder!N58+Beacon!N58+Cobalt!N58+Delta!N58+Ember!N58+Falcon!N58+Granite!N58+Hollis!N58+SAFEREG!N58</f>
        <v>-51100.800000000003</v>
      </c>
      <c r="O58" s="6">
        <f>N58</f>
        <v>-51100.800000000003</v>
      </c>
    </row>
    <row r="59" spans="2:15">
      <c r="B59" t="s">
        <v>155</v>
      </c>
      <c r="C59" s="6">
        <f>Alder!C59+Beacon!C59+Cobalt!C59+Delta!C59+Ember!C59+Falcon!C59+Granite!C59+Hollis!C59+SAFEREG!C59</f>
        <v>-1652.4</v>
      </c>
      <c r="D59" s="6">
        <f>Alder!D59+Beacon!D59+Cobalt!D59+Delta!D59+Ember!D59+Falcon!D59+Granite!D59+Hollis!D59+SAFEREG!D59</f>
        <v>-1621.6</v>
      </c>
      <c r="E59" s="6">
        <f>Alder!E59+Beacon!E59+Cobalt!E59+Delta!E59+Ember!E59+Falcon!E59+Granite!E59+Hollis!E59+SAFEREG!E59</f>
        <v>-1730</v>
      </c>
      <c r="F59" s="6">
        <f>Alder!F59+Beacon!F59+Cobalt!F59+Delta!F59+Ember!F59+Falcon!F59+Granite!F59+Hollis!F59+SAFEREG!F59</f>
        <v>-1854</v>
      </c>
      <c r="G59" s="6">
        <f>Alder!G59+Beacon!G59+Cobalt!G59+Delta!G59+Ember!G59+Falcon!G59+Granite!G59+Hollis!G59+SAFEREG!G59</f>
        <v>-1699.1</v>
      </c>
      <c r="H59" s="6">
        <f>Alder!H59+Beacon!H59+Cobalt!H59+Delta!H59+Ember!H59+Falcon!H59+Granite!H59+Hollis!H59+SAFEREG!H59</f>
        <v>-1776.6000000000001</v>
      </c>
      <c r="I59" s="6">
        <f>Alder!I59+Beacon!I59+Cobalt!I59+Delta!I59+Ember!I59+Falcon!I59+Granite!I59+Hollis!I59+SAFEREG!I59</f>
        <v>-1761.1</v>
      </c>
      <c r="J59" s="6">
        <f>Alder!J59+Beacon!J59+Cobalt!J59+Delta!J59+Ember!J59+Falcon!J59+Granite!J59+Hollis!J59+SAFEREG!J59</f>
        <v>-1730</v>
      </c>
      <c r="K59" s="6">
        <f>Alder!K59+Beacon!K59+Cobalt!K59+Delta!K59+Ember!K59+Falcon!K59+Granite!K59+Hollis!K59+SAFEREG!K59</f>
        <v>-1699</v>
      </c>
      <c r="L59" s="6">
        <f>Alder!L59+Beacon!L59+Cobalt!L59+Delta!L59+Ember!L59+Falcon!L59+Granite!L59+Hollis!L59+SAFEREG!L59</f>
        <v>-1807.6</v>
      </c>
      <c r="M59" s="6">
        <f>Alder!M59+Beacon!M59+Cobalt!M59+Delta!M59+Ember!M59+Falcon!M59+Granite!M59+Hollis!M59+SAFEREG!M59</f>
        <v>-1652.4</v>
      </c>
      <c r="N59" s="6">
        <f>Alder!N59+Beacon!N59+Cobalt!N59+Delta!N59+Ember!N59+Falcon!N59+Granite!N59+Hollis!N59+SAFEREG!N59</f>
        <v>-1776.5</v>
      </c>
      <c r="O59" s="6">
        <f>N59</f>
        <v>-1776.5</v>
      </c>
    </row>
    <row r="60" spans="2:15">
      <c r="B60" t="s">
        <v>170</v>
      </c>
      <c r="C60" s="6">
        <f>SUM(C55:C59)</f>
        <v>110529</v>
      </c>
      <c r="D60" s="6">
        <f>SUM(D55:D59)</f>
        <v>108725.69999999995</v>
      </c>
      <c r="E60" s="6">
        <f>SUM(E55:E59)</f>
        <v>116802.30000000002</v>
      </c>
      <c r="F60" s="6">
        <f>SUM(F55:F59)</f>
        <v>125223.50000000003</v>
      </c>
      <c r="G60" s="6">
        <f>SUM(G55:G59)</f>
        <v>114039.7</v>
      </c>
      <c r="H60" s="6">
        <f>SUM(H55:H59)</f>
        <v>119821.40000000002</v>
      </c>
      <c r="I60" s="6">
        <f>SUM(I55:I59)</f>
        <v>118889.29999999999</v>
      </c>
      <c r="J60" s="6">
        <f>SUM(J55:J59)</f>
        <v>117167</v>
      </c>
      <c r="K60" s="6">
        <f>SUM(K55:K59)</f>
        <v>114570.49999999999</v>
      </c>
      <c r="L60" s="6">
        <f>SUM(L55:L59)</f>
        <v>121957.89999999998</v>
      </c>
      <c r="M60" s="6">
        <f>SUM(M55:M59)</f>
        <v>110451.59999999998</v>
      </c>
      <c r="N60" s="6">
        <f>SUM(N55:N59)</f>
        <v>119578.60000000002</v>
      </c>
      <c r="O60" s="6">
        <f>N60</f>
        <v>119578.60000000002</v>
      </c>
    </row>
    <row r="62" spans="2:15">
      <c r="B62" s="8" t="s">
        <v>173</v>
      </c>
    </row>
    <row r="63" spans="2:15">
      <c r="C63" s="19" t="s">
        <v>70</v>
      </c>
      <c r="D63" s="19" t="s">
        <v>71</v>
      </c>
      <c r="E63" s="19" t="s">
        <v>72</v>
      </c>
      <c r="F63" s="19" t="s">
        <v>73</v>
      </c>
      <c r="G63" s="19" t="s">
        <v>50</v>
      </c>
      <c r="H63" s="19" t="s">
        <v>74</v>
      </c>
      <c r="I63" s="19" t="s">
        <v>75</v>
      </c>
      <c r="J63" s="19" t="s">
        <v>76</v>
      </c>
      <c r="K63" s="19" t="s">
        <v>77</v>
      </c>
      <c r="L63" s="19" t="s">
        <v>78</v>
      </c>
      <c r="M63" s="19" t="s">
        <v>79</v>
      </c>
      <c r="N63" s="19" t="s">
        <v>80</v>
      </c>
      <c r="O63" s="2" t="s">
        <v>165</v>
      </c>
    </row>
    <row r="64" spans="2:15">
      <c r="B64" t="s">
        <v>100</v>
      </c>
      <c r="C64" s="6">
        <f>Alder!C64+Beacon!C64+Cobalt!C64+Delta!C64+Ember!C64+Falcon!C64+Granite!C64+Hollis!C64+SAFEREG!C64</f>
        <v>46990.7</v>
      </c>
      <c r="D64" s="6">
        <f>Alder!D64+Beacon!D64+Cobalt!D64+Delta!D64+Ember!D64+Falcon!D64+Granite!D64+Hollis!D64+SAFEREG!D64</f>
        <v>45717.100000000006</v>
      </c>
      <c r="E64" s="6">
        <f>Alder!E64+Beacon!E64+Cobalt!E64+Delta!E64+Ember!E64+Falcon!E64+Granite!E64+Hollis!E64+SAFEREG!E64</f>
        <v>49328.6</v>
      </c>
      <c r="F64" s="6">
        <f>Alder!F64+Beacon!F64+Cobalt!F64+Delta!F64+Ember!F64+Falcon!F64+Granite!F64+Hollis!F64+SAFEREG!F64</f>
        <v>53313.799999999996</v>
      </c>
      <c r="G64" s="6">
        <f>Alder!G64+Beacon!G64+Cobalt!G64+Delta!G64+Ember!G64+Falcon!G64+Granite!G64+Hollis!G64+SAFEREG!G64</f>
        <v>48140.4</v>
      </c>
      <c r="H64" s="6">
        <f>Alder!H64+Beacon!H64+Cobalt!H64+Delta!H64+Ember!H64+Falcon!H64+Granite!H64+Hollis!H64+SAFEREG!H64</f>
        <v>50828.200000000004</v>
      </c>
      <c r="I64" s="6">
        <f>Alder!I64+Beacon!I64+Cobalt!I64+Delta!I64+Ember!I64+Falcon!I64+Granite!I64+Hollis!I64+SAFEREG!I64</f>
        <v>50581.700000000004</v>
      </c>
      <c r="J64" s="6">
        <f>Alder!J64+Beacon!J64+Cobalt!J64+Delta!J64+Ember!J64+Falcon!J64+Granite!J64+Hollis!J64+SAFEREG!J64</f>
        <v>48966.899999999994</v>
      </c>
      <c r="K64" s="6">
        <f>Alder!K64+Beacon!K64+Cobalt!K64+Delta!K64+Ember!K64+Falcon!K64+Granite!K64+Hollis!K64+SAFEREG!K64</f>
        <v>48517.700000000004</v>
      </c>
      <c r="L64" s="6">
        <f>Alder!L64+Beacon!L64+Cobalt!L64+Delta!L64+Ember!L64+Falcon!L64+Granite!L64+Hollis!L64+SAFEREG!L64</f>
        <v>51865.9</v>
      </c>
      <c r="M64" s="6">
        <f>Alder!M64+Beacon!M64+Cobalt!M64+Delta!M64+Ember!M64+Falcon!M64+Granite!M64+Hollis!M64+SAFEREG!M64</f>
        <v>46746</v>
      </c>
      <c r="N64" s="6">
        <f>Alder!N64+Beacon!N64+Cobalt!N64+Delta!N64+Ember!N64+Falcon!N64+Granite!N64+Hollis!N64+SAFEREG!N64</f>
        <v>50915.399999999994</v>
      </c>
      <c r="O64" s="6">
        <f>SUM(C64:N64)</f>
        <v>591912.4</v>
      </c>
    </row>
    <row r="65" spans="2:15">
      <c r="B65" t="s">
        <v>111</v>
      </c>
      <c r="C65" s="6">
        <f>Alder!C65+Beacon!C65+Cobalt!C65+Delta!C65+Ember!C65+Falcon!C65+Granite!C65+Hollis!C65+SAFEREG!C65</f>
        <v>14798.8</v>
      </c>
      <c r="D65" s="6">
        <f>Alder!D65+Beacon!D65+Cobalt!D65+Delta!D65+Ember!D65+Falcon!D65+Granite!D65+Hollis!D65+SAFEREG!D65</f>
        <v>14364.400000000001</v>
      </c>
      <c r="E65" s="6">
        <f>Alder!E65+Beacon!E65+Cobalt!E65+Delta!E65+Ember!E65+Falcon!E65+Granite!E65+Hollis!E65+SAFEREG!E65</f>
        <v>15557.899999999998</v>
      </c>
      <c r="F65" s="6">
        <f>Alder!F65+Beacon!F65+Cobalt!F65+Delta!F65+Ember!F65+Falcon!F65+Granite!F65+Hollis!F65+SAFEREG!F65</f>
        <v>16673</v>
      </c>
      <c r="G65" s="6">
        <f>Alder!G65+Beacon!G65+Cobalt!G65+Delta!G65+Ember!G65+Falcon!G65+Granite!G65+Hollis!G65+SAFEREG!G65</f>
        <v>15143.599999999999</v>
      </c>
      <c r="H65" s="6">
        <f>Alder!H65+Beacon!H65+Cobalt!H65+Delta!H65+Ember!H65+Falcon!H65+Granite!H65+Hollis!H65+SAFEREG!H65</f>
        <v>15955.099999999999</v>
      </c>
      <c r="I65" s="6">
        <f>Alder!I65+Beacon!I65+Cobalt!I65+Delta!I65+Ember!I65+Falcon!I65+Granite!I65+Hollis!I65+SAFEREG!I65</f>
        <v>15818.599999999999</v>
      </c>
      <c r="J65" s="6">
        <f>Alder!J65+Beacon!J65+Cobalt!J65+Delta!J65+Ember!J65+Falcon!J65+Granite!J65+Hollis!J65+SAFEREG!J65</f>
        <v>15395.600000000002</v>
      </c>
      <c r="K65" s="6">
        <f>Alder!K65+Beacon!K65+Cobalt!K65+Delta!K65+Ember!K65+Falcon!K65+Granite!K65+Hollis!K65+SAFEREG!K65</f>
        <v>15230.499999999998</v>
      </c>
      <c r="L65" s="6">
        <f>Alder!L65+Beacon!L65+Cobalt!L65+Delta!L65+Ember!L65+Falcon!L65+Granite!L65+Hollis!L65+SAFEREG!L65</f>
        <v>16314.3</v>
      </c>
      <c r="M65" s="6">
        <f>Alder!M65+Beacon!M65+Cobalt!M65+Delta!M65+Ember!M65+Falcon!M65+Granite!M65+Hollis!M65+SAFEREG!M65</f>
        <v>14738.900000000001</v>
      </c>
      <c r="N65" s="6">
        <f>Alder!N65+Beacon!N65+Cobalt!N65+Delta!N65+Ember!N65+Falcon!N65+Granite!N65+Hollis!N65+SAFEREG!N65</f>
        <v>15989.5</v>
      </c>
      <c r="O65" s="6">
        <f>SUM(C65:N65)</f>
        <v>185980.19999999998</v>
      </c>
    </row>
    <row r="66" spans="2:15">
      <c r="B66" t="s">
        <v>112</v>
      </c>
      <c r="C66" s="6">
        <f>Alder!C66+Beacon!C66+Cobalt!C66+Delta!C66+Ember!C66+Falcon!C66+Granite!C66+Hollis!C66+SAFEREG!C66</f>
        <v>-10367.800000000001</v>
      </c>
      <c r="D66" s="6">
        <f>Alder!D66+Beacon!D66+Cobalt!D66+Delta!D66+Ember!D66+Falcon!D66+Granite!D66+Hollis!D66+SAFEREG!D66</f>
        <v>-10166</v>
      </c>
      <c r="E66" s="6">
        <f>Alder!E66+Beacon!E66+Cobalt!E66+Delta!E66+Ember!E66+Falcon!E66+Granite!E66+Hollis!E66+SAFEREG!E66</f>
        <v>-10886.999999999998</v>
      </c>
      <c r="F66" s="6">
        <f>Alder!F66+Beacon!F66+Cobalt!F66+Delta!F66+Ember!F66+Falcon!F66+Granite!F66+Hollis!F66+SAFEREG!F66</f>
        <v>-11714.8</v>
      </c>
      <c r="G66" s="6">
        <f>Alder!G66+Beacon!G66+Cobalt!G66+Delta!G66+Ember!G66+Falcon!G66+Granite!G66+Hollis!G66+SAFEREG!G66</f>
        <v>-10661.2</v>
      </c>
      <c r="H66" s="6">
        <f>Alder!H66+Beacon!H66+Cobalt!H66+Delta!H66+Ember!H66+Falcon!H66+Granite!H66+Hollis!H66+SAFEREG!H66</f>
        <v>-11249.099999999999</v>
      </c>
      <c r="I66" s="6">
        <f>Alder!I66+Beacon!I66+Cobalt!I66+Delta!I66+Ember!I66+Falcon!I66+Granite!I66+Hollis!I66+SAFEREG!I66</f>
        <v>-11144.5</v>
      </c>
      <c r="J66" s="6">
        <f>Alder!J66+Beacon!J66+Cobalt!J66+Delta!J66+Ember!J66+Falcon!J66+Granite!J66+Hollis!J66+SAFEREG!J66</f>
        <v>-10886.800000000001</v>
      </c>
      <c r="K66" s="6">
        <f>Alder!K66+Beacon!K66+Cobalt!K66+Delta!K66+Ember!K66+Falcon!K66+Granite!K66+Hollis!K66+SAFEREG!K66</f>
        <v>-10701.000000000002</v>
      </c>
      <c r="L66" s="6">
        <f>Alder!L66+Beacon!L66+Cobalt!L66+Delta!L66+Ember!L66+Falcon!L66+Granite!L66+Hollis!L66+SAFEREG!L66</f>
        <v>-11416.800000000001</v>
      </c>
      <c r="M66" s="6">
        <f>Alder!M66+Beacon!M66+Cobalt!M66+Delta!M66+Ember!M66+Falcon!M66+Granite!M66+Hollis!M66+SAFEREG!M66</f>
        <v>-10367.799999999999</v>
      </c>
      <c r="N66" s="6">
        <f>Alder!N66+Beacon!N66+Cobalt!N66+Delta!N66+Ember!N66+Falcon!N66+Granite!N66+Hollis!N66+SAFEREG!N66</f>
        <v>-11218.2</v>
      </c>
      <c r="O66" s="6">
        <f>SUM(C66:N66)</f>
        <v>-130781</v>
      </c>
    </row>
    <row r="67" spans="2:15">
      <c r="B67" t="s">
        <v>113</v>
      </c>
      <c r="C67" s="6">
        <f>C65+C66</f>
        <v>4430.9999999999982</v>
      </c>
      <c r="D67" s="6">
        <f>D65+D66</f>
        <v>4198.4000000000015</v>
      </c>
      <c r="E67" s="6">
        <f>E65+E66</f>
        <v>4670.8999999999996</v>
      </c>
      <c r="F67" s="6">
        <f>F65+F66</f>
        <v>4958.2000000000007</v>
      </c>
      <c r="G67" s="6">
        <f>G65+G66</f>
        <v>4482.3999999999978</v>
      </c>
      <c r="H67" s="6">
        <f>H65+H66</f>
        <v>4706</v>
      </c>
      <c r="I67" s="6">
        <f>I65+I66</f>
        <v>4674.0999999999985</v>
      </c>
      <c r="J67" s="6">
        <f>J65+J66</f>
        <v>4508.8000000000011</v>
      </c>
      <c r="K67" s="6">
        <f>K65+K66</f>
        <v>4529.4999999999964</v>
      </c>
      <c r="L67" s="6">
        <f>L65+L66</f>
        <v>4897.4999999999982</v>
      </c>
      <c r="M67" s="6">
        <f>M65+M66</f>
        <v>4371.1000000000022</v>
      </c>
      <c r="N67" s="6">
        <f>N65+N66</f>
        <v>4771.2999999999993</v>
      </c>
      <c r="O67" s="6">
        <f>SUM(C67:N67)</f>
        <v>55199.199999999997</v>
      </c>
    </row>
    <row r="68" spans="2:15">
      <c r="B68" t="s">
        <v>151</v>
      </c>
      <c r="C68" s="6">
        <f>Alder!C68+Beacon!C68+Cobalt!C68+Delta!C68+Ember!C68+Falcon!C68+Granite!C68+Hollis!C68+SAFEREG!C68</f>
        <v>90725.6</v>
      </c>
      <c r="D68" s="6">
        <f>Alder!D68+Beacon!D68+Cobalt!D68+Delta!D68+Ember!D68+Falcon!D68+Granite!D68+Hollis!D68+SAFEREG!D68</f>
        <v>87368.699999999983</v>
      </c>
      <c r="E68" s="6">
        <f>Alder!E68+Beacon!E68+Cobalt!E68+Delta!E68+Ember!E68+Falcon!E68+Granite!E68+Hollis!E68+SAFEREG!E68</f>
        <v>94392.300000000017</v>
      </c>
      <c r="F68" s="6">
        <f>Alder!F68+Beacon!F68+Cobalt!F68+Delta!F68+Ember!F68+Falcon!F68+Granite!F68+Hollis!F68+SAFEREG!F68</f>
        <v>102158.8</v>
      </c>
      <c r="G68" s="6">
        <f>Alder!G68+Beacon!G68+Cobalt!G68+Delta!G68+Ember!G68+Falcon!G68+Granite!G68+Hollis!G68+SAFEREG!G68</f>
        <v>92328.8</v>
      </c>
      <c r="H68" s="6">
        <f>Alder!H68+Beacon!H68+Cobalt!H68+Delta!H68+Ember!H68+Falcon!H68+Granite!H68+Hollis!H68+SAFEREG!H68</f>
        <v>98237.9</v>
      </c>
      <c r="I68" s="6">
        <f>Alder!I68+Beacon!I68+Cobalt!I68+Delta!I68+Ember!I68+Falcon!I68+Granite!I68+Hollis!I68+SAFEREG!I68</f>
        <v>98353.200000000012</v>
      </c>
      <c r="J68" s="6">
        <f>Alder!J68+Beacon!J68+Cobalt!J68+Delta!J68+Ember!J68+Falcon!J68+Granite!J68+Hollis!J68+SAFEREG!J68</f>
        <v>93929</v>
      </c>
      <c r="K68" s="6">
        <f>Alder!K68+Beacon!K68+Cobalt!K68+Delta!K68+Ember!K68+Falcon!K68+Granite!K68+Hollis!K68+SAFEREG!K68</f>
        <v>93481.8</v>
      </c>
      <c r="L68" s="6">
        <f>Alder!L68+Beacon!L68+Cobalt!L68+Delta!L68+Ember!L68+Falcon!L68+Granite!L68+Hollis!L68+SAFEREG!L68</f>
        <v>100164.8</v>
      </c>
      <c r="M68" s="6">
        <f>Alder!M68+Beacon!M68+Cobalt!M68+Delta!M68+Ember!M68+Falcon!M68+Granite!M68+Hollis!M68+SAFEREG!M68</f>
        <v>89648.7</v>
      </c>
      <c r="N68" s="6">
        <f>Alder!N68+Beacon!N68+Cobalt!N68+Delta!N68+Ember!N68+Falcon!N68+Granite!N68+Hollis!N68+SAFEREG!N68</f>
        <v>98217.3</v>
      </c>
      <c r="O68" s="6">
        <f>N68</f>
        <v>98217.3</v>
      </c>
    </row>
    <row r="69" spans="2:15">
      <c r="B69" t="s">
        <v>152</v>
      </c>
      <c r="C69" s="6">
        <f>Alder!C69+Beacon!C69+Cobalt!C69+Delta!C69+Ember!C69+Falcon!C69+Granite!C69+Hollis!C69+SAFEREG!C69</f>
        <v>72052.5</v>
      </c>
      <c r="D69" s="6">
        <f>Alder!D69+Beacon!D69+Cobalt!D69+Delta!D69+Ember!D69+Falcon!D69+Granite!D69+Hollis!D69+SAFEREG!D69</f>
        <v>70099.600000000006</v>
      </c>
      <c r="E69" s="6">
        <f>Alder!E69+Beacon!E69+Cobalt!E69+Delta!E69+Ember!E69+Falcon!E69+Granite!E69+Hollis!E69+SAFEREG!E69</f>
        <v>75637.2</v>
      </c>
      <c r="F69" s="6">
        <f>Alder!F69+Beacon!F69+Cobalt!F69+Delta!F69+Ember!F69+Falcon!F69+Granite!F69+Hollis!F69+SAFEREG!F69</f>
        <v>81747.7</v>
      </c>
      <c r="G69" s="6">
        <f>Alder!G69+Beacon!G69+Cobalt!G69+Delta!G69+Ember!G69+Falcon!G69+Granite!G69+Hollis!G69+SAFEREG!G69</f>
        <v>73815.3</v>
      </c>
      <c r="H69" s="6">
        <f>Alder!H69+Beacon!H69+Cobalt!H69+Delta!H69+Ember!H69+Falcon!H69+Granite!H69+Hollis!H69+SAFEREG!H69</f>
        <v>77936.600000000006</v>
      </c>
      <c r="I69" s="6">
        <f>Alder!I69+Beacon!I69+Cobalt!I69+Delta!I69+Ember!I69+Falcon!I69+Granite!I69+Hollis!I69+SAFEREG!I69</f>
        <v>77558.600000000006</v>
      </c>
      <c r="J69" s="6">
        <f>Alder!J69+Beacon!J69+Cobalt!J69+Delta!J69+Ember!J69+Falcon!J69+Granite!J69+Hollis!J69+SAFEREG!J69</f>
        <v>75082.600000000006</v>
      </c>
      <c r="K69" s="6">
        <f>Alder!K69+Beacon!K69+Cobalt!K69+Delta!K69+Ember!K69+Falcon!K69+Granite!K69+Hollis!K69+SAFEREG!K69</f>
        <v>74393.799999999988</v>
      </c>
      <c r="L69" s="6">
        <f>Alder!L69+Beacon!L69+Cobalt!L69+Delta!L69+Ember!L69+Falcon!L69+Granite!L69+Hollis!L69+SAFEREG!L69</f>
        <v>79527.8</v>
      </c>
      <c r="M69" s="6">
        <f>Alder!M69+Beacon!M69+Cobalt!M69+Delta!M69+Ember!M69+Falcon!M69+Granite!M69+Hollis!M69+SAFEREG!M69</f>
        <v>71677.100000000006</v>
      </c>
      <c r="N69" s="6">
        <f>Alder!N69+Beacon!N69+Cobalt!N69+Delta!N69+Ember!N69+Falcon!N69+Granite!N69+Hollis!N69+SAFEREG!N69</f>
        <v>78070.299999999988</v>
      </c>
      <c r="O69" s="6">
        <f>N69</f>
        <v>78070.299999999988</v>
      </c>
    </row>
    <row r="70" spans="2:15">
      <c r="B70" t="s">
        <v>153</v>
      </c>
      <c r="C70" s="6">
        <f>Alder!C70+Beacon!C70+Cobalt!C70+Delta!C70+Ember!C70+Falcon!C70+Granite!C70+Hollis!C70+SAFEREG!C70</f>
        <v>730</v>
      </c>
      <c r="D70" s="6">
        <f>Alder!D70+Beacon!D70+Cobalt!D70+Delta!D70+Ember!D70+Falcon!D70+Granite!D70+Hollis!D70+SAFEREG!D70</f>
        <v>710.8</v>
      </c>
      <c r="E70" s="6">
        <f>Alder!E70+Beacon!E70+Cobalt!E70+Delta!E70+Ember!E70+Falcon!E70+Granite!E70+Hollis!E70+SAFEREG!E70</f>
        <v>764.90000000000009</v>
      </c>
      <c r="F70" s="6">
        <f>Alder!F70+Beacon!F70+Cobalt!F70+Delta!F70+Ember!F70+Falcon!F70+Granite!F70+Hollis!F70+SAFEREG!F70</f>
        <v>824.9</v>
      </c>
      <c r="G70" s="6">
        <f>Alder!G70+Beacon!G70+Cobalt!G70+Delta!G70+Ember!G70+Falcon!G70+Granite!G70+Hollis!G70+SAFEREG!G70</f>
        <v>747.09999999999991</v>
      </c>
      <c r="H70" s="6">
        <f>Alder!H70+Beacon!H70+Cobalt!H70+Delta!H70+Ember!H70+Falcon!H70+Granite!H70+Hollis!H70+SAFEREG!H70</f>
        <v>787.4</v>
      </c>
      <c r="I70" s="6">
        <f>Alder!I70+Beacon!I70+Cobalt!I70+Delta!I70+Ember!I70+Falcon!I70+Granite!I70+Hollis!I70+SAFEREG!I70</f>
        <v>783.6</v>
      </c>
      <c r="J70" s="6">
        <f>Alder!J70+Beacon!J70+Cobalt!J70+Delta!J70+Ember!J70+Falcon!J70+Granite!J70+Hollis!J70+SAFEREG!J70</f>
        <v>759.6</v>
      </c>
      <c r="K70" s="6">
        <f>Alder!K70+Beacon!K70+Cobalt!K70+Delta!K70+Ember!K70+Falcon!K70+Granite!K70+Hollis!K70+SAFEREG!K70</f>
        <v>752.79999999999984</v>
      </c>
      <c r="L70" s="6">
        <f>Alder!L70+Beacon!L70+Cobalt!L70+Delta!L70+Ember!L70+Falcon!L70+Granite!L70+Hollis!L70+SAFEREG!L70</f>
        <v>802.90000000000009</v>
      </c>
      <c r="M70" s="6">
        <f>Alder!M70+Beacon!M70+Cobalt!M70+Delta!M70+Ember!M70+Falcon!M70+Granite!M70+Hollis!M70+SAFEREG!M70</f>
        <v>726.09999999999991</v>
      </c>
      <c r="N70" s="6">
        <f>Alder!N70+Beacon!N70+Cobalt!N70+Delta!N70+Ember!N70+Falcon!N70+Granite!N70+Hollis!N70+SAFEREG!N70</f>
        <v>788.8</v>
      </c>
      <c r="O70" s="6">
        <f>N70</f>
        <v>788.8</v>
      </c>
    </row>
    <row r="71" spans="2:15">
      <c r="B71" t="s">
        <v>154</v>
      </c>
      <c r="C71" s="6">
        <f>Alder!C71+Beacon!C71+Cobalt!C71+Delta!C71+Ember!C71+Falcon!C71+Granite!C71+Hollis!C71+SAFEREG!C71</f>
        <v>-43995.600000000006</v>
      </c>
      <c r="D71" s="6">
        <f>Alder!D71+Beacon!D71+Cobalt!D71+Delta!D71+Ember!D71+Falcon!D71+Granite!D71+Hollis!D71+SAFEREG!D71</f>
        <v>-42848.800000000003</v>
      </c>
      <c r="E71" s="6">
        <f>Alder!E71+Beacon!E71+Cobalt!E71+Delta!E71+Ember!E71+Falcon!E71+Granite!E71+Hollis!E71+SAFEREG!E71</f>
        <v>-46153.099999999991</v>
      </c>
      <c r="F71" s="6">
        <f>Alder!F71+Beacon!F71+Cobalt!F71+Delta!F71+Ember!F71+Falcon!F71+Granite!F71+Hollis!F71+SAFEREG!F71</f>
        <v>-50075.899999999994</v>
      </c>
      <c r="G71" s="6">
        <f>Alder!G71+Beacon!G71+Cobalt!G71+Delta!G71+Ember!G71+Falcon!G71+Granite!G71+Hollis!G71+SAFEREG!G71</f>
        <v>-45095.600000000006</v>
      </c>
      <c r="H71" s="6">
        <f>Alder!H71+Beacon!H71+Cobalt!H71+Delta!H71+Ember!H71+Falcon!H71+Granite!H71+Hollis!H71+SAFEREG!H71</f>
        <v>-47659.899999999994</v>
      </c>
      <c r="I71" s="6">
        <f>Alder!I71+Beacon!I71+Cobalt!I71+Delta!I71+Ember!I71+Falcon!I71+Granite!I71+Hollis!I71+SAFEREG!I71</f>
        <v>-47509.5</v>
      </c>
      <c r="J71" s="6">
        <f>Alder!J71+Beacon!J71+Cobalt!J71+Delta!J71+Ember!J71+Falcon!J71+Granite!J71+Hollis!J71+SAFEREG!J71</f>
        <v>-45880.899999999994</v>
      </c>
      <c r="K71" s="6">
        <f>Alder!K71+Beacon!K71+Cobalt!K71+Delta!K71+Ember!K71+Falcon!K71+Granite!K71+Hollis!K71+SAFEREG!K71</f>
        <v>-45492.4</v>
      </c>
      <c r="L71" s="6">
        <f>Alder!L71+Beacon!L71+Cobalt!L71+Delta!L71+Ember!L71+Falcon!L71+Granite!L71+Hollis!L71+SAFEREG!L71</f>
        <v>-48587.3</v>
      </c>
      <c r="M71" s="6">
        <f>Alder!M71+Beacon!M71+Cobalt!M71+Delta!M71+Ember!M71+Falcon!M71+Granite!M71+Hollis!M71+SAFEREG!M71</f>
        <v>-43743</v>
      </c>
      <c r="N71" s="6">
        <f>Alder!N71+Beacon!N71+Cobalt!N71+Delta!N71+Ember!N71+Falcon!N71+Granite!N71+Hollis!N71+SAFEREG!N71</f>
        <v>-47732</v>
      </c>
      <c r="O71" s="6">
        <f>N71</f>
        <v>-47732</v>
      </c>
    </row>
    <row r="72" spans="2:15">
      <c r="B72" t="s">
        <v>155</v>
      </c>
      <c r="C72" s="6">
        <f>Alder!C72+Beacon!C72+Cobalt!C72+Delta!C72+Ember!C72+Falcon!C72+Granite!C72+Hollis!C72+SAFEREG!C72</f>
        <v>-1589.8</v>
      </c>
      <c r="D72" s="6">
        <f>Alder!D72+Beacon!D72+Cobalt!D72+Delta!D72+Ember!D72+Falcon!D72+Granite!D72+Hollis!D72+SAFEREG!D72</f>
        <v>-1551.5</v>
      </c>
      <c r="E72" s="6">
        <f>Alder!E72+Beacon!E72+Cobalt!E72+Delta!E72+Ember!E72+Falcon!E72+Granite!E72+Hollis!E72+SAFEREG!E72</f>
        <v>-1659.8</v>
      </c>
      <c r="F72" s="6">
        <f>Alder!F72+Beacon!F72+Cobalt!F72+Delta!F72+Ember!F72+Falcon!F72+Granite!F72+Hollis!F72+SAFEREG!F72</f>
        <v>-1779.4</v>
      </c>
      <c r="G72" s="6">
        <f>Alder!G72+Beacon!G72+Cobalt!G72+Delta!G72+Ember!G72+Falcon!G72+Granite!G72+Hollis!G72+SAFEREG!G72</f>
        <v>-1624.1999999999998</v>
      </c>
      <c r="H72" s="6">
        <f>Alder!H72+Beacon!H72+Cobalt!H72+Delta!H72+Ember!H72+Falcon!H72+Granite!H72+Hollis!H72+SAFEREG!H72</f>
        <v>-1704.9</v>
      </c>
      <c r="I72" s="6">
        <f>Alder!I72+Beacon!I72+Cobalt!I72+Delta!I72+Ember!I72+Falcon!I72+Granite!I72+Hollis!I72+SAFEREG!I72</f>
        <v>-1697.3999999999999</v>
      </c>
      <c r="J72" s="6">
        <f>Alder!J72+Beacon!J72+Cobalt!J72+Delta!J72+Ember!J72+Falcon!J72+Granite!J72+Hollis!J72+SAFEREG!J72</f>
        <v>-1648.9999999999998</v>
      </c>
      <c r="K72" s="6">
        <f>Alder!K72+Beacon!K72+Cobalt!K72+Delta!K72+Ember!K72+Falcon!K72+Granite!K72+Hollis!K72+SAFEREG!K72</f>
        <v>-1635.6</v>
      </c>
      <c r="L72" s="6">
        <f>Alder!L72+Beacon!L72+Cobalt!L72+Delta!L72+Ember!L72+Falcon!L72+Granite!L72+Hollis!L72+SAFEREG!L72</f>
        <v>-1735.9999999999998</v>
      </c>
      <c r="M72" s="6">
        <f>Alder!M72+Beacon!M72+Cobalt!M72+Delta!M72+Ember!M72+Falcon!M72+Granite!M72+Hollis!M72+SAFEREG!M72</f>
        <v>-1582.5</v>
      </c>
      <c r="N72" s="6">
        <f>Alder!N72+Beacon!N72+Cobalt!N72+Delta!N72+Ember!N72+Falcon!N72+Granite!N72+Hollis!N72+SAFEREG!N72</f>
        <v>-1707.3999999999999</v>
      </c>
      <c r="O72" s="6">
        <f>N72</f>
        <v>-1707.3999999999999</v>
      </c>
    </row>
    <row r="73" spans="2:15">
      <c r="B73" t="s">
        <v>170</v>
      </c>
      <c r="C73" s="6">
        <f>SUM(C68:C72)</f>
        <v>117922.7</v>
      </c>
      <c r="D73" s="6">
        <f>SUM(D68:D72)</f>
        <v>113778.79999999997</v>
      </c>
      <c r="E73" s="6">
        <f>SUM(E68:E72)</f>
        <v>122981.5</v>
      </c>
      <c r="F73" s="6">
        <f>SUM(F68:F72)</f>
        <v>132876.1</v>
      </c>
      <c r="G73" s="6">
        <f>SUM(G68:G72)</f>
        <v>120171.40000000001</v>
      </c>
      <c r="H73" s="6">
        <f>SUM(H68:H72)</f>
        <v>127597.1</v>
      </c>
      <c r="I73" s="6">
        <f>SUM(I68:I72)</f>
        <v>127488.50000000003</v>
      </c>
      <c r="J73" s="6">
        <f>SUM(J68:J72)</f>
        <v>122241.30000000002</v>
      </c>
      <c r="K73" s="6">
        <f>SUM(K68:K72)</f>
        <v>121500.39999999997</v>
      </c>
      <c r="L73" s="6">
        <f>SUM(L68:L72)</f>
        <v>130172.20000000001</v>
      </c>
      <c r="M73" s="6">
        <f>SUM(M68:M72)</f>
        <v>116726.39999999999</v>
      </c>
      <c r="N73" s="6">
        <f>SUM(N68:N72)</f>
        <v>127636.99999999997</v>
      </c>
      <c r="O73" s="6">
        <f>N73</f>
        <v>127636.99999999997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3"/>
  <sheetViews>
    <sheetView showGridLines="0" workbookViewId="0"/>
  </sheetViews>
  <sheetFormatPr defaultRowHeight="15"/>
  <cols>
    <col min="2" max="2" width="28" customWidth="1"/>
    <col min="3" max="11" width="14" customWidth="1"/>
  </cols>
  <sheetData>
    <row r="1" spans="1:11">
      <c r="A1" t="s">
        <v>27</v>
      </c>
      <c r="B1" t="s">
        <v>32</v>
      </c>
      <c r="D1" s="3" t="s">
        <v>101</v>
      </c>
    </row>
    <row r="2" spans="1:11">
      <c r="A2" t="s">
        <v>28</v>
      </c>
      <c r="B2" t="s">
        <v>37</v>
      </c>
      <c r="D2" s="1" t="s">
        <v>24</v>
      </c>
    </row>
    <row r="4" spans="1:11">
      <c r="C4" s="8" t="s">
        <v>52</v>
      </c>
    </row>
    <row r="5" spans="1:11">
      <c r="C5" s="2" t="s">
        <v>91</v>
      </c>
      <c r="F5" s="2" t="s">
        <v>92</v>
      </c>
      <c r="I5" s="2" t="s">
        <v>81</v>
      </c>
    </row>
    <row r="6" spans="1:11" ht="30" customHeight="1">
      <c r="B6" s="2" t="s">
        <v>93</v>
      </c>
      <c r="C6" s="4" t="s">
        <v>94</v>
      </c>
      <c r="D6" s="4" t="s">
        <v>95</v>
      </c>
      <c r="E6" s="4" t="s">
        <v>96</v>
      </c>
      <c r="F6" s="4" t="s">
        <v>97</v>
      </c>
      <c r="G6" s="4" t="s">
        <v>98</v>
      </c>
      <c r="H6" s="4" t="s">
        <v>99</v>
      </c>
      <c r="I6" s="4" t="s">
        <v>97</v>
      </c>
      <c r="J6" s="4" t="s">
        <v>98</v>
      </c>
      <c r="K6" s="4" t="s">
        <v>99</v>
      </c>
    </row>
    <row r="8" spans="1:11">
      <c r="B8" s="2" t="s">
        <v>100</v>
      </c>
      <c r="C8" s="6">
        <f>Alder!BU28</f>
        <v>0</v>
      </c>
      <c r="D8" s="6">
        <f>Alder!BV28</f>
        <v>4321.5000000000146</v>
      </c>
      <c r="E8" s="6">
        <f>Alder!BW28</f>
        <v>9085.9000000000087</v>
      </c>
      <c r="F8" s="6">
        <f>Alder!BY28</f>
        <v>-600</v>
      </c>
      <c r="G8" s="6">
        <f>Alder!BZ28</f>
        <v>890</v>
      </c>
      <c r="H8" s="6">
        <f>Alder!CA28</f>
        <v>2526.3999999999942</v>
      </c>
      <c r="I8" s="6">
        <f>Alder!CC28</f>
        <v>-600</v>
      </c>
      <c r="J8" s="6">
        <f>Alder!CD28</f>
        <v>5211.5</v>
      </c>
      <c r="K8" s="6">
        <f>Alder!CE28</f>
        <v>11612.299999999988</v>
      </c>
    </row>
    <row r="10" spans="1:11">
      <c r="B10" s="2" t="s">
        <v>111</v>
      </c>
      <c r="C10" s="6">
        <f>Alder!BU29</f>
        <v>-160</v>
      </c>
      <c r="D10" s="6">
        <f>Alder!BV29</f>
        <v>-475.70000000000073</v>
      </c>
      <c r="E10" s="6">
        <f>Alder!BW29</f>
        <v>123.49999999999636</v>
      </c>
      <c r="F10" s="6">
        <f>Alder!BY29</f>
        <v>-420</v>
      </c>
      <c r="G10" s="6">
        <f>Alder!BZ29</f>
        <v>-1101</v>
      </c>
      <c r="H10" s="6">
        <f>Alder!CA29</f>
        <v>-909.60000000000036</v>
      </c>
      <c r="I10" s="6">
        <f>Alder!CC29</f>
        <v>-580</v>
      </c>
      <c r="J10" s="6">
        <f>Alder!CD29</f>
        <v>-1576.7000000000044</v>
      </c>
      <c r="K10" s="6">
        <f>Alder!CE29</f>
        <v>-786.09999999999854</v>
      </c>
    </row>
    <row r="12" spans="1:11">
      <c r="B12" s="2" t="s">
        <v>112</v>
      </c>
      <c r="C12" s="6">
        <f>Alder!BU30</f>
        <v>240</v>
      </c>
      <c r="D12" s="6">
        <f>Alder!BV30</f>
        <v>-174.70000000000073</v>
      </c>
      <c r="E12" s="6">
        <f>Alder!BW30</f>
        <v>-899.60000000000218</v>
      </c>
      <c r="F12" s="6">
        <f>Alder!BY30</f>
        <v>60</v>
      </c>
      <c r="G12" s="6">
        <f>Alder!BZ30</f>
        <v>-77.200000000000728</v>
      </c>
      <c r="H12" s="6">
        <f>Alder!CA30</f>
        <v>-330.80000000000018</v>
      </c>
      <c r="I12" s="6">
        <f>Alder!CC30</f>
        <v>300</v>
      </c>
      <c r="J12" s="6">
        <f>Alder!CD30</f>
        <v>-251.90000000000146</v>
      </c>
      <c r="K12" s="6">
        <f>Alder!CE30</f>
        <v>-1230.4000000000051</v>
      </c>
    </row>
    <row r="14" spans="1:11">
      <c r="B14" s="2" t="s">
        <v>113</v>
      </c>
      <c r="C14" s="6">
        <f>Alder!BU31</f>
        <v>80</v>
      </c>
      <c r="D14" s="6">
        <f>Alder!BV31</f>
        <v>-650.40000000000055</v>
      </c>
      <c r="E14" s="6">
        <f>Alder!BW31</f>
        <v>-776.09999999999945</v>
      </c>
      <c r="F14" s="6">
        <f>Alder!BY31</f>
        <v>-360</v>
      </c>
      <c r="G14" s="6">
        <f>Alder!BZ31</f>
        <v>-1178.2000000000007</v>
      </c>
      <c r="H14" s="6">
        <f>Alder!CA31</f>
        <v>-1240.3999999999996</v>
      </c>
      <c r="I14" s="6">
        <f>Alder!CC31</f>
        <v>-280</v>
      </c>
      <c r="J14" s="6">
        <f>Alder!CD31</f>
        <v>-1828.6000000000031</v>
      </c>
      <c r="K14" s="6">
        <f>Alder!CE31</f>
        <v>-2016.4999999999991</v>
      </c>
    </row>
    <row r="17" spans="2:11">
      <c r="B17" s="8" t="s">
        <v>126</v>
      </c>
    </row>
    <row r="18" spans="2:11">
      <c r="B18" s="24"/>
      <c r="C18" s="25"/>
      <c r="D18" s="25"/>
      <c r="E18" s="25"/>
      <c r="F18" s="25"/>
      <c r="G18" s="25"/>
      <c r="H18" s="25"/>
      <c r="I18" s="25"/>
      <c r="J18" s="25"/>
      <c r="K18" s="25"/>
    </row>
    <row r="19" spans="2:11">
      <c r="B19" s="24"/>
      <c r="C19" s="25"/>
      <c r="D19" s="25"/>
      <c r="E19" s="25"/>
      <c r="F19" s="25"/>
      <c r="G19" s="25"/>
      <c r="H19" s="25"/>
      <c r="I19" s="25"/>
      <c r="J19" s="25"/>
      <c r="K19" s="25"/>
    </row>
    <row r="20" spans="2:11">
      <c r="B20" s="24"/>
      <c r="C20" s="25"/>
      <c r="D20" s="25"/>
      <c r="E20" s="25"/>
      <c r="F20" s="25"/>
      <c r="G20" s="25"/>
      <c r="H20" s="25"/>
      <c r="I20" s="25"/>
      <c r="J20" s="25"/>
      <c r="K20" s="25"/>
    </row>
    <row r="21" spans="2:11">
      <c r="B21" s="24"/>
      <c r="C21" s="25"/>
      <c r="D21" s="25"/>
      <c r="E21" s="25"/>
      <c r="F21" s="25"/>
      <c r="G21" s="25"/>
      <c r="H21" s="25"/>
      <c r="I21" s="25"/>
      <c r="J21" s="25"/>
      <c r="K21" s="25"/>
    </row>
    <row r="22" spans="2:11">
      <c r="B22" s="24"/>
      <c r="C22" s="25"/>
      <c r="D22" s="25"/>
      <c r="E22" s="25"/>
      <c r="F22" s="25"/>
      <c r="G22" s="25"/>
      <c r="H22" s="25"/>
      <c r="I22" s="25"/>
      <c r="J22" s="25"/>
      <c r="K22" s="25"/>
    </row>
    <row r="23" spans="2:11">
      <c r="B23" s="24"/>
      <c r="C23" s="25"/>
      <c r="D23" s="25"/>
      <c r="E23" s="25"/>
      <c r="F23" s="25"/>
      <c r="G23" s="25"/>
      <c r="H23" s="25"/>
      <c r="I23" s="25"/>
      <c r="J23" s="25"/>
      <c r="K23" s="25"/>
    </row>
  </sheetData>
  <mergeCells count="6">
    <mergeCell ref="B23:K23"/>
    <mergeCell ref="B22:K22"/>
    <mergeCell ref="B18:K18"/>
    <mergeCell ref="B21:K21"/>
    <mergeCell ref="B20:K20"/>
    <mergeCell ref="B19:K1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97"/>
  <sheetViews>
    <sheetView showGridLines="0" workbookViewId="0">
      <pane xSplit="2" ySplit="4" topLeftCell="C5" activePane="bottomRight" state="frozen"/>
      <selection pane="bottomRight"/>
      <selection pane="bottomLeft"/>
      <selection pane="topRight"/>
    </sheetView>
  </sheetViews>
  <sheetFormatPr defaultRowHeight="15"/>
  <cols>
    <col min="1" max="1" width="7" customWidth="1"/>
    <col min="2" max="2" width="52" customWidth="1"/>
    <col min="3" max="15" width="11" customWidth="1"/>
  </cols>
  <sheetData>
    <row r="1" spans="1:15">
      <c r="A1" t="s">
        <v>114</v>
      </c>
      <c r="C1">
        <v>21</v>
      </c>
      <c r="D1">
        <v>20</v>
      </c>
      <c r="E1">
        <v>22</v>
      </c>
      <c r="F1">
        <v>22</v>
      </c>
      <c r="G1">
        <v>20</v>
      </c>
      <c r="H1">
        <v>22</v>
      </c>
      <c r="I1">
        <v>22</v>
      </c>
      <c r="J1">
        <v>21</v>
      </c>
      <c r="K1">
        <v>21</v>
      </c>
      <c r="L1">
        <v>22</v>
      </c>
      <c r="M1">
        <v>19</v>
      </c>
      <c r="N1">
        <v>22</v>
      </c>
      <c r="O1">
        <f>SUM(C1:N1)</f>
        <v>254</v>
      </c>
    </row>
    <row r="2" spans="1:15">
      <c r="B2" s="8" t="s">
        <v>127</v>
      </c>
    </row>
    <row r="3" spans="1:15">
      <c r="B3" s="1" t="s">
        <v>24</v>
      </c>
    </row>
    <row r="4" spans="1:15">
      <c r="C4" s="4" t="s">
        <v>70</v>
      </c>
      <c r="D4" s="4" t="s">
        <v>71</v>
      </c>
      <c r="E4" s="4" t="s">
        <v>72</v>
      </c>
      <c r="F4" s="4" t="s">
        <v>73</v>
      </c>
      <c r="G4" s="4" t="s">
        <v>50</v>
      </c>
      <c r="H4" s="4" t="s">
        <v>74</v>
      </c>
      <c r="I4" s="4" t="s">
        <v>75</v>
      </c>
      <c r="J4" s="4" t="s">
        <v>76</v>
      </c>
      <c r="K4" s="4" t="s">
        <v>77</v>
      </c>
      <c r="L4" s="4" t="s">
        <v>78</v>
      </c>
      <c r="M4" s="4" t="s">
        <v>79</v>
      </c>
      <c r="N4" s="4" t="s">
        <v>80</v>
      </c>
      <c r="O4" s="4" t="s">
        <v>174</v>
      </c>
    </row>
    <row r="5" spans="1:15">
      <c r="B5" s="2" t="s">
        <v>100</v>
      </c>
    </row>
    <row r="6" spans="1:15">
      <c r="B6" t="s">
        <v>175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20">
        <v>0</v>
      </c>
      <c r="L6" s="20">
        <v>-200</v>
      </c>
      <c r="M6" s="20">
        <v>-200</v>
      </c>
      <c r="N6" s="20">
        <v>-200</v>
      </c>
      <c r="O6" s="6">
        <f>SUM(C6:N6)</f>
        <v>-600</v>
      </c>
    </row>
    <row r="7" spans="1:15">
      <c r="B7" t="s">
        <v>176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20">
        <v>0</v>
      </c>
      <c r="L7" s="20">
        <v>0</v>
      </c>
      <c r="M7" s="20">
        <v>0</v>
      </c>
      <c r="N7" s="20">
        <v>0</v>
      </c>
      <c r="O7" s="6">
        <f>SUM(C7:N7)</f>
        <v>0</v>
      </c>
    </row>
    <row r="8" spans="1:15">
      <c r="B8" t="s">
        <v>177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20">
        <v>0</v>
      </c>
      <c r="L8" s="20">
        <v>0</v>
      </c>
      <c r="M8" s="20">
        <v>0</v>
      </c>
      <c r="N8" s="20">
        <v>0</v>
      </c>
      <c r="O8" s="6">
        <f>SUM(C8:N8)</f>
        <v>0</v>
      </c>
    </row>
    <row r="9" spans="1:15">
      <c r="B9" t="s">
        <v>178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20">
        <v>0</v>
      </c>
      <c r="L9" s="20">
        <v>0</v>
      </c>
      <c r="M9" s="20">
        <v>0</v>
      </c>
      <c r="N9" s="20">
        <v>0</v>
      </c>
      <c r="O9" s="6">
        <f>SUM(C9:N9)</f>
        <v>0</v>
      </c>
    </row>
    <row r="10" spans="1:15">
      <c r="B10" t="s">
        <v>179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20">
        <v>0</v>
      </c>
      <c r="L10" s="20">
        <v>0</v>
      </c>
      <c r="M10" s="20">
        <v>0</v>
      </c>
      <c r="N10" s="20">
        <v>0</v>
      </c>
      <c r="O10" s="6">
        <f>SUM(C10:N10)</f>
        <v>0</v>
      </c>
    </row>
    <row r="11" spans="1:15">
      <c r="B11" t="s">
        <v>180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20">
        <v>0</v>
      </c>
      <c r="L11" s="20">
        <v>0</v>
      </c>
      <c r="M11" s="20">
        <v>0</v>
      </c>
      <c r="N11" s="20">
        <v>0</v>
      </c>
      <c r="O11" s="6">
        <f>SUM(C11:N11)</f>
        <v>0</v>
      </c>
    </row>
    <row r="12" spans="1:15">
      <c r="B12" t="s">
        <v>181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20">
        <v>0</v>
      </c>
      <c r="L12" s="20">
        <v>0</v>
      </c>
      <c r="M12" s="20">
        <v>0</v>
      </c>
      <c r="N12" s="20">
        <v>0</v>
      </c>
      <c r="O12" s="6">
        <f>SUM(C12:N12)</f>
        <v>0</v>
      </c>
    </row>
    <row r="13" spans="1:15">
      <c r="B13" t="s">
        <v>182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20">
        <v>0</v>
      </c>
      <c r="L13" s="20">
        <v>0</v>
      </c>
      <c r="M13" s="20">
        <v>0</v>
      </c>
      <c r="N13" s="20">
        <v>0</v>
      </c>
      <c r="O13" s="6">
        <f>SUM(C13:N13)</f>
        <v>0</v>
      </c>
    </row>
    <row r="14" spans="1:15">
      <c r="B14" s="2" t="s">
        <v>131</v>
      </c>
      <c r="C14" s="9">
        <f>SUM(C6:C13)</f>
        <v>0</v>
      </c>
      <c r="D14" s="9">
        <f>SUM(D6:D13)</f>
        <v>0</v>
      </c>
      <c r="E14" s="9">
        <f>SUM(E6:E13)</f>
        <v>0</v>
      </c>
      <c r="F14" s="9">
        <f>SUM(F6:F13)</f>
        <v>0</v>
      </c>
      <c r="G14" s="9">
        <f>SUM(G6:G13)</f>
        <v>0</v>
      </c>
      <c r="H14" s="9">
        <f>SUM(H6:H13)</f>
        <v>0</v>
      </c>
      <c r="I14" s="9">
        <f>SUM(I6:I13)</f>
        <v>0</v>
      </c>
      <c r="J14" s="9">
        <f>SUM(J6:J13)</f>
        <v>0</v>
      </c>
      <c r="K14" s="9">
        <f>SUM(K6:K13)</f>
        <v>0</v>
      </c>
      <c r="L14" s="9">
        <f>SUM(L6:L13)</f>
        <v>-200</v>
      </c>
      <c r="M14" s="9">
        <f>SUM(M6:M13)</f>
        <v>-200</v>
      </c>
      <c r="N14" s="9">
        <f>SUM(N6:N13)</f>
        <v>-200</v>
      </c>
      <c r="O14" s="9">
        <f>SUM(O6:O13)</f>
        <v>-600</v>
      </c>
    </row>
    <row r="16" spans="1:15">
      <c r="B16" s="2" t="s">
        <v>132</v>
      </c>
    </row>
    <row r="17" spans="2:15">
      <c r="B17" t="str">
        <f>B6</f>
        <v>Insert Adj. 1</v>
      </c>
      <c r="C17" s="12">
        <f>IFERROR(C28/C6,0)</f>
        <v>0</v>
      </c>
      <c r="D17" s="12">
        <f>IFERROR(D28/D6,0)</f>
        <v>0</v>
      </c>
      <c r="E17" s="12">
        <f>IFERROR(E28/E6,0)</f>
        <v>0</v>
      </c>
      <c r="F17" s="12">
        <f>IFERROR(F28/F6,0)</f>
        <v>0</v>
      </c>
      <c r="G17" s="12">
        <f>IFERROR(G28/G6,0)</f>
        <v>0</v>
      </c>
      <c r="H17" s="12">
        <f>IFERROR(H28/H6,0)</f>
        <v>0</v>
      </c>
      <c r="I17" s="12">
        <f>IFERROR(I28/I6,0)</f>
        <v>0</v>
      </c>
      <c r="J17" s="12">
        <f>IFERROR(J28/J6,0)</f>
        <v>0</v>
      </c>
      <c r="K17" s="12">
        <f>IFERROR(K28/K6,0)</f>
        <v>0</v>
      </c>
      <c r="L17" s="12">
        <f>IFERROR(L28/L6,0)</f>
        <v>0.7</v>
      </c>
      <c r="M17" s="12">
        <f>IFERROR(M28/M6,0)</f>
        <v>0.7</v>
      </c>
      <c r="N17" s="12">
        <f>IFERROR(N28/N6,0)</f>
        <v>0.7</v>
      </c>
      <c r="O17" s="12">
        <f>IFERROR(O28/O6,0)</f>
        <v>0.96666666666666667</v>
      </c>
    </row>
    <row r="18" spans="2:15">
      <c r="B18" t="str">
        <f>B7</f>
        <v>Insert Adj. 2</v>
      </c>
      <c r="C18" s="12">
        <f>IFERROR(C29/C7,0)</f>
        <v>0</v>
      </c>
      <c r="D18" s="12">
        <f>IFERROR(D29/D7,0)</f>
        <v>0</v>
      </c>
      <c r="E18" s="12">
        <f>IFERROR(E29/E7,0)</f>
        <v>0</v>
      </c>
      <c r="F18" s="12">
        <f>IFERROR(F29/F7,0)</f>
        <v>0</v>
      </c>
      <c r="G18" s="12">
        <f>IFERROR(G29/G7,0)</f>
        <v>0</v>
      </c>
      <c r="H18" s="12">
        <f>IFERROR(H29/H7,0)</f>
        <v>0</v>
      </c>
      <c r="I18" s="12">
        <f>IFERROR(I29/I7,0)</f>
        <v>0</v>
      </c>
      <c r="J18" s="12">
        <f>IFERROR(J29/J7,0)</f>
        <v>0</v>
      </c>
      <c r="K18" s="12">
        <f>IFERROR(K29/K7,0)</f>
        <v>0</v>
      </c>
      <c r="L18" s="12">
        <f>IFERROR(L29/L7,0)</f>
        <v>0</v>
      </c>
      <c r="M18" s="12">
        <f>IFERROR(M29/M7,0)</f>
        <v>0</v>
      </c>
      <c r="N18" s="12">
        <f>IFERROR(N29/N7,0)</f>
        <v>0</v>
      </c>
      <c r="O18" s="12">
        <f>IFERROR(O29/O7,0)</f>
        <v>0</v>
      </c>
    </row>
    <row r="19" spans="2:15">
      <c r="B19" t="str">
        <f>B8</f>
        <v>Insert Adj. 3</v>
      </c>
      <c r="C19" s="12">
        <f>IFERROR(C30/C8,0)</f>
        <v>0</v>
      </c>
      <c r="D19" s="12">
        <f>IFERROR(D30/D8,0)</f>
        <v>0</v>
      </c>
      <c r="E19" s="12">
        <f>IFERROR(E30/E8,0)</f>
        <v>0</v>
      </c>
      <c r="F19" s="12">
        <f>IFERROR(F30/F8,0)</f>
        <v>0</v>
      </c>
      <c r="G19" s="12">
        <f>IFERROR(G30/G8,0)</f>
        <v>0</v>
      </c>
      <c r="H19" s="12">
        <f>IFERROR(H30/H8,0)</f>
        <v>0</v>
      </c>
      <c r="I19" s="12">
        <f>IFERROR(I30/I8,0)</f>
        <v>0</v>
      </c>
      <c r="J19" s="12">
        <f>IFERROR(J30/J8,0)</f>
        <v>0</v>
      </c>
      <c r="K19" s="12">
        <f>IFERROR(K30/K8,0)</f>
        <v>0</v>
      </c>
      <c r="L19" s="12">
        <f>IFERROR(L30/L8,0)</f>
        <v>0</v>
      </c>
      <c r="M19" s="12">
        <f>IFERROR(M30/M8,0)</f>
        <v>0</v>
      </c>
      <c r="N19" s="12">
        <f>IFERROR(N30/N8,0)</f>
        <v>0</v>
      </c>
      <c r="O19" s="12">
        <f>IFERROR(O30/O8,0)</f>
        <v>0</v>
      </c>
    </row>
    <row r="20" spans="2:15">
      <c r="B20" t="str">
        <f>B9</f>
        <v>Insert Adj. 4</v>
      </c>
      <c r="C20" s="12">
        <f>IFERROR(C31/C9,0)</f>
        <v>0</v>
      </c>
      <c r="D20" s="12">
        <f>IFERROR(D31/D9,0)</f>
        <v>0</v>
      </c>
      <c r="E20" s="12">
        <f>IFERROR(E31/E9,0)</f>
        <v>0</v>
      </c>
      <c r="F20" s="12">
        <f>IFERROR(F31/F9,0)</f>
        <v>0</v>
      </c>
      <c r="G20" s="12">
        <f>IFERROR(G31/G9,0)</f>
        <v>0</v>
      </c>
      <c r="H20" s="12">
        <f>IFERROR(H31/H9,0)</f>
        <v>0</v>
      </c>
      <c r="I20" s="12">
        <f>IFERROR(I31/I9,0)</f>
        <v>0</v>
      </c>
      <c r="J20" s="12">
        <f>IFERROR(J31/J9,0)</f>
        <v>0</v>
      </c>
      <c r="K20" s="12">
        <f>IFERROR(K31/K9,0)</f>
        <v>0</v>
      </c>
      <c r="L20" s="12">
        <f>IFERROR(L31/L9,0)</f>
        <v>0</v>
      </c>
      <c r="M20" s="12">
        <f>IFERROR(M31/M9,0)</f>
        <v>0</v>
      </c>
      <c r="N20" s="12">
        <f>IFERROR(N31/N9,0)</f>
        <v>0</v>
      </c>
      <c r="O20" s="12">
        <f>IFERROR(O31/O9,0)</f>
        <v>0</v>
      </c>
    </row>
    <row r="21" spans="2:15">
      <c r="B21" t="str">
        <f>B10</f>
        <v>Insert Adj. 5</v>
      </c>
      <c r="C21" s="12">
        <f>IFERROR(C32/C10,0)</f>
        <v>0</v>
      </c>
      <c r="D21" s="12">
        <f>IFERROR(D32/D10,0)</f>
        <v>0</v>
      </c>
      <c r="E21" s="12">
        <f>IFERROR(E32/E10,0)</f>
        <v>0</v>
      </c>
      <c r="F21" s="12">
        <f>IFERROR(F32/F10,0)</f>
        <v>0</v>
      </c>
      <c r="G21" s="12">
        <f>IFERROR(G32/G10,0)</f>
        <v>0</v>
      </c>
      <c r="H21" s="12">
        <f>IFERROR(H32/H10,0)</f>
        <v>0</v>
      </c>
      <c r="I21" s="12">
        <f>IFERROR(I32/I10,0)</f>
        <v>0</v>
      </c>
      <c r="J21" s="12">
        <f>IFERROR(J32/J10,0)</f>
        <v>0</v>
      </c>
      <c r="K21" s="12">
        <f>IFERROR(K32/K10,0)</f>
        <v>0</v>
      </c>
      <c r="L21" s="12">
        <f>IFERROR(L32/L10,0)</f>
        <v>0</v>
      </c>
      <c r="M21" s="12">
        <f>IFERROR(M32/M10,0)</f>
        <v>0</v>
      </c>
      <c r="N21" s="12">
        <f>IFERROR(N32/N10,0)</f>
        <v>0</v>
      </c>
      <c r="O21" s="12">
        <f>IFERROR(O32/O10,0)</f>
        <v>0</v>
      </c>
    </row>
    <row r="22" spans="2:15">
      <c r="B22" t="str">
        <f>B11</f>
        <v>Insert Adj. 6</v>
      </c>
      <c r="C22" s="12">
        <f>IFERROR(C33/C11,0)</f>
        <v>0</v>
      </c>
      <c r="D22" s="12">
        <f>IFERROR(D33/D11,0)</f>
        <v>0</v>
      </c>
      <c r="E22" s="12">
        <f>IFERROR(E33/E11,0)</f>
        <v>0</v>
      </c>
      <c r="F22" s="12">
        <f>IFERROR(F33/F11,0)</f>
        <v>0</v>
      </c>
      <c r="G22" s="12">
        <f>IFERROR(G33/G11,0)</f>
        <v>0</v>
      </c>
      <c r="H22" s="12">
        <f>IFERROR(H33/H11,0)</f>
        <v>0</v>
      </c>
      <c r="I22" s="12">
        <f>IFERROR(I33/I11,0)</f>
        <v>0</v>
      </c>
      <c r="J22" s="12">
        <f>IFERROR(J33/J11,0)</f>
        <v>0</v>
      </c>
      <c r="K22" s="12">
        <f>IFERROR(K33/K11,0)</f>
        <v>0</v>
      </c>
      <c r="L22" s="12">
        <f>IFERROR(L33/L11,0)</f>
        <v>0</v>
      </c>
      <c r="M22" s="12">
        <f>IFERROR(M33/M11,0)</f>
        <v>0</v>
      </c>
      <c r="N22" s="12">
        <f>IFERROR(N33/N11,0)</f>
        <v>0</v>
      </c>
      <c r="O22" s="12">
        <f>IFERROR(O33/O11,0)</f>
        <v>0</v>
      </c>
    </row>
    <row r="23" spans="2:15">
      <c r="B23" t="str">
        <f>B12</f>
        <v>Insert Adj. 7</v>
      </c>
      <c r="C23" s="12">
        <f>IFERROR(C34/C12,0)</f>
        <v>0</v>
      </c>
      <c r="D23" s="12">
        <f>IFERROR(D34/D12,0)</f>
        <v>0</v>
      </c>
      <c r="E23" s="12">
        <f>IFERROR(E34/E12,0)</f>
        <v>0</v>
      </c>
      <c r="F23" s="12">
        <f>IFERROR(F34/F12,0)</f>
        <v>0</v>
      </c>
      <c r="G23" s="12">
        <f>IFERROR(G34/G12,0)</f>
        <v>0</v>
      </c>
      <c r="H23" s="12">
        <f>IFERROR(H34/H12,0)</f>
        <v>0</v>
      </c>
      <c r="I23" s="12">
        <f>IFERROR(I34/I12,0)</f>
        <v>0</v>
      </c>
      <c r="J23" s="12">
        <f>IFERROR(J34/J12,0)</f>
        <v>0</v>
      </c>
      <c r="K23" s="12">
        <f>IFERROR(K34/K12,0)</f>
        <v>0</v>
      </c>
      <c r="L23" s="12">
        <f>IFERROR(L34/L12,0)</f>
        <v>0</v>
      </c>
      <c r="M23" s="12">
        <f>IFERROR(M34/M12,0)</f>
        <v>0</v>
      </c>
      <c r="N23" s="12">
        <f>IFERROR(N34/N12,0)</f>
        <v>0</v>
      </c>
      <c r="O23" s="12">
        <f>IFERROR(O34/O12,0)</f>
        <v>0</v>
      </c>
    </row>
    <row r="24" spans="2:15">
      <c r="B24" t="str">
        <f>B13</f>
        <v>Insert Adj. 8</v>
      </c>
      <c r="C24" s="12">
        <f>IFERROR(C35/C13,0)</f>
        <v>0</v>
      </c>
      <c r="D24" s="12">
        <f>IFERROR(D35/D13,0)</f>
        <v>0</v>
      </c>
      <c r="E24" s="12">
        <f>IFERROR(E35/E13,0)</f>
        <v>0</v>
      </c>
      <c r="F24" s="12">
        <f>IFERROR(F35/F13,0)</f>
        <v>0</v>
      </c>
      <c r="G24" s="12">
        <f>IFERROR(G35/G13,0)</f>
        <v>0</v>
      </c>
      <c r="H24" s="12">
        <f>IFERROR(H35/H13,0)</f>
        <v>0</v>
      </c>
      <c r="I24" s="12">
        <f>IFERROR(I35/I13,0)</f>
        <v>0</v>
      </c>
      <c r="J24" s="12">
        <f>IFERROR(J35/J13,0)</f>
        <v>0</v>
      </c>
      <c r="K24" s="12">
        <f>IFERROR(K35/K13,0)</f>
        <v>0</v>
      </c>
      <c r="L24" s="12">
        <f>IFERROR(L35/L13,0)</f>
        <v>0</v>
      </c>
      <c r="M24" s="12">
        <f>IFERROR(M35/M13,0)</f>
        <v>0</v>
      </c>
      <c r="N24" s="12">
        <f>IFERROR(N35/N13,0)</f>
        <v>0</v>
      </c>
      <c r="O24" s="12">
        <f>IFERROR(O35/O13,0)</f>
        <v>0</v>
      </c>
    </row>
    <row r="25" spans="2:15">
      <c r="B25" s="2" t="s">
        <v>133</v>
      </c>
      <c r="C25" s="14">
        <f>IFERROR(C36/C14,0)</f>
        <v>0</v>
      </c>
      <c r="D25" s="14">
        <f>IFERROR(D36/D14,0)</f>
        <v>0</v>
      </c>
      <c r="E25" s="14">
        <f>IFERROR(E36/E14,0)</f>
        <v>0</v>
      </c>
      <c r="F25" s="14">
        <f>IFERROR(F36/F14,0)</f>
        <v>0</v>
      </c>
      <c r="G25" s="14">
        <f>IFERROR(G36/G14,0)</f>
        <v>0</v>
      </c>
      <c r="H25" s="14">
        <f>IFERROR(H36/H14,0)</f>
        <v>0</v>
      </c>
      <c r="I25" s="14">
        <f>IFERROR(I36/I14,0)</f>
        <v>0</v>
      </c>
      <c r="J25" s="14">
        <f>IFERROR(J36/J14,0)</f>
        <v>0</v>
      </c>
      <c r="K25" s="14">
        <f>IFERROR(K36/K14,0)</f>
        <v>0</v>
      </c>
      <c r="L25" s="14">
        <f>IFERROR(L36/L14,0)</f>
        <v>0.7</v>
      </c>
      <c r="M25" s="14">
        <f>IFERROR(M36/M14,0)</f>
        <v>0.7</v>
      </c>
      <c r="N25" s="14">
        <f>IFERROR(N36/N14,0)</f>
        <v>0.7</v>
      </c>
      <c r="O25" s="14">
        <f>IFERROR(O36/O14,0)</f>
        <v>0.96666666666666667</v>
      </c>
    </row>
    <row r="27" spans="2:15">
      <c r="B27" s="2" t="s">
        <v>134</v>
      </c>
    </row>
    <row r="28" spans="2:15">
      <c r="B28" t="s">
        <v>175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20">
        <v>-160</v>
      </c>
      <c r="L28" s="20">
        <v>-140</v>
      </c>
      <c r="M28" s="20">
        <v>-140</v>
      </c>
      <c r="N28" s="20">
        <v>-140</v>
      </c>
      <c r="O28" s="6">
        <f>SUM(C28:N28)</f>
        <v>-580</v>
      </c>
    </row>
    <row r="29" spans="2:15">
      <c r="B29" t="s">
        <v>176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20">
        <v>0</v>
      </c>
      <c r="L29" s="20">
        <v>0</v>
      </c>
      <c r="M29" s="20">
        <v>0</v>
      </c>
      <c r="N29" s="20">
        <v>0</v>
      </c>
      <c r="O29" s="6">
        <f>SUM(C29:N29)</f>
        <v>0</v>
      </c>
    </row>
    <row r="30" spans="2:15">
      <c r="B30" t="s">
        <v>177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20">
        <v>0</v>
      </c>
      <c r="L30" s="20">
        <v>0</v>
      </c>
      <c r="M30" s="20">
        <v>0</v>
      </c>
      <c r="N30" s="20">
        <v>0</v>
      </c>
      <c r="O30" s="6">
        <f>SUM(C30:N30)</f>
        <v>0</v>
      </c>
    </row>
    <row r="31" spans="2:15">
      <c r="B31" t="s">
        <v>178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20">
        <v>0</v>
      </c>
      <c r="L31" s="20">
        <v>0</v>
      </c>
      <c r="M31" s="20">
        <v>0</v>
      </c>
      <c r="N31" s="20">
        <v>0</v>
      </c>
      <c r="O31" s="6">
        <f>SUM(C31:N31)</f>
        <v>0</v>
      </c>
    </row>
    <row r="32" spans="2:15">
      <c r="B32" t="s">
        <v>179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20">
        <v>0</v>
      </c>
      <c r="L32" s="20">
        <v>0</v>
      </c>
      <c r="M32" s="20">
        <v>0</v>
      </c>
      <c r="N32" s="20">
        <v>0</v>
      </c>
      <c r="O32" s="6">
        <f>SUM(C32:N32)</f>
        <v>0</v>
      </c>
    </row>
    <row r="33" spans="2:15">
      <c r="B33" t="s">
        <v>180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20">
        <v>0</v>
      </c>
      <c r="L33" s="20">
        <v>0</v>
      </c>
      <c r="M33" s="20">
        <v>0</v>
      </c>
      <c r="N33" s="20">
        <v>0</v>
      </c>
      <c r="O33" s="6">
        <f>SUM(C33:N33)</f>
        <v>0</v>
      </c>
    </row>
    <row r="34" spans="2:15">
      <c r="B34" t="s">
        <v>181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20">
        <v>0</v>
      </c>
      <c r="L34" s="20">
        <v>0</v>
      </c>
      <c r="M34" s="20">
        <v>0</v>
      </c>
      <c r="N34" s="20">
        <v>0</v>
      </c>
      <c r="O34" s="6">
        <f>SUM(C34:N34)</f>
        <v>0</v>
      </c>
    </row>
    <row r="35" spans="2:15">
      <c r="B35" t="s">
        <v>182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20">
        <v>0</v>
      </c>
      <c r="L35" s="20">
        <v>0</v>
      </c>
      <c r="M35" s="20">
        <v>0</v>
      </c>
      <c r="N35" s="20">
        <v>0</v>
      </c>
      <c r="O35" s="6">
        <f>SUM(C35:N35)</f>
        <v>0</v>
      </c>
    </row>
    <row r="36" spans="2:15">
      <c r="B36" s="2" t="s">
        <v>135</v>
      </c>
      <c r="C36" s="9">
        <f>SUM(C28:C35)</f>
        <v>0</v>
      </c>
      <c r="D36" s="9">
        <f>SUM(D28:D35)</f>
        <v>0</v>
      </c>
      <c r="E36" s="9">
        <f>SUM(E28:E35)</f>
        <v>0</v>
      </c>
      <c r="F36" s="9">
        <f>SUM(F28:F35)</f>
        <v>0</v>
      </c>
      <c r="G36" s="9">
        <f>SUM(G28:G35)</f>
        <v>0</v>
      </c>
      <c r="H36" s="9">
        <f>SUM(H28:H35)</f>
        <v>0</v>
      </c>
      <c r="I36" s="9">
        <f>SUM(I28:I35)</f>
        <v>0</v>
      </c>
      <c r="J36" s="9">
        <f>SUM(J28:J35)</f>
        <v>0</v>
      </c>
      <c r="K36" s="9">
        <f>SUM(K28:K35)</f>
        <v>-160</v>
      </c>
      <c r="L36" s="9">
        <f>SUM(L28:L35)</f>
        <v>-140</v>
      </c>
      <c r="M36" s="9">
        <f>SUM(M28:M35)</f>
        <v>-140</v>
      </c>
      <c r="N36" s="9">
        <f>SUM(N28:N35)</f>
        <v>-140</v>
      </c>
      <c r="O36" s="9">
        <f>SUM(O28:O35)</f>
        <v>-580</v>
      </c>
    </row>
    <row r="38" spans="2:15">
      <c r="B38" s="2" t="s">
        <v>136</v>
      </c>
    </row>
    <row r="39" spans="2:15">
      <c r="B39" t="str">
        <f>B6</f>
        <v>Insert Adj. 1</v>
      </c>
      <c r="C39" s="12">
        <f>IFERROR(C50/C6,0)</f>
        <v>0</v>
      </c>
      <c r="D39" s="12">
        <f>IFERROR(D50/D6,0)</f>
        <v>0</v>
      </c>
      <c r="E39" s="12">
        <f>IFERROR(E50/E6,0)</f>
        <v>0</v>
      </c>
      <c r="F39" s="12">
        <f>IFERROR(F50/F6,0)</f>
        <v>0</v>
      </c>
      <c r="G39" s="12">
        <f>IFERROR(G50/G6,0)</f>
        <v>0</v>
      </c>
      <c r="H39" s="12">
        <f>IFERROR(H50/H6,0)</f>
        <v>0</v>
      </c>
      <c r="I39" s="12">
        <f>IFERROR(I50/I6,0)</f>
        <v>0</v>
      </c>
      <c r="J39" s="12">
        <f>IFERROR(J50/J6,0)</f>
        <v>0</v>
      </c>
      <c r="K39" s="12">
        <f>IFERROR(K50/K6,0)</f>
        <v>0</v>
      </c>
      <c r="L39" s="12">
        <f>IFERROR(L50/L6,0)</f>
        <v>0.1</v>
      </c>
      <c r="M39" s="12">
        <f>IFERROR(M50/M6,0)</f>
        <v>0.1</v>
      </c>
      <c r="N39" s="12">
        <f>IFERROR(N50/N6,0)</f>
        <v>0.1</v>
      </c>
      <c r="O39" s="12">
        <f>IFERROR(O50/O6,0)</f>
        <v>-0.13333333333333333</v>
      </c>
    </row>
    <row r="40" spans="2:15">
      <c r="B40" t="str">
        <f>B7</f>
        <v>Insert Adj. 2</v>
      </c>
      <c r="C40" s="12">
        <f>IFERROR(C51/C7,0)</f>
        <v>0</v>
      </c>
      <c r="D40" s="12">
        <f>IFERROR(D51/D7,0)</f>
        <v>0</v>
      </c>
      <c r="E40" s="12">
        <f>IFERROR(E51/E7,0)</f>
        <v>0</v>
      </c>
      <c r="F40" s="12">
        <f>IFERROR(F51/F7,0)</f>
        <v>0</v>
      </c>
      <c r="G40" s="12">
        <f>IFERROR(G51/G7,0)</f>
        <v>0</v>
      </c>
      <c r="H40" s="12">
        <f>IFERROR(H51/H7,0)</f>
        <v>0</v>
      </c>
      <c r="I40" s="12">
        <f>IFERROR(I51/I7,0)</f>
        <v>0</v>
      </c>
      <c r="J40" s="12">
        <f>IFERROR(J51/J7,0)</f>
        <v>0</v>
      </c>
      <c r="K40" s="12">
        <f>IFERROR(K51/K7,0)</f>
        <v>0</v>
      </c>
      <c r="L40" s="12">
        <f>IFERROR(L51/L7,0)</f>
        <v>0</v>
      </c>
      <c r="M40" s="12">
        <f>IFERROR(M51/M7,0)</f>
        <v>0</v>
      </c>
      <c r="N40" s="12">
        <f>IFERROR(N51/N7,0)</f>
        <v>0</v>
      </c>
      <c r="O40" s="12">
        <f>IFERROR(O51/O7,0)</f>
        <v>0</v>
      </c>
    </row>
    <row r="41" spans="2:15">
      <c r="B41" t="str">
        <f>B8</f>
        <v>Insert Adj. 3</v>
      </c>
      <c r="C41" s="12">
        <f>IFERROR(C52/C8,0)</f>
        <v>0</v>
      </c>
      <c r="D41" s="12">
        <f>IFERROR(D52/D8,0)</f>
        <v>0</v>
      </c>
      <c r="E41" s="12">
        <f>IFERROR(E52/E8,0)</f>
        <v>0</v>
      </c>
      <c r="F41" s="12">
        <f>IFERROR(F52/F8,0)</f>
        <v>0</v>
      </c>
      <c r="G41" s="12">
        <f>IFERROR(G52/G8,0)</f>
        <v>0</v>
      </c>
      <c r="H41" s="12">
        <f>IFERROR(H52/H8,0)</f>
        <v>0</v>
      </c>
      <c r="I41" s="12">
        <f>IFERROR(I52/I8,0)</f>
        <v>0</v>
      </c>
      <c r="J41" s="12">
        <f>IFERROR(J52/J8,0)</f>
        <v>0</v>
      </c>
      <c r="K41" s="12">
        <f>IFERROR(K52/K8,0)</f>
        <v>0</v>
      </c>
      <c r="L41" s="12">
        <f>IFERROR(L52/L8,0)</f>
        <v>0</v>
      </c>
      <c r="M41" s="12">
        <f>IFERROR(M52/M8,0)</f>
        <v>0</v>
      </c>
      <c r="N41" s="12">
        <f>IFERROR(N52/N8,0)</f>
        <v>0</v>
      </c>
      <c r="O41" s="12">
        <f>IFERROR(O52/O8,0)</f>
        <v>0</v>
      </c>
    </row>
    <row r="42" spans="2:15">
      <c r="B42" t="str">
        <f>B9</f>
        <v>Insert Adj. 4</v>
      </c>
      <c r="C42" s="12">
        <f>IFERROR(C53/C9,0)</f>
        <v>0</v>
      </c>
      <c r="D42" s="12">
        <f>IFERROR(D53/D9,0)</f>
        <v>0</v>
      </c>
      <c r="E42" s="12">
        <f>IFERROR(E53/E9,0)</f>
        <v>0</v>
      </c>
      <c r="F42" s="12">
        <f>IFERROR(F53/F9,0)</f>
        <v>0</v>
      </c>
      <c r="G42" s="12">
        <f>IFERROR(G53/G9,0)</f>
        <v>0</v>
      </c>
      <c r="H42" s="12">
        <f>IFERROR(H53/H9,0)</f>
        <v>0</v>
      </c>
      <c r="I42" s="12">
        <f>IFERROR(I53/I9,0)</f>
        <v>0</v>
      </c>
      <c r="J42" s="12">
        <f>IFERROR(J53/J9,0)</f>
        <v>0</v>
      </c>
      <c r="K42" s="12">
        <f>IFERROR(K53/K9,0)</f>
        <v>0</v>
      </c>
      <c r="L42" s="12">
        <f>IFERROR(L53/L9,0)</f>
        <v>0</v>
      </c>
      <c r="M42" s="12">
        <f>IFERROR(M53/M9,0)</f>
        <v>0</v>
      </c>
      <c r="N42" s="12">
        <f>IFERROR(N53/N9,0)</f>
        <v>0</v>
      </c>
      <c r="O42" s="12">
        <f>IFERROR(O53/O9,0)</f>
        <v>0</v>
      </c>
    </row>
    <row r="43" spans="2:15">
      <c r="B43" t="str">
        <f>B10</f>
        <v>Insert Adj. 5</v>
      </c>
      <c r="C43" s="12">
        <f>IFERROR(C54/C10,0)</f>
        <v>0</v>
      </c>
      <c r="D43" s="12">
        <f>IFERROR(D54/D10,0)</f>
        <v>0</v>
      </c>
      <c r="E43" s="12">
        <f>IFERROR(E54/E10,0)</f>
        <v>0</v>
      </c>
      <c r="F43" s="12">
        <f>IFERROR(F54/F10,0)</f>
        <v>0</v>
      </c>
      <c r="G43" s="12">
        <f>IFERROR(G54/G10,0)</f>
        <v>0</v>
      </c>
      <c r="H43" s="12">
        <f>IFERROR(H54/H10,0)</f>
        <v>0</v>
      </c>
      <c r="I43" s="12">
        <f>IFERROR(I54/I10,0)</f>
        <v>0</v>
      </c>
      <c r="J43" s="12">
        <f>IFERROR(J54/J10,0)</f>
        <v>0</v>
      </c>
      <c r="K43" s="12">
        <f>IFERROR(K54/K10,0)</f>
        <v>0</v>
      </c>
      <c r="L43" s="12">
        <f>IFERROR(L54/L10,0)</f>
        <v>0</v>
      </c>
      <c r="M43" s="12">
        <f>IFERROR(M54/M10,0)</f>
        <v>0</v>
      </c>
      <c r="N43" s="12">
        <f>IFERROR(N54/N10,0)</f>
        <v>0</v>
      </c>
      <c r="O43" s="12">
        <f>IFERROR(O54/O10,0)</f>
        <v>0</v>
      </c>
    </row>
    <row r="44" spans="2:15">
      <c r="B44" t="str">
        <f>B11</f>
        <v>Insert Adj. 6</v>
      </c>
      <c r="C44" s="12">
        <f>IFERROR(C55/C11,0)</f>
        <v>0</v>
      </c>
      <c r="D44" s="12">
        <f>IFERROR(D55/D11,0)</f>
        <v>0</v>
      </c>
      <c r="E44" s="12">
        <f>IFERROR(E55/E11,0)</f>
        <v>0</v>
      </c>
      <c r="F44" s="12">
        <f>IFERROR(F55/F11,0)</f>
        <v>0</v>
      </c>
      <c r="G44" s="12">
        <f>IFERROR(G55/G11,0)</f>
        <v>0</v>
      </c>
      <c r="H44" s="12">
        <f>IFERROR(H55/H11,0)</f>
        <v>0</v>
      </c>
      <c r="I44" s="12">
        <f>IFERROR(I55/I11,0)</f>
        <v>0</v>
      </c>
      <c r="J44" s="12">
        <f>IFERROR(J55/J11,0)</f>
        <v>0</v>
      </c>
      <c r="K44" s="12">
        <f>IFERROR(K55/K11,0)</f>
        <v>0</v>
      </c>
      <c r="L44" s="12">
        <f>IFERROR(L55/L11,0)</f>
        <v>0</v>
      </c>
      <c r="M44" s="12">
        <f>IFERROR(M55/M11,0)</f>
        <v>0</v>
      </c>
      <c r="N44" s="12">
        <f>IFERROR(N55/N11,0)</f>
        <v>0</v>
      </c>
      <c r="O44" s="12">
        <f>IFERROR(O55/O11,0)</f>
        <v>0</v>
      </c>
    </row>
    <row r="45" spans="2:15">
      <c r="B45" t="str">
        <f>B12</f>
        <v>Insert Adj. 7</v>
      </c>
      <c r="C45" s="12">
        <f>IFERROR(C56/C12,0)</f>
        <v>0</v>
      </c>
      <c r="D45" s="12">
        <f>IFERROR(D56/D12,0)</f>
        <v>0</v>
      </c>
      <c r="E45" s="12">
        <f>IFERROR(E56/E12,0)</f>
        <v>0</v>
      </c>
      <c r="F45" s="12">
        <f>IFERROR(F56/F12,0)</f>
        <v>0</v>
      </c>
      <c r="G45" s="12">
        <f>IFERROR(G56/G12,0)</f>
        <v>0</v>
      </c>
      <c r="H45" s="12">
        <f>IFERROR(H56/H12,0)</f>
        <v>0</v>
      </c>
      <c r="I45" s="12">
        <f>IFERROR(I56/I12,0)</f>
        <v>0</v>
      </c>
      <c r="J45" s="12">
        <f>IFERROR(J56/J12,0)</f>
        <v>0</v>
      </c>
      <c r="K45" s="12">
        <f>IFERROR(K56/K12,0)</f>
        <v>0</v>
      </c>
      <c r="L45" s="12">
        <f>IFERROR(L56/L12,0)</f>
        <v>0</v>
      </c>
      <c r="M45" s="12">
        <f>IFERROR(M56/M12,0)</f>
        <v>0</v>
      </c>
      <c r="N45" s="12">
        <f>IFERROR(N56/N12,0)</f>
        <v>0</v>
      </c>
      <c r="O45" s="12">
        <f>IFERROR(O56/O12,0)</f>
        <v>0</v>
      </c>
    </row>
    <row r="46" spans="2:15">
      <c r="B46" t="str">
        <f>B13</f>
        <v>Insert Adj. 8</v>
      </c>
      <c r="C46" s="12">
        <f>IFERROR(C57/C13,0)</f>
        <v>0</v>
      </c>
      <c r="D46" s="12">
        <f>IFERROR(D57/D13,0)</f>
        <v>0</v>
      </c>
      <c r="E46" s="12">
        <f>IFERROR(E57/E13,0)</f>
        <v>0</v>
      </c>
      <c r="F46" s="12">
        <f>IFERROR(F57/F13,0)</f>
        <v>0</v>
      </c>
      <c r="G46" s="12">
        <f>IFERROR(G57/G13,0)</f>
        <v>0</v>
      </c>
      <c r="H46" s="12">
        <f>IFERROR(H57/H13,0)</f>
        <v>0</v>
      </c>
      <c r="I46" s="12">
        <f>IFERROR(I57/I13,0)</f>
        <v>0</v>
      </c>
      <c r="J46" s="12">
        <f>IFERROR(J57/J13,0)</f>
        <v>0</v>
      </c>
      <c r="K46" s="12">
        <f>IFERROR(K57/K13,0)</f>
        <v>0</v>
      </c>
      <c r="L46" s="12">
        <f>IFERROR(L57/L13,0)</f>
        <v>0</v>
      </c>
      <c r="M46" s="12">
        <f>IFERROR(M57/M13,0)</f>
        <v>0</v>
      </c>
      <c r="N46" s="12">
        <f>IFERROR(N57/N13,0)</f>
        <v>0</v>
      </c>
      <c r="O46" s="12">
        <f>IFERROR(O57/O13,0)</f>
        <v>0</v>
      </c>
    </row>
    <row r="47" spans="2:15">
      <c r="B47" s="2" t="s">
        <v>137</v>
      </c>
      <c r="C47" s="14">
        <f>IFERROR(C58/C14,0)</f>
        <v>0</v>
      </c>
      <c r="D47" s="14">
        <f>IFERROR(D58/D14,0)</f>
        <v>0</v>
      </c>
      <c r="E47" s="14">
        <f>IFERROR(E58/E14,0)</f>
        <v>0</v>
      </c>
      <c r="F47" s="14">
        <f>IFERROR(F58/F14,0)</f>
        <v>0</v>
      </c>
      <c r="G47" s="14">
        <f>IFERROR(G58/G14,0)</f>
        <v>0</v>
      </c>
      <c r="H47" s="14">
        <f>IFERROR(H58/H14,0)</f>
        <v>0</v>
      </c>
      <c r="I47" s="14">
        <f>IFERROR(I58/I14,0)</f>
        <v>0</v>
      </c>
      <c r="J47" s="14">
        <f>IFERROR(J58/J14,0)</f>
        <v>0</v>
      </c>
      <c r="K47" s="14">
        <f>IFERROR(K58/K14,0)</f>
        <v>0</v>
      </c>
      <c r="L47" s="14">
        <f>IFERROR(L58/L14,0)</f>
        <v>0.1</v>
      </c>
      <c r="M47" s="14">
        <f>IFERROR(M58/M14,0)</f>
        <v>0.1</v>
      </c>
      <c r="N47" s="14">
        <f>IFERROR(N58/N14,0)</f>
        <v>0.1</v>
      </c>
      <c r="O47" s="14">
        <f>IFERROR(O58/O14,0)</f>
        <v>0.5</v>
      </c>
    </row>
    <row r="49" spans="2:15">
      <c r="B49" s="2" t="s">
        <v>138</v>
      </c>
    </row>
    <row r="50" spans="2:15">
      <c r="B50" t="s">
        <v>175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20">
        <v>140</v>
      </c>
      <c r="L50" s="20">
        <v>-20</v>
      </c>
      <c r="M50" s="20">
        <v>-20</v>
      </c>
      <c r="N50" s="20">
        <v>-20</v>
      </c>
      <c r="O50" s="6">
        <f>SUM(C50:N50)</f>
        <v>80</v>
      </c>
    </row>
    <row r="51" spans="2:15">
      <c r="B51" t="s">
        <v>176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20">
        <v>-380</v>
      </c>
      <c r="L51" s="20">
        <v>0</v>
      </c>
      <c r="M51" s="20">
        <v>0</v>
      </c>
      <c r="N51" s="20">
        <v>0</v>
      </c>
      <c r="O51" s="6">
        <f>SUM(C51:N51)</f>
        <v>-380</v>
      </c>
    </row>
    <row r="52" spans="2:15">
      <c r="B52" t="s">
        <v>177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20">
        <v>0</v>
      </c>
      <c r="L52" s="20">
        <v>0</v>
      </c>
      <c r="M52" s="20">
        <v>0</v>
      </c>
      <c r="N52" s="20">
        <v>0</v>
      </c>
      <c r="O52" s="6">
        <f>SUM(C52:N52)</f>
        <v>0</v>
      </c>
    </row>
    <row r="53" spans="2:15">
      <c r="B53" t="s">
        <v>178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20">
        <v>0</v>
      </c>
      <c r="L53" s="20">
        <v>0</v>
      </c>
      <c r="M53" s="20">
        <v>0</v>
      </c>
      <c r="N53" s="20">
        <v>0</v>
      </c>
      <c r="O53" s="6">
        <f>SUM(C53:N53)</f>
        <v>0</v>
      </c>
    </row>
    <row r="54" spans="2:15">
      <c r="B54" t="s">
        <v>179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20">
        <v>0</v>
      </c>
      <c r="L54" s="20">
        <v>0</v>
      </c>
      <c r="M54" s="20">
        <v>0</v>
      </c>
      <c r="N54" s="20">
        <v>0</v>
      </c>
      <c r="O54" s="6">
        <f>SUM(C54:N54)</f>
        <v>0</v>
      </c>
    </row>
    <row r="55" spans="2:15">
      <c r="B55" t="s">
        <v>180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20">
        <v>0</v>
      </c>
      <c r="L55" s="20">
        <v>0</v>
      </c>
      <c r="M55" s="20">
        <v>0</v>
      </c>
      <c r="N55" s="20">
        <v>0</v>
      </c>
      <c r="O55" s="6">
        <f>SUM(C55:N55)</f>
        <v>0</v>
      </c>
    </row>
    <row r="56" spans="2:15">
      <c r="B56" t="s">
        <v>181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20">
        <v>0</v>
      </c>
      <c r="L56" s="20">
        <v>0</v>
      </c>
      <c r="M56" s="20">
        <v>0</v>
      </c>
      <c r="N56" s="20">
        <v>0</v>
      </c>
      <c r="O56" s="6">
        <f>SUM(C56:N56)</f>
        <v>0</v>
      </c>
    </row>
    <row r="57" spans="2:15">
      <c r="B57" t="s">
        <v>182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20">
        <v>0</v>
      </c>
      <c r="L57" s="20">
        <v>0</v>
      </c>
      <c r="M57" s="20">
        <v>0</v>
      </c>
      <c r="N57" s="20">
        <v>0</v>
      </c>
      <c r="O57" s="6">
        <f>SUM(C57:N57)</f>
        <v>0</v>
      </c>
    </row>
    <row r="58" spans="2:15">
      <c r="B58" s="2" t="s">
        <v>139</v>
      </c>
      <c r="C58" s="9">
        <f>SUM(C50:C57)</f>
        <v>0</v>
      </c>
      <c r="D58" s="9">
        <f>SUM(D50:D57)</f>
        <v>0</v>
      </c>
      <c r="E58" s="9">
        <f>SUM(E50:E57)</f>
        <v>0</v>
      </c>
      <c r="F58" s="9">
        <f>SUM(F50:F57)</f>
        <v>0</v>
      </c>
      <c r="G58" s="9">
        <f>SUM(G50:G57)</f>
        <v>0</v>
      </c>
      <c r="H58" s="9">
        <f>SUM(H50:H57)</f>
        <v>0</v>
      </c>
      <c r="I58" s="9">
        <f>SUM(I50:I57)</f>
        <v>0</v>
      </c>
      <c r="J58" s="9">
        <f>SUM(J50:J57)</f>
        <v>0</v>
      </c>
      <c r="K58" s="9">
        <f>SUM(K50:K57)</f>
        <v>-240</v>
      </c>
      <c r="L58" s="9">
        <f>SUM(L50:L57)</f>
        <v>-20</v>
      </c>
      <c r="M58" s="9">
        <f>SUM(M50:M57)</f>
        <v>-20</v>
      </c>
      <c r="N58" s="9">
        <f>SUM(N50:N57)</f>
        <v>-20</v>
      </c>
      <c r="O58" s="9">
        <f>SUM(O50:O57)</f>
        <v>-300</v>
      </c>
    </row>
    <row r="60" spans="2:15">
      <c r="B60" s="2" t="s">
        <v>113</v>
      </c>
    </row>
    <row r="61" spans="2:15">
      <c r="B61" t="str">
        <f>B6</f>
        <v>Insert Adj. 1</v>
      </c>
      <c r="C61" s="6">
        <f>C28-C50</f>
        <v>0</v>
      </c>
      <c r="D61" s="6">
        <f>D28-D50</f>
        <v>0</v>
      </c>
      <c r="E61" s="6">
        <f>E28-E50</f>
        <v>0</v>
      </c>
      <c r="F61" s="6">
        <f>F28-F50</f>
        <v>0</v>
      </c>
      <c r="G61" s="6">
        <f>G28-G50</f>
        <v>0</v>
      </c>
      <c r="H61" s="6">
        <f>H28-H50</f>
        <v>0</v>
      </c>
      <c r="I61" s="6">
        <f>I28-I50</f>
        <v>0</v>
      </c>
      <c r="J61" s="6">
        <f>J28-J50</f>
        <v>0</v>
      </c>
      <c r="K61" s="6">
        <f>K28-K50</f>
        <v>-300</v>
      </c>
      <c r="L61" s="6">
        <f>L28-L50</f>
        <v>-120</v>
      </c>
      <c r="M61" s="6">
        <f>M28-M50</f>
        <v>-120</v>
      </c>
      <c r="N61" s="6">
        <f>N28-N50</f>
        <v>-120</v>
      </c>
      <c r="O61" s="6">
        <f>SUM(C61:N61)</f>
        <v>-660</v>
      </c>
    </row>
    <row r="62" spans="2:15">
      <c r="B62" t="str">
        <f>B7</f>
        <v>Insert Adj. 2</v>
      </c>
      <c r="C62" s="6">
        <f>C29-C51</f>
        <v>0</v>
      </c>
      <c r="D62" s="6">
        <f>D29-D51</f>
        <v>0</v>
      </c>
      <c r="E62" s="6">
        <f>E29-E51</f>
        <v>0</v>
      </c>
      <c r="F62" s="6">
        <f>F29-F51</f>
        <v>0</v>
      </c>
      <c r="G62" s="6">
        <f>G29-G51</f>
        <v>0</v>
      </c>
      <c r="H62" s="6">
        <f>H29-H51</f>
        <v>0</v>
      </c>
      <c r="I62" s="6">
        <f>I29-I51</f>
        <v>0</v>
      </c>
      <c r="J62" s="6">
        <f>J29-J51</f>
        <v>0</v>
      </c>
      <c r="K62" s="6">
        <f>K29-K51</f>
        <v>380</v>
      </c>
      <c r="L62" s="6">
        <f>L29-L51</f>
        <v>0</v>
      </c>
      <c r="M62" s="6">
        <f>M29-M51</f>
        <v>0</v>
      </c>
      <c r="N62" s="6">
        <f>N29-N51</f>
        <v>0</v>
      </c>
      <c r="O62" s="6">
        <f>SUM(C62:N62)</f>
        <v>380</v>
      </c>
    </row>
    <row r="63" spans="2:15">
      <c r="B63" t="str">
        <f>B8</f>
        <v>Insert Adj. 3</v>
      </c>
      <c r="C63" s="6">
        <f>C30-C52</f>
        <v>0</v>
      </c>
      <c r="D63" s="6">
        <f>D30-D52</f>
        <v>0</v>
      </c>
      <c r="E63" s="6">
        <f>E30-E52</f>
        <v>0</v>
      </c>
      <c r="F63" s="6">
        <f>F30-F52</f>
        <v>0</v>
      </c>
      <c r="G63" s="6">
        <f>G30-G52</f>
        <v>0</v>
      </c>
      <c r="H63" s="6">
        <f>H30-H52</f>
        <v>0</v>
      </c>
      <c r="I63" s="6">
        <f>I30-I52</f>
        <v>0</v>
      </c>
      <c r="J63" s="6">
        <f>J30-J52</f>
        <v>0</v>
      </c>
      <c r="K63" s="6">
        <f>K30-K52</f>
        <v>0</v>
      </c>
      <c r="L63" s="6">
        <f>L30-L52</f>
        <v>0</v>
      </c>
      <c r="M63" s="6">
        <f>M30-M52</f>
        <v>0</v>
      </c>
      <c r="N63" s="6">
        <f>N30-N52</f>
        <v>0</v>
      </c>
      <c r="O63" s="6">
        <f>SUM(C63:N63)</f>
        <v>0</v>
      </c>
    </row>
    <row r="64" spans="2:15">
      <c r="B64" t="str">
        <f>B9</f>
        <v>Insert Adj. 4</v>
      </c>
      <c r="C64" s="6">
        <f>C31-C53</f>
        <v>0</v>
      </c>
      <c r="D64" s="6">
        <f>D31-D53</f>
        <v>0</v>
      </c>
      <c r="E64" s="6">
        <f>E31-E53</f>
        <v>0</v>
      </c>
      <c r="F64" s="6">
        <f>F31-F53</f>
        <v>0</v>
      </c>
      <c r="G64" s="6">
        <f>G31-G53</f>
        <v>0</v>
      </c>
      <c r="H64" s="6">
        <f>H31-H53</f>
        <v>0</v>
      </c>
      <c r="I64" s="6">
        <f>I31-I53</f>
        <v>0</v>
      </c>
      <c r="J64" s="6">
        <f>J31-J53</f>
        <v>0</v>
      </c>
      <c r="K64" s="6">
        <f>K31-K53</f>
        <v>0</v>
      </c>
      <c r="L64" s="6">
        <f>L31-L53</f>
        <v>0</v>
      </c>
      <c r="M64" s="6">
        <f>M31-M53</f>
        <v>0</v>
      </c>
      <c r="N64" s="6">
        <f>N31-N53</f>
        <v>0</v>
      </c>
      <c r="O64" s="6">
        <f>SUM(C64:N64)</f>
        <v>0</v>
      </c>
    </row>
    <row r="65" spans="2:15">
      <c r="B65" t="str">
        <f>B10</f>
        <v>Insert Adj. 5</v>
      </c>
      <c r="C65" s="6">
        <f>C32-C54</f>
        <v>0</v>
      </c>
      <c r="D65" s="6">
        <f>D32-D54</f>
        <v>0</v>
      </c>
      <c r="E65" s="6">
        <f>E32-E54</f>
        <v>0</v>
      </c>
      <c r="F65" s="6">
        <f>F32-F54</f>
        <v>0</v>
      </c>
      <c r="G65" s="6">
        <f>G32-G54</f>
        <v>0</v>
      </c>
      <c r="H65" s="6">
        <f>H32-H54</f>
        <v>0</v>
      </c>
      <c r="I65" s="6">
        <f>I32-I54</f>
        <v>0</v>
      </c>
      <c r="J65" s="6">
        <f>J32-J54</f>
        <v>0</v>
      </c>
      <c r="K65" s="6">
        <f>K32-K54</f>
        <v>0</v>
      </c>
      <c r="L65" s="6">
        <f>L32-L54</f>
        <v>0</v>
      </c>
      <c r="M65" s="6">
        <f>M32-M54</f>
        <v>0</v>
      </c>
      <c r="N65" s="6">
        <f>N32-N54</f>
        <v>0</v>
      </c>
      <c r="O65" s="6">
        <f>SUM(C65:N65)</f>
        <v>0</v>
      </c>
    </row>
    <row r="66" spans="2:15">
      <c r="B66" t="str">
        <f>B11</f>
        <v>Insert Adj. 6</v>
      </c>
      <c r="C66" s="6">
        <f>C33-C55</f>
        <v>0</v>
      </c>
      <c r="D66" s="6">
        <f>D33-D55</f>
        <v>0</v>
      </c>
      <c r="E66" s="6">
        <f>E33-E55</f>
        <v>0</v>
      </c>
      <c r="F66" s="6">
        <f>F33-F55</f>
        <v>0</v>
      </c>
      <c r="G66" s="6">
        <f>G33-G55</f>
        <v>0</v>
      </c>
      <c r="H66" s="6">
        <f>H33-H55</f>
        <v>0</v>
      </c>
      <c r="I66" s="6">
        <f>I33-I55</f>
        <v>0</v>
      </c>
      <c r="J66" s="6">
        <f>J33-J55</f>
        <v>0</v>
      </c>
      <c r="K66" s="6">
        <f>K33-K55</f>
        <v>0</v>
      </c>
      <c r="L66" s="6">
        <f>L33-L55</f>
        <v>0</v>
      </c>
      <c r="M66" s="6">
        <f>M33-M55</f>
        <v>0</v>
      </c>
      <c r="N66" s="6">
        <f>N33-N55</f>
        <v>0</v>
      </c>
      <c r="O66" s="6">
        <f>SUM(C66:N66)</f>
        <v>0</v>
      </c>
    </row>
    <row r="67" spans="2:15">
      <c r="B67" t="str">
        <f>B12</f>
        <v>Insert Adj. 7</v>
      </c>
      <c r="C67" s="6">
        <f>C34-C56</f>
        <v>0</v>
      </c>
      <c r="D67" s="6">
        <f>D34-D56</f>
        <v>0</v>
      </c>
      <c r="E67" s="6">
        <f>E34-E56</f>
        <v>0</v>
      </c>
      <c r="F67" s="6">
        <f>F34-F56</f>
        <v>0</v>
      </c>
      <c r="G67" s="6">
        <f>G34-G56</f>
        <v>0</v>
      </c>
      <c r="H67" s="6">
        <f>H34-H56</f>
        <v>0</v>
      </c>
      <c r="I67" s="6">
        <f>I34-I56</f>
        <v>0</v>
      </c>
      <c r="J67" s="6">
        <f>J34-J56</f>
        <v>0</v>
      </c>
      <c r="K67" s="6">
        <f>K34-K56</f>
        <v>0</v>
      </c>
      <c r="L67" s="6">
        <f>L34-L56</f>
        <v>0</v>
      </c>
      <c r="M67" s="6">
        <f>M34-M56</f>
        <v>0</v>
      </c>
      <c r="N67" s="6">
        <f>N34-N56</f>
        <v>0</v>
      </c>
      <c r="O67" s="6">
        <f>SUM(C67:N67)</f>
        <v>0</v>
      </c>
    </row>
    <row r="68" spans="2:15">
      <c r="B68" t="str">
        <f>B13</f>
        <v>Insert Adj. 8</v>
      </c>
      <c r="C68" s="6">
        <f>C35-C57</f>
        <v>0</v>
      </c>
      <c r="D68" s="6">
        <f>D35-D57</f>
        <v>0</v>
      </c>
      <c r="E68" s="6">
        <f>E35-E57</f>
        <v>0</v>
      </c>
      <c r="F68" s="6">
        <f>F35-F57</f>
        <v>0</v>
      </c>
      <c r="G68" s="6">
        <f>G35-G57</f>
        <v>0</v>
      </c>
      <c r="H68" s="6">
        <f>H35-H57</f>
        <v>0</v>
      </c>
      <c r="I68" s="6">
        <f>I35-I57</f>
        <v>0</v>
      </c>
      <c r="J68" s="6">
        <f>J35-J57</f>
        <v>0</v>
      </c>
      <c r="K68" s="6">
        <f>K35-K57</f>
        <v>0</v>
      </c>
      <c r="L68" s="6">
        <f>L35-L57</f>
        <v>0</v>
      </c>
      <c r="M68" s="6">
        <f>M35-M57</f>
        <v>0</v>
      </c>
      <c r="N68" s="6">
        <f>N35-N57</f>
        <v>0</v>
      </c>
      <c r="O68" s="6">
        <f>SUM(C68:N68)</f>
        <v>0</v>
      </c>
    </row>
    <row r="69" spans="2:15">
      <c r="B69" s="2" t="s">
        <v>140</v>
      </c>
      <c r="C69" s="9">
        <f>SUM(C61:C68)</f>
        <v>0</v>
      </c>
      <c r="D69" s="9">
        <f>SUM(D61:D68)</f>
        <v>0</v>
      </c>
      <c r="E69" s="9">
        <f>SUM(E61:E68)</f>
        <v>0</v>
      </c>
      <c r="F69" s="9">
        <f>SUM(F61:F68)</f>
        <v>0</v>
      </c>
      <c r="G69" s="9">
        <f>SUM(G61:G68)</f>
        <v>0</v>
      </c>
      <c r="H69" s="9">
        <f>SUM(H61:H68)</f>
        <v>0</v>
      </c>
      <c r="I69" s="9">
        <f>SUM(I61:I68)</f>
        <v>0</v>
      </c>
      <c r="J69" s="9">
        <f>SUM(J61:J68)</f>
        <v>0</v>
      </c>
      <c r="K69" s="9">
        <f>SUM(K61:K68)</f>
        <v>80</v>
      </c>
      <c r="L69" s="9">
        <f>SUM(L61:L68)</f>
        <v>-120</v>
      </c>
      <c r="M69" s="9">
        <f>SUM(M61:M68)</f>
        <v>-120</v>
      </c>
      <c r="N69" s="9">
        <f>SUM(N61:N68)</f>
        <v>-120</v>
      </c>
      <c r="O69" s="9">
        <f>SUM(O61:O68)</f>
        <v>-280</v>
      </c>
    </row>
    <row r="71" spans="2:15">
      <c r="B71" s="8" t="s">
        <v>141</v>
      </c>
    </row>
    <row r="73" spans="2:15">
      <c r="C73" s="4" t="s">
        <v>70</v>
      </c>
      <c r="D73" s="4" t="s">
        <v>71</v>
      </c>
      <c r="E73" s="4" t="s">
        <v>72</v>
      </c>
      <c r="F73" s="4" t="s">
        <v>73</v>
      </c>
      <c r="G73" s="4" t="s">
        <v>50</v>
      </c>
      <c r="H73" s="4" t="s">
        <v>74</v>
      </c>
      <c r="I73" s="4" t="s">
        <v>75</v>
      </c>
      <c r="J73" s="4" t="s">
        <v>76</v>
      </c>
      <c r="K73" s="4" t="s">
        <v>77</v>
      </c>
      <c r="L73" s="4" t="s">
        <v>78</v>
      </c>
      <c r="M73" s="4" t="s">
        <v>79</v>
      </c>
      <c r="N73" s="4" t="s">
        <v>80</v>
      </c>
      <c r="O73" s="4" t="s">
        <v>174</v>
      </c>
    </row>
    <row r="74" spans="2:15">
      <c r="B74" s="2" t="s">
        <v>111</v>
      </c>
    </row>
    <row r="75" spans="2:15">
      <c r="B75" t="s">
        <v>143</v>
      </c>
      <c r="C75" s="12">
        <f>Alder!C35</f>
        <v>0.26461928518851724</v>
      </c>
      <c r="D75" s="12">
        <f>Alder!D35</f>
        <v>0.26197322348094748</v>
      </c>
      <c r="E75" s="12">
        <f>Alder!E35</f>
        <v>0.26143990237949971</v>
      </c>
      <c r="F75" s="12">
        <f>Alder!F35</f>
        <v>0.26262085696956722</v>
      </c>
      <c r="G75" s="12">
        <f>Alder!G35</f>
        <v>0.26195599252406904</v>
      </c>
      <c r="H75" s="12">
        <f>Alder!H35</f>
        <v>0.24014859222457963</v>
      </c>
      <c r="I75" s="12">
        <f>Alder!I35</f>
        <v>0.24061321901982244</v>
      </c>
      <c r="J75" s="12">
        <f>Alder!J35</f>
        <v>0.2387730383194081</v>
      </c>
      <c r="K75" s="12">
        <f>Alder!K35</f>
        <v>0.24082470698947731</v>
      </c>
      <c r="L75" s="12">
        <f>Alder!L35</f>
        <v>0.2354339278971101</v>
      </c>
      <c r="M75" s="12">
        <f>Alder!M35</f>
        <v>0.23818995120921585</v>
      </c>
      <c r="N75" s="12">
        <f>Alder!N35</f>
        <v>0.23942871490392426</v>
      </c>
      <c r="O75" t="s">
        <v>183</v>
      </c>
    </row>
    <row r="76" spans="2:15">
      <c r="B76" t="s">
        <v>144</v>
      </c>
      <c r="C76" t="s">
        <v>145</v>
      </c>
      <c r="D76" t="s">
        <v>145</v>
      </c>
      <c r="E76" t="s">
        <v>145</v>
      </c>
      <c r="F76" t="s">
        <v>145</v>
      </c>
      <c r="G76" t="s">
        <v>145</v>
      </c>
      <c r="H76" t="s">
        <v>145</v>
      </c>
      <c r="I76" t="s">
        <v>145</v>
      </c>
      <c r="J76" t="s">
        <v>145</v>
      </c>
      <c r="K76" t="s">
        <v>145</v>
      </c>
      <c r="L76" t="s">
        <v>145</v>
      </c>
      <c r="M76" t="s">
        <v>145</v>
      </c>
      <c r="N76" t="s">
        <v>145</v>
      </c>
    </row>
    <row r="77" spans="2:15">
      <c r="B77" t="s">
        <v>146</v>
      </c>
      <c r="C77" s="6">
        <f>IF(C76="None",0,(((Alder!C28*(C75+C76))-Alder!C29)))</f>
        <v>0</v>
      </c>
      <c r="D77" s="6">
        <f>IF(D76="None",0,(((Alder!D28*(D75+D76))-Alder!D29)))</f>
        <v>0</v>
      </c>
      <c r="E77" s="6">
        <f>IF(E76="None",0,(((Alder!E28*(E75+E76))-Alder!E29)))</f>
        <v>0</v>
      </c>
      <c r="F77" s="6">
        <f>IF(F76="None",0,(((Alder!F28*(F75+F76))-Alder!F29)))</f>
        <v>0</v>
      </c>
      <c r="G77" s="6">
        <f>IF(G76="None",0,(((Alder!G28*(G75+G76))-Alder!G29)))</f>
        <v>0</v>
      </c>
      <c r="H77" s="6">
        <f>IF(H76="None",0,(((Alder!H28*(H75+H76))-Alder!H29)))</f>
        <v>0</v>
      </c>
      <c r="I77" s="6">
        <f>IF(I76="None",0,(((Alder!I28*(I75+I76))-Alder!I29)))</f>
        <v>0</v>
      </c>
      <c r="J77" s="6">
        <f>IF(J76="None",0,(((Alder!J28*(J75+J76))-Alder!J29)))</f>
        <v>0</v>
      </c>
      <c r="K77" s="6">
        <f>IF(K76="None",0,(((Alder!K28*(K75+K76))-Alder!K29)))</f>
        <v>0</v>
      </c>
      <c r="L77" s="6">
        <f>IF(L76="None",0,(((Alder!L28*(L75+L76))-Alder!L29)))</f>
        <v>0</v>
      </c>
      <c r="M77" s="6">
        <f>IF(M76="None",0,(((Alder!M28*(M75+M76))-Alder!M29)))</f>
        <v>0</v>
      </c>
      <c r="N77" s="6">
        <f>IF(N76="None",0,(((Alder!N28*(N75+N76))-Alder!N29)))</f>
        <v>0</v>
      </c>
      <c r="O77" s="6">
        <f>SUM(C77:N77)</f>
        <v>0</v>
      </c>
    </row>
    <row r="78" spans="2:15">
      <c r="B78" t="s">
        <v>147</v>
      </c>
      <c r="C78" s="12">
        <f>SUM(C75:C76)</f>
        <v>0.26461928518851724</v>
      </c>
      <c r="D78" s="12">
        <f>SUM(D75:D76)</f>
        <v>0.26197322348094748</v>
      </c>
      <c r="E78" s="12">
        <f>SUM(E75:E76)</f>
        <v>0.26143990237949971</v>
      </c>
      <c r="F78" s="12">
        <f>SUM(F75:F76)</f>
        <v>0.26262085696956722</v>
      </c>
      <c r="G78" s="12">
        <f>SUM(G75:G76)</f>
        <v>0.26195599252406904</v>
      </c>
      <c r="H78" s="12">
        <f>SUM(H75:H76)</f>
        <v>0.24014859222457963</v>
      </c>
      <c r="I78" s="12">
        <f>SUM(I75:I76)</f>
        <v>0.24061321901982244</v>
      </c>
      <c r="J78" s="12">
        <f>SUM(J75:J76)</f>
        <v>0.2387730383194081</v>
      </c>
      <c r="K78" s="12">
        <f>SUM(K75:K76)</f>
        <v>0.24082470698947731</v>
      </c>
      <c r="L78" s="12">
        <f>SUM(L75:L76)</f>
        <v>0.2354339278971101</v>
      </c>
      <c r="M78" s="12">
        <f>SUM(M75:M76)</f>
        <v>0.23818995120921585</v>
      </c>
      <c r="N78" s="12">
        <f>SUM(N75:N76)</f>
        <v>0.23942871490392426</v>
      </c>
      <c r="O78" t="s">
        <v>183</v>
      </c>
    </row>
    <row r="81" spans="1:15">
      <c r="B81" s="2" t="s">
        <v>112</v>
      </c>
    </row>
    <row r="82" spans="1:15">
      <c r="B82" t="s">
        <v>148</v>
      </c>
      <c r="C82" s="12">
        <f>Alder!C36</f>
        <v>-0.20042528829639322</v>
      </c>
      <c r="D82" s="12">
        <f>Alder!D36</f>
        <v>-0.19913491246138001</v>
      </c>
      <c r="E82" s="12">
        <f>Alder!E36</f>
        <v>-0.19549267846247714</v>
      </c>
      <c r="F82" s="12">
        <f>Alder!F36</f>
        <v>-0.19898676370901566</v>
      </c>
      <c r="G82" s="12">
        <f>Alder!G36</f>
        <v>-0.20072717563726028</v>
      </c>
      <c r="H82" s="12">
        <f>Alder!H36</f>
        <v>-0.19957264634597524</v>
      </c>
      <c r="I82" s="12">
        <f>Alder!I36</f>
        <v>-0.20073270096071993</v>
      </c>
      <c r="J82" s="12">
        <f>Alder!J36</f>
        <v>-0.19965129107166277</v>
      </c>
      <c r="K82" s="12">
        <f>Alder!K36</f>
        <v>-0.19670397187721167</v>
      </c>
      <c r="L82" s="12">
        <f>Alder!L36</f>
        <v>-0.20013771962948976</v>
      </c>
      <c r="M82" s="12">
        <f>Alder!M36</f>
        <v>-0.19880012015035031</v>
      </c>
      <c r="N82" s="12">
        <f>Alder!N36</f>
        <v>-0.19752019732080878</v>
      </c>
      <c r="O82" t="s">
        <v>183</v>
      </c>
    </row>
    <row r="83" spans="1:15">
      <c r="B83" t="s">
        <v>144</v>
      </c>
      <c r="C83" t="s">
        <v>145</v>
      </c>
      <c r="D83" t="s">
        <v>145</v>
      </c>
      <c r="E83" t="s">
        <v>145</v>
      </c>
      <c r="F83" t="s">
        <v>145</v>
      </c>
      <c r="G83" t="s">
        <v>145</v>
      </c>
      <c r="H83" t="s">
        <v>145</v>
      </c>
      <c r="I83" t="s">
        <v>145</v>
      </c>
      <c r="J83" t="s">
        <v>145</v>
      </c>
      <c r="K83" t="s">
        <v>145</v>
      </c>
      <c r="L83" t="s">
        <v>145</v>
      </c>
      <c r="M83" t="s">
        <v>145</v>
      </c>
      <c r="N83" t="s">
        <v>145</v>
      </c>
    </row>
    <row r="84" spans="1:15">
      <c r="B84" t="s">
        <v>146</v>
      </c>
      <c r="C84" s="6">
        <f>-IF(C83="None",0,(((Alder!C28*-(C82+C83))-Alder!C30)))</f>
        <v>0</v>
      </c>
      <c r="D84" s="6">
        <f>-IF(D83="None",0,(((Alder!D28*-(D82+D83))-Alder!D30)))</f>
        <v>0</v>
      </c>
      <c r="E84" s="6">
        <f>-IF(E83="None",0,(((Alder!E28*-(E82+E83))-Alder!E30)))</f>
        <v>0</v>
      </c>
      <c r="F84" s="6">
        <f>-IF(F83="None",0,(((Alder!F28*-(F82+F83))-Alder!F30)))</f>
        <v>0</v>
      </c>
      <c r="G84" s="6">
        <f>-IF(G83="None",0,(((Alder!G28*-(G82+G83))-Alder!G30)))</f>
        <v>0</v>
      </c>
      <c r="H84" s="6">
        <f>-IF(H83="None",0,(((Alder!H28*-(H82+H83))-Alder!H30)))</f>
        <v>0</v>
      </c>
      <c r="I84" s="6">
        <f>-IF(I83="None",0,(((Alder!I28*-(I82+I83))-Alder!I30)))</f>
        <v>0</v>
      </c>
      <c r="J84" s="6">
        <f>-IF(J83="None",0,(((Alder!J28*-(J82+J83))-Alder!J30)))</f>
        <v>0</v>
      </c>
      <c r="K84" s="6">
        <f>-IF(K83="None",0,(((Alder!K28*-(K82+K83))-Alder!K30)))</f>
        <v>0</v>
      </c>
      <c r="L84" s="6">
        <f>-IF(L83="None",0,(((Alder!L28*-(L82+L83))-Alder!L30)))</f>
        <v>0</v>
      </c>
      <c r="M84" s="6">
        <f>-IF(M83="None",0,(((Alder!M28*-(M82+M83))-Alder!M30)))</f>
        <v>0</v>
      </c>
      <c r="N84" s="6">
        <f>-IF(N83="None",0,(((Alder!N28*-(N82+N83))-Alder!N30)))</f>
        <v>0</v>
      </c>
      <c r="O84" s="6">
        <f>SUM(C84:N84)</f>
        <v>0</v>
      </c>
    </row>
    <row r="85" spans="1:15">
      <c r="B85" t="s">
        <v>149</v>
      </c>
      <c r="C85" s="12">
        <f>SUM(C82:C83)</f>
        <v>-0.20042528829639322</v>
      </c>
      <c r="D85" s="12">
        <f>SUM(D82:D83)</f>
        <v>-0.19913491246138001</v>
      </c>
      <c r="E85" s="12">
        <f>SUM(E82:E83)</f>
        <v>-0.19549267846247714</v>
      </c>
      <c r="F85" s="12">
        <f>SUM(F82:F83)</f>
        <v>-0.19898676370901566</v>
      </c>
      <c r="G85" s="12">
        <f>SUM(G82:G83)</f>
        <v>-0.20072717563726028</v>
      </c>
      <c r="H85" s="12">
        <f>SUM(H82:H83)</f>
        <v>-0.19957264634597524</v>
      </c>
      <c r="I85" s="12">
        <f>SUM(I82:I83)</f>
        <v>-0.20073270096071993</v>
      </c>
      <c r="J85" s="12">
        <f>SUM(J82:J83)</f>
        <v>-0.19965129107166277</v>
      </c>
      <c r="K85" s="12">
        <f>SUM(K82:K83)</f>
        <v>-0.19670397187721167</v>
      </c>
      <c r="L85" s="12">
        <f>SUM(L82:L83)</f>
        <v>-0.20013771962948976</v>
      </c>
      <c r="M85" s="12">
        <f>SUM(M82:M83)</f>
        <v>-0.19880012015035031</v>
      </c>
      <c r="N85" s="12">
        <f>SUM(N82:N83)</f>
        <v>-0.19752019732080878</v>
      </c>
      <c r="O85" t="s">
        <v>183</v>
      </c>
    </row>
    <row r="87" spans="1:15">
      <c r="B87" s="8" t="s">
        <v>150</v>
      </c>
    </row>
    <row r="89" spans="1:15">
      <c r="C89" s="4" t="s">
        <v>70</v>
      </c>
      <c r="D89" s="4" t="s">
        <v>71</v>
      </c>
      <c r="E89" s="4" t="s">
        <v>72</v>
      </c>
      <c r="F89" s="4" t="s">
        <v>73</v>
      </c>
      <c r="G89" s="4" t="s">
        <v>50</v>
      </c>
      <c r="H89" s="4" t="s">
        <v>74</v>
      </c>
      <c r="I89" s="4" t="s">
        <v>75</v>
      </c>
      <c r="J89" s="4" t="s">
        <v>76</v>
      </c>
      <c r="K89" s="4" t="s">
        <v>77</v>
      </c>
      <c r="L89" s="4" t="s">
        <v>78</v>
      </c>
      <c r="M89" s="4" t="s">
        <v>79</v>
      </c>
      <c r="N89" s="4" t="s">
        <v>80</v>
      </c>
      <c r="O89" s="4" t="s">
        <v>174</v>
      </c>
    </row>
    <row r="90" spans="1:15">
      <c r="A90">
        <v>2090</v>
      </c>
      <c r="B90" t="s">
        <v>151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20">
        <v>0</v>
      </c>
      <c r="L90" s="20">
        <v>-1200</v>
      </c>
      <c r="M90" s="20">
        <v>-2000</v>
      </c>
      <c r="N90" s="20">
        <v>-2500</v>
      </c>
    </row>
    <row r="91" spans="1:15">
      <c r="A91">
        <v>2135</v>
      </c>
      <c r="B91" t="s">
        <v>152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20">
        <v>0</v>
      </c>
      <c r="L91" s="20">
        <v>0</v>
      </c>
      <c r="M91" s="20">
        <v>0</v>
      </c>
      <c r="N91" s="20">
        <v>0</v>
      </c>
    </row>
    <row r="92" spans="1:15">
      <c r="A92">
        <v>2175</v>
      </c>
      <c r="B92" t="s">
        <v>153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20">
        <v>0</v>
      </c>
      <c r="L92" s="20">
        <v>0</v>
      </c>
      <c r="M92" s="20">
        <v>0</v>
      </c>
      <c r="N92" s="20">
        <v>0</v>
      </c>
    </row>
    <row r="93" spans="1:15">
      <c r="A93">
        <v>2140</v>
      </c>
      <c r="B93" t="s">
        <v>154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20">
        <v>0</v>
      </c>
      <c r="L93" s="20">
        <v>0</v>
      </c>
      <c r="M93" s="20">
        <v>0</v>
      </c>
      <c r="N93" s="20">
        <v>0</v>
      </c>
    </row>
    <row r="94" spans="1:15">
      <c r="A94">
        <v>2180</v>
      </c>
      <c r="B94" t="s">
        <v>155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20">
        <v>0</v>
      </c>
      <c r="L94" s="20">
        <v>0</v>
      </c>
      <c r="M94" s="20">
        <v>0</v>
      </c>
      <c r="N94" s="20">
        <v>0</v>
      </c>
    </row>
    <row r="95" spans="1:15">
      <c r="A95">
        <v>2185</v>
      </c>
      <c r="B95" s="2" t="s">
        <v>156</v>
      </c>
      <c r="C95" s="6">
        <f>SUM(C90:C94)</f>
        <v>0</v>
      </c>
      <c r="D95" s="6">
        <f>SUM(D90:D94)</f>
        <v>0</v>
      </c>
      <c r="E95" s="6">
        <f>SUM(E90:E94)</f>
        <v>0</v>
      </c>
      <c r="F95" s="6">
        <f>SUM(F90:F94)</f>
        <v>0</v>
      </c>
      <c r="G95" s="6">
        <f>SUM(G90:G94)</f>
        <v>0</v>
      </c>
      <c r="H95" s="6">
        <f>SUM(H90:H94)</f>
        <v>0</v>
      </c>
      <c r="I95" s="6">
        <f>SUM(I90:I94)</f>
        <v>0</v>
      </c>
      <c r="J95" s="6">
        <f>SUM(J90:J94)</f>
        <v>0</v>
      </c>
      <c r="K95" s="6">
        <f>SUM(K90:K94)</f>
        <v>0</v>
      </c>
      <c r="L95" s="6">
        <f>SUM(L90:L94)</f>
        <v>-1200</v>
      </c>
      <c r="M95" s="6">
        <f>SUM(M90:M94)</f>
        <v>-2000</v>
      </c>
      <c r="N95" s="6">
        <f>SUM(N90:N94)</f>
        <v>-2500</v>
      </c>
    </row>
    <row r="97" spans="2:2">
      <c r="B97" s="21" t="s">
        <v>184</v>
      </c>
    </row>
  </sheetData>
  <dataValidations count="1">
    <dataValidation type="list" allowBlank="1" sqref="C76:N76 C83:N83" xr:uid="{00000000-0002-0000-0800-000000000000}">
      <formula1>"None,-2.0%,-1.5%,-1.0%,-0.5%,0.5%,1.0%,1.5%,2.0%"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70C0"/>
  </sheetPr>
  <dimension ref="B1:CE73"/>
  <sheetViews>
    <sheetView showGridLines="0" workbookViewId="0">
      <pane xSplit="2" ySplit="26" topLeftCell="C27" activePane="bottomRight" state="frozen"/>
      <selection pane="bottomRight"/>
      <selection pane="bottomLeft"/>
      <selection pane="topRight"/>
    </sheetView>
  </sheetViews>
  <sheetFormatPr defaultRowHeight="15" outlineLevelRow="1"/>
  <cols>
    <col min="1" max="1" width="2" customWidth="1"/>
    <col min="2" max="2" width="30" customWidth="1"/>
    <col min="3" max="15" width="11" customWidth="1"/>
    <col min="16" max="16" width="2" customWidth="1"/>
    <col min="17" max="29" width="11" customWidth="1"/>
    <col min="30" max="30" width="2" customWidth="1"/>
    <col min="31" max="43" width="11" customWidth="1"/>
    <col min="44" max="44" width="2" customWidth="1"/>
    <col min="45" max="57" width="11" customWidth="1"/>
    <col min="58" max="58" width="2" customWidth="1"/>
    <col min="59" max="71" width="11" customWidth="1"/>
    <col min="72" max="72" width="2" customWidth="1"/>
    <col min="73" max="75" width="11" customWidth="1"/>
    <col min="76" max="76" width="2" customWidth="1"/>
    <col min="77" max="79" width="11" customWidth="1"/>
    <col min="80" max="80" width="2" customWidth="1"/>
    <col min="81" max="83" width="11" customWidth="1"/>
  </cols>
  <sheetData>
    <row r="1" spans="2:14" outlineLevel="1">
      <c r="C1" s="15" t="s">
        <v>34</v>
      </c>
      <c r="D1" s="15" t="s">
        <v>34</v>
      </c>
      <c r="E1" s="15" t="s">
        <v>34</v>
      </c>
      <c r="F1" s="15" t="s">
        <v>34</v>
      </c>
      <c r="G1" s="15" t="s">
        <v>34</v>
      </c>
      <c r="H1" s="15" t="s">
        <v>34</v>
      </c>
      <c r="I1" s="15" t="s">
        <v>34</v>
      </c>
      <c r="J1" s="15" t="s">
        <v>34</v>
      </c>
      <c r="K1" s="15" t="s">
        <v>45</v>
      </c>
      <c r="L1" s="15" t="s">
        <v>45</v>
      </c>
      <c r="M1" s="15" t="s">
        <v>45</v>
      </c>
      <c r="N1" s="15" t="s">
        <v>45</v>
      </c>
    </row>
    <row r="2" spans="2:14" outlineLevel="1">
      <c r="B2" s="15" t="s">
        <v>2</v>
      </c>
      <c r="C2" s="15" t="s">
        <v>34</v>
      </c>
      <c r="D2" s="15" t="s">
        <v>34</v>
      </c>
      <c r="E2" s="15" t="s">
        <v>34</v>
      </c>
      <c r="F2" s="15" t="s">
        <v>34</v>
      </c>
      <c r="G2" s="15" t="s">
        <v>34</v>
      </c>
      <c r="H2" s="15" t="s">
        <v>34</v>
      </c>
      <c r="I2" s="15" t="s">
        <v>34</v>
      </c>
      <c r="J2" s="15" t="s">
        <v>34</v>
      </c>
      <c r="K2" s="15" t="s">
        <v>34</v>
      </c>
      <c r="L2" s="15" t="s">
        <v>34</v>
      </c>
      <c r="M2" s="15" t="s">
        <v>34</v>
      </c>
      <c r="N2" s="15" t="s">
        <v>34</v>
      </c>
    </row>
    <row r="3" spans="2:14" outlineLevel="1"/>
    <row r="4" spans="2:14" outlineLevel="1"/>
    <row r="5" spans="2:14" outlineLevel="1">
      <c r="B5" s="15" t="s">
        <v>4</v>
      </c>
      <c r="C5" s="15">
        <v>2026</v>
      </c>
      <c r="D5" s="15">
        <v>2026</v>
      </c>
      <c r="E5" s="15">
        <v>2026</v>
      </c>
      <c r="F5" s="15">
        <v>2026</v>
      </c>
      <c r="G5" s="15">
        <v>2026</v>
      </c>
      <c r="H5" s="15">
        <v>2026</v>
      </c>
      <c r="I5" s="15">
        <v>2026</v>
      </c>
      <c r="J5" s="15">
        <v>2026</v>
      </c>
      <c r="K5" s="15">
        <v>2026</v>
      </c>
      <c r="L5" s="15">
        <v>2026</v>
      </c>
      <c r="M5" s="15">
        <v>2026</v>
      </c>
      <c r="N5" s="15">
        <v>2026</v>
      </c>
    </row>
    <row r="6" spans="2:14" outlineLevel="1"/>
    <row r="7" spans="2:14" outlineLevel="1"/>
    <row r="8" spans="2:14" outlineLevel="1">
      <c r="B8" s="15" t="s">
        <v>5</v>
      </c>
      <c r="C8" s="15" t="s">
        <v>35</v>
      </c>
      <c r="D8" s="15" t="s">
        <v>39</v>
      </c>
      <c r="E8" s="15" t="s">
        <v>43</v>
      </c>
      <c r="F8" s="15" t="s">
        <v>47</v>
      </c>
      <c r="G8" s="15" t="s">
        <v>51</v>
      </c>
      <c r="H8" s="15" t="s">
        <v>54</v>
      </c>
      <c r="I8" s="15" t="s">
        <v>56</v>
      </c>
      <c r="J8" s="15" t="s">
        <v>58</v>
      </c>
      <c r="K8" s="15" t="s">
        <v>32</v>
      </c>
      <c r="L8" s="15" t="s">
        <v>37</v>
      </c>
      <c r="M8" s="15" t="s">
        <v>66</v>
      </c>
      <c r="N8" s="15" t="s">
        <v>68</v>
      </c>
    </row>
    <row r="9" spans="2:14" outlineLevel="1">
      <c r="B9" s="15" t="s">
        <v>13</v>
      </c>
    </row>
    <row r="10" spans="2:14" outlineLevel="1">
      <c r="B10" s="15" t="s">
        <v>14</v>
      </c>
    </row>
    <row r="11" spans="2:14" outlineLevel="1">
      <c r="B11" s="15" t="s">
        <v>16</v>
      </c>
      <c r="C11" s="15" t="s">
        <v>17</v>
      </c>
      <c r="D11" s="15" t="s">
        <v>17</v>
      </c>
      <c r="E11" s="15" t="s">
        <v>17</v>
      </c>
      <c r="F11" s="15" t="s">
        <v>17</v>
      </c>
      <c r="G11" s="15" t="s">
        <v>17</v>
      </c>
      <c r="H11" s="15" t="s">
        <v>17</v>
      </c>
      <c r="I11" s="15" t="s">
        <v>17</v>
      </c>
      <c r="J11" s="15" t="s">
        <v>17</v>
      </c>
      <c r="K11" s="15" t="s">
        <v>17</v>
      </c>
      <c r="L11" s="15" t="s">
        <v>17</v>
      </c>
      <c r="M11" s="15" t="s">
        <v>17</v>
      </c>
      <c r="N11" s="15" t="s">
        <v>17</v>
      </c>
    </row>
    <row r="12" spans="2:14" outlineLevel="1">
      <c r="B12" s="15" t="s">
        <v>18</v>
      </c>
      <c r="C12" s="15" t="s">
        <v>19</v>
      </c>
      <c r="D12" s="15" t="s">
        <v>19</v>
      </c>
      <c r="E12" s="15" t="s">
        <v>19</v>
      </c>
      <c r="F12" s="15" t="s">
        <v>19</v>
      </c>
      <c r="G12" s="15" t="s">
        <v>19</v>
      </c>
      <c r="H12" s="15" t="s">
        <v>19</v>
      </c>
      <c r="I12" s="15" t="s">
        <v>19</v>
      </c>
      <c r="J12" s="15" t="s">
        <v>19</v>
      </c>
      <c r="K12" s="15" t="s">
        <v>19</v>
      </c>
      <c r="L12" s="15" t="s">
        <v>19</v>
      </c>
      <c r="M12" s="15" t="s">
        <v>19</v>
      </c>
      <c r="N12" s="15" t="s">
        <v>19</v>
      </c>
    </row>
    <row r="13" spans="2:14" outlineLevel="1">
      <c r="B13" s="15" t="s">
        <v>20</v>
      </c>
    </row>
    <row r="14" spans="2:14" outlineLevel="1">
      <c r="B14" s="15" t="s">
        <v>22</v>
      </c>
    </row>
    <row r="15" spans="2:14" outlineLevel="1"/>
    <row r="16" spans="2:14" outlineLevel="1"/>
    <row r="17" spans="2:83" outlineLevel="1"/>
    <row r="18" spans="2:83" outlineLevel="1">
      <c r="B18" s="15" t="s">
        <v>7</v>
      </c>
      <c r="C18" s="15" t="s">
        <v>157</v>
      </c>
      <c r="D18" s="15" t="s">
        <v>157</v>
      </c>
      <c r="E18" s="15" t="s">
        <v>157</v>
      </c>
      <c r="F18" s="15" t="s">
        <v>157</v>
      </c>
      <c r="G18" s="15" t="s">
        <v>157</v>
      </c>
      <c r="H18" s="15" t="s">
        <v>157</v>
      </c>
      <c r="I18" s="15" t="s">
        <v>157</v>
      </c>
      <c r="J18" s="15" t="s">
        <v>157</v>
      </c>
      <c r="K18" s="15" t="s">
        <v>157</v>
      </c>
      <c r="L18" s="15" t="s">
        <v>157</v>
      </c>
      <c r="M18" s="15" t="s">
        <v>157</v>
      </c>
      <c r="N18" s="15" t="s">
        <v>157</v>
      </c>
    </row>
    <row r="19" spans="2:83" outlineLevel="1">
      <c r="B19" s="15" t="s">
        <v>11</v>
      </c>
      <c r="C19" s="15" t="s">
        <v>12</v>
      </c>
      <c r="D19" s="15" t="s">
        <v>12</v>
      </c>
      <c r="E19" s="15" t="s">
        <v>12</v>
      </c>
      <c r="F19" s="15" t="s">
        <v>12</v>
      </c>
      <c r="G19" s="15" t="s">
        <v>12</v>
      </c>
      <c r="H19" s="15" t="s">
        <v>12</v>
      </c>
      <c r="I19" s="15" t="s">
        <v>12</v>
      </c>
      <c r="J19" s="15" t="s">
        <v>12</v>
      </c>
      <c r="K19" s="15" t="s">
        <v>12</v>
      </c>
      <c r="L19" s="15" t="s">
        <v>12</v>
      </c>
      <c r="M19" s="15" t="s">
        <v>12</v>
      </c>
      <c r="N19" s="15" t="s">
        <v>12</v>
      </c>
    </row>
    <row r="21" spans="2:83">
      <c r="B21" s="1" t="s">
        <v>24</v>
      </c>
    </row>
    <row r="22" spans="2:83">
      <c r="B22" s="15" t="s">
        <v>185</v>
      </c>
    </row>
    <row r="23" spans="2:83">
      <c r="B23" s="3" t="s">
        <v>101</v>
      </c>
      <c r="BU23" s="8" t="s">
        <v>158</v>
      </c>
    </row>
    <row r="24" spans="2:83">
      <c r="C24" s="8" t="s">
        <v>159</v>
      </c>
      <c r="Q24" s="8" t="s">
        <v>160</v>
      </c>
      <c r="AE24" s="8" t="s">
        <v>161</v>
      </c>
      <c r="AS24" s="8" t="s">
        <v>162</v>
      </c>
      <c r="BG24" s="8" t="s">
        <v>52</v>
      </c>
      <c r="BU24" s="2" t="s">
        <v>91</v>
      </c>
      <c r="BY24" s="2" t="s">
        <v>92</v>
      </c>
      <c r="CC24" s="2" t="s">
        <v>81</v>
      </c>
    </row>
    <row r="25" spans="2:83"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34</v>
      </c>
      <c r="I25" t="s">
        <v>34</v>
      </c>
      <c r="J25" t="s">
        <v>34</v>
      </c>
      <c r="K25" t="s">
        <v>45</v>
      </c>
      <c r="L25" t="s">
        <v>45</v>
      </c>
      <c r="M25" t="s">
        <v>45</v>
      </c>
      <c r="N25" t="s">
        <v>45</v>
      </c>
      <c r="O25" t="s">
        <v>163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45</v>
      </c>
      <c r="Z25" t="s">
        <v>45</v>
      </c>
      <c r="AA25" t="s">
        <v>45</v>
      </c>
      <c r="AB25" t="s">
        <v>45</v>
      </c>
      <c r="AC25" t="s">
        <v>163</v>
      </c>
      <c r="BG25" t="s">
        <v>34</v>
      </c>
      <c r="BH25" t="s">
        <v>34</v>
      </c>
      <c r="BI25" t="s">
        <v>34</v>
      </c>
      <c r="BJ25" t="s">
        <v>34</v>
      </c>
      <c r="BK25" t="s">
        <v>34</v>
      </c>
      <c r="BL25" t="s">
        <v>34</v>
      </c>
      <c r="BM25" t="s">
        <v>34</v>
      </c>
      <c r="BN25" t="s">
        <v>34</v>
      </c>
      <c r="BO25" t="s">
        <v>34</v>
      </c>
      <c r="BP25" t="s">
        <v>52</v>
      </c>
      <c r="BQ25" t="s">
        <v>52</v>
      </c>
      <c r="BR25" t="s">
        <v>52</v>
      </c>
      <c r="BS25" t="s">
        <v>163</v>
      </c>
    </row>
    <row r="26" spans="2:83" ht="30" customHeight="1">
      <c r="B26" s="2" t="s">
        <v>164</v>
      </c>
      <c r="C26" s="16" t="s">
        <v>70</v>
      </c>
      <c r="D26" s="16" t="s">
        <v>71</v>
      </c>
      <c r="E26" s="16" t="s">
        <v>72</v>
      </c>
      <c r="F26" s="16" t="s">
        <v>73</v>
      </c>
      <c r="G26" s="16" t="s">
        <v>50</v>
      </c>
      <c r="H26" s="16" t="s">
        <v>74</v>
      </c>
      <c r="I26" s="16" t="s">
        <v>75</v>
      </c>
      <c r="J26" s="16" t="s">
        <v>76</v>
      </c>
      <c r="K26" s="16" t="s">
        <v>77</v>
      </c>
      <c r="L26" s="16" t="s">
        <v>78</v>
      </c>
      <c r="M26" s="16" t="s">
        <v>79</v>
      </c>
      <c r="N26" s="16" t="s">
        <v>80</v>
      </c>
      <c r="O26" s="16" t="s">
        <v>165</v>
      </c>
      <c r="Q26" s="16" t="s">
        <v>70</v>
      </c>
      <c r="R26" s="16" t="s">
        <v>71</v>
      </c>
      <c r="S26" s="16" t="s">
        <v>72</v>
      </c>
      <c r="T26" s="16" t="s">
        <v>73</v>
      </c>
      <c r="U26" s="16" t="s">
        <v>50</v>
      </c>
      <c r="V26" s="16" t="s">
        <v>74</v>
      </c>
      <c r="W26" s="16" t="s">
        <v>75</v>
      </c>
      <c r="X26" s="16" t="s">
        <v>76</v>
      </c>
      <c r="Y26" s="16" t="s">
        <v>77</v>
      </c>
      <c r="Z26" s="16" t="s">
        <v>78</v>
      </c>
      <c r="AA26" s="16" t="s">
        <v>79</v>
      </c>
      <c r="AB26" s="16" t="s">
        <v>80</v>
      </c>
      <c r="AC26" s="16" t="s">
        <v>165</v>
      </c>
      <c r="AE26" s="16" t="s">
        <v>70</v>
      </c>
      <c r="AF26" s="16" t="s">
        <v>71</v>
      </c>
      <c r="AG26" s="16" t="s">
        <v>72</v>
      </c>
      <c r="AH26" s="16" t="s">
        <v>73</v>
      </c>
      <c r="AI26" s="16" t="s">
        <v>50</v>
      </c>
      <c r="AJ26" s="16" t="s">
        <v>74</v>
      </c>
      <c r="AK26" s="16" t="s">
        <v>75</v>
      </c>
      <c r="AL26" s="16" t="s">
        <v>76</v>
      </c>
      <c r="AM26" s="16" t="s">
        <v>77</v>
      </c>
      <c r="AN26" s="16" t="s">
        <v>78</v>
      </c>
      <c r="AO26" s="16" t="s">
        <v>79</v>
      </c>
      <c r="AP26" s="16" t="s">
        <v>80</v>
      </c>
      <c r="AQ26" s="16" t="s">
        <v>165</v>
      </c>
      <c r="AS26" s="16" t="s">
        <v>70</v>
      </c>
      <c r="AT26" s="16" t="s">
        <v>71</v>
      </c>
      <c r="AU26" s="16" t="s">
        <v>72</v>
      </c>
      <c r="AV26" s="16" t="s">
        <v>73</v>
      </c>
      <c r="AW26" s="16" t="s">
        <v>50</v>
      </c>
      <c r="AX26" s="16" t="s">
        <v>74</v>
      </c>
      <c r="AY26" s="16" t="s">
        <v>75</v>
      </c>
      <c r="AZ26" s="16" t="s">
        <v>76</v>
      </c>
      <c r="BA26" s="16" t="s">
        <v>77</v>
      </c>
      <c r="BB26" s="16" t="s">
        <v>78</v>
      </c>
      <c r="BC26" s="16" t="s">
        <v>79</v>
      </c>
      <c r="BD26" s="16" t="s">
        <v>80</v>
      </c>
      <c r="BE26" s="16" t="s">
        <v>165</v>
      </c>
      <c r="BG26" s="16" t="s">
        <v>70</v>
      </c>
      <c r="BH26" s="16" t="s">
        <v>71</v>
      </c>
      <c r="BI26" s="16" t="s">
        <v>72</v>
      </c>
      <c r="BJ26" s="16" t="s">
        <v>73</v>
      </c>
      <c r="BK26" s="16" t="s">
        <v>50</v>
      </c>
      <c r="BL26" s="16" t="s">
        <v>74</v>
      </c>
      <c r="BM26" s="16" t="s">
        <v>75</v>
      </c>
      <c r="BN26" s="16" t="s">
        <v>76</v>
      </c>
      <c r="BO26" s="16" t="s">
        <v>77</v>
      </c>
      <c r="BP26" s="16" t="s">
        <v>78</v>
      </c>
      <c r="BQ26" s="16" t="s">
        <v>79</v>
      </c>
      <c r="BR26" s="16" t="s">
        <v>80</v>
      </c>
      <c r="BS26" s="16" t="s">
        <v>165</v>
      </c>
      <c r="BU26" s="17" t="s">
        <v>94</v>
      </c>
      <c r="BV26" s="17" t="s">
        <v>95</v>
      </c>
      <c r="BW26" s="17" t="s">
        <v>96</v>
      </c>
      <c r="BY26" s="17" t="s">
        <v>97</v>
      </c>
      <c r="BZ26" s="17" t="s">
        <v>98</v>
      </c>
      <c r="CA26" s="17" t="s">
        <v>99</v>
      </c>
      <c r="CC26" s="17" t="s">
        <v>97</v>
      </c>
      <c r="CD26" s="17" t="s">
        <v>98</v>
      </c>
      <c r="CE26" s="17" t="s">
        <v>99</v>
      </c>
    </row>
    <row r="28" spans="2:83">
      <c r="B28" s="2" t="s">
        <v>100</v>
      </c>
      <c r="C28" s="6">
        <v>12227</v>
      </c>
      <c r="D28" s="6">
        <v>12137.5</v>
      </c>
      <c r="E28" s="6">
        <v>13112</v>
      </c>
      <c r="F28" s="6">
        <v>14014.5</v>
      </c>
      <c r="G28" s="6">
        <v>12734.2</v>
      </c>
      <c r="H28" s="6">
        <v>13244.3</v>
      </c>
      <c r="I28" s="6">
        <v>13156.8</v>
      </c>
      <c r="J28" s="6">
        <v>12962.1</v>
      </c>
      <c r="K28" s="6">
        <v>12857.9</v>
      </c>
      <c r="L28" s="6">
        <v>13505.7</v>
      </c>
      <c r="M28" s="6">
        <v>12317.9</v>
      </c>
      <c r="N28" s="6">
        <v>13541.4</v>
      </c>
      <c r="O28" s="18">
        <f>SUM(C28:N28)</f>
        <v>155811.29999999999</v>
      </c>
      <c r="Q28" s="6">
        <v>12227</v>
      </c>
      <c r="R28" s="6">
        <v>12137.5</v>
      </c>
      <c r="S28" s="6">
        <v>13112</v>
      </c>
      <c r="T28" s="6">
        <v>14014.5</v>
      </c>
      <c r="U28" s="6">
        <v>12734.2</v>
      </c>
      <c r="V28" s="6">
        <v>13244.3</v>
      </c>
      <c r="W28" s="6">
        <v>13156.8</v>
      </c>
      <c r="X28" s="6">
        <v>12962.1</v>
      </c>
      <c r="Y28" s="6">
        <v>12857.9</v>
      </c>
      <c r="Z28" s="6">
        <v>13505.7</v>
      </c>
      <c r="AA28" s="6">
        <v>12317.9</v>
      </c>
      <c r="AB28" s="6">
        <v>13541.4</v>
      </c>
      <c r="AC28" s="18">
        <f>SUM(Q28:AB28)</f>
        <v>155811.29999999999</v>
      </c>
      <c r="AE28" s="6">
        <f>Q28-C28</f>
        <v>0</v>
      </c>
      <c r="AF28" s="6">
        <f>R28-D28</f>
        <v>0</v>
      </c>
      <c r="AG28" s="6">
        <f>S28-E28</f>
        <v>0</v>
      </c>
      <c r="AH28" s="6">
        <f>T28-F28</f>
        <v>0</v>
      </c>
      <c r="AI28" s="6">
        <f>U28-G28</f>
        <v>0</v>
      </c>
      <c r="AJ28" s="6">
        <f>V28-H28</f>
        <v>0</v>
      </c>
      <c r="AK28" s="6">
        <f>W28-I28</f>
        <v>0</v>
      </c>
      <c r="AL28" s="6">
        <f>X28-J28</f>
        <v>0</v>
      </c>
      <c r="AM28" s="6">
        <f>Y28-K28</f>
        <v>0</v>
      </c>
      <c r="AN28" s="6">
        <f>Z28-L28</f>
        <v>0</v>
      </c>
      <c r="AO28" s="6">
        <f>AA28-M28</f>
        <v>0</v>
      </c>
      <c r="AP28" s="6">
        <f>AB28-N28</f>
        <v>0</v>
      </c>
      <c r="AQ28" s="18">
        <f>SUM(AE28:AP28)</f>
        <v>0</v>
      </c>
      <c r="AS28" s="6">
        <f>'Alder-Adj'!C14</f>
        <v>0</v>
      </c>
      <c r="AT28" s="6">
        <f>'Alder-Adj'!D14</f>
        <v>0</v>
      </c>
      <c r="AU28" s="6">
        <f>'Alder-Adj'!E14</f>
        <v>0</v>
      </c>
      <c r="AV28" s="6">
        <f>'Alder-Adj'!F14</f>
        <v>0</v>
      </c>
      <c r="AW28" s="6">
        <f>'Alder-Adj'!G14</f>
        <v>0</v>
      </c>
      <c r="AX28" s="6">
        <f>'Alder-Adj'!H14</f>
        <v>0</v>
      </c>
      <c r="AY28" s="6">
        <f>'Alder-Adj'!I14</f>
        <v>0</v>
      </c>
      <c r="AZ28" s="6">
        <f>'Alder-Adj'!J14</f>
        <v>0</v>
      </c>
      <c r="BA28" s="6">
        <f>'Alder-Adj'!K14</f>
        <v>0</v>
      </c>
      <c r="BB28" s="6">
        <f>'Alder-Adj'!L14</f>
        <v>-200</v>
      </c>
      <c r="BC28" s="6">
        <f>'Alder-Adj'!M14</f>
        <v>-200</v>
      </c>
      <c r="BD28" s="6">
        <f>'Alder-Adj'!N14</f>
        <v>-200</v>
      </c>
      <c r="BE28" s="18">
        <f>SUM(AS28:BD28)</f>
        <v>-600</v>
      </c>
      <c r="BG28" s="6">
        <f>C28+AE28+AS28</f>
        <v>12227</v>
      </c>
      <c r="BH28" s="6">
        <f>D28+AF28+AT28</f>
        <v>12137.5</v>
      </c>
      <c r="BI28" s="6">
        <f>E28+AG28+AU28</f>
        <v>13112</v>
      </c>
      <c r="BJ28" s="6">
        <f>F28+AH28+AV28</f>
        <v>14014.5</v>
      </c>
      <c r="BK28" s="6">
        <f>G28+AI28+AW28</f>
        <v>12734.2</v>
      </c>
      <c r="BL28" s="6">
        <f>H28+AJ28+AX28</f>
        <v>13244.3</v>
      </c>
      <c r="BM28" s="6">
        <f>I28+AK28+AY28</f>
        <v>13156.8</v>
      </c>
      <c r="BN28" s="6">
        <f>J28+AL28+AZ28</f>
        <v>12962.1</v>
      </c>
      <c r="BO28" s="6">
        <f>K28+AM28+BA28</f>
        <v>12857.9</v>
      </c>
      <c r="BP28" s="6">
        <f>L28+AN28+BB28</f>
        <v>13305.7</v>
      </c>
      <c r="BQ28" s="6">
        <f>M28+AO28+BC28</f>
        <v>12117.9</v>
      </c>
      <c r="BR28" s="6">
        <f>N28+AP28+BD28</f>
        <v>13341.4</v>
      </c>
      <c r="BS28" s="18">
        <f>SUM(BG28:BR28)</f>
        <v>155211.29999999999</v>
      </c>
      <c r="BU28" s="6">
        <f>SUM(BG28:BO28)-SUM(C28:K28)</f>
        <v>0</v>
      </c>
      <c r="BV28" s="6">
        <f>SUM(BG28:BO28)-SUM(C51:K51)</f>
        <v>4321.5000000000146</v>
      </c>
      <c r="BW28" s="6">
        <f>SUM(BG28:BO28)-SUM(C64:K64)</f>
        <v>9085.9000000000087</v>
      </c>
      <c r="BY28" s="6">
        <f>SUM(BP28:BR28)-SUM(L28:N28)</f>
        <v>-600</v>
      </c>
      <c r="BZ28" s="6">
        <f>SUM(BP28:BR28)-SUM(L51:N51)</f>
        <v>890</v>
      </c>
      <c r="CA28" s="6">
        <f>SUM(BP28:BR28)-SUM(L64:N64)</f>
        <v>2526.3999999999942</v>
      </c>
      <c r="CC28" s="6">
        <f>BS28-O28</f>
        <v>-600</v>
      </c>
      <c r="CD28" s="6">
        <f>BS28-O51</f>
        <v>5211.5</v>
      </c>
      <c r="CE28" s="6">
        <f>BS28-O64</f>
        <v>11612.299999999988</v>
      </c>
    </row>
    <row r="29" spans="2:83">
      <c r="B29" s="5" t="s">
        <v>111</v>
      </c>
      <c r="C29" s="6">
        <v>3235.5</v>
      </c>
      <c r="D29" s="6">
        <v>3179.7</v>
      </c>
      <c r="E29" s="6">
        <v>3428</v>
      </c>
      <c r="F29" s="6">
        <v>3680.5</v>
      </c>
      <c r="G29" s="6">
        <v>3335.8</v>
      </c>
      <c r="H29" s="6">
        <v>3180.6</v>
      </c>
      <c r="I29" s="6">
        <v>3165.7</v>
      </c>
      <c r="J29" s="6">
        <v>3095</v>
      </c>
      <c r="K29" s="6">
        <v>3096.5</v>
      </c>
      <c r="L29" s="6">
        <v>3179.7</v>
      </c>
      <c r="M29" s="6">
        <v>2934</v>
      </c>
      <c r="N29" s="6">
        <v>3242.2</v>
      </c>
      <c r="O29" s="18">
        <f>SUM(C29:N29)</f>
        <v>38753.199999999997</v>
      </c>
      <c r="Q29" s="6">
        <v>3235.5</v>
      </c>
      <c r="R29" s="6">
        <v>3179.7</v>
      </c>
      <c r="S29" s="6">
        <v>3428</v>
      </c>
      <c r="T29" s="6">
        <v>3680.5</v>
      </c>
      <c r="U29" s="6">
        <v>3335.8</v>
      </c>
      <c r="V29" s="6">
        <v>3180.6</v>
      </c>
      <c r="W29" s="6">
        <v>3165.7</v>
      </c>
      <c r="X29" s="6">
        <v>3095</v>
      </c>
      <c r="Y29" s="6">
        <v>3096.5</v>
      </c>
      <c r="Z29" s="6">
        <v>3179.7</v>
      </c>
      <c r="AA29" s="6">
        <v>2934</v>
      </c>
      <c r="AB29" s="6">
        <v>3242.2</v>
      </c>
      <c r="AC29" s="18">
        <f>SUM(Q29:AB29)</f>
        <v>38753.199999999997</v>
      </c>
      <c r="AE29" s="6">
        <f>Q29-C29</f>
        <v>0</v>
      </c>
      <c r="AF29" s="6">
        <f>R29-D29</f>
        <v>0</v>
      </c>
      <c r="AG29" s="6">
        <f>S29-E29</f>
        <v>0</v>
      </c>
      <c r="AH29" s="6">
        <f>T29-F29</f>
        <v>0</v>
      </c>
      <c r="AI29" s="6">
        <f>U29-G29</f>
        <v>0</v>
      </c>
      <c r="AJ29" s="6">
        <f>V29-H29</f>
        <v>0</v>
      </c>
      <c r="AK29" s="6">
        <f>W29-I29</f>
        <v>0</v>
      </c>
      <c r="AL29" s="6">
        <f>X29-J29</f>
        <v>0</v>
      </c>
      <c r="AM29" s="6">
        <f>Y29-K29</f>
        <v>0</v>
      </c>
      <c r="AN29" s="6">
        <f>Z29-L29</f>
        <v>0</v>
      </c>
      <c r="AO29" s="6">
        <f>AA29-M29</f>
        <v>0</v>
      </c>
      <c r="AP29" s="6">
        <f>AB29-N29</f>
        <v>0</v>
      </c>
      <c r="AQ29" s="18">
        <f>SUM(AE29:AP29)</f>
        <v>0</v>
      </c>
      <c r="AS29" s="6">
        <f>'Alder-Adj'!C36+'Alder-Adj'!C77</f>
        <v>0</v>
      </c>
      <c r="AT29" s="6">
        <f>'Alder-Adj'!D36+'Alder-Adj'!D77</f>
        <v>0</v>
      </c>
      <c r="AU29" s="6">
        <f>'Alder-Adj'!E36+'Alder-Adj'!E77</f>
        <v>0</v>
      </c>
      <c r="AV29" s="6">
        <f>'Alder-Adj'!F36+'Alder-Adj'!F77</f>
        <v>0</v>
      </c>
      <c r="AW29" s="6">
        <f>'Alder-Adj'!G36+'Alder-Adj'!G77</f>
        <v>0</v>
      </c>
      <c r="AX29" s="6">
        <f>'Alder-Adj'!H36+'Alder-Adj'!H77</f>
        <v>0</v>
      </c>
      <c r="AY29" s="6">
        <f>'Alder-Adj'!I36+'Alder-Adj'!I77</f>
        <v>0</v>
      </c>
      <c r="AZ29" s="6">
        <f>'Alder-Adj'!J36+'Alder-Adj'!J77</f>
        <v>0</v>
      </c>
      <c r="BA29" s="6">
        <f>'Alder-Adj'!K36+'Alder-Adj'!K77</f>
        <v>-160</v>
      </c>
      <c r="BB29" s="6">
        <f>'Alder-Adj'!L36+'Alder-Adj'!L77</f>
        <v>-140</v>
      </c>
      <c r="BC29" s="6">
        <f>'Alder-Adj'!M36+'Alder-Adj'!M77</f>
        <v>-140</v>
      </c>
      <c r="BD29" s="6">
        <f>'Alder-Adj'!N36+'Alder-Adj'!N77</f>
        <v>-140</v>
      </c>
      <c r="BE29" s="18">
        <f>SUM(AS29:BD29)</f>
        <v>-580</v>
      </c>
      <c r="BG29" s="6">
        <f>C29+AE29+AS29</f>
        <v>3235.5</v>
      </c>
      <c r="BH29" s="6">
        <f>D29+AF29+AT29</f>
        <v>3179.7</v>
      </c>
      <c r="BI29" s="6">
        <f>E29+AG29+AU29</f>
        <v>3428</v>
      </c>
      <c r="BJ29" s="6">
        <f>F29+AH29+AV29</f>
        <v>3680.5</v>
      </c>
      <c r="BK29" s="6">
        <f>G29+AI29+AW29</f>
        <v>3335.8</v>
      </c>
      <c r="BL29" s="6">
        <f>H29+AJ29+AX29</f>
        <v>3180.6</v>
      </c>
      <c r="BM29" s="6">
        <f>I29+AK29+AY29</f>
        <v>3165.7</v>
      </c>
      <c r="BN29" s="6">
        <f>J29+AL29+AZ29</f>
        <v>3095</v>
      </c>
      <c r="BO29" s="6">
        <f>K29+AM29+BA29</f>
        <v>2936.5</v>
      </c>
      <c r="BP29" s="6">
        <f>L29+AN29+BB29</f>
        <v>3039.7</v>
      </c>
      <c r="BQ29" s="6">
        <f>M29+AO29+BC29</f>
        <v>2794</v>
      </c>
      <c r="BR29" s="6">
        <f>N29+AP29+BD29</f>
        <v>3102.2</v>
      </c>
      <c r="BS29" s="18">
        <f>SUM(BG29:BR29)</f>
        <v>38173.199999999997</v>
      </c>
      <c r="BU29" s="6">
        <f>SUM(BG29:BO29)-SUM(C29:K29)</f>
        <v>-160</v>
      </c>
      <c r="BV29" s="6">
        <f>SUM(BG29:BO29)-SUM(C52:K52)</f>
        <v>-475.70000000000073</v>
      </c>
      <c r="BW29" s="6">
        <f>SUM(BG29:BO29)-SUM(C65:K65)</f>
        <v>123.49999999999636</v>
      </c>
      <c r="BY29" s="6">
        <f>SUM(BP29:BR29)-SUM(L29:N29)</f>
        <v>-420</v>
      </c>
      <c r="BZ29" s="6">
        <f>SUM(BP29:BR29)-SUM(L52:N52)</f>
        <v>-1101</v>
      </c>
      <c r="CA29" s="6">
        <f>SUM(BP29:BR29)-SUM(L65:N65)</f>
        <v>-909.60000000000036</v>
      </c>
      <c r="CC29" s="6">
        <f>BS29-O29</f>
        <v>-580</v>
      </c>
      <c r="CD29" s="6">
        <f>BS29-O52</f>
        <v>-1576.7000000000044</v>
      </c>
      <c r="CE29" s="6">
        <f>BS29-O65</f>
        <v>-786.09999999999854</v>
      </c>
    </row>
    <row r="30" spans="2:83">
      <c r="B30" s="5" t="s">
        <v>112</v>
      </c>
      <c r="C30" s="6">
        <v>-2450.6</v>
      </c>
      <c r="D30" s="6">
        <v>-2417</v>
      </c>
      <c r="E30" s="6">
        <v>-2563.3000000000002</v>
      </c>
      <c r="F30" s="6">
        <v>-2788.7</v>
      </c>
      <c r="G30" s="6">
        <v>-2556.1</v>
      </c>
      <c r="H30" s="6">
        <v>-2643.2</v>
      </c>
      <c r="I30" s="6">
        <v>-2641</v>
      </c>
      <c r="J30" s="6">
        <v>-2587.9</v>
      </c>
      <c r="K30" s="6">
        <v>-2529.1999999999998</v>
      </c>
      <c r="L30" s="6">
        <v>-2703</v>
      </c>
      <c r="M30" s="6">
        <v>-2448.8000000000002</v>
      </c>
      <c r="N30" s="6">
        <v>-2674.7</v>
      </c>
      <c r="O30" s="18">
        <f>SUM(C30:N30)</f>
        <v>-31003.500000000004</v>
      </c>
      <c r="Q30" s="6">
        <v>-2450.6</v>
      </c>
      <c r="R30" s="6">
        <v>-2417</v>
      </c>
      <c r="S30" s="6">
        <v>-2563.3000000000002</v>
      </c>
      <c r="T30" s="6">
        <v>-2788.7</v>
      </c>
      <c r="U30" s="6">
        <v>-2556.1</v>
      </c>
      <c r="V30" s="6">
        <v>-2643.2</v>
      </c>
      <c r="W30" s="6">
        <v>-2641</v>
      </c>
      <c r="X30" s="6">
        <v>-2587.9</v>
      </c>
      <c r="Y30" s="6">
        <v>-2529.1999999999998</v>
      </c>
      <c r="Z30" s="6">
        <v>-2703</v>
      </c>
      <c r="AA30" s="6">
        <v>-2448.8000000000002</v>
      </c>
      <c r="AB30" s="6">
        <v>-2674.7</v>
      </c>
      <c r="AC30" s="18">
        <f>SUM(Q30:AB30)</f>
        <v>-31003.500000000004</v>
      </c>
      <c r="AE30" s="6">
        <f>Q30-C30</f>
        <v>0</v>
      </c>
      <c r="AF30" s="6">
        <f>R30-D30</f>
        <v>0</v>
      </c>
      <c r="AG30" s="6">
        <f>S30-E30</f>
        <v>0</v>
      </c>
      <c r="AH30" s="6">
        <f>T30-F30</f>
        <v>0</v>
      </c>
      <c r="AI30" s="6">
        <f>U30-G30</f>
        <v>0</v>
      </c>
      <c r="AJ30" s="6">
        <f>V30-H30</f>
        <v>0</v>
      </c>
      <c r="AK30" s="6">
        <f>W30-I30</f>
        <v>0</v>
      </c>
      <c r="AL30" s="6">
        <f>X30-J30</f>
        <v>0</v>
      </c>
      <c r="AM30" s="6">
        <f>Y30-K30</f>
        <v>0</v>
      </c>
      <c r="AN30" s="6">
        <f>Z30-L30</f>
        <v>0</v>
      </c>
      <c r="AO30" s="6">
        <f>AA30-M30</f>
        <v>0</v>
      </c>
      <c r="AP30" s="6">
        <f>AB30-N30</f>
        <v>0</v>
      </c>
      <c r="AQ30" s="18">
        <f>SUM(AE30:AP30)</f>
        <v>0</v>
      </c>
      <c r="AS30" s="6">
        <f>-'Alder-Adj'!C58-'Alder-Adj'!C84</f>
        <v>0</v>
      </c>
      <c r="AT30" s="6">
        <f>-'Alder-Adj'!D58-'Alder-Adj'!D84</f>
        <v>0</v>
      </c>
      <c r="AU30" s="6">
        <f>-'Alder-Adj'!E58-'Alder-Adj'!E84</f>
        <v>0</v>
      </c>
      <c r="AV30" s="6">
        <f>-'Alder-Adj'!F58-'Alder-Adj'!F84</f>
        <v>0</v>
      </c>
      <c r="AW30" s="6">
        <f>-'Alder-Adj'!G58-'Alder-Adj'!G84</f>
        <v>0</v>
      </c>
      <c r="AX30" s="6">
        <f>-'Alder-Adj'!H58-'Alder-Adj'!H84</f>
        <v>0</v>
      </c>
      <c r="AY30" s="6">
        <f>-'Alder-Adj'!I58-'Alder-Adj'!I84</f>
        <v>0</v>
      </c>
      <c r="AZ30" s="6">
        <f>-'Alder-Adj'!J58-'Alder-Adj'!J84</f>
        <v>0</v>
      </c>
      <c r="BA30" s="6">
        <f>-'Alder-Adj'!K58-'Alder-Adj'!K84</f>
        <v>240</v>
      </c>
      <c r="BB30" s="6">
        <f>-'Alder-Adj'!L58-'Alder-Adj'!L84</f>
        <v>20</v>
      </c>
      <c r="BC30" s="6">
        <f>-'Alder-Adj'!M58-'Alder-Adj'!M84</f>
        <v>20</v>
      </c>
      <c r="BD30" s="6">
        <f>-'Alder-Adj'!N58-'Alder-Adj'!N84</f>
        <v>20</v>
      </c>
      <c r="BE30" s="18">
        <f>SUM(AS30:BD30)</f>
        <v>300</v>
      </c>
      <c r="BG30" s="6">
        <f>C30+AE30+AS30</f>
        <v>-2450.6</v>
      </c>
      <c r="BH30" s="6">
        <f>D30+AF30+AT30</f>
        <v>-2417</v>
      </c>
      <c r="BI30" s="6">
        <f>E30+AG30+AU30</f>
        <v>-2563.3000000000002</v>
      </c>
      <c r="BJ30" s="6">
        <f>F30+AH30+AV30</f>
        <v>-2788.7</v>
      </c>
      <c r="BK30" s="6">
        <f>G30+AI30+AW30</f>
        <v>-2556.1</v>
      </c>
      <c r="BL30" s="6">
        <f>H30+AJ30+AX30</f>
        <v>-2643.2</v>
      </c>
      <c r="BM30" s="6">
        <f>I30+AK30+AY30</f>
        <v>-2641</v>
      </c>
      <c r="BN30" s="6">
        <f>J30+AL30+AZ30</f>
        <v>-2587.9</v>
      </c>
      <c r="BO30" s="6">
        <f>K30+AM30+BA30</f>
        <v>-2289.1999999999998</v>
      </c>
      <c r="BP30" s="6">
        <f>L30+AN30+BB30</f>
        <v>-2683</v>
      </c>
      <c r="BQ30" s="6">
        <f>M30+AO30+BC30</f>
        <v>-2428.8000000000002</v>
      </c>
      <c r="BR30" s="6">
        <f>N30+AP30+BD30</f>
        <v>-2654.7</v>
      </c>
      <c r="BS30" s="18">
        <f>SUM(BG30:BR30)</f>
        <v>-30703.500000000004</v>
      </c>
      <c r="BU30" s="6">
        <f>SUM(BG30:BO30)-SUM(C30:K30)</f>
        <v>240</v>
      </c>
      <c r="BV30" s="6">
        <f>SUM(BG30:BO30)-SUM(C53:K53)</f>
        <v>-174.70000000000073</v>
      </c>
      <c r="BW30" s="6">
        <f>SUM(BG30:BO30)-SUM(C66:K66)</f>
        <v>-899.60000000000218</v>
      </c>
      <c r="BY30" s="6">
        <f>SUM(BP30:BR30)-SUM(L30:N30)</f>
        <v>60</v>
      </c>
      <c r="BZ30" s="6">
        <f>SUM(BP30:BR30)-SUM(L53:N53)</f>
        <v>-77.200000000000728</v>
      </c>
      <c r="CA30" s="6">
        <f>SUM(BP30:BR30)-SUM(L66:N66)</f>
        <v>-330.80000000000018</v>
      </c>
      <c r="CC30" s="6">
        <f>BS30-O30</f>
        <v>300</v>
      </c>
      <c r="CD30" s="6">
        <f>BS30-O53</f>
        <v>-251.90000000000146</v>
      </c>
      <c r="CE30" s="6">
        <f>BS30-O66</f>
        <v>-1230.4000000000051</v>
      </c>
    </row>
    <row r="31" spans="2:83">
      <c r="B31" s="2" t="s">
        <v>113</v>
      </c>
      <c r="C31" s="6">
        <f>C29+C30</f>
        <v>784.90000000000009</v>
      </c>
      <c r="D31" s="6">
        <f>D29+D30</f>
        <v>762.69999999999982</v>
      </c>
      <c r="E31" s="6">
        <f>E29+E30</f>
        <v>864.69999999999982</v>
      </c>
      <c r="F31" s="6">
        <f>F29+F30</f>
        <v>891.80000000000018</v>
      </c>
      <c r="G31" s="6">
        <f>G29+G30</f>
        <v>779.70000000000027</v>
      </c>
      <c r="H31" s="6">
        <f>H29+H30</f>
        <v>537.40000000000009</v>
      </c>
      <c r="I31" s="6">
        <f>I29+I30</f>
        <v>524.69999999999982</v>
      </c>
      <c r="J31" s="6">
        <f>J29+J30</f>
        <v>507.09999999999991</v>
      </c>
      <c r="K31" s="6">
        <f>K29+K30</f>
        <v>567.30000000000018</v>
      </c>
      <c r="L31" s="6">
        <f>L29+L30</f>
        <v>476.69999999999982</v>
      </c>
      <c r="M31" s="6">
        <f>M29+M30</f>
        <v>485.19999999999982</v>
      </c>
      <c r="N31" s="6">
        <f>N29+N30</f>
        <v>567.5</v>
      </c>
      <c r="O31" s="18">
        <f>SUM(C31:N31)</f>
        <v>7749.7</v>
      </c>
      <c r="Q31" s="6">
        <f>Q29+Q30</f>
        <v>784.90000000000009</v>
      </c>
      <c r="R31" s="6">
        <f>R29+R30</f>
        <v>762.69999999999982</v>
      </c>
      <c r="S31" s="6">
        <f>S29+S30</f>
        <v>864.69999999999982</v>
      </c>
      <c r="T31" s="6">
        <f>T29+T30</f>
        <v>891.80000000000018</v>
      </c>
      <c r="U31" s="6">
        <f>U29+U30</f>
        <v>779.70000000000027</v>
      </c>
      <c r="V31" s="6">
        <f>V29+V30</f>
        <v>537.40000000000009</v>
      </c>
      <c r="W31" s="6">
        <f>W29+W30</f>
        <v>524.69999999999982</v>
      </c>
      <c r="X31" s="6">
        <f>X29+X30</f>
        <v>507.09999999999991</v>
      </c>
      <c r="Y31" s="6">
        <f>Y29+Y30</f>
        <v>567.30000000000018</v>
      </c>
      <c r="Z31" s="6">
        <f>Z29+Z30</f>
        <v>476.69999999999982</v>
      </c>
      <c r="AA31" s="6">
        <f>AA29+AA30</f>
        <v>485.19999999999982</v>
      </c>
      <c r="AB31" s="6">
        <f>AB29+AB30</f>
        <v>567.5</v>
      </c>
      <c r="AC31" s="18">
        <f>SUM(Q31:AB31)</f>
        <v>7749.7</v>
      </c>
      <c r="AE31" s="6">
        <f>AE29+AE30</f>
        <v>0</v>
      </c>
      <c r="AF31" s="6">
        <f>AF29+AF30</f>
        <v>0</v>
      </c>
      <c r="AG31" s="6">
        <f>AG29+AG30</f>
        <v>0</v>
      </c>
      <c r="AH31" s="6">
        <f>AH29+AH30</f>
        <v>0</v>
      </c>
      <c r="AI31" s="6">
        <f>AI29+AI30</f>
        <v>0</v>
      </c>
      <c r="AJ31" s="6">
        <f>AJ29+AJ30</f>
        <v>0</v>
      </c>
      <c r="AK31" s="6">
        <f>AK29+AK30</f>
        <v>0</v>
      </c>
      <c r="AL31" s="6">
        <f>AL29+AL30</f>
        <v>0</v>
      </c>
      <c r="AM31" s="6">
        <f>AM29+AM30</f>
        <v>0</v>
      </c>
      <c r="AN31" s="6">
        <f>AN29+AN30</f>
        <v>0</v>
      </c>
      <c r="AO31" s="6">
        <f>AO29+AO30</f>
        <v>0</v>
      </c>
      <c r="AP31" s="6">
        <f>AP29+AP30</f>
        <v>0</v>
      </c>
      <c r="AQ31" s="18">
        <f>SUM(AE31:AP31)</f>
        <v>0</v>
      </c>
      <c r="AS31" s="6">
        <f>AS29+AS30</f>
        <v>0</v>
      </c>
      <c r="AT31" s="6">
        <f>AT29+AT30</f>
        <v>0</v>
      </c>
      <c r="AU31" s="6">
        <f>AU29+AU30</f>
        <v>0</v>
      </c>
      <c r="AV31" s="6">
        <f>AV29+AV30</f>
        <v>0</v>
      </c>
      <c r="AW31" s="6">
        <f>AW29+AW30</f>
        <v>0</v>
      </c>
      <c r="AX31" s="6">
        <f>AX29+AX30</f>
        <v>0</v>
      </c>
      <c r="AY31" s="6">
        <f>AY29+AY30</f>
        <v>0</v>
      </c>
      <c r="AZ31" s="6">
        <f>AZ29+AZ30</f>
        <v>0</v>
      </c>
      <c r="BA31" s="6">
        <f>BA29+BA30</f>
        <v>80</v>
      </c>
      <c r="BB31" s="6">
        <f>BB29+BB30</f>
        <v>-120</v>
      </c>
      <c r="BC31" s="6">
        <f>BC29+BC30</f>
        <v>-120</v>
      </c>
      <c r="BD31" s="6">
        <f>BD29+BD30</f>
        <v>-120</v>
      </c>
      <c r="BE31" s="18">
        <f>SUM(AS31:BD31)</f>
        <v>-280</v>
      </c>
      <c r="BG31" s="6">
        <f>BG29+BG30</f>
        <v>784.90000000000009</v>
      </c>
      <c r="BH31" s="6">
        <f>BH29+BH30</f>
        <v>762.69999999999982</v>
      </c>
      <c r="BI31" s="6">
        <f>BI29+BI30</f>
        <v>864.69999999999982</v>
      </c>
      <c r="BJ31" s="6">
        <f>BJ29+BJ30</f>
        <v>891.80000000000018</v>
      </c>
      <c r="BK31" s="6">
        <f>BK29+BK30</f>
        <v>779.70000000000027</v>
      </c>
      <c r="BL31" s="6">
        <f>BL29+BL30</f>
        <v>537.40000000000009</v>
      </c>
      <c r="BM31" s="6">
        <f>BM29+BM30</f>
        <v>524.69999999999982</v>
      </c>
      <c r="BN31" s="6">
        <f>BN29+BN30</f>
        <v>507.09999999999991</v>
      </c>
      <c r="BO31" s="6">
        <f>BO29+BO30</f>
        <v>647.30000000000018</v>
      </c>
      <c r="BP31" s="6">
        <f>BP29+BP30</f>
        <v>356.69999999999982</v>
      </c>
      <c r="BQ31" s="6">
        <f>BQ29+BQ30</f>
        <v>365.19999999999982</v>
      </c>
      <c r="BR31" s="6">
        <f>BR29+BR30</f>
        <v>447.5</v>
      </c>
      <c r="BS31" s="18">
        <f>SUM(BG31:BR31)</f>
        <v>7469.7</v>
      </c>
      <c r="BU31" s="6">
        <f>SUM(BG31:BO31)-SUM(C31:K31)</f>
        <v>80</v>
      </c>
      <c r="BV31" s="6">
        <f>SUM(BG31:BO31)-SUM(C54:K54)</f>
        <v>-650.40000000000055</v>
      </c>
      <c r="BW31" s="6">
        <f>SUM(BG31:BO31)-SUM(C67:K67)</f>
        <v>-776.09999999999945</v>
      </c>
      <c r="BY31" s="6">
        <f>SUM(BP31:BR31)-SUM(L31:N31)</f>
        <v>-360</v>
      </c>
      <c r="BZ31" s="6">
        <f>SUM(BP31:BR31)-SUM(L54:N54)</f>
        <v>-1178.2000000000007</v>
      </c>
      <c r="CA31" s="6">
        <f>SUM(BP31:BR31)-SUM(L67:N67)</f>
        <v>-1240.3999999999996</v>
      </c>
      <c r="CC31" s="6">
        <f>BS31-O31</f>
        <v>-280</v>
      </c>
      <c r="CD31" s="6">
        <f>BS31-O54</f>
        <v>-1828.6000000000031</v>
      </c>
      <c r="CE31" s="6">
        <f>BS31-O67</f>
        <v>-2016.4999999999991</v>
      </c>
    </row>
    <row r="35" spans="2:71">
      <c r="B35" s="5" t="s">
        <v>166</v>
      </c>
      <c r="C35" s="12">
        <f>IFERROR(C29/C28,0)</f>
        <v>0.26461928518851724</v>
      </c>
      <c r="D35" s="12">
        <f>IFERROR(D29/D28,0)</f>
        <v>0.26197322348094748</v>
      </c>
      <c r="E35" s="12">
        <f>IFERROR(E29/E28,0)</f>
        <v>0.26143990237949971</v>
      </c>
      <c r="F35" s="12">
        <f>IFERROR(F29/F28,0)</f>
        <v>0.26262085696956722</v>
      </c>
      <c r="G35" s="12">
        <f>IFERROR(G29/G28,0)</f>
        <v>0.26195599252406904</v>
      </c>
      <c r="H35" s="12">
        <f>IFERROR(H29/H28,0)</f>
        <v>0.24014859222457963</v>
      </c>
      <c r="I35" s="12">
        <f>IFERROR(I29/I28,0)</f>
        <v>0.24061321901982244</v>
      </c>
      <c r="J35" s="12">
        <f>IFERROR(J29/J28,0)</f>
        <v>0.2387730383194081</v>
      </c>
      <c r="K35" s="12">
        <f>IFERROR(K29/K28,0)</f>
        <v>0.24082470698947731</v>
      </c>
      <c r="L35" s="12">
        <f>IFERROR(L29/L28,0)</f>
        <v>0.2354339278971101</v>
      </c>
      <c r="M35" s="12">
        <f>IFERROR(M29/M28,0)</f>
        <v>0.23818995120921585</v>
      </c>
      <c r="N35" s="12">
        <f>IFERROR(N29/N28,0)</f>
        <v>0.23942871490392426</v>
      </c>
      <c r="O35" s="12">
        <f>IFERROR(O29/O28,0)</f>
        <v>0.24871880280826872</v>
      </c>
      <c r="Q35" s="12">
        <f>IFERROR(Q29/Q28,0)</f>
        <v>0.26461928518851724</v>
      </c>
      <c r="R35" s="12">
        <f>IFERROR(R29/R28,0)</f>
        <v>0.26197322348094748</v>
      </c>
      <c r="S35" s="12">
        <f>IFERROR(S29/S28,0)</f>
        <v>0.26143990237949971</v>
      </c>
      <c r="T35" s="12">
        <f>IFERROR(T29/T28,0)</f>
        <v>0.26262085696956722</v>
      </c>
      <c r="U35" s="12">
        <f>IFERROR(U29/U28,0)</f>
        <v>0.26195599252406904</v>
      </c>
      <c r="V35" s="12">
        <f>IFERROR(V29/V28,0)</f>
        <v>0.24014859222457963</v>
      </c>
      <c r="W35" s="12">
        <f>IFERROR(W29/W28,0)</f>
        <v>0.24061321901982244</v>
      </c>
      <c r="X35" s="12">
        <f>IFERROR(X29/X28,0)</f>
        <v>0.2387730383194081</v>
      </c>
      <c r="Y35" s="12">
        <f>IFERROR(Y29/Y28,0)</f>
        <v>0.24082470698947731</v>
      </c>
      <c r="Z35" s="12">
        <f>IFERROR(Z29/Z28,0)</f>
        <v>0.2354339278971101</v>
      </c>
      <c r="AA35" s="12">
        <f>IFERROR(AA29/AA28,0)</f>
        <v>0.23818995120921585</v>
      </c>
      <c r="AB35" s="12">
        <f>IFERROR(AB29/AB28,0)</f>
        <v>0.23942871490392426</v>
      </c>
      <c r="AC35" s="12">
        <f>IFERROR(AC29/AC28,0)</f>
        <v>0.24871880280826872</v>
      </c>
      <c r="AE35" s="12">
        <f>IFERROR(AE29/AE28,0)</f>
        <v>0</v>
      </c>
      <c r="AF35" s="12">
        <f>IFERROR(AF29/AF28,0)</f>
        <v>0</v>
      </c>
      <c r="AG35" s="12">
        <f>IFERROR(AG29/AG28,0)</f>
        <v>0</v>
      </c>
      <c r="AH35" s="12">
        <f>IFERROR(AH29/AH28,0)</f>
        <v>0</v>
      </c>
      <c r="AI35" s="12">
        <f>IFERROR(AI29/AI28,0)</f>
        <v>0</v>
      </c>
      <c r="AJ35" s="12">
        <f>IFERROR(AJ29/AJ28,0)</f>
        <v>0</v>
      </c>
      <c r="AK35" s="12">
        <f>IFERROR(AK29/AK28,0)</f>
        <v>0</v>
      </c>
      <c r="AL35" s="12">
        <f>IFERROR(AL29/AL28,0)</f>
        <v>0</v>
      </c>
      <c r="AM35" s="12">
        <f>IFERROR(AM29/AM28,0)</f>
        <v>0</v>
      </c>
      <c r="AN35" s="12">
        <f>IFERROR(AN29/AN28,0)</f>
        <v>0</v>
      </c>
      <c r="AO35" s="12">
        <f>IFERROR(AO29/AO28,0)</f>
        <v>0</v>
      </c>
      <c r="AP35" s="12">
        <f>IFERROR(AP29/AP28,0)</f>
        <v>0</v>
      </c>
      <c r="AQ35" s="12">
        <f>IFERROR(AQ29/AQ28,0)</f>
        <v>0</v>
      </c>
      <c r="AS35" s="12">
        <f>IFERROR(AS29/AS28,0)</f>
        <v>0</v>
      </c>
      <c r="AT35" s="12">
        <f>IFERROR(AT29/AT28,0)</f>
        <v>0</v>
      </c>
      <c r="AU35" s="12">
        <f>IFERROR(AU29/AU28,0)</f>
        <v>0</v>
      </c>
      <c r="AV35" s="12">
        <f>IFERROR(AV29/AV28,0)</f>
        <v>0</v>
      </c>
      <c r="AW35" s="12">
        <f>IFERROR(AW29/AW28,0)</f>
        <v>0</v>
      </c>
      <c r="AX35" s="12">
        <f>IFERROR(AX29/AX28,0)</f>
        <v>0</v>
      </c>
      <c r="AY35" s="12">
        <f>IFERROR(AY29/AY28,0)</f>
        <v>0</v>
      </c>
      <c r="AZ35" s="12">
        <f>IFERROR(AZ29/AZ28,0)</f>
        <v>0</v>
      </c>
      <c r="BA35" s="12">
        <f>IFERROR(BA29/BA28,0)</f>
        <v>0</v>
      </c>
      <c r="BB35" s="12">
        <f>IFERROR(BB29/BB28,0)</f>
        <v>0.7</v>
      </c>
      <c r="BC35" s="12">
        <f>IFERROR(BC29/BC28,0)</f>
        <v>0.7</v>
      </c>
      <c r="BD35" s="12">
        <f>IFERROR(BD29/BD28,0)</f>
        <v>0.7</v>
      </c>
      <c r="BE35" s="12">
        <f>IFERROR(BE29/BE28,0)</f>
        <v>0.96666666666666667</v>
      </c>
      <c r="BG35" s="12">
        <f>IFERROR(BG29/BG28,0)</f>
        <v>0.26461928518851724</v>
      </c>
      <c r="BH35" s="12">
        <f>IFERROR(BH29/BH28,0)</f>
        <v>0.26197322348094748</v>
      </c>
      <c r="BI35" s="12">
        <f>IFERROR(BI29/BI28,0)</f>
        <v>0.26143990237949971</v>
      </c>
      <c r="BJ35" s="12">
        <f>IFERROR(BJ29/BJ28,0)</f>
        <v>0.26262085696956722</v>
      </c>
      <c r="BK35" s="12">
        <f>IFERROR(BK29/BK28,0)</f>
        <v>0.26195599252406904</v>
      </c>
      <c r="BL35" s="12">
        <f>IFERROR(BL29/BL28,0)</f>
        <v>0.24014859222457963</v>
      </c>
      <c r="BM35" s="12">
        <f>IFERROR(BM29/BM28,0)</f>
        <v>0.24061321901982244</v>
      </c>
      <c r="BN35" s="12">
        <f>IFERROR(BN29/BN28,0)</f>
        <v>0.2387730383194081</v>
      </c>
      <c r="BO35" s="12">
        <f>IFERROR(BO29/BO28,0)</f>
        <v>0.22838099534138545</v>
      </c>
      <c r="BP35" s="12">
        <f>IFERROR(BP29/BP28,0)</f>
        <v>0.2284509646241836</v>
      </c>
      <c r="BQ35" s="12">
        <f>IFERROR(BQ29/BQ28,0)</f>
        <v>0.23056800270673963</v>
      </c>
      <c r="BR35" s="12">
        <f>IFERROR(BR29/BR28,0)</f>
        <v>0.23252432278471524</v>
      </c>
      <c r="BS35" s="12">
        <f>IFERROR(BS29/BS28,0)</f>
        <v>0.24594343324229614</v>
      </c>
    </row>
    <row r="36" spans="2:71">
      <c r="B36" s="5" t="s">
        <v>167</v>
      </c>
      <c r="C36" s="12">
        <f>IFERROR(C30/C28,0)</f>
        <v>-0.20042528829639322</v>
      </c>
      <c r="D36" s="12">
        <f>IFERROR(D30/D28,0)</f>
        <v>-0.19913491246138001</v>
      </c>
      <c r="E36" s="12">
        <f>IFERROR(E30/E28,0)</f>
        <v>-0.19549267846247714</v>
      </c>
      <c r="F36" s="12">
        <f>IFERROR(F30/F28,0)</f>
        <v>-0.19898676370901566</v>
      </c>
      <c r="G36" s="12">
        <f>IFERROR(G30/G28,0)</f>
        <v>-0.20072717563726028</v>
      </c>
      <c r="H36" s="12">
        <f>IFERROR(H30/H28,0)</f>
        <v>-0.19957264634597524</v>
      </c>
      <c r="I36" s="12">
        <f>IFERROR(I30/I28,0)</f>
        <v>-0.20073270096071993</v>
      </c>
      <c r="J36" s="12">
        <f>IFERROR(J30/J28,0)</f>
        <v>-0.19965129107166277</v>
      </c>
      <c r="K36" s="12">
        <f>IFERROR(K30/K28,0)</f>
        <v>-0.19670397187721167</v>
      </c>
      <c r="L36" s="12">
        <f>IFERROR(L30/L28,0)</f>
        <v>-0.20013771962948976</v>
      </c>
      <c r="M36" s="12">
        <f>IFERROR(M30/M28,0)</f>
        <v>-0.19880012015035031</v>
      </c>
      <c r="N36" s="12">
        <f>IFERROR(N30/N28,0)</f>
        <v>-0.19752019732080878</v>
      </c>
      <c r="O36" s="12">
        <f>IFERROR(O30/O28,0)</f>
        <v>-0.19898107518517597</v>
      </c>
      <c r="Q36" s="12">
        <f>IFERROR(Q30/Q28,0)</f>
        <v>-0.20042528829639322</v>
      </c>
      <c r="R36" s="12">
        <f>IFERROR(R30/R28,0)</f>
        <v>-0.19913491246138001</v>
      </c>
      <c r="S36" s="12">
        <f>IFERROR(S30/S28,0)</f>
        <v>-0.19549267846247714</v>
      </c>
      <c r="T36" s="12">
        <f>IFERROR(T30/T28,0)</f>
        <v>-0.19898676370901566</v>
      </c>
      <c r="U36" s="12">
        <f>IFERROR(U30/U28,0)</f>
        <v>-0.20072717563726028</v>
      </c>
      <c r="V36" s="12">
        <f>IFERROR(V30/V28,0)</f>
        <v>-0.19957264634597524</v>
      </c>
      <c r="W36" s="12">
        <f>IFERROR(W30/W28,0)</f>
        <v>-0.20073270096071993</v>
      </c>
      <c r="X36" s="12">
        <f>IFERROR(X30/X28,0)</f>
        <v>-0.19965129107166277</v>
      </c>
      <c r="Y36" s="12">
        <f>IFERROR(Y30/Y28,0)</f>
        <v>-0.19670397187721167</v>
      </c>
      <c r="Z36" s="12">
        <f>IFERROR(Z30/Z28,0)</f>
        <v>-0.20013771962948976</v>
      </c>
      <c r="AA36" s="12">
        <f>IFERROR(AA30/AA28,0)</f>
        <v>-0.19880012015035031</v>
      </c>
      <c r="AB36" s="12">
        <f>IFERROR(AB30/AB28,0)</f>
        <v>-0.19752019732080878</v>
      </c>
      <c r="AC36" s="12">
        <f>IFERROR(AC30/AC28,0)</f>
        <v>-0.19898107518517597</v>
      </c>
      <c r="AE36" s="12">
        <f>IFERROR(AE30/AE28,0)</f>
        <v>0</v>
      </c>
      <c r="AF36" s="12">
        <f>IFERROR(AF30/AF28,0)</f>
        <v>0</v>
      </c>
      <c r="AG36" s="12">
        <f>IFERROR(AG30/AG28,0)</f>
        <v>0</v>
      </c>
      <c r="AH36" s="12">
        <f>IFERROR(AH30/AH28,0)</f>
        <v>0</v>
      </c>
      <c r="AI36" s="12">
        <f>IFERROR(AI30/AI28,0)</f>
        <v>0</v>
      </c>
      <c r="AJ36" s="12">
        <f>IFERROR(AJ30/AJ28,0)</f>
        <v>0</v>
      </c>
      <c r="AK36" s="12">
        <f>IFERROR(AK30/AK28,0)</f>
        <v>0</v>
      </c>
      <c r="AL36" s="12">
        <f>IFERROR(AL30/AL28,0)</f>
        <v>0</v>
      </c>
      <c r="AM36" s="12">
        <f>IFERROR(AM30/AM28,0)</f>
        <v>0</v>
      </c>
      <c r="AN36" s="12">
        <f>IFERROR(AN30/AN28,0)</f>
        <v>0</v>
      </c>
      <c r="AO36" s="12">
        <f>IFERROR(AO30/AO28,0)</f>
        <v>0</v>
      </c>
      <c r="AP36" s="12">
        <f>IFERROR(AP30/AP28,0)</f>
        <v>0</v>
      </c>
      <c r="AQ36" s="12">
        <f>IFERROR(AQ30/AQ28,0)</f>
        <v>0</v>
      </c>
      <c r="AS36" s="12">
        <f>IFERROR(AS30/AS28,0)</f>
        <v>0</v>
      </c>
      <c r="AT36" s="12">
        <f>IFERROR(AT30/AT28,0)</f>
        <v>0</v>
      </c>
      <c r="AU36" s="12">
        <f>IFERROR(AU30/AU28,0)</f>
        <v>0</v>
      </c>
      <c r="AV36" s="12">
        <f>IFERROR(AV30/AV28,0)</f>
        <v>0</v>
      </c>
      <c r="AW36" s="12">
        <f>IFERROR(AW30/AW28,0)</f>
        <v>0</v>
      </c>
      <c r="AX36" s="12">
        <f>IFERROR(AX30/AX28,0)</f>
        <v>0</v>
      </c>
      <c r="AY36" s="12">
        <f>IFERROR(AY30/AY28,0)</f>
        <v>0</v>
      </c>
      <c r="AZ36" s="12">
        <f>IFERROR(AZ30/AZ28,0)</f>
        <v>0</v>
      </c>
      <c r="BA36" s="12">
        <f>IFERROR(BA30/BA28,0)</f>
        <v>0</v>
      </c>
      <c r="BB36" s="12">
        <f>IFERROR(BB30/BB28,0)</f>
        <v>-0.1</v>
      </c>
      <c r="BC36" s="12">
        <f>IFERROR(BC30/BC28,0)</f>
        <v>-0.1</v>
      </c>
      <c r="BD36" s="12">
        <f>IFERROR(BD30/BD28,0)</f>
        <v>-0.1</v>
      </c>
      <c r="BE36" s="12">
        <f>IFERROR(BE30/BE28,0)</f>
        <v>-0.5</v>
      </c>
      <c r="BG36" s="12">
        <f>IFERROR(BG30/BG28,0)</f>
        <v>-0.20042528829639322</v>
      </c>
      <c r="BH36" s="12">
        <f>IFERROR(BH30/BH28,0)</f>
        <v>-0.19913491246138001</v>
      </c>
      <c r="BI36" s="12">
        <f>IFERROR(BI30/BI28,0)</f>
        <v>-0.19549267846247714</v>
      </c>
      <c r="BJ36" s="12">
        <f>IFERROR(BJ30/BJ28,0)</f>
        <v>-0.19898676370901566</v>
      </c>
      <c r="BK36" s="12">
        <f>IFERROR(BK30/BK28,0)</f>
        <v>-0.20072717563726028</v>
      </c>
      <c r="BL36" s="12">
        <f>IFERROR(BL30/BL28,0)</f>
        <v>-0.19957264634597524</v>
      </c>
      <c r="BM36" s="12">
        <f>IFERROR(BM30/BM28,0)</f>
        <v>-0.20073270096071993</v>
      </c>
      <c r="BN36" s="12">
        <f>IFERROR(BN30/BN28,0)</f>
        <v>-0.19965129107166277</v>
      </c>
      <c r="BO36" s="12">
        <f>IFERROR(BO30/BO28,0)</f>
        <v>-0.1780384044050739</v>
      </c>
      <c r="BP36" s="12">
        <f>IFERROR(BP30/BP28,0)</f>
        <v>-0.20164290492044762</v>
      </c>
      <c r="BQ36" s="12">
        <f>IFERROR(BQ30/BQ28,0)</f>
        <v>-0.20043076770727603</v>
      </c>
      <c r="BR36" s="12">
        <f>IFERROR(BR30/BR28,0)</f>
        <v>-0.19898211581992895</v>
      </c>
      <c r="BS36" s="12">
        <f>IFERROR(BS30/BS28,0)</f>
        <v>-0.19781742695280566</v>
      </c>
    </row>
    <row r="37" spans="2:71">
      <c r="B37" s="5" t="s">
        <v>168</v>
      </c>
      <c r="C37" s="12">
        <f>IFERROR(C31/C28,0)</f>
        <v>6.4193996892123989E-2</v>
      </c>
      <c r="D37" s="12">
        <f>IFERROR(D31/D28,0)</f>
        <v>6.2838311019567439E-2</v>
      </c>
      <c r="E37" s="12">
        <f>IFERROR(E31/E28,0)</f>
        <v>6.5947223917022554E-2</v>
      </c>
      <c r="F37" s="12">
        <f>IFERROR(F31/F28,0)</f>
        <v>6.3634093260551583E-2</v>
      </c>
      <c r="G37" s="12">
        <f>IFERROR(G31/G28,0)</f>
        <v>6.1228816886808771E-2</v>
      </c>
      <c r="H37" s="12">
        <f>IFERROR(H31/H28,0)</f>
        <v>4.0575945878604393E-2</v>
      </c>
      <c r="I37" s="12">
        <f>IFERROR(I31/I28,0)</f>
        <v>3.9880518059102504E-2</v>
      </c>
      <c r="J37" s="12">
        <f>IFERROR(J31/J28,0)</f>
        <v>3.9121747247745343E-2</v>
      </c>
      <c r="K37" s="12">
        <f>IFERROR(K31/K28,0)</f>
        <v>4.4120735112265629E-2</v>
      </c>
      <c r="L37" s="12">
        <f>IFERROR(L31/L28,0)</f>
        <v>3.5296208267620324E-2</v>
      </c>
      <c r="M37" s="12">
        <f>IFERROR(M31/M28,0)</f>
        <v>3.9389831058865538E-2</v>
      </c>
      <c r="N37" s="12">
        <f>IFERROR(N31/N28,0)</f>
        <v>4.1908517583115486E-2</v>
      </c>
      <c r="O37" s="12">
        <f>IFERROR(O31/O28,0)</f>
        <v>4.9737727623092809E-2</v>
      </c>
      <c r="Q37" s="12">
        <f>IFERROR(Q31/Q28,0)</f>
        <v>6.4193996892123989E-2</v>
      </c>
      <c r="R37" s="12">
        <f>IFERROR(R31/R28,0)</f>
        <v>6.2838311019567439E-2</v>
      </c>
      <c r="S37" s="12">
        <f>IFERROR(S31/S28,0)</f>
        <v>6.5947223917022554E-2</v>
      </c>
      <c r="T37" s="12">
        <f>IFERROR(T31/T28,0)</f>
        <v>6.3634093260551583E-2</v>
      </c>
      <c r="U37" s="12">
        <f>IFERROR(U31/U28,0)</f>
        <v>6.1228816886808771E-2</v>
      </c>
      <c r="V37" s="12">
        <f>IFERROR(V31/V28,0)</f>
        <v>4.0575945878604393E-2</v>
      </c>
      <c r="W37" s="12">
        <f>IFERROR(W31/W28,0)</f>
        <v>3.9880518059102504E-2</v>
      </c>
      <c r="X37" s="12">
        <f>IFERROR(X31/X28,0)</f>
        <v>3.9121747247745343E-2</v>
      </c>
      <c r="Y37" s="12">
        <f>IFERROR(Y31/Y28,0)</f>
        <v>4.4120735112265629E-2</v>
      </c>
      <c r="Z37" s="12">
        <f>IFERROR(Z31/Z28,0)</f>
        <v>3.5296208267620324E-2</v>
      </c>
      <c r="AA37" s="12">
        <f>IFERROR(AA31/AA28,0)</f>
        <v>3.9389831058865538E-2</v>
      </c>
      <c r="AB37" s="12">
        <f>IFERROR(AB31/AB28,0)</f>
        <v>4.1908517583115486E-2</v>
      </c>
      <c r="AC37" s="12">
        <f>IFERROR(AC31/AC28,0)</f>
        <v>4.9737727623092809E-2</v>
      </c>
      <c r="AE37" s="12">
        <f>IFERROR(AE31/AE28,0)</f>
        <v>0</v>
      </c>
      <c r="AF37" s="12">
        <f>IFERROR(AF31/AF28,0)</f>
        <v>0</v>
      </c>
      <c r="AG37" s="12">
        <f>IFERROR(AG31/AG28,0)</f>
        <v>0</v>
      </c>
      <c r="AH37" s="12">
        <f>IFERROR(AH31/AH28,0)</f>
        <v>0</v>
      </c>
      <c r="AI37" s="12">
        <f>IFERROR(AI31/AI28,0)</f>
        <v>0</v>
      </c>
      <c r="AJ37" s="12">
        <f>IFERROR(AJ31/AJ28,0)</f>
        <v>0</v>
      </c>
      <c r="AK37" s="12">
        <f>IFERROR(AK31/AK28,0)</f>
        <v>0</v>
      </c>
      <c r="AL37" s="12">
        <f>IFERROR(AL31/AL28,0)</f>
        <v>0</v>
      </c>
      <c r="AM37" s="12">
        <f>IFERROR(AM31/AM28,0)</f>
        <v>0</v>
      </c>
      <c r="AN37" s="12">
        <f>IFERROR(AN31/AN28,0)</f>
        <v>0</v>
      </c>
      <c r="AO37" s="12">
        <f>IFERROR(AO31/AO28,0)</f>
        <v>0</v>
      </c>
      <c r="AP37" s="12">
        <f>IFERROR(AP31/AP28,0)</f>
        <v>0</v>
      </c>
      <c r="AQ37" s="12">
        <f>IFERROR(AQ31/AQ28,0)</f>
        <v>0</v>
      </c>
      <c r="AS37" s="12">
        <f>IFERROR(AS31/AS28,0)</f>
        <v>0</v>
      </c>
      <c r="AT37" s="12">
        <f>IFERROR(AT31/AT28,0)</f>
        <v>0</v>
      </c>
      <c r="AU37" s="12">
        <f>IFERROR(AU31/AU28,0)</f>
        <v>0</v>
      </c>
      <c r="AV37" s="12">
        <f>IFERROR(AV31/AV28,0)</f>
        <v>0</v>
      </c>
      <c r="AW37" s="12">
        <f>IFERROR(AW31/AW28,0)</f>
        <v>0</v>
      </c>
      <c r="AX37" s="12">
        <f>IFERROR(AX31/AX28,0)</f>
        <v>0</v>
      </c>
      <c r="AY37" s="12">
        <f>IFERROR(AY31/AY28,0)</f>
        <v>0</v>
      </c>
      <c r="AZ37" s="12">
        <f>IFERROR(AZ31/AZ28,0)</f>
        <v>0</v>
      </c>
      <c r="BA37" s="12">
        <f>IFERROR(BA31/BA28,0)</f>
        <v>0</v>
      </c>
      <c r="BB37" s="12">
        <f>IFERROR(BB31/BB28,0)</f>
        <v>0.6</v>
      </c>
      <c r="BC37" s="12">
        <f>IFERROR(BC31/BC28,0)</f>
        <v>0.6</v>
      </c>
      <c r="BD37" s="12">
        <f>IFERROR(BD31/BD28,0)</f>
        <v>0.6</v>
      </c>
      <c r="BE37" s="12">
        <f>IFERROR(BE31/BE28,0)</f>
        <v>0.46666666666666667</v>
      </c>
      <c r="BG37" s="12">
        <f>IFERROR(BG31/BG28,0)</f>
        <v>6.4193996892123989E-2</v>
      </c>
      <c r="BH37" s="12">
        <f>IFERROR(BH31/BH28,0)</f>
        <v>6.2838311019567439E-2</v>
      </c>
      <c r="BI37" s="12">
        <f>IFERROR(BI31/BI28,0)</f>
        <v>6.5947223917022554E-2</v>
      </c>
      <c r="BJ37" s="12">
        <f>IFERROR(BJ31/BJ28,0)</f>
        <v>6.3634093260551583E-2</v>
      </c>
      <c r="BK37" s="12">
        <f>IFERROR(BK31/BK28,0)</f>
        <v>6.1228816886808771E-2</v>
      </c>
      <c r="BL37" s="12">
        <f>IFERROR(BL31/BL28,0)</f>
        <v>4.0575945878604393E-2</v>
      </c>
      <c r="BM37" s="12">
        <f>IFERROR(BM31/BM28,0)</f>
        <v>3.9880518059102504E-2</v>
      </c>
      <c r="BN37" s="12">
        <f>IFERROR(BN31/BN28,0)</f>
        <v>3.9121747247745343E-2</v>
      </c>
      <c r="BO37" s="12">
        <f>IFERROR(BO31/BO28,0)</f>
        <v>5.0342590936311542E-2</v>
      </c>
      <c r="BP37" s="12">
        <f>IFERROR(BP31/BP28,0)</f>
        <v>2.6808059703735978E-2</v>
      </c>
      <c r="BQ37" s="12">
        <f>IFERROR(BQ31/BQ28,0)</f>
        <v>3.0137234999463591E-2</v>
      </c>
      <c r="BR37" s="12">
        <f>IFERROR(BR31/BR28,0)</f>
        <v>3.3542206964786304E-2</v>
      </c>
      <c r="BS37" s="12">
        <f>IFERROR(BS31/BS28,0)</f>
        <v>4.8126006289490521E-2</v>
      </c>
    </row>
    <row r="38" spans="2:71">
      <c r="B38" s="5" t="s">
        <v>169</v>
      </c>
      <c r="C38" s="6">
        <f>IFERROR(C28/21,0)</f>
        <v>582.23809523809518</v>
      </c>
      <c r="D38" s="6">
        <f>IFERROR(D28/20,0)</f>
        <v>606.875</v>
      </c>
      <c r="E38" s="6">
        <f>IFERROR(E28/22,0)</f>
        <v>596</v>
      </c>
      <c r="F38" s="6">
        <f>IFERROR(F28/22,0)</f>
        <v>637.02272727272725</v>
      </c>
      <c r="G38" s="6">
        <f>IFERROR(G28/20,0)</f>
        <v>636.71</v>
      </c>
      <c r="H38" s="6">
        <f>IFERROR(H28/22,0)</f>
        <v>602.01363636363635</v>
      </c>
      <c r="I38" s="6">
        <f>IFERROR(I28/22,0)</f>
        <v>598.0363636363636</v>
      </c>
      <c r="J38" s="6">
        <f>IFERROR(J28/21,0)</f>
        <v>617.24285714285713</v>
      </c>
      <c r="K38" s="6">
        <f>IFERROR(K28/21,0)</f>
        <v>612.28095238095239</v>
      </c>
      <c r="L38" s="6">
        <f>IFERROR(L28/22,0)</f>
        <v>613.89545454545453</v>
      </c>
      <c r="M38" s="6">
        <f>IFERROR(M28/19,0)</f>
        <v>648.3105263157895</v>
      </c>
      <c r="N38" s="6">
        <f>IFERROR(N28/22,0)</f>
        <v>615.5181818181818</v>
      </c>
      <c r="O38" s="6">
        <f>IFERROR(O28/254,0)</f>
        <v>613.43031496062986</v>
      </c>
      <c r="Q38" s="6">
        <f>IFERROR(Q28/21,0)</f>
        <v>582.23809523809518</v>
      </c>
      <c r="R38" s="6">
        <f>IFERROR(R28/20,0)</f>
        <v>606.875</v>
      </c>
      <c r="S38" s="6">
        <f>IFERROR(S28/22,0)</f>
        <v>596</v>
      </c>
      <c r="T38" s="6">
        <f>IFERROR(T28/22,0)</f>
        <v>637.02272727272725</v>
      </c>
      <c r="U38" s="6">
        <f>IFERROR(U28/20,0)</f>
        <v>636.71</v>
      </c>
      <c r="V38" s="6">
        <f>IFERROR(V28/22,0)</f>
        <v>602.01363636363635</v>
      </c>
      <c r="W38" s="6">
        <f>IFERROR(W28/22,0)</f>
        <v>598.0363636363636</v>
      </c>
      <c r="X38" s="6">
        <f>IFERROR(X28/21,0)</f>
        <v>617.24285714285713</v>
      </c>
      <c r="Y38" s="6">
        <f>IFERROR(Y28/21,0)</f>
        <v>612.28095238095239</v>
      </c>
      <c r="Z38" s="6">
        <f>IFERROR(Z28/22,0)</f>
        <v>613.89545454545453</v>
      </c>
      <c r="AA38" s="6">
        <f>IFERROR(AA28/19,0)</f>
        <v>648.3105263157895</v>
      </c>
      <c r="AB38" s="6">
        <f>IFERROR(AB28/22,0)</f>
        <v>615.5181818181818</v>
      </c>
      <c r="AC38" s="6">
        <f>IFERROR(AC28/254,0)</f>
        <v>613.43031496062986</v>
      </c>
      <c r="AE38" s="6">
        <f>IFERROR(AE28/21,0)</f>
        <v>0</v>
      </c>
      <c r="AF38" s="6">
        <f>IFERROR(AF28/20,0)</f>
        <v>0</v>
      </c>
      <c r="AG38" s="6">
        <f>IFERROR(AG28/22,0)</f>
        <v>0</v>
      </c>
      <c r="AH38" s="6">
        <f>IFERROR(AH28/22,0)</f>
        <v>0</v>
      </c>
      <c r="AI38" s="6">
        <f>IFERROR(AI28/20,0)</f>
        <v>0</v>
      </c>
      <c r="AJ38" s="6">
        <f>IFERROR(AJ28/22,0)</f>
        <v>0</v>
      </c>
      <c r="AK38" s="6">
        <f>IFERROR(AK28/22,0)</f>
        <v>0</v>
      </c>
      <c r="AL38" s="6">
        <f>IFERROR(AL28/21,0)</f>
        <v>0</v>
      </c>
      <c r="AM38" s="6">
        <f>IFERROR(AM28/21,0)</f>
        <v>0</v>
      </c>
      <c r="AN38" s="6">
        <f>IFERROR(AN28/22,0)</f>
        <v>0</v>
      </c>
      <c r="AO38" s="6">
        <f>IFERROR(AO28/19,0)</f>
        <v>0</v>
      </c>
      <c r="AP38" s="6">
        <f>IFERROR(AP28/22,0)</f>
        <v>0</v>
      </c>
      <c r="AQ38" s="6">
        <f>IFERROR(AQ28/254,0)</f>
        <v>0</v>
      </c>
      <c r="AS38" s="6">
        <f>IFERROR(AS28/21,0)</f>
        <v>0</v>
      </c>
      <c r="AT38" s="6">
        <f>IFERROR(AT28/20,0)</f>
        <v>0</v>
      </c>
      <c r="AU38" s="6">
        <f>IFERROR(AU28/22,0)</f>
        <v>0</v>
      </c>
      <c r="AV38" s="6">
        <f>IFERROR(AV28/22,0)</f>
        <v>0</v>
      </c>
      <c r="AW38" s="6">
        <f>IFERROR(AW28/20,0)</f>
        <v>0</v>
      </c>
      <c r="AX38" s="6">
        <f>IFERROR(AX28/22,0)</f>
        <v>0</v>
      </c>
      <c r="AY38" s="6">
        <f>IFERROR(AY28/22,0)</f>
        <v>0</v>
      </c>
      <c r="AZ38" s="6">
        <f>IFERROR(AZ28/21,0)</f>
        <v>0</v>
      </c>
      <c r="BA38" s="6">
        <f>IFERROR(BA28/21,0)</f>
        <v>0</v>
      </c>
      <c r="BB38" s="6">
        <f>IFERROR(BB28/22,0)</f>
        <v>-9.0909090909090917</v>
      </c>
      <c r="BC38" s="6">
        <f>IFERROR(BC28/19,0)</f>
        <v>-10.526315789473685</v>
      </c>
      <c r="BD38" s="6">
        <f>IFERROR(BD28/22,0)</f>
        <v>-9.0909090909090917</v>
      </c>
      <c r="BE38" s="6">
        <f>IFERROR(BE28/254,0)</f>
        <v>-2.3622047244094486</v>
      </c>
      <c r="BG38" s="6">
        <f>IFERROR(BG28/21,0)</f>
        <v>582.23809523809518</v>
      </c>
      <c r="BH38" s="6">
        <f>IFERROR(BH28/20,0)</f>
        <v>606.875</v>
      </c>
      <c r="BI38" s="6">
        <f>IFERROR(BI28/22,0)</f>
        <v>596</v>
      </c>
      <c r="BJ38" s="6">
        <f>IFERROR(BJ28/22,0)</f>
        <v>637.02272727272725</v>
      </c>
      <c r="BK38" s="6">
        <f>IFERROR(BK28/20,0)</f>
        <v>636.71</v>
      </c>
      <c r="BL38" s="6">
        <f>IFERROR(BL28/22,0)</f>
        <v>602.01363636363635</v>
      </c>
      <c r="BM38" s="6">
        <f>IFERROR(BM28/22,0)</f>
        <v>598.0363636363636</v>
      </c>
      <c r="BN38" s="6">
        <f>IFERROR(BN28/21,0)</f>
        <v>617.24285714285713</v>
      </c>
      <c r="BO38" s="6">
        <f>IFERROR(BO28/21,0)</f>
        <v>612.28095238095239</v>
      </c>
      <c r="BP38" s="6">
        <f>IFERROR(BP28/22,0)</f>
        <v>604.80454545454552</v>
      </c>
      <c r="BQ38" s="6">
        <f>IFERROR(BQ28/19,0)</f>
        <v>637.78421052631575</v>
      </c>
      <c r="BR38" s="6">
        <f>IFERROR(BR28/22,0)</f>
        <v>606.42727272727268</v>
      </c>
      <c r="BS38" s="6">
        <f>IFERROR(BS28/254,0)</f>
        <v>611.06811023622038</v>
      </c>
    </row>
    <row r="40" spans="2:71">
      <c r="B40" s="5" t="s">
        <v>151</v>
      </c>
      <c r="C40" s="6">
        <v>22505.5</v>
      </c>
      <c r="D40" s="6">
        <v>22640.400000000001</v>
      </c>
      <c r="E40" s="6">
        <v>24132.9</v>
      </c>
      <c r="F40" s="6">
        <v>25725.7</v>
      </c>
      <c r="G40" s="6">
        <v>22899.8</v>
      </c>
      <c r="H40" s="6">
        <v>23548.3</v>
      </c>
      <c r="I40" s="6">
        <v>23519.200000000001</v>
      </c>
      <c r="J40" s="6">
        <v>22081.9</v>
      </c>
      <c r="K40" s="6">
        <v>21834.7</v>
      </c>
      <c r="L40" s="6">
        <v>22410.7</v>
      </c>
      <c r="M40" s="6">
        <v>20565.5</v>
      </c>
      <c r="N40" s="6">
        <v>22179.7</v>
      </c>
      <c r="O40" s="6">
        <f>N40</f>
        <v>22179.7</v>
      </c>
      <c r="Q40" s="6">
        <v>22505.5</v>
      </c>
      <c r="R40" s="6">
        <v>22640.400000000001</v>
      </c>
      <c r="S40" s="6">
        <v>24132.9</v>
      </c>
      <c r="T40" s="6">
        <v>25725.7</v>
      </c>
      <c r="U40" s="6">
        <v>22899.8</v>
      </c>
      <c r="V40" s="6">
        <v>23548.3</v>
      </c>
      <c r="W40" s="6">
        <v>23519.200000000001</v>
      </c>
      <c r="X40" s="6">
        <v>22081.9</v>
      </c>
      <c r="Y40" s="6">
        <v>21834.7</v>
      </c>
      <c r="Z40" s="6">
        <v>22410.7</v>
      </c>
      <c r="AA40" s="6">
        <v>20565.5</v>
      </c>
      <c r="AB40" s="6">
        <v>22179.7</v>
      </c>
      <c r="AC40" s="6">
        <f>AB40</f>
        <v>22179.7</v>
      </c>
      <c r="AE40" s="6">
        <f>Q40-C40</f>
        <v>0</v>
      </c>
      <c r="AF40" s="6">
        <f>R40-D40</f>
        <v>0</v>
      </c>
      <c r="AG40" s="6">
        <f>S40-E40</f>
        <v>0</v>
      </c>
      <c r="AH40" s="6">
        <f>T40-F40</f>
        <v>0</v>
      </c>
      <c r="AI40" s="6">
        <f>U40-G40</f>
        <v>0</v>
      </c>
      <c r="AJ40" s="6">
        <f>V40-H40</f>
        <v>0</v>
      </c>
      <c r="AK40" s="6">
        <f>W40-I40</f>
        <v>0</v>
      </c>
      <c r="AL40" s="6">
        <f>X40-J40</f>
        <v>0</v>
      </c>
      <c r="AM40" s="6">
        <f>Y40-K40</f>
        <v>0</v>
      </c>
      <c r="AN40" s="6">
        <f>Z40-L40</f>
        <v>0</v>
      </c>
      <c r="AO40" s="6">
        <f>AA40-M40</f>
        <v>0</v>
      </c>
      <c r="AP40" s="6">
        <f>AB40-N40</f>
        <v>0</v>
      </c>
      <c r="AQ40" s="6">
        <f>AP40</f>
        <v>0</v>
      </c>
      <c r="AS40" s="6">
        <f>'Alder-Adj'!C90</f>
        <v>0</v>
      </c>
      <c r="AT40" s="6">
        <f>'Alder-Adj'!D90</f>
        <v>0</v>
      </c>
      <c r="AU40" s="6">
        <f>'Alder-Adj'!E90</f>
        <v>0</v>
      </c>
      <c r="AV40" s="6">
        <f>'Alder-Adj'!F90</f>
        <v>0</v>
      </c>
      <c r="AW40" s="6">
        <f>'Alder-Adj'!G90</f>
        <v>0</v>
      </c>
      <c r="AX40" s="6">
        <f>'Alder-Adj'!H90</f>
        <v>0</v>
      </c>
      <c r="AY40" s="6">
        <f>'Alder-Adj'!I90</f>
        <v>0</v>
      </c>
      <c r="AZ40" s="6">
        <f>'Alder-Adj'!J90</f>
        <v>0</v>
      </c>
      <c r="BA40" s="6">
        <f>'Alder-Adj'!K90</f>
        <v>0</v>
      </c>
      <c r="BB40" s="6">
        <f>'Alder-Adj'!L90</f>
        <v>-1200</v>
      </c>
      <c r="BC40" s="6">
        <f>'Alder-Adj'!M90</f>
        <v>-2000</v>
      </c>
      <c r="BD40" s="6">
        <f>'Alder-Adj'!N90</f>
        <v>-2500</v>
      </c>
      <c r="BE40" s="6">
        <f>BD40</f>
        <v>-2500</v>
      </c>
      <c r="BG40" s="6">
        <f>C40+AE40+AS40</f>
        <v>22505.5</v>
      </c>
      <c r="BH40" s="6">
        <f>D40+AF40+AT40</f>
        <v>22640.400000000001</v>
      </c>
      <c r="BI40" s="6">
        <f>E40+AG40+AU40</f>
        <v>24132.9</v>
      </c>
      <c r="BJ40" s="6">
        <f>F40+AH40+AV40</f>
        <v>25725.7</v>
      </c>
      <c r="BK40" s="6">
        <f>G40+AI40+AW40</f>
        <v>22899.8</v>
      </c>
      <c r="BL40" s="6">
        <f>H40+AJ40+AX40</f>
        <v>23548.3</v>
      </c>
      <c r="BM40" s="6">
        <f>I40+AK40+AY40</f>
        <v>23519.200000000001</v>
      </c>
      <c r="BN40" s="6">
        <f>J40+AL40+AZ40</f>
        <v>22081.9</v>
      </c>
      <c r="BO40" s="6">
        <f>K40+AM40+BA40</f>
        <v>21834.7</v>
      </c>
      <c r="BP40" s="6">
        <f>L40+AN40+BB40</f>
        <v>21210.7</v>
      </c>
      <c r="BQ40" s="6">
        <f>M40+AO40+BC40</f>
        <v>18565.5</v>
      </c>
      <c r="BR40" s="6">
        <f>N40+AP40+BD40</f>
        <v>19679.7</v>
      </c>
      <c r="BS40" s="6">
        <f>BR40</f>
        <v>19679.7</v>
      </c>
    </row>
    <row r="41" spans="2:71">
      <c r="B41" s="5" t="s">
        <v>152</v>
      </c>
      <c r="C41" s="6">
        <v>18544.3</v>
      </c>
      <c r="D41" s="6">
        <v>18408.5</v>
      </c>
      <c r="E41" s="6">
        <v>19886.5</v>
      </c>
      <c r="F41" s="6">
        <v>21255.3</v>
      </c>
      <c r="G41" s="6">
        <v>19313.5</v>
      </c>
      <c r="H41" s="6">
        <v>20087.2</v>
      </c>
      <c r="I41" s="6">
        <v>19954.5</v>
      </c>
      <c r="J41" s="6">
        <v>19659.2</v>
      </c>
      <c r="K41" s="6">
        <v>19501.099999999999</v>
      </c>
      <c r="L41" s="6">
        <v>20180.3</v>
      </c>
      <c r="M41" s="6">
        <v>18378.8</v>
      </c>
      <c r="N41" s="6">
        <v>20234.5</v>
      </c>
      <c r="O41" s="6">
        <f>N41</f>
        <v>20234.5</v>
      </c>
      <c r="Q41" s="6">
        <v>18544.3</v>
      </c>
      <c r="R41" s="6">
        <v>18408.5</v>
      </c>
      <c r="S41" s="6">
        <v>19886.5</v>
      </c>
      <c r="T41" s="6">
        <v>21255.3</v>
      </c>
      <c r="U41" s="6">
        <v>19313.5</v>
      </c>
      <c r="V41" s="6">
        <v>20087.2</v>
      </c>
      <c r="W41" s="6">
        <v>19954.5</v>
      </c>
      <c r="X41" s="6">
        <v>19659.2</v>
      </c>
      <c r="Y41" s="6">
        <v>19501.099999999999</v>
      </c>
      <c r="Z41" s="6">
        <v>20180.3</v>
      </c>
      <c r="AA41" s="6">
        <v>18378.8</v>
      </c>
      <c r="AB41" s="6">
        <v>20234.5</v>
      </c>
      <c r="AC41" s="6">
        <f>AB41</f>
        <v>20234.5</v>
      </c>
      <c r="AE41" s="6">
        <f>Q41-C41</f>
        <v>0</v>
      </c>
      <c r="AF41" s="6">
        <f>R41-D41</f>
        <v>0</v>
      </c>
      <c r="AG41" s="6">
        <f>S41-E41</f>
        <v>0</v>
      </c>
      <c r="AH41" s="6">
        <f>T41-F41</f>
        <v>0</v>
      </c>
      <c r="AI41" s="6">
        <f>U41-G41</f>
        <v>0</v>
      </c>
      <c r="AJ41" s="6">
        <f>V41-H41</f>
        <v>0</v>
      </c>
      <c r="AK41" s="6">
        <f>W41-I41</f>
        <v>0</v>
      </c>
      <c r="AL41" s="6">
        <f>X41-J41</f>
        <v>0</v>
      </c>
      <c r="AM41" s="6">
        <f>Y41-K41</f>
        <v>0</v>
      </c>
      <c r="AN41" s="6">
        <f>Z41-L41</f>
        <v>0</v>
      </c>
      <c r="AO41" s="6">
        <f>AA41-M41</f>
        <v>0</v>
      </c>
      <c r="AP41" s="6">
        <f>AB41-N41</f>
        <v>0</v>
      </c>
      <c r="AQ41" s="6">
        <f>AP41</f>
        <v>0</v>
      </c>
      <c r="AS41" s="6">
        <f>'Alder-Adj'!C91</f>
        <v>0</v>
      </c>
      <c r="AT41" s="6">
        <f>'Alder-Adj'!D91</f>
        <v>0</v>
      </c>
      <c r="AU41" s="6">
        <f>'Alder-Adj'!E91</f>
        <v>0</v>
      </c>
      <c r="AV41" s="6">
        <f>'Alder-Adj'!F91</f>
        <v>0</v>
      </c>
      <c r="AW41" s="6">
        <f>'Alder-Adj'!G91</f>
        <v>0</v>
      </c>
      <c r="AX41" s="6">
        <f>'Alder-Adj'!H91</f>
        <v>0</v>
      </c>
      <c r="AY41" s="6">
        <f>'Alder-Adj'!I91</f>
        <v>0</v>
      </c>
      <c r="AZ41" s="6">
        <f>'Alder-Adj'!J91</f>
        <v>0</v>
      </c>
      <c r="BA41" s="6">
        <f>'Alder-Adj'!K91</f>
        <v>0</v>
      </c>
      <c r="BB41" s="6">
        <f>'Alder-Adj'!L91</f>
        <v>0</v>
      </c>
      <c r="BC41" s="6">
        <f>'Alder-Adj'!M91</f>
        <v>0</v>
      </c>
      <c r="BD41" s="6">
        <f>'Alder-Adj'!N91</f>
        <v>0</v>
      </c>
      <c r="BE41" s="6">
        <f>BD41</f>
        <v>0</v>
      </c>
      <c r="BG41" s="6">
        <f>C41+AE41+AS41</f>
        <v>18544.3</v>
      </c>
      <c r="BH41" s="6">
        <f>D41+AF41+AT41</f>
        <v>18408.5</v>
      </c>
      <c r="BI41" s="6">
        <f>E41+AG41+AU41</f>
        <v>19886.5</v>
      </c>
      <c r="BJ41" s="6">
        <f>F41+AH41+AV41</f>
        <v>21255.3</v>
      </c>
      <c r="BK41" s="6">
        <f>G41+AI41+AW41</f>
        <v>19313.5</v>
      </c>
      <c r="BL41" s="6">
        <f>H41+AJ41+AX41</f>
        <v>20087.2</v>
      </c>
      <c r="BM41" s="6">
        <f>I41+AK41+AY41</f>
        <v>19954.5</v>
      </c>
      <c r="BN41" s="6">
        <f>J41+AL41+AZ41</f>
        <v>19659.2</v>
      </c>
      <c r="BO41" s="6">
        <f>K41+AM41+BA41</f>
        <v>19501.099999999999</v>
      </c>
      <c r="BP41" s="6">
        <f>L41+AN41+BB41</f>
        <v>20180.3</v>
      </c>
      <c r="BQ41" s="6">
        <f>M41+AO41+BC41</f>
        <v>18378.8</v>
      </c>
      <c r="BR41" s="6">
        <f>N41+AP41+BD41</f>
        <v>20234.5</v>
      </c>
      <c r="BS41" s="6">
        <f>BR41</f>
        <v>20234.5</v>
      </c>
    </row>
    <row r="42" spans="2:71">
      <c r="B42" s="5" t="s">
        <v>153</v>
      </c>
      <c r="C42" s="6">
        <v>183.4</v>
      </c>
      <c r="D42" s="6">
        <v>182.1</v>
      </c>
      <c r="E42" s="6">
        <v>196.7</v>
      </c>
      <c r="F42" s="6">
        <v>210.2</v>
      </c>
      <c r="G42" s="6">
        <v>191</v>
      </c>
      <c r="H42" s="6">
        <v>198.7</v>
      </c>
      <c r="I42" s="6">
        <v>197.4</v>
      </c>
      <c r="J42" s="6">
        <v>194.4</v>
      </c>
      <c r="K42" s="6">
        <v>192.9</v>
      </c>
      <c r="L42" s="6">
        <v>199.6</v>
      </c>
      <c r="M42" s="6">
        <v>181.8</v>
      </c>
      <c r="N42" s="6">
        <v>200.1</v>
      </c>
      <c r="O42" s="6">
        <f>N42</f>
        <v>200.1</v>
      </c>
      <c r="Q42" s="6">
        <v>183.4</v>
      </c>
      <c r="R42" s="6">
        <v>182.1</v>
      </c>
      <c r="S42" s="6">
        <v>196.7</v>
      </c>
      <c r="T42" s="6">
        <v>210.2</v>
      </c>
      <c r="U42" s="6">
        <v>191</v>
      </c>
      <c r="V42" s="6">
        <v>198.7</v>
      </c>
      <c r="W42" s="6">
        <v>197.4</v>
      </c>
      <c r="X42" s="6">
        <v>194.4</v>
      </c>
      <c r="Y42" s="6">
        <v>192.9</v>
      </c>
      <c r="Z42" s="6">
        <v>199.6</v>
      </c>
      <c r="AA42" s="6">
        <v>181.8</v>
      </c>
      <c r="AB42" s="6">
        <v>200.1</v>
      </c>
      <c r="AC42" s="6">
        <f>AB42</f>
        <v>200.1</v>
      </c>
      <c r="AE42" s="6">
        <f>Q42-C42</f>
        <v>0</v>
      </c>
      <c r="AF42" s="6">
        <f>R42-D42</f>
        <v>0</v>
      </c>
      <c r="AG42" s="6">
        <f>S42-E42</f>
        <v>0</v>
      </c>
      <c r="AH42" s="6">
        <f>T42-F42</f>
        <v>0</v>
      </c>
      <c r="AI42" s="6">
        <f>U42-G42</f>
        <v>0</v>
      </c>
      <c r="AJ42" s="6">
        <f>V42-H42</f>
        <v>0</v>
      </c>
      <c r="AK42" s="6">
        <f>W42-I42</f>
        <v>0</v>
      </c>
      <c r="AL42" s="6">
        <f>X42-J42</f>
        <v>0</v>
      </c>
      <c r="AM42" s="6">
        <f>Y42-K42</f>
        <v>0</v>
      </c>
      <c r="AN42" s="6">
        <f>Z42-L42</f>
        <v>0</v>
      </c>
      <c r="AO42" s="6">
        <f>AA42-M42</f>
        <v>0</v>
      </c>
      <c r="AP42" s="6">
        <f>AB42-N42</f>
        <v>0</v>
      </c>
      <c r="AQ42" s="6">
        <f>AP42</f>
        <v>0</v>
      </c>
      <c r="AS42" s="6">
        <f>'Alder-Adj'!C92</f>
        <v>0</v>
      </c>
      <c r="AT42" s="6">
        <f>'Alder-Adj'!D92</f>
        <v>0</v>
      </c>
      <c r="AU42" s="6">
        <f>'Alder-Adj'!E92</f>
        <v>0</v>
      </c>
      <c r="AV42" s="6">
        <f>'Alder-Adj'!F92</f>
        <v>0</v>
      </c>
      <c r="AW42" s="6">
        <f>'Alder-Adj'!G92</f>
        <v>0</v>
      </c>
      <c r="AX42" s="6">
        <f>'Alder-Adj'!H92</f>
        <v>0</v>
      </c>
      <c r="AY42" s="6">
        <f>'Alder-Adj'!I92</f>
        <v>0</v>
      </c>
      <c r="AZ42" s="6">
        <f>'Alder-Adj'!J92</f>
        <v>0</v>
      </c>
      <c r="BA42" s="6">
        <f>'Alder-Adj'!K92</f>
        <v>0</v>
      </c>
      <c r="BB42" s="6">
        <f>'Alder-Adj'!L92</f>
        <v>0</v>
      </c>
      <c r="BC42" s="6">
        <f>'Alder-Adj'!M92</f>
        <v>0</v>
      </c>
      <c r="BD42" s="6">
        <f>'Alder-Adj'!N92</f>
        <v>0</v>
      </c>
      <c r="BE42" s="6">
        <f>BD42</f>
        <v>0</v>
      </c>
      <c r="BG42" s="6">
        <f>C42+AE42+AS42</f>
        <v>183.4</v>
      </c>
      <c r="BH42" s="6">
        <f>D42+AF42+AT42</f>
        <v>182.1</v>
      </c>
      <c r="BI42" s="6">
        <f>E42+AG42+AU42</f>
        <v>196.7</v>
      </c>
      <c r="BJ42" s="6">
        <f>F42+AH42+AV42</f>
        <v>210.2</v>
      </c>
      <c r="BK42" s="6">
        <f>G42+AI42+AW42</f>
        <v>191</v>
      </c>
      <c r="BL42" s="6">
        <f>H42+AJ42+AX42</f>
        <v>198.7</v>
      </c>
      <c r="BM42" s="6">
        <f>I42+AK42+AY42</f>
        <v>197.4</v>
      </c>
      <c r="BN42" s="6">
        <f>J42+AL42+AZ42</f>
        <v>194.4</v>
      </c>
      <c r="BO42" s="6">
        <f>K42+AM42+BA42</f>
        <v>192.9</v>
      </c>
      <c r="BP42" s="6">
        <f>L42+AN42+BB42</f>
        <v>199.6</v>
      </c>
      <c r="BQ42" s="6">
        <f>M42+AO42+BC42</f>
        <v>181.8</v>
      </c>
      <c r="BR42" s="6">
        <f>N42+AP42+BD42</f>
        <v>200.1</v>
      </c>
      <c r="BS42" s="6">
        <f>BR42</f>
        <v>200.1</v>
      </c>
    </row>
    <row r="43" spans="2:71">
      <c r="B43" s="5" t="s">
        <v>154</v>
      </c>
      <c r="C43" s="6">
        <v>-12887.8</v>
      </c>
      <c r="D43" s="6">
        <v>-12839.5</v>
      </c>
      <c r="E43" s="6">
        <v>-13880.4</v>
      </c>
      <c r="F43" s="6">
        <v>-14812.1</v>
      </c>
      <c r="G43" s="6">
        <v>-13471</v>
      </c>
      <c r="H43" s="6">
        <v>-14424.6</v>
      </c>
      <c r="I43" s="6">
        <v>-14320.6</v>
      </c>
      <c r="J43" s="6">
        <v>-14142.8</v>
      </c>
      <c r="K43" s="6">
        <v>-14220.7</v>
      </c>
      <c r="L43" s="6">
        <v>-14714.6</v>
      </c>
      <c r="M43" s="6">
        <v>-13364.3</v>
      </c>
      <c r="N43" s="6">
        <v>-14676.2</v>
      </c>
      <c r="O43" s="6">
        <f>N43</f>
        <v>-14676.2</v>
      </c>
      <c r="Q43" s="6">
        <v>-12887.8</v>
      </c>
      <c r="R43" s="6">
        <v>-12839.5</v>
      </c>
      <c r="S43" s="6">
        <v>-13880.4</v>
      </c>
      <c r="T43" s="6">
        <v>-14812.1</v>
      </c>
      <c r="U43" s="6">
        <v>-13471</v>
      </c>
      <c r="V43" s="6">
        <v>-14424.6</v>
      </c>
      <c r="W43" s="6">
        <v>-14320.6</v>
      </c>
      <c r="X43" s="6">
        <v>-14142.8</v>
      </c>
      <c r="Y43" s="6">
        <v>-14220.7</v>
      </c>
      <c r="Z43" s="6">
        <v>-14714.6</v>
      </c>
      <c r="AA43" s="6">
        <v>-13364.3</v>
      </c>
      <c r="AB43" s="6">
        <v>-14676.2</v>
      </c>
      <c r="AC43" s="6">
        <f>AB43</f>
        <v>-14676.2</v>
      </c>
      <c r="AE43" s="6">
        <f>Q43-C43</f>
        <v>0</v>
      </c>
      <c r="AF43" s="6">
        <f>R43-D43</f>
        <v>0</v>
      </c>
      <c r="AG43" s="6">
        <f>S43-E43</f>
        <v>0</v>
      </c>
      <c r="AH43" s="6">
        <f>T43-F43</f>
        <v>0</v>
      </c>
      <c r="AI43" s="6">
        <f>U43-G43</f>
        <v>0</v>
      </c>
      <c r="AJ43" s="6">
        <f>V43-H43</f>
        <v>0</v>
      </c>
      <c r="AK43" s="6">
        <f>W43-I43</f>
        <v>0</v>
      </c>
      <c r="AL43" s="6">
        <f>X43-J43</f>
        <v>0</v>
      </c>
      <c r="AM43" s="6">
        <f>Y43-K43</f>
        <v>0</v>
      </c>
      <c r="AN43" s="6">
        <f>Z43-L43</f>
        <v>0</v>
      </c>
      <c r="AO43" s="6">
        <f>AA43-M43</f>
        <v>0</v>
      </c>
      <c r="AP43" s="6">
        <f>AB43-N43</f>
        <v>0</v>
      </c>
      <c r="AQ43" s="6">
        <f>AP43</f>
        <v>0</v>
      </c>
      <c r="AS43" s="6">
        <f>'Alder-Adj'!C93</f>
        <v>0</v>
      </c>
      <c r="AT43" s="6">
        <f>'Alder-Adj'!D93</f>
        <v>0</v>
      </c>
      <c r="AU43" s="6">
        <f>'Alder-Adj'!E93</f>
        <v>0</v>
      </c>
      <c r="AV43" s="6">
        <f>'Alder-Adj'!F93</f>
        <v>0</v>
      </c>
      <c r="AW43" s="6">
        <f>'Alder-Adj'!G93</f>
        <v>0</v>
      </c>
      <c r="AX43" s="6">
        <f>'Alder-Adj'!H93</f>
        <v>0</v>
      </c>
      <c r="AY43" s="6">
        <f>'Alder-Adj'!I93</f>
        <v>0</v>
      </c>
      <c r="AZ43" s="6">
        <f>'Alder-Adj'!J93</f>
        <v>0</v>
      </c>
      <c r="BA43" s="6">
        <f>'Alder-Adj'!K93</f>
        <v>0</v>
      </c>
      <c r="BB43" s="6">
        <f>'Alder-Adj'!L93</f>
        <v>0</v>
      </c>
      <c r="BC43" s="6">
        <f>'Alder-Adj'!M93</f>
        <v>0</v>
      </c>
      <c r="BD43" s="6">
        <f>'Alder-Adj'!N93</f>
        <v>0</v>
      </c>
      <c r="BE43" s="6">
        <f>BD43</f>
        <v>0</v>
      </c>
      <c r="BG43" s="6">
        <f>C43+AE43+AS43</f>
        <v>-12887.8</v>
      </c>
      <c r="BH43" s="6">
        <f>D43+AF43+AT43</f>
        <v>-12839.5</v>
      </c>
      <c r="BI43" s="6">
        <f>E43+AG43+AU43</f>
        <v>-13880.4</v>
      </c>
      <c r="BJ43" s="6">
        <f>F43+AH43+AV43</f>
        <v>-14812.1</v>
      </c>
      <c r="BK43" s="6">
        <f>G43+AI43+AW43</f>
        <v>-13471</v>
      </c>
      <c r="BL43" s="6">
        <f>H43+AJ43+AX43</f>
        <v>-14424.6</v>
      </c>
      <c r="BM43" s="6">
        <f>I43+AK43+AY43</f>
        <v>-14320.6</v>
      </c>
      <c r="BN43" s="6">
        <f>J43+AL43+AZ43</f>
        <v>-14142.8</v>
      </c>
      <c r="BO43" s="6">
        <f>K43+AM43+BA43</f>
        <v>-14220.7</v>
      </c>
      <c r="BP43" s="6">
        <f>L43+AN43+BB43</f>
        <v>-14714.6</v>
      </c>
      <c r="BQ43" s="6">
        <f>M43+AO43+BC43</f>
        <v>-13364.3</v>
      </c>
      <c r="BR43" s="6">
        <f>N43+AP43+BD43</f>
        <v>-14676.2</v>
      </c>
      <c r="BS43" s="6">
        <f>BR43</f>
        <v>-14676.2</v>
      </c>
    </row>
    <row r="44" spans="2:71">
      <c r="B44" s="5" t="s">
        <v>155</v>
      </c>
      <c r="C44" s="6">
        <v>-366.8</v>
      </c>
      <c r="D44" s="6">
        <v>-364.1</v>
      </c>
      <c r="E44" s="6">
        <v>-393.4</v>
      </c>
      <c r="F44" s="6">
        <v>-420.4</v>
      </c>
      <c r="G44" s="6">
        <v>-382</v>
      </c>
      <c r="H44" s="6">
        <v>-397.3</v>
      </c>
      <c r="I44" s="6">
        <v>-394.7</v>
      </c>
      <c r="J44" s="6">
        <v>-388.9</v>
      </c>
      <c r="K44" s="6">
        <v>-385.7</v>
      </c>
      <c r="L44" s="6">
        <v>-399.2</v>
      </c>
      <c r="M44" s="6">
        <v>-363.5</v>
      </c>
      <c r="N44" s="6">
        <v>-400.2</v>
      </c>
      <c r="O44" s="6">
        <f>N44</f>
        <v>-400.2</v>
      </c>
      <c r="Q44" s="6">
        <v>-366.8</v>
      </c>
      <c r="R44" s="6">
        <v>-364.1</v>
      </c>
      <c r="S44" s="6">
        <v>-393.4</v>
      </c>
      <c r="T44" s="6">
        <v>-420.4</v>
      </c>
      <c r="U44" s="6">
        <v>-382</v>
      </c>
      <c r="V44" s="6">
        <v>-397.3</v>
      </c>
      <c r="W44" s="6">
        <v>-394.7</v>
      </c>
      <c r="X44" s="6">
        <v>-388.9</v>
      </c>
      <c r="Y44" s="6">
        <v>-385.7</v>
      </c>
      <c r="Z44" s="6">
        <v>-399.2</v>
      </c>
      <c r="AA44" s="6">
        <v>-363.5</v>
      </c>
      <c r="AB44" s="6">
        <v>-400.2</v>
      </c>
      <c r="AC44" s="6">
        <f>AB44</f>
        <v>-400.2</v>
      </c>
      <c r="AE44" s="6">
        <f>Q44-C44</f>
        <v>0</v>
      </c>
      <c r="AF44" s="6">
        <f>R44-D44</f>
        <v>0</v>
      </c>
      <c r="AG44" s="6">
        <f>S44-E44</f>
        <v>0</v>
      </c>
      <c r="AH44" s="6">
        <f>T44-F44</f>
        <v>0</v>
      </c>
      <c r="AI44" s="6">
        <f>U44-G44</f>
        <v>0</v>
      </c>
      <c r="AJ44" s="6">
        <f>V44-H44</f>
        <v>0</v>
      </c>
      <c r="AK44" s="6">
        <f>W44-I44</f>
        <v>0</v>
      </c>
      <c r="AL44" s="6">
        <f>X44-J44</f>
        <v>0</v>
      </c>
      <c r="AM44" s="6">
        <f>Y44-K44</f>
        <v>0</v>
      </c>
      <c r="AN44" s="6">
        <f>Z44-L44</f>
        <v>0</v>
      </c>
      <c r="AO44" s="6">
        <f>AA44-M44</f>
        <v>0</v>
      </c>
      <c r="AP44" s="6">
        <f>AB44-N44</f>
        <v>0</v>
      </c>
      <c r="AQ44" s="6">
        <f>AP44</f>
        <v>0</v>
      </c>
      <c r="AS44" s="6">
        <f>'Alder-Adj'!C94</f>
        <v>0</v>
      </c>
      <c r="AT44" s="6">
        <f>'Alder-Adj'!D94</f>
        <v>0</v>
      </c>
      <c r="AU44" s="6">
        <f>'Alder-Adj'!E94</f>
        <v>0</v>
      </c>
      <c r="AV44" s="6">
        <f>'Alder-Adj'!F94</f>
        <v>0</v>
      </c>
      <c r="AW44" s="6">
        <f>'Alder-Adj'!G94</f>
        <v>0</v>
      </c>
      <c r="AX44" s="6">
        <f>'Alder-Adj'!H94</f>
        <v>0</v>
      </c>
      <c r="AY44" s="6">
        <f>'Alder-Adj'!I94</f>
        <v>0</v>
      </c>
      <c r="AZ44" s="6">
        <f>'Alder-Adj'!J94</f>
        <v>0</v>
      </c>
      <c r="BA44" s="6">
        <f>'Alder-Adj'!K94</f>
        <v>0</v>
      </c>
      <c r="BB44" s="6">
        <f>'Alder-Adj'!L94</f>
        <v>0</v>
      </c>
      <c r="BC44" s="6">
        <f>'Alder-Adj'!M94</f>
        <v>0</v>
      </c>
      <c r="BD44" s="6">
        <f>'Alder-Adj'!N94</f>
        <v>0</v>
      </c>
      <c r="BE44" s="6">
        <f>BD44</f>
        <v>0</v>
      </c>
      <c r="BG44" s="6">
        <f>C44+AE44+AS44</f>
        <v>-366.8</v>
      </c>
      <c r="BH44" s="6">
        <f>D44+AF44+AT44</f>
        <v>-364.1</v>
      </c>
      <c r="BI44" s="6">
        <f>E44+AG44+AU44</f>
        <v>-393.4</v>
      </c>
      <c r="BJ44" s="6">
        <f>F44+AH44+AV44</f>
        <v>-420.4</v>
      </c>
      <c r="BK44" s="6">
        <f>G44+AI44+AW44</f>
        <v>-382</v>
      </c>
      <c r="BL44" s="6">
        <f>H44+AJ44+AX44</f>
        <v>-397.3</v>
      </c>
      <c r="BM44" s="6">
        <f>I44+AK44+AY44</f>
        <v>-394.7</v>
      </c>
      <c r="BN44" s="6">
        <f>J44+AL44+AZ44</f>
        <v>-388.9</v>
      </c>
      <c r="BO44" s="6">
        <f>K44+AM44+BA44</f>
        <v>-385.7</v>
      </c>
      <c r="BP44" s="6">
        <f>L44+AN44+BB44</f>
        <v>-399.2</v>
      </c>
      <c r="BQ44" s="6">
        <f>M44+AO44+BC44</f>
        <v>-363.5</v>
      </c>
      <c r="BR44" s="6">
        <f>N44+AP44+BD44</f>
        <v>-400.2</v>
      </c>
      <c r="BS44" s="6">
        <f>BR44</f>
        <v>-400.2</v>
      </c>
    </row>
    <row r="45" spans="2:71">
      <c r="B45" s="2" t="s">
        <v>170</v>
      </c>
      <c r="C45" s="6">
        <f>SUM(C40:C44)</f>
        <v>27978.600000000006</v>
      </c>
      <c r="D45" s="6">
        <f>SUM(D40:D44)</f>
        <v>28027.4</v>
      </c>
      <c r="E45" s="6">
        <f>SUM(E40:E44)</f>
        <v>29942.299999999996</v>
      </c>
      <c r="F45" s="6">
        <f>SUM(F40:F44)</f>
        <v>31958.699999999997</v>
      </c>
      <c r="G45" s="6">
        <f>SUM(G40:G44)</f>
        <v>28551.300000000003</v>
      </c>
      <c r="H45" s="6">
        <f>SUM(H40:H44)</f>
        <v>29012.3</v>
      </c>
      <c r="I45" s="6">
        <f>SUM(I40:I44)</f>
        <v>28955.8</v>
      </c>
      <c r="J45" s="6">
        <f>SUM(J40:J44)</f>
        <v>27403.800000000007</v>
      </c>
      <c r="K45" s="6">
        <f>SUM(K40:K44)</f>
        <v>26922.300000000003</v>
      </c>
      <c r="L45" s="6">
        <f>SUM(L40:L44)</f>
        <v>27676.799999999999</v>
      </c>
      <c r="M45" s="6">
        <f>SUM(M40:M44)</f>
        <v>25398.300000000007</v>
      </c>
      <c r="N45" s="6">
        <f>SUM(N40:N44)</f>
        <v>27537.899999999994</v>
      </c>
      <c r="O45" s="6">
        <f>N45</f>
        <v>27537.899999999994</v>
      </c>
      <c r="Q45" s="6">
        <f>SUM(Q40:Q44)</f>
        <v>27978.600000000006</v>
      </c>
      <c r="R45" s="6">
        <f>SUM(R40:R44)</f>
        <v>28027.4</v>
      </c>
      <c r="S45" s="6">
        <f>SUM(S40:S44)</f>
        <v>29942.299999999996</v>
      </c>
      <c r="T45" s="6">
        <f>SUM(T40:T44)</f>
        <v>31958.699999999997</v>
      </c>
      <c r="U45" s="6">
        <f>SUM(U40:U44)</f>
        <v>28551.300000000003</v>
      </c>
      <c r="V45" s="6">
        <f>SUM(V40:V44)</f>
        <v>29012.3</v>
      </c>
      <c r="W45" s="6">
        <f>SUM(W40:W44)</f>
        <v>28955.8</v>
      </c>
      <c r="X45" s="6">
        <f>SUM(X40:X44)</f>
        <v>27403.800000000007</v>
      </c>
      <c r="Y45" s="6">
        <f>SUM(Y40:Y44)</f>
        <v>26922.300000000003</v>
      </c>
      <c r="Z45" s="6">
        <f>SUM(Z40:Z44)</f>
        <v>27676.799999999999</v>
      </c>
      <c r="AA45" s="6">
        <f>SUM(AA40:AA44)</f>
        <v>25398.300000000007</v>
      </c>
      <c r="AB45" s="6">
        <f>SUM(AB40:AB44)</f>
        <v>27537.899999999994</v>
      </c>
      <c r="AC45" s="6">
        <f>AB45</f>
        <v>27537.899999999994</v>
      </c>
      <c r="AE45" s="6">
        <f>SUM(AE40:AE44)</f>
        <v>0</v>
      </c>
      <c r="AF45" s="6">
        <f>SUM(AF40:AF44)</f>
        <v>0</v>
      </c>
      <c r="AG45" s="6">
        <f>SUM(AG40:AG44)</f>
        <v>0</v>
      </c>
      <c r="AH45" s="6">
        <f>SUM(AH40:AH44)</f>
        <v>0</v>
      </c>
      <c r="AI45" s="6">
        <f>SUM(AI40:AI44)</f>
        <v>0</v>
      </c>
      <c r="AJ45" s="6">
        <f>SUM(AJ40:AJ44)</f>
        <v>0</v>
      </c>
      <c r="AK45" s="6">
        <f>SUM(AK40:AK44)</f>
        <v>0</v>
      </c>
      <c r="AL45" s="6">
        <f>SUM(AL40:AL44)</f>
        <v>0</v>
      </c>
      <c r="AM45" s="6">
        <f>SUM(AM40:AM44)</f>
        <v>0</v>
      </c>
      <c r="AN45" s="6">
        <f>SUM(AN40:AN44)</f>
        <v>0</v>
      </c>
      <c r="AO45" s="6">
        <f>SUM(AO40:AO44)</f>
        <v>0</v>
      </c>
      <c r="AP45" s="6">
        <f>SUM(AP40:AP44)</f>
        <v>0</v>
      </c>
      <c r="AQ45" s="6">
        <f>AP45</f>
        <v>0</v>
      </c>
      <c r="AS45" s="6">
        <f>SUM(AS40:AS44)</f>
        <v>0</v>
      </c>
      <c r="AT45" s="6">
        <f>SUM(AT40:AT44)</f>
        <v>0</v>
      </c>
      <c r="AU45" s="6">
        <f>SUM(AU40:AU44)</f>
        <v>0</v>
      </c>
      <c r="AV45" s="6">
        <f>SUM(AV40:AV44)</f>
        <v>0</v>
      </c>
      <c r="AW45" s="6">
        <f>SUM(AW40:AW44)</f>
        <v>0</v>
      </c>
      <c r="AX45" s="6">
        <f>SUM(AX40:AX44)</f>
        <v>0</v>
      </c>
      <c r="AY45" s="6">
        <f>SUM(AY40:AY44)</f>
        <v>0</v>
      </c>
      <c r="AZ45" s="6">
        <f>SUM(AZ40:AZ44)</f>
        <v>0</v>
      </c>
      <c r="BA45" s="6">
        <f>SUM(BA40:BA44)</f>
        <v>0</v>
      </c>
      <c r="BB45" s="6">
        <f>SUM(BB40:BB44)</f>
        <v>-1200</v>
      </c>
      <c r="BC45" s="6">
        <f>SUM(BC40:BC44)</f>
        <v>-2000</v>
      </c>
      <c r="BD45" s="6">
        <f>SUM(BD40:BD44)</f>
        <v>-2500</v>
      </c>
      <c r="BE45" s="6">
        <f>BD45</f>
        <v>-2500</v>
      </c>
      <c r="BG45" s="6">
        <f>SUM(BG40:BG44)</f>
        <v>27978.600000000006</v>
      </c>
      <c r="BH45" s="6">
        <f>SUM(BH40:BH44)</f>
        <v>28027.4</v>
      </c>
      <c r="BI45" s="6">
        <f>SUM(BI40:BI44)</f>
        <v>29942.299999999996</v>
      </c>
      <c r="BJ45" s="6">
        <f>SUM(BJ40:BJ44)</f>
        <v>31958.699999999997</v>
      </c>
      <c r="BK45" s="6">
        <f>SUM(BK40:BK44)</f>
        <v>28551.300000000003</v>
      </c>
      <c r="BL45" s="6">
        <f>SUM(BL40:BL44)</f>
        <v>29012.3</v>
      </c>
      <c r="BM45" s="6">
        <f>SUM(BM40:BM44)</f>
        <v>28955.8</v>
      </c>
      <c r="BN45" s="6">
        <f>SUM(BN40:BN44)</f>
        <v>27403.800000000007</v>
      </c>
      <c r="BO45" s="6">
        <f>SUM(BO40:BO44)</f>
        <v>26922.300000000003</v>
      </c>
      <c r="BP45" s="6">
        <f>SUM(BP40:BP44)</f>
        <v>26476.799999999999</v>
      </c>
      <c r="BQ45" s="6">
        <f>SUM(BQ40:BQ44)</f>
        <v>23398.300000000007</v>
      </c>
      <c r="BR45" s="6">
        <f>SUM(BR40:BR44)</f>
        <v>25037.899999999994</v>
      </c>
      <c r="BS45" s="6">
        <f>BR45</f>
        <v>25037.899999999994</v>
      </c>
    </row>
    <row r="46" spans="2:71">
      <c r="B46" s="5" t="s">
        <v>171</v>
      </c>
      <c r="C46" s="12">
        <f>IFERROR(C45/(C28*12),0)</f>
        <v>0.19068863989531368</v>
      </c>
      <c r="D46" s="12">
        <f>IFERROR(D45/(D28*12),0)</f>
        <v>0.1924297974596636</v>
      </c>
      <c r="E46" s="12">
        <f>IFERROR(E45/(E28*12),0)</f>
        <v>0.19029832723205203</v>
      </c>
      <c r="F46" s="12">
        <f>IFERROR(F45/(F28*12),0)</f>
        <v>0.19003353669413819</v>
      </c>
      <c r="G46" s="12">
        <f>IFERROR(G45/(G28*12),0)</f>
        <v>0.18684134064173641</v>
      </c>
      <c r="H46" s="12">
        <f>IFERROR(H45/(H28*12),0)</f>
        <v>0.18254582474473297</v>
      </c>
      <c r="I46" s="12">
        <f>IFERROR(I45/(I28*12),0)</f>
        <v>0.18340199237909929</v>
      </c>
      <c r="J46" s="12">
        <f>IFERROR(J45/(J28*12),0)</f>
        <v>0.17617901420294554</v>
      </c>
      <c r="K46" s="12">
        <f>IFERROR(K45/(K28*12),0)</f>
        <v>0.17448611359553273</v>
      </c>
      <c r="L46" s="12">
        <f>IFERROR(L45/(L28*12),0)</f>
        <v>0.17077234056731599</v>
      </c>
      <c r="M46" s="12">
        <f>IFERROR(M45/(M28*12),0)</f>
        <v>0.17182514876724123</v>
      </c>
      <c r="N46" s="12">
        <f>IFERROR(N45/(N28*12),0)</f>
        <v>0.16946733720294796</v>
      </c>
      <c r="Q46" s="12">
        <f>IFERROR(Q45/(Q28*12),0)</f>
        <v>0.19068863989531368</v>
      </c>
      <c r="R46" s="12">
        <f>IFERROR(R45/(R28*12),0)</f>
        <v>0.1924297974596636</v>
      </c>
      <c r="S46" s="12">
        <f>IFERROR(S45/(S28*12),0)</f>
        <v>0.19029832723205203</v>
      </c>
      <c r="T46" s="12">
        <f>IFERROR(T45/(T28*12),0)</f>
        <v>0.19003353669413819</v>
      </c>
      <c r="U46" s="12">
        <f>IFERROR(U45/(U28*12),0)</f>
        <v>0.18684134064173641</v>
      </c>
      <c r="V46" s="12">
        <f>IFERROR(V45/(V28*12),0)</f>
        <v>0.18254582474473297</v>
      </c>
      <c r="W46" s="12">
        <f>IFERROR(W45/(W28*12),0)</f>
        <v>0.18340199237909929</v>
      </c>
      <c r="X46" s="12">
        <f>IFERROR(X45/(X28*12),0)</f>
        <v>0.17617901420294554</v>
      </c>
      <c r="Y46" s="12">
        <f>IFERROR(Y45/(Y28*12),0)</f>
        <v>0.17448611359553273</v>
      </c>
      <c r="Z46" s="12">
        <f>IFERROR(Z45/(Z28*12),0)</f>
        <v>0.17077234056731599</v>
      </c>
      <c r="AA46" s="12">
        <f>IFERROR(AA45/(AA28*12),0)</f>
        <v>0.17182514876724123</v>
      </c>
      <c r="AB46" s="12">
        <f>IFERROR(AB45/(AB28*12),0)</f>
        <v>0.16946733720294796</v>
      </c>
      <c r="AE46" s="12">
        <f>IFERROR(AE45/(AE28*12),0)</f>
        <v>0</v>
      </c>
      <c r="AF46" s="12">
        <f>IFERROR(AF45/(AF28*12),0)</f>
        <v>0</v>
      </c>
      <c r="AG46" s="12">
        <f>IFERROR(AG45/(AG28*12),0)</f>
        <v>0</v>
      </c>
      <c r="AH46" s="12">
        <f>IFERROR(AH45/(AH28*12),0)</f>
        <v>0</v>
      </c>
      <c r="AI46" s="12">
        <f>IFERROR(AI45/(AI28*12),0)</f>
        <v>0</v>
      </c>
      <c r="AJ46" s="12">
        <f>IFERROR(AJ45/(AJ28*12),0)</f>
        <v>0</v>
      </c>
      <c r="AK46" s="12">
        <f>IFERROR(AK45/(AK28*12),0)</f>
        <v>0</v>
      </c>
      <c r="AL46" s="12">
        <f>IFERROR(AL45/(AL28*12),0)</f>
        <v>0</v>
      </c>
      <c r="AM46" s="12">
        <f>IFERROR(AM45/(AM28*12),0)</f>
        <v>0</v>
      </c>
      <c r="AN46" s="12">
        <f>IFERROR(AN45/(AN28*12),0)</f>
        <v>0</v>
      </c>
      <c r="AO46" s="12">
        <f>IFERROR(AO45/(AO28*12),0)</f>
        <v>0</v>
      </c>
      <c r="AP46" s="12">
        <f>IFERROR(AP45/(AP28*12),0)</f>
        <v>0</v>
      </c>
      <c r="AS46" s="12">
        <f>IFERROR(AS45/(AS28*12),0)</f>
        <v>0</v>
      </c>
      <c r="AT46" s="12">
        <f>IFERROR(AT45/(AT28*12),0)</f>
        <v>0</v>
      </c>
      <c r="AU46" s="12">
        <f>IFERROR(AU45/(AU28*12),0)</f>
        <v>0</v>
      </c>
      <c r="AV46" s="12">
        <f>IFERROR(AV45/(AV28*12),0)</f>
        <v>0</v>
      </c>
      <c r="AW46" s="12">
        <f>IFERROR(AW45/(AW28*12),0)</f>
        <v>0</v>
      </c>
      <c r="AX46" s="12">
        <f>IFERROR(AX45/(AX28*12),0)</f>
        <v>0</v>
      </c>
      <c r="AY46" s="12">
        <f>IFERROR(AY45/(AY28*12),0)</f>
        <v>0</v>
      </c>
      <c r="AZ46" s="12">
        <f>IFERROR(AZ45/(AZ28*12),0)</f>
        <v>0</v>
      </c>
      <c r="BA46" s="12">
        <f>IFERROR(BA45/(BA28*12),0)</f>
        <v>0</v>
      </c>
      <c r="BB46" s="12">
        <f>IFERROR(BB45/(BB28*12),0)</f>
        <v>0.5</v>
      </c>
      <c r="BC46" s="12">
        <f>IFERROR(BC45/(BC28*12),0)</f>
        <v>0.83333333333333337</v>
      </c>
      <c r="BD46" s="12">
        <f>IFERROR(BD45/(BD28*12),0)</f>
        <v>1.0416666666666667</v>
      </c>
      <c r="BG46" s="12">
        <f>IFERROR(BG45/(BG28*12),0)</f>
        <v>0.19068863989531368</v>
      </c>
      <c r="BH46" s="12">
        <f>IFERROR(BH45/(BH28*12),0)</f>
        <v>0.1924297974596636</v>
      </c>
      <c r="BI46" s="12">
        <f>IFERROR(BI45/(BI28*12),0)</f>
        <v>0.19029832723205203</v>
      </c>
      <c r="BJ46" s="12">
        <f>IFERROR(BJ45/(BJ28*12),0)</f>
        <v>0.19003353669413819</v>
      </c>
      <c r="BK46" s="12">
        <f>IFERROR(BK45/(BK28*12),0)</f>
        <v>0.18684134064173641</v>
      </c>
      <c r="BL46" s="12">
        <f>IFERROR(BL45/(BL28*12),0)</f>
        <v>0.18254582474473297</v>
      </c>
      <c r="BM46" s="12">
        <f>IFERROR(BM45/(BM28*12),0)</f>
        <v>0.18340199237909929</v>
      </c>
      <c r="BN46" s="12">
        <f>IFERROR(BN45/(BN28*12),0)</f>
        <v>0.17617901420294554</v>
      </c>
      <c r="BO46" s="12">
        <f>IFERROR(BO45/(BO28*12),0)</f>
        <v>0.17448611359553273</v>
      </c>
      <c r="BP46" s="12">
        <f>IFERROR(BP45/(BP28*12),0)</f>
        <v>0.16582366955515301</v>
      </c>
      <c r="BQ46" s="12">
        <f>IFERROR(BQ45/(BQ28*12),0)</f>
        <v>0.16090728041437327</v>
      </c>
      <c r="BR46" s="12">
        <f>IFERROR(BR45/(BR28*12),0)</f>
        <v>0.15639225768410109</v>
      </c>
    </row>
    <row r="49" spans="2:15">
      <c r="B49" s="8" t="s">
        <v>172</v>
      </c>
    </row>
    <row r="50" spans="2:15">
      <c r="C50" s="19" t="s">
        <v>70</v>
      </c>
      <c r="D50" s="19" t="s">
        <v>71</v>
      </c>
      <c r="E50" s="19" t="s">
        <v>72</v>
      </c>
      <c r="F50" s="19" t="s">
        <v>73</v>
      </c>
      <c r="G50" s="19" t="s">
        <v>50</v>
      </c>
      <c r="H50" s="19" t="s">
        <v>74</v>
      </c>
      <c r="I50" s="19" t="s">
        <v>75</v>
      </c>
      <c r="J50" s="19" t="s">
        <v>76</v>
      </c>
      <c r="K50" s="19" t="s">
        <v>77</v>
      </c>
      <c r="L50" s="19" t="s">
        <v>78</v>
      </c>
      <c r="M50" s="19" t="s">
        <v>79</v>
      </c>
      <c r="N50" s="19" t="s">
        <v>80</v>
      </c>
      <c r="O50" s="2" t="s">
        <v>165</v>
      </c>
    </row>
    <row r="51" spans="2:15">
      <c r="B51" t="s">
        <v>100</v>
      </c>
      <c r="C51" s="6">
        <v>11875</v>
      </c>
      <c r="D51" s="6">
        <v>11625</v>
      </c>
      <c r="E51" s="6">
        <v>12499.9</v>
      </c>
      <c r="F51" s="6">
        <v>13500</v>
      </c>
      <c r="G51" s="6">
        <v>12250</v>
      </c>
      <c r="H51" s="6">
        <v>12875</v>
      </c>
      <c r="I51" s="6">
        <v>12749.9</v>
      </c>
      <c r="J51" s="6">
        <v>12500</v>
      </c>
      <c r="K51" s="6">
        <v>12250</v>
      </c>
      <c r="L51" s="6">
        <v>13125</v>
      </c>
      <c r="M51" s="6">
        <v>11875</v>
      </c>
      <c r="N51" s="6">
        <v>12875</v>
      </c>
      <c r="O51" s="6">
        <f>SUM(C51:N51)</f>
        <v>149999.79999999999</v>
      </c>
    </row>
    <row r="52" spans="2:15">
      <c r="B52" t="s">
        <v>111</v>
      </c>
      <c r="C52" s="6">
        <v>3146.9</v>
      </c>
      <c r="D52" s="6">
        <v>3080.6</v>
      </c>
      <c r="E52" s="6">
        <v>3312.4</v>
      </c>
      <c r="F52" s="6">
        <v>3577.5</v>
      </c>
      <c r="G52" s="6">
        <v>3246.3</v>
      </c>
      <c r="H52" s="6">
        <v>3411.8</v>
      </c>
      <c r="I52" s="6">
        <v>3378.7</v>
      </c>
      <c r="J52" s="6">
        <v>3312.5</v>
      </c>
      <c r="K52" s="6">
        <v>3246.3</v>
      </c>
      <c r="L52" s="6">
        <v>3478.1</v>
      </c>
      <c r="M52" s="6">
        <v>3146.9</v>
      </c>
      <c r="N52" s="6">
        <v>3411.9</v>
      </c>
      <c r="O52" s="6">
        <f>SUM(C52:N52)</f>
        <v>39749.9</v>
      </c>
    </row>
    <row r="53" spans="2:15">
      <c r="B53" t="s">
        <v>112</v>
      </c>
      <c r="C53" s="6">
        <v>-2410.6999999999998</v>
      </c>
      <c r="D53" s="6">
        <v>-2360.1</v>
      </c>
      <c r="E53" s="6">
        <v>-2537.5</v>
      </c>
      <c r="F53" s="6">
        <v>-2740.6</v>
      </c>
      <c r="G53" s="6">
        <v>-2486.9</v>
      </c>
      <c r="H53" s="6">
        <v>-2613.6</v>
      </c>
      <c r="I53" s="6">
        <v>-2588.5</v>
      </c>
      <c r="J53" s="6">
        <v>-2537.5</v>
      </c>
      <c r="K53" s="6">
        <v>-2486.9</v>
      </c>
      <c r="L53" s="6">
        <v>-2665</v>
      </c>
      <c r="M53" s="6">
        <v>-2410.6999999999998</v>
      </c>
      <c r="N53" s="6">
        <v>-2613.6</v>
      </c>
      <c r="O53" s="6">
        <f>SUM(C53:N53)</f>
        <v>-30451.600000000002</v>
      </c>
    </row>
    <row r="54" spans="2:15">
      <c r="B54" t="s">
        <v>113</v>
      </c>
      <c r="C54" s="6">
        <f>C52+C53</f>
        <v>736.20000000000027</v>
      </c>
      <c r="D54" s="6">
        <f>D52+D53</f>
        <v>720.5</v>
      </c>
      <c r="E54" s="6">
        <f>E52+E53</f>
        <v>774.90000000000009</v>
      </c>
      <c r="F54" s="6">
        <f>F52+F53</f>
        <v>836.90000000000009</v>
      </c>
      <c r="G54" s="6">
        <f>G52+G53</f>
        <v>759.40000000000009</v>
      </c>
      <c r="H54" s="6">
        <f>H52+H53</f>
        <v>798.20000000000027</v>
      </c>
      <c r="I54" s="6">
        <f>I52+I53</f>
        <v>790.19999999999982</v>
      </c>
      <c r="J54" s="6">
        <f>J52+J53</f>
        <v>775</v>
      </c>
      <c r="K54" s="6">
        <f>K52+K53</f>
        <v>759.40000000000009</v>
      </c>
      <c r="L54" s="6">
        <f>L52+L53</f>
        <v>813.09999999999991</v>
      </c>
      <c r="M54" s="6">
        <f>M52+M53</f>
        <v>736.20000000000027</v>
      </c>
      <c r="N54" s="6">
        <f>N52+N53</f>
        <v>798.30000000000018</v>
      </c>
      <c r="O54" s="6">
        <f>SUM(C54:N54)</f>
        <v>9298.3000000000029</v>
      </c>
    </row>
    <row r="55" spans="2:15">
      <c r="B55" t="s">
        <v>151</v>
      </c>
      <c r="C55" s="6">
        <v>22047.200000000001</v>
      </c>
      <c r="D55" s="6">
        <v>21955.7</v>
      </c>
      <c r="E55" s="6">
        <v>23058</v>
      </c>
      <c r="F55" s="6">
        <v>24932.799999999999</v>
      </c>
      <c r="G55" s="6">
        <v>23042.6</v>
      </c>
      <c r="H55" s="6">
        <v>23739.7</v>
      </c>
      <c r="I55" s="6">
        <v>23671.200000000001</v>
      </c>
      <c r="J55" s="6">
        <v>23554.5</v>
      </c>
      <c r="K55" s="6">
        <v>23081.5</v>
      </c>
      <c r="L55" s="6">
        <v>24442.9</v>
      </c>
      <c r="M55" s="6">
        <v>22079.5</v>
      </c>
      <c r="N55" s="6">
        <v>23926.400000000001</v>
      </c>
      <c r="O55" s="6">
        <f>N55</f>
        <v>23926.400000000001</v>
      </c>
    </row>
    <row r="56" spans="2:15">
      <c r="B56" t="s">
        <v>152</v>
      </c>
      <c r="C56" s="6">
        <v>17812.5</v>
      </c>
      <c r="D56" s="6">
        <v>17437.5</v>
      </c>
      <c r="E56" s="6">
        <v>18749.8</v>
      </c>
      <c r="F56" s="6">
        <v>20250</v>
      </c>
      <c r="G56" s="6">
        <v>18375</v>
      </c>
      <c r="H56" s="6">
        <v>19312.5</v>
      </c>
      <c r="I56" s="6">
        <v>19124.8</v>
      </c>
      <c r="J56" s="6">
        <v>18750</v>
      </c>
      <c r="K56" s="6">
        <v>18375</v>
      </c>
      <c r="L56" s="6">
        <v>19687.5</v>
      </c>
      <c r="M56" s="6">
        <v>17812.5</v>
      </c>
      <c r="N56" s="6">
        <v>19312.5</v>
      </c>
      <c r="O56" s="6">
        <f>N56</f>
        <v>19312.5</v>
      </c>
    </row>
    <row r="57" spans="2:15">
      <c r="B57" t="s">
        <v>153</v>
      </c>
      <c r="C57" s="6">
        <v>178.1</v>
      </c>
      <c r="D57" s="6">
        <v>174.4</v>
      </c>
      <c r="E57" s="6">
        <v>187.5</v>
      </c>
      <c r="F57" s="6">
        <v>202.5</v>
      </c>
      <c r="G57" s="6">
        <v>183.8</v>
      </c>
      <c r="H57" s="6">
        <v>193.1</v>
      </c>
      <c r="I57" s="6">
        <v>191.2</v>
      </c>
      <c r="J57" s="6">
        <v>187.5</v>
      </c>
      <c r="K57" s="6">
        <v>183.8</v>
      </c>
      <c r="L57" s="6">
        <v>196.9</v>
      </c>
      <c r="M57" s="6">
        <v>178.1</v>
      </c>
      <c r="N57" s="6">
        <v>193.1</v>
      </c>
      <c r="O57" s="6">
        <f>N57</f>
        <v>193.1</v>
      </c>
    </row>
    <row r="58" spans="2:15">
      <c r="B58" t="s">
        <v>154</v>
      </c>
      <c r="C58" s="6">
        <v>-12219.3</v>
      </c>
      <c r="D58" s="6">
        <v>-11962.2</v>
      </c>
      <c r="E58" s="6">
        <v>-12862.5</v>
      </c>
      <c r="F58" s="6">
        <v>-13891.5</v>
      </c>
      <c r="G58" s="6">
        <v>-12605.2</v>
      </c>
      <c r="H58" s="6">
        <v>-13248.5</v>
      </c>
      <c r="I58" s="6">
        <v>-13119.7</v>
      </c>
      <c r="J58" s="6">
        <v>-12862.5</v>
      </c>
      <c r="K58" s="6">
        <v>-12605.2</v>
      </c>
      <c r="L58" s="6">
        <v>-13505.7</v>
      </c>
      <c r="M58" s="6">
        <v>-12219.3</v>
      </c>
      <c r="N58" s="6">
        <v>-13248.3</v>
      </c>
      <c r="O58" s="6">
        <f>N58</f>
        <v>-13248.3</v>
      </c>
    </row>
    <row r="59" spans="2:15">
      <c r="B59" t="s">
        <v>155</v>
      </c>
      <c r="C59" s="6">
        <v>-356.2</v>
      </c>
      <c r="D59" s="6">
        <v>-348.8</v>
      </c>
      <c r="E59" s="6">
        <v>-375</v>
      </c>
      <c r="F59" s="6">
        <v>-405</v>
      </c>
      <c r="G59" s="6">
        <v>-367.5</v>
      </c>
      <c r="H59" s="6">
        <v>-386.2</v>
      </c>
      <c r="I59" s="6">
        <v>-382.5</v>
      </c>
      <c r="J59" s="6">
        <v>-375</v>
      </c>
      <c r="K59" s="6">
        <v>-367.5</v>
      </c>
      <c r="L59" s="6">
        <v>-393.8</v>
      </c>
      <c r="M59" s="6">
        <v>-356.2</v>
      </c>
      <c r="N59" s="6">
        <v>-386.2</v>
      </c>
      <c r="O59" s="6">
        <f>N59</f>
        <v>-386.2</v>
      </c>
    </row>
    <row r="60" spans="2:15">
      <c r="B60" t="s">
        <v>170</v>
      </c>
      <c r="C60" s="6">
        <f>SUM(C55:C59)</f>
        <v>27462.299999999996</v>
      </c>
      <c r="D60" s="6">
        <f>SUM(D55:D59)</f>
        <v>27256.6</v>
      </c>
      <c r="E60" s="6">
        <f>SUM(E55:E59)</f>
        <v>28757.800000000003</v>
      </c>
      <c r="F60" s="6">
        <f>SUM(F55:F59)</f>
        <v>31088.800000000003</v>
      </c>
      <c r="G60" s="6">
        <f>SUM(G55:G59)</f>
        <v>28628.7</v>
      </c>
      <c r="H60" s="6">
        <f>SUM(H55:H59)</f>
        <v>29610.599999999995</v>
      </c>
      <c r="I60" s="6">
        <f>SUM(I55:I59)</f>
        <v>29484.999999999996</v>
      </c>
      <c r="J60" s="6">
        <f>SUM(J55:J59)</f>
        <v>29254.5</v>
      </c>
      <c r="K60" s="6">
        <f>SUM(K55:K59)</f>
        <v>28667.600000000002</v>
      </c>
      <c r="L60" s="6">
        <f>SUM(L55:L59)</f>
        <v>30427.800000000003</v>
      </c>
      <c r="M60" s="6">
        <f>SUM(M55:M59)</f>
        <v>27494.6</v>
      </c>
      <c r="N60" s="6">
        <f>SUM(N55:N59)</f>
        <v>29797.5</v>
      </c>
      <c r="O60" s="6">
        <f>N60</f>
        <v>29797.5</v>
      </c>
    </row>
    <row r="62" spans="2:15">
      <c r="B62" s="8" t="s">
        <v>173</v>
      </c>
    </row>
    <row r="63" spans="2:15">
      <c r="C63" s="19" t="s">
        <v>70</v>
      </c>
      <c r="D63" s="19" t="s">
        <v>71</v>
      </c>
      <c r="E63" s="19" t="s">
        <v>72</v>
      </c>
      <c r="F63" s="19" t="s">
        <v>73</v>
      </c>
      <c r="G63" s="19" t="s">
        <v>50</v>
      </c>
      <c r="H63" s="19" t="s">
        <v>74</v>
      </c>
      <c r="I63" s="19" t="s">
        <v>75</v>
      </c>
      <c r="J63" s="19" t="s">
        <v>76</v>
      </c>
      <c r="K63" s="19" t="s">
        <v>77</v>
      </c>
      <c r="L63" s="19" t="s">
        <v>78</v>
      </c>
      <c r="M63" s="19" t="s">
        <v>79</v>
      </c>
      <c r="N63" s="19" t="s">
        <v>80</v>
      </c>
      <c r="O63" s="2" t="s">
        <v>165</v>
      </c>
    </row>
    <row r="64" spans="2:15">
      <c r="B64" t="s">
        <v>100</v>
      </c>
      <c r="C64" s="6">
        <v>11439</v>
      </c>
      <c r="D64" s="6">
        <v>10950.3</v>
      </c>
      <c r="E64" s="6">
        <v>12000.4</v>
      </c>
      <c r="F64" s="6">
        <v>13070.6</v>
      </c>
      <c r="G64" s="6">
        <v>11619.2</v>
      </c>
      <c r="H64" s="6">
        <v>12276.2</v>
      </c>
      <c r="I64" s="6">
        <v>12248.2</v>
      </c>
      <c r="J64" s="6">
        <v>11977.4</v>
      </c>
      <c r="K64" s="6">
        <v>11779.1</v>
      </c>
      <c r="L64" s="6">
        <v>12655.3</v>
      </c>
      <c r="M64" s="6">
        <v>11249.6</v>
      </c>
      <c r="N64" s="6">
        <v>12333.7</v>
      </c>
      <c r="O64" s="6">
        <f>SUM(C64:N64)</f>
        <v>143599</v>
      </c>
    </row>
    <row r="65" spans="2:15">
      <c r="B65" t="s">
        <v>111</v>
      </c>
      <c r="C65" s="6">
        <v>3138</v>
      </c>
      <c r="D65" s="6">
        <v>2951.8</v>
      </c>
      <c r="E65" s="6">
        <v>3289.7</v>
      </c>
      <c r="F65" s="6">
        <v>3505.6</v>
      </c>
      <c r="G65" s="6">
        <v>3133.5</v>
      </c>
      <c r="H65" s="6">
        <v>3336.8</v>
      </c>
      <c r="I65" s="6">
        <v>3286.2</v>
      </c>
      <c r="J65" s="6">
        <v>3254.9</v>
      </c>
      <c r="K65" s="6">
        <v>3217.3</v>
      </c>
      <c r="L65" s="6">
        <v>3430.6</v>
      </c>
      <c r="M65" s="6">
        <v>3051.7</v>
      </c>
      <c r="N65" s="6">
        <v>3363.2</v>
      </c>
      <c r="O65" s="6">
        <f>SUM(C65:N65)</f>
        <v>38959.299999999996</v>
      </c>
    </row>
    <row r="66" spans="2:15">
      <c r="B66" t="s">
        <v>112</v>
      </c>
      <c r="C66" s="6">
        <v>-2332.3000000000002</v>
      </c>
      <c r="D66" s="6">
        <v>-2272.6</v>
      </c>
      <c r="E66" s="6">
        <v>-2462.4</v>
      </c>
      <c r="F66" s="6">
        <v>-2662.1</v>
      </c>
      <c r="G66" s="6">
        <v>-2405.3000000000002</v>
      </c>
      <c r="H66" s="6">
        <v>-2536.4</v>
      </c>
      <c r="I66" s="6">
        <v>-2516.1</v>
      </c>
      <c r="J66" s="6">
        <v>-2441.4</v>
      </c>
      <c r="K66" s="6">
        <v>-2408.8000000000002</v>
      </c>
      <c r="L66" s="6">
        <v>-2580.1</v>
      </c>
      <c r="M66" s="6">
        <v>-2335.8000000000002</v>
      </c>
      <c r="N66" s="6">
        <v>-2519.8000000000002</v>
      </c>
      <c r="O66" s="6">
        <f>SUM(C66:N66)</f>
        <v>-29473.1</v>
      </c>
    </row>
    <row r="67" spans="2:15">
      <c r="B67" t="s">
        <v>113</v>
      </c>
      <c r="C67" s="6">
        <f>C65+C66</f>
        <v>805.69999999999982</v>
      </c>
      <c r="D67" s="6">
        <f>D65+D66</f>
        <v>679.20000000000027</v>
      </c>
      <c r="E67" s="6">
        <f>E65+E66</f>
        <v>827.29999999999973</v>
      </c>
      <c r="F67" s="6">
        <f>F65+F66</f>
        <v>843.5</v>
      </c>
      <c r="G67" s="6">
        <f>G65+G66</f>
        <v>728.19999999999982</v>
      </c>
      <c r="H67" s="6">
        <f>H65+H66</f>
        <v>800.40000000000009</v>
      </c>
      <c r="I67" s="6">
        <f>I65+I66</f>
        <v>770.09999999999991</v>
      </c>
      <c r="J67" s="6">
        <f>J65+J66</f>
        <v>813.5</v>
      </c>
      <c r="K67" s="6">
        <f>K65+K66</f>
        <v>808.5</v>
      </c>
      <c r="L67" s="6">
        <f>L65+L66</f>
        <v>850.5</v>
      </c>
      <c r="M67" s="6">
        <f>M65+M66</f>
        <v>715.89999999999964</v>
      </c>
      <c r="N67" s="6">
        <f>N65+N66</f>
        <v>843.39999999999964</v>
      </c>
      <c r="O67" s="6">
        <f>SUM(C67:N67)</f>
        <v>9486.1999999999989</v>
      </c>
    </row>
    <row r="68" spans="2:15">
      <c r="B68" t="s">
        <v>151</v>
      </c>
      <c r="C68" s="6">
        <v>23602.6</v>
      </c>
      <c r="D68" s="6">
        <v>22384</v>
      </c>
      <c r="E68" s="6">
        <v>24068.799999999999</v>
      </c>
      <c r="F68" s="6">
        <v>26337.599999999999</v>
      </c>
      <c r="G68" s="6">
        <v>23549.9</v>
      </c>
      <c r="H68" s="6">
        <v>24811.8</v>
      </c>
      <c r="I68" s="6">
        <v>25484.9</v>
      </c>
      <c r="J68" s="6">
        <v>24062.799999999999</v>
      </c>
      <c r="K68" s="6">
        <v>23908.1</v>
      </c>
      <c r="L68" s="6">
        <v>26061.1</v>
      </c>
      <c r="M68" s="6">
        <v>23195.599999999999</v>
      </c>
      <c r="N68" s="6">
        <v>25323.4</v>
      </c>
      <c r="O68" s="6">
        <f>N68</f>
        <v>25323.4</v>
      </c>
    </row>
    <row r="69" spans="2:15">
      <c r="B69" t="s">
        <v>152</v>
      </c>
      <c r="C69" s="6">
        <v>17539.8</v>
      </c>
      <c r="D69" s="6">
        <v>16790.5</v>
      </c>
      <c r="E69" s="6">
        <v>18400.599999999999</v>
      </c>
      <c r="F69" s="6">
        <v>20041.599999999999</v>
      </c>
      <c r="G69" s="6">
        <v>17816.099999999999</v>
      </c>
      <c r="H69" s="6">
        <v>18823.5</v>
      </c>
      <c r="I69" s="6">
        <v>18780.599999999999</v>
      </c>
      <c r="J69" s="6">
        <v>18365.3</v>
      </c>
      <c r="K69" s="6">
        <v>18061.3</v>
      </c>
      <c r="L69" s="6">
        <v>19404.8</v>
      </c>
      <c r="M69" s="6">
        <v>17249.400000000001</v>
      </c>
      <c r="N69" s="6">
        <v>18911.7</v>
      </c>
      <c r="O69" s="6">
        <f>N69</f>
        <v>18911.7</v>
      </c>
    </row>
    <row r="70" spans="2:15">
      <c r="B70" t="s">
        <v>153</v>
      </c>
      <c r="C70" s="6">
        <v>171.6</v>
      </c>
      <c r="D70" s="6">
        <v>164.3</v>
      </c>
      <c r="E70" s="6">
        <v>180</v>
      </c>
      <c r="F70" s="6">
        <v>196.1</v>
      </c>
      <c r="G70" s="6">
        <v>174.3</v>
      </c>
      <c r="H70" s="6">
        <v>184.1</v>
      </c>
      <c r="I70" s="6">
        <v>183.7</v>
      </c>
      <c r="J70" s="6">
        <v>179.7</v>
      </c>
      <c r="K70" s="6">
        <v>176.7</v>
      </c>
      <c r="L70" s="6">
        <v>189.8</v>
      </c>
      <c r="M70" s="6">
        <v>168.7</v>
      </c>
      <c r="N70" s="6">
        <v>185</v>
      </c>
      <c r="O70" s="6">
        <f>N70</f>
        <v>185</v>
      </c>
    </row>
    <row r="71" spans="2:15">
      <c r="B71" t="s">
        <v>154</v>
      </c>
      <c r="C71" s="6">
        <v>-11344.7</v>
      </c>
      <c r="D71" s="6">
        <v>-10931.3</v>
      </c>
      <c r="E71" s="6">
        <v>-11904.6</v>
      </c>
      <c r="F71" s="6">
        <v>-13072.2</v>
      </c>
      <c r="G71" s="6">
        <v>-11597.1</v>
      </c>
      <c r="H71" s="6">
        <v>-12217.2</v>
      </c>
      <c r="I71" s="6">
        <v>-12248.1</v>
      </c>
      <c r="J71" s="6">
        <v>-11920.8</v>
      </c>
      <c r="K71" s="6">
        <v>-11701.1</v>
      </c>
      <c r="L71" s="6">
        <v>-12607.1</v>
      </c>
      <c r="M71" s="6">
        <v>-11203.8</v>
      </c>
      <c r="N71" s="6">
        <v>-12259.7</v>
      </c>
      <c r="O71" s="6">
        <f>N71</f>
        <v>-12259.7</v>
      </c>
    </row>
    <row r="72" spans="2:15">
      <c r="B72" t="s">
        <v>155</v>
      </c>
      <c r="C72" s="6">
        <v>-343.2</v>
      </c>
      <c r="D72" s="6">
        <v>-328.5</v>
      </c>
      <c r="E72" s="6">
        <v>-360</v>
      </c>
      <c r="F72" s="6">
        <v>-392.1</v>
      </c>
      <c r="G72" s="6">
        <v>-348.6</v>
      </c>
      <c r="H72" s="6">
        <v>-368.3</v>
      </c>
      <c r="I72" s="6">
        <v>-367.4</v>
      </c>
      <c r="J72" s="6">
        <v>-359.3</v>
      </c>
      <c r="K72" s="6">
        <v>-353.4</v>
      </c>
      <c r="L72" s="6">
        <v>-379.7</v>
      </c>
      <c r="M72" s="6">
        <v>-337.5</v>
      </c>
      <c r="N72" s="6">
        <v>-370</v>
      </c>
      <c r="O72" s="6">
        <f>N72</f>
        <v>-370</v>
      </c>
    </row>
    <row r="73" spans="2:15">
      <c r="B73" t="s">
        <v>170</v>
      </c>
      <c r="C73" s="6">
        <f>SUM(C68:C72)</f>
        <v>29626.099999999991</v>
      </c>
      <c r="D73" s="6">
        <f>SUM(D68:D72)</f>
        <v>28079.000000000004</v>
      </c>
      <c r="E73" s="6">
        <f>SUM(E68:E72)</f>
        <v>30384.799999999996</v>
      </c>
      <c r="F73" s="6">
        <f>SUM(F68:F72)</f>
        <v>33110.999999999993</v>
      </c>
      <c r="G73" s="6">
        <f>SUM(G68:G72)</f>
        <v>29594.600000000006</v>
      </c>
      <c r="H73" s="6">
        <f>SUM(H68:H72)</f>
        <v>31233.9</v>
      </c>
      <c r="I73" s="6">
        <f>SUM(I68:I72)</f>
        <v>31833.699999999997</v>
      </c>
      <c r="J73" s="6">
        <f>SUM(J68:J72)</f>
        <v>30327.699999999997</v>
      </c>
      <c r="K73" s="6">
        <f>SUM(K68:K72)</f>
        <v>30091.599999999991</v>
      </c>
      <c r="L73" s="6">
        <f>SUM(L68:L72)</f>
        <v>32668.899999999998</v>
      </c>
      <c r="M73" s="6">
        <f>SUM(M68:M72)</f>
        <v>29072.399999999998</v>
      </c>
      <c r="N73" s="6">
        <f>SUM(N68:N72)</f>
        <v>31790.400000000005</v>
      </c>
      <c r="O73" s="6">
        <f>N73</f>
        <v>31790.400000000005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3"/>
  <sheetViews>
    <sheetView showGridLines="0" workbookViewId="0"/>
  </sheetViews>
  <sheetFormatPr defaultRowHeight="15"/>
  <cols>
    <col min="2" max="2" width="28" customWidth="1"/>
    <col min="3" max="11" width="14" customWidth="1"/>
  </cols>
  <sheetData>
    <row r="1" spans="1:11">
      <c r="A1" t="s">
        <v>27</v>
      </c>
      <c r="B1" t="s">
        <v>32</v>
      </c>
      <c r="D1" s="3" t="s">
        <v>102</v>
      </c>
    </row>
    <row r="2" spans="1:11">
      <c r="A2" t="s">
        <v>28</v>
      </c>
      <c r="B2" t="s">
        <v>37</v>
      </c>
      <c r="D2" s="1" t="s">
        <v>24</v>
      </c>
    </row>
    <row r="4" spans="1:11">
      <c r="C4" s="8" t="s">
        <v>52</v>
      </c>
    </row>
    <row r="5" spans="1:11">
      <c r="C5" s="2" t="s">
        <v>91</v>
      </c>
      <c r="F5" s="2" t="s">
        <v>92</v>
      </c>
      <c r="I5" s="2" t="s">
        <v>81</v>
      </c>
    </row>
    <row r="6" spans="1:11" ht="30" customHeight="1">
      <c r="B6" s="2" t="s">
        <v>93</v>
      </c>
      <c r="C6" s="4" t="s">
        <v>94</v>
      </c>
      <c r="D6" s="4" t="s">
        <v>95</v>
      </c>
      <c r="E6" s="4" t="s">
        <v>96</v>
      </c>
      <c r="F6" s="4" t="s">
        <v>97</v>
      </c>
      <c r="G6" s="4" t="s">
        <v>98</v>
      </c>
      <c r="H6" s="4" t="s">
        <v>99</v>
      </c>
      <c r="I6" s="4" t="s">
        <v>97</v>
      </c>
      <c r="J6" s="4" t="s">
        <v>98</v>
      </c>
      <c r="K6" s="4" t="s">
        <v>99</v>
      </c>
    </row>
    <row r="8" spans="1:11">
      <c r="B8" s="2" t="s">
        <v>100</v>
      </c>
      <c r="C8" s="6">
        <f>Beacon!BU28</f>
        <v>150</v>
      </c>
      <c r="D8" s="6">
        <f>Beacon!BV28</f>
        <v>3250.7999999999884</v>
      </c>
      <c r="E8" s="6">
        <f>Beacon!BW28</f>
        <v>6179</v>
      </c>
      <c r="F8" s="6">
        <f>Beacon!BY28</f>
        <v>750</v>
      </c>
      <c r="G8" s="6">
        <f>Beacon!BZ28</f>
        <v>2417</v>
      </c>
      <c r="H8" s="6">
        <f>Beacon!CA28</f>
        <v>3639.3000000000029</v>
      </c>
      <c r="I8" s="6">
        <f>Beacon!CC28</f>
        <v>900</v>
      </c>
      <c r="J8" s="6">
        <f>Beacon!CD28</f>
        <v>5667.7999999999884</v>
      </c>
      <c r="K8" s="6">
        <f>Beacon!CE28</f>
        <v>9818.3000000000029</v>
      </c>
    </row>
    <row r="10" spans="1:11">
      <c r="B10" s="2" t="s">
        <v>111</v>
      </c>
      <c r="C10" s="6">
        <f>Beacon!BU29</f>
        <v>60</v>
      </c>
      <c r="D10" s="6">
        <f>Beacon!BV29</f>
        <v>2370.9000000000051</v>
      </c>
      <c r="E10" s="6">
        <f>Beacon!BW29</f>
        <v>3866.8000000000029</v>
      </c>
      <c r="F10" s="6">
        <f>Beacon!BY29</f>
        <v>290</v>
      </c>
      <c r="G10" s="6">
        <f>Beacon!BZ29</f>
        <v>1301.6999999999998</v>
      </c>
      <c r="H10" s="6">
        <f>Beacon!CA29</f>
        <v>1877.2999999999993</v>
      </c>
      <c r="I10" s="6">
        <f>Beacon!CC29</f>
        <v>350</v>
      </c>
      <c r="J10" s="6">
        <f>Beacon!CD29</f>
        <v>3672.6000000000095</v>
      </c>
      <c r="K10" s="6">
        <f>Beacon!CE29</f>
        <v>5744.1000000000022</v>
      </c>
    </row>
    <row r="12" spans="1:11">
      <c r="B12" s="2" t="s">
        <v>112</v>
      </c>
      <c r="C12" s="6">
        <f>Beacon!BU30</f>
        <v>-76</v>
      </c>
      <c r="D12" s="6">
        <f>Beacon!BV30</f>
        <v>-434.79999999999927</v>
      </c>
      <c r="E12" s="6">
        <f>Beacon!BW30</f>
        <v>-863.89999999999964</v>
      </c>
      <c r="F12" s="6">
        <f>Beacon!BY30</f>
        <v>-30</v>
      </c>
      <c r="G12" s="6">
        <f>Beacon!BZ30</f>
        <v>-232.99999999999909</v>
      </c>
      <c r="H12" s="6">
        <f>Beacon!CA30</f>
        <v>-364.89999999999918</v>
      </c>
      <c r="I12" s="6">
        <f>Beacon!CC30</f>
        <v>-106</v>
      </c>
      <c r="J12" s="6">
        <f>Beacon!CD30</f>
        <v>-667.80000000000109</v>
      </c>
      <c r="K12" s="6">
        <f>Beacon!CE30</f>
        <v>-1228.8000000000011</v>
      </c>
    </row>
    <row r="14" spans="1:11">
      <c r="B14" s="2" t="s">
        <v>113</v>
      </c>
      <c r="C14" s="6">
        <f>Beacon!BU31</f>
        <v>-16</v>
      </c>
      <c r="D14" s="6">
        <f>Beacon!BV31</f>
        <v>1936.1000000000004</v>
      </c>
      <c r="E14" s="6">
        <f>Beacon!BW31</f>
        <v>3002.9000000000005</v>
      </c>
      <c r="F14" s="6">
        <f>Beacon!BY31</f>
        <v>260</v>
      </c>
      <c r="G14" s="6">
        <f>Beacon!BZ31</f>
        <v>1068.6999999999994</v>
      </c>
      <c r="H14" s="6">
        <f>Beacon!CA31</f>
        <v>1512.3999999999992</v>
      </c>
      <c r="I14" s="6">
        <f>Beacon!CC31</f>
        <v>244</v>
      </c>
      <c r="J14" s="6">
        <f>Beacon!CD31</f>
        <v>3004.7999999999993</v>
      </c>
      <c r="K14" s="6">
        <f>Beacon!CE31</f>
        <v>4515.2999999999993</v>
      </c>
    </row>
    <row r="17" spans="2:11">
      <c r="B17" s="8" t="s">
        <v>126</v>
      </c>
    </row>
    <row r="18" spans="2:11">
      <c r="B18" s="24"/>
      <c r="C18" s="25"/>
      <c r="D18" s="25"/>
      <c r="E18" s="25"/>
      <c r="F18" s="25"/>
      <c r="G18" s="25"/>
      <c r="H18" s="25"/>
      <c r="I18" s="25"/>
      <c r="J18" s="25"/>
      <c r="K18" s="25"/>
    </row>
    <row r="19" spans="2:11">
      <c r="B19" s="24"/>
      <c r="C19" s="25"/>
      <c r="D19" s="25"/>
      <c r="E19" s="25"/>
      <c r="F19" s="25"/>
      <c r="G19" s="25"/>
      <c r="H19" s="25"/>
      <c r="I19" s="25"/>
      <c r="J19" s="25"/>
      <c r="K19" s="25"/>
    </row>
    <row r="20" spans="2:11">
      <c r="B20" s="24"/>
      <c r="C20" s="25"/>
      <c r="D20" s="25"/>
      <c r="E20" s="25"/>
      <c r="F20" s="25"/>
      <c r="G20" s="25"/>
      <c r="H20" s="25"/>
      <c r="I20" s="25"/>
      <c r="J20" s="25"/>
      <c r="K20" s="25"/>
    </row>
    <row r="21" spans="2:11">
      <c r="B21" s="24"/>
      <c r="C21" s="25"/>
      <c r="D21" s="25"/>
      <c r="E21" s="25"/>
      <c r="F21" s="25"/>
      <c r="G21" s="25"/>
      <c r="H21" s="25"/>
      <c r="I21" s="25"/>
      <c r="J21" s="25"/>
      <c r="K21" s="25"/>
    </row>
    <row r="22" spans="2:11">
      <c r="B22" s="24"/>
      <c r="C22" s="25"/>
      <c r="D22" s="25"/>
      <c r="E22" s="25"/>
      <c r="F22" s="25"/>
      <c r="G22" s="25"/>
      <c r="H22" s="25"/>
      <c r="I22" s="25"/>
      <c r="J22" s="25"/>
      <c r="K22" s="25"/>
    </row>
    <row r="23" spans="2:11">
      <c r="B23" s="24"/>
      <c r="C23" s="25"/>
      <c r="D23" s="25"/>
      <c r="E23" s="25"/>
      <c r="F23" s="25"/>
      <c r="G23" s="25"/>
      <c r="H23" s="25"/>
      <c r="I23" s="25"/>
      <c r="J23" s="25"/>
      <c r="K23" s="25"/>
    </row>
  </sheetData>
  <mergeCells count="6">
    <mergeCell ref="B23:K23"/>
    <mergeCell ref="B22:K22"/>
    <mergeCell ref="B18:K18"/>
    <mergeCell ref="B21:K21"/>
    <mergeCell ref="B20:K20"/>
    <mergeCell ref="B19:K1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97"/>
  <sheetViews>
    <sheetView showGridLines="0" workbookViewId="0">
      <pane xSplit="2" ySplit="4" topLeftCell="C5" activePane="bottomRight" state="frozen"/>
      <selection pane="bottomRight"/>
      <selection pane="bottomLeft"/>
      <selection pane="topRight"/>
    </sheetView>
  </sheetViews>
  <sheetFormatPr defaultRowHeight="15"/>
  <cols>
    <col min="1" max="1" width="7" customWidth="1"/>
    <col min="2" max="2" width="52" customWidth="1"/>
    <col min="3" max="15" width="11" customWidth="1"/>
  </cols>
  <sheetData>
    <row r="1" spans="1:15">
      <c r="A1" t="s">
        <v>114</v>
      </c>
      <c r="C1">
        <v>21</v>
      </c>
      <c r="D1">
        <v>20</v>
      </c>
      <c r="E1">
        <v>22</v>
      </c>
      <c r="F1">
        <v>22</v>
      </c>
      <c r="G1">
        <v>20</v>
      </c>
      <c r="H1">
        <v>22</v>
      </c>
      <c r="I1">
        <v>22</v>
      </c>
      <c r="J1">
        <v>21</v>
      </c>
      <c r="K1">
        <v>21</v>
      </c>
      <c r="L1">
        <v>22</v>
      </c>
      <c r="M1">
        <v>19</v>
      </c>
      <c r="N1">
        <v>22</v>
      </c>
      <c r="O1">
        <f>SUM(C1:N1)</f>
        <v>254</v>
      </c>
    </row>
    <row r="2" spans="1:15">
      <c r="B2" s="8" t="s">
        <v>127</v>
      </c>
    </row>
    <row r="3" spans="1:15">
      <c r="B3" s="1" t="s">
        <v>24</v>
      </c>
    </row>
    <row r="4" spans="1:15">
      <c r="C4" s="4" t="s">
        <v>70</v>
      </c>
      <c r="D4" s="4" t="s">
        <v>71</v>
      </c>
      <c r="E4" s="4" t="s">
        <v>72</v>
      </c>
      <c r="F4" s="4" t="s">
        <v>73</v>
      </c>
      <c r="G4" s="4" t="s">
        <v>50</v>
      </c>
      <c r="H4" s="4" t="s">
        <v>74</v>
      </c>
      <c r="I4" s="4" t="s">
        <v>75</v>
      </c>
      <c r="J4" s="4" t="s">
        <v>76</v>
      </c>
      <c r="K4" s="4" t="s">
        <v>77</v>
      </c>
      <c r="L4" s="4" t="s">
        <v>78</v>
      </c>
      <c r="M4" s="4" t="s">
        <v>79</v>
      </c>
      <c r="N4" s="4" t="s">
        <v>80</v>
      </c>
      <c r="O4" s="4" t="s">
        <v>174</v>
      </c>
    </row>
    <row r="5" spans="1:15">
      <c r="B5" s="2" t="s">
        <v>100</v>
      </c>
    </row>
    <row r="6" spans="1:15">
      <c r="B6" t="s">
        <v>186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20">
        <v>150</v>
      </c>
      <c r="L6" s="20">
        <v>250</v>
      </c>
      <c r="M6" s="20">
        <v>300</v>
      </c>
      <c r="N6" s="20">
        <v>200</v>
      </c>
      <c r="O6" s="6">
        <f>SUM(C6:N6)</f>
        <v>900</v>
      </c>
    </row>
    <row r="7" spans="1:15">
      <c r="B7" t="s">
        <v>176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20">
        <v>0</v>
      </c>
      <c r="L7" s="20">
        <v>0</v>
      </c>
      <c r="M7" s="20">
        <v>0</v>
      </c>
      <c r="N7" s="20">
        <v>0</v>
      </c>
      <c r="O7" s="6">
        <f>SUM(C7:N7)</f>
        <v>0</v>
      </c>
    </row>
    <row r="8" spans="1:15">
      <c r="B8" t="s">
        <v>177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20">
        <v>0</v>
      </c>
      <c r="L8" s="20">
        <v>0</v>
      </c>
      <c r="M8" s="20">
        <v>0</v>
      </c>
      <c r="N8" s="20">
        <v>0</v>
      </c>
      <c r="O8" s="6">
        <f>SUM(C8:N8)</f>
        <v>0</v>
      </c>
    </row>
    <row r="9" spans="1:15">
      <c r="B9" t="s">
        <v>178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20">
        <v>0</v>
      </c>
      <c r="L9" s="20">
        <v>0</v>
      </c>
      <c r="M9" s="20">
        <v>0</v>
      </c>
      <c r="N9" s="20">
        <v>0</v>
      </c>
      <c r="O9" s="6">
        <f>SUM(C9:N9)</f>
        <v>0</v>
      </c>
    </row>
    <row r="10" spans="1:15">
      <c r="B10" t="s">
        <v>179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20">
        <v>0</v>
      </c>
      <c r="L10" s="20">
        <v>0</v>
      </c>
      <c r="M10" s="20">
        <v>0</v>
      </c>
      <c r="N10" s="20">
        <v>0</v>
      </c>
      <c r="O10" s="6">
        <f>SUM(C10:N10)</f>
        <v>0</v>
      </c>
    </row>
    <row r="11" spans="1:15">
      <c r="B11" t="s">
        <v>180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20">
        <v>0</v>
      </c>
      <c r="L11" s="20">
        <v>0</v>
      </c>
      <c r="M11" s="20">
        <v>0</v>
      </c>
      <c r="N11" s="20">
        <v>0</v>
      </c>
      <c r="O11" s="6">
        <f>SUM(C11:N11)</f>
        <v>0</v>
      </c>
    </row>
    <row r="12" spans="1:15">
      <c r="B12" t="s">
        <v>181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20">
        <v>0</v>
      </c>
      <c r="L12" s="20">
        <v>0</v>
      </c>
      <c r="M12" s="20">
        <v>0</v>
      </c>
      <c r="N12" s="20">
        <v>0</v>
      </c>
      <c r="O12" s="6">
        <f>SUM(C12:N12)</f>
        <v>0</v>
      </c>
    </row>
    <row r="13" spans="1:15">
      <c r="B13" t="s">
        <v>182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20">
        <v>0</v>
      </c>
      <c r="L13" s="20">
        <v>0</v>
      </c>
      <c r="M13" s="20">
        <v>0</v>
      </c>
      <c r="N13" s="20">
        <v>0</v>
      </c>
      <c r="O13" s="6">
        <f>SUM(C13:N13)</f>
        <v>0</v>
      </c>
    </row>
    <row r="14" spans="1:15">
      <c r="B14" s="2" t="s">
        <v>131</v>
      </c>
      <c r="C14" s="9">
        <f>SUM(C6:C13)</f>
        <v>0</v>
      </c>
      <c r="D14" s="9">
        <f>SUM(D6:D13)</f>
        <v>0</v>
      </c>
      <c r="E14" s="9">
        <f>SUM(E6:E13)</f>
        <v>0</v>
      </c>
      <c r="F14" s="9">
        <f>SUM(F6:F13)</f>
        <v>0</v>
      </c>
      <c r="G14" s="9">
        <f>SUM(G6:G13)</f>
        <v>0</v>
      </c>
      <c r="H14" s="9">
        <f>SUM(H6:H13)</f>
        <v>0</v>
      </c>
      <c r="I14" s="9">
        <f>SUM(I6:I13)</f>
        <v>0</v>
      </c>
      <c r="J14" s="9">
        <f>SUM(J6:J13)</f>
        <v>0</v>
      </c>
      <c r="K14" s="9">
        <f>SUM(K6:K13)</f>
        <v>150</v>
      </c>
      <c r="L14" s="9">
        <f>SUM(L6:L13)</f>
        <v>250</v>
      </c>
      <c r="M14" s="9">
        <f>SUM(M6:M13)</f>
        <v>300</v>
      </c>
      <c r="N14" s="9">
        <f>SUM(N6:N13)</f>
        <v>200</v>
      </c>
      <c r="O14" s="9">
        <f>SUM(O6:O13)</f>
        <v>900</v>
      </c>
    </row>
    <row r="16" spans="1:15">
      <c r="B16" s="2" t="s">
        <v>132</v>
      </c>
    </row>
    <row r="17" spans="2:15">
      <c r="B17" t="str">
        <f>B6</f>
        <v>DOT highway program orders - surveyor vests</v>
      </c>
      <c r="C17" s="12">
        <f>IFERROR(C28/C6,0)</f>
        <v>0</v>
      </c>
      <c r="D17" s="12">
        <f>IFERROR(D28/D6,0)</f>
        <v>0</v>
      </c>
      <c r="E17" s="12">
        <f>IFERROR(E28/E6,0)</f>
        <v>0</v>
      </c>
      <c r="F17" s="12">
        <f>IFERROR(F28/F6,0)</f>
        <v>0</v>
      </c>
      <c r="G17" s="12">
        <f>IFERROR(G28/G6,0)</f>
        <v>0</v>
      </c>
      <c r="H17" s="12">
        <f>IFERROR(H28/H6,0)</f>
        <v>0</v>
      </c>
      <c r="I17" s="12">
        <f>IFERROR(I28/I6,0)</f>
        <v>0</v>
      </c>
      <c r="J17" s="12">
        <f>IFERROR(J28/J6,0)</f>
        <v>0</v>
      </c>
      <c r="K17" s="12">
        <f>IFERROR(K28/K6,0)</f>
        <v>0.4</v>
      </c>
      <c r="L17" s="12">
        <f>IFERROR(L28/L6,0)</f>
        <v>0.38</v>
      </c>
      <c r="M17" s="12">
        <f>IFERROR(M28/M6,0)</f>
        <v>0.38333333333333336</v>
      </c>
      <c r="N17" s="12">
        <f>IFERROR(N28/N6,0)</f>
        <v>0.4</v>
      </c>
      <c r="O17" s="12">
        <f>IFERROR(O28/O6,0)</f>
        <v>0.3888888888888889</v>
      </c>
    </row>
    <row r="18" spans="2:15">
      <c r="B18" t="str">
        <f>B7</f>
        <v>Insert Adj. 2</v>
      </c>
      <c r="C18" s="12">
        <f>IFERROR(C29/C7,0)</f>
        <v>0</v>
      </c>
      <c r="D18" s="12">
        <f>IFERROR(D29/D7,0)</f>
        <v>0</v>
      </c>
      <c r="E18" s="12">
        <f>IFERROR(E29/E7,0)</f>
        <v>0</v>
      </c>
      <c r="F18" s="12">
        <f>IFERROR(F29/F7,0)</f>
        <v>0</v>
      </c>
      <c r="G18" s="12">
        <f>IFERROR(G29/G7,0)</f>
        <v>0</v>
      </c>
      <c r="H18" s="12">
        <f>IFERROR(H29/H7,0)</f>
        <v>0</v>
      </c>
      <c r="I18" s="12">
        <f>IFERROR(I29/I7,0)</f>
        <v>0</v>
      </c>
      <c r="J18" s="12">
        <f>IFERROR(J29/J7,0)</f>
        <v>0</v>
      </c>
      <c r="K18" s="12">
        <f>IFERROR(K29/K7,0)</f>
        <v>0</v>
      </c>
      <c r="L18" s="12">
        <f>IFERROR(L29/L7,0)</f>
        <v>0</v>
      </c>
      <c r="M18" s="12">
        <f>IFERROR(M29/M7,0)</f>
        <v>0</v>
      </c>
      <c r="N18" s="12">
        <f>IFERROR(N29/N7,0)</f>
        <v>0</v>
      </c>
      <c r="O18" s="12">
        <f>IFERROR(O29/O7,0)</f>
        <v>0</v>
      </c>
    </row>
    <row r="19" spans="2:15">
      <c r="B19" t="str">
        <f>B8</f>
        <v>Insert Adj. 3</v>
      </c>
      <c r="C19" s="12">
        <f>IFERROR(C30/C8,0)</f>
        <v>0</v>
      </c>
      <c r="D19" s="12">
        <f>IFERROR(D30/D8,0)</f>
        <v>0</v>
      </c>
      <c r="E19" s="12">
        <f>IFERROR(E30/E8,0)</f>
        <v>0</v>
      </c>
      <c r="F19" s="12">
        <f>IFERROR(F30/F8,0)</f>
        <v>0</v>
      </c>
      <c r="G19" s="12">
        <f>IFERROR(G30/G8,0)</f>
        <v>0</v>
      </c>
      <c r="H19" s="12">
        <f>IFERROR(H30/H8,0)</f>
        <v>0</v>
      </c>
      <c r="I19" s="12">
        <f>IFERROR(I30/I8,0)</f>
        <v>0</v>
      </c>
      <c r="J19" s="12">
        <f>IFERROR(J30/J8,0)</f>
        <v>0</v>
      </c>
      <c r="K19" s="12">
        <f>IFERROR(K30/K8,0)</f>
        <v>0</v>
      </c>
      <c r="L19" s="12">
        <f>IFERROR(L30/L8,0)</f>
        <v>0</v>
      </c>
      <c r="M19" s="12">
        <f>IFERROR(M30/M8,0)</f>
        <v>0</v>
      </c>
      <c r="N19" s="12">
        <f>IFERROR(N30/N8,0)</f>
        <v>0</v>
      </c>
      <c r="O19" s="12">
        <f>IFERROR(O30/O8,0)</f>
        <v>0</v>
      </c>
    </row>
    <row r="20" spans="2:15">
      <c r="B20" t="str">
        <f>B9</f>
        <v>Insert Adj. 4</v>
      </c>
      <c r="C20" s="12">
        <f>IFERROR(C31/C9,0)</f>
        <v>0</v>
      </c>
      <c r="D20" s="12">
        <f>IFERROR(D31/D9,0)</f>
        <v>0</v>
      </c>
      <c r="E20" s="12">
        <f>IFERROR(E31/E9,0)</f>
        <v>0</v>
      </c>
      <c r="F20" s="12">
        <f>IFERROR(F31/F9,0)</f>
        <v>0</v>
      </c>
      <c r="G20" s="12">
        <f>IFERROR(G31/G9,0)</f>
        <v>0</v>
      </c>
      <c r="H20" s="12">
        <f>IFERROR(H31/H9,0)</f>
        <v>0</v>
      </c>
      <c r="I20" s="12">
        <f>IFERROR(I31/I9,0)</f>
        <v>0</v>
      </c>
      <c r="J20" s="12">
        <f>IFERROR(J31/J9,0)</f>
        <v>0</v>
      </c>
      <c r="K20" s="12">
        <f>IFERROR(K31/K9,0)</f>
        <v>0</v>
      </c>
      <c r="L20" s="12">
        <f>IFERROR(L31/L9,0)</f>
        <v>0</v>
      </c>
      <c r="M20" s="12">
        <f>IFERROR(M31/M9,0)</f>
        <v>0</v>
      </c>
      <c r="N20" s="12">
        <f>IFERROR(N31/N9,0)</f>
        <v>0</v>
      </c>
      <c r="O20" s="12">
        <f>IFERROR(O31/O9,0)</f>
        <v>0</v>
      </c>
    </row>
    <row r="21" spans="2:15">
      <c r="B21" t="str">
        <f>B10</f>
        <v>Insert Adj. 5</v>
      </c>
      <c r="C21" s="12">
        <f>IFERROR(C32/C10,0)</f>
        <v>0</v>
      </c>
      <c r="D21" s="12">
        <f>IFERROR(D32/D10,0)</f>
        <v>0</v>
      </c>
      <c r="E21" s="12">
        <f>IFERROR(E32/E10,0)</f>
        <v>0</v>
      </c>
      <c r="F21" s="12">
        <f>IFERROR(F32/F10,0)</f>
        <v>0</v>
      </c>
      <c r="G21" s="12">
        <f>IFERROR(G32/G10,0)</f>
        <v>0</v>
      </c>
      <c r="H21" s="12">
        <f>IFERROR(H32/H10,0)</f>
        <v>0</v>
      </c>
      <c r="I21" s="12">
        <f>IFERROR(I32/I10,0)</f>
        <v>0</v>
      </c>
      <c r="J21" s="12">
        <f>IFERROR(J32/J10,0)</f>
        <v>0</v>
      </c>
      <c r="K21" s="12">
        <f>IFERROR(K32/K10,0)</f>
        <v>0</v>
      </c>
      <c r="L21" s="12">
        <f>IFERROR(L32/L10,0)</f>
        <v>0</v>
      </c>
      <c r="M21" s="12">
        <f>IFERROR(M32/M10,0)</f>
        <v>0</v>
      </c>
      <c r="N21" s="12">
        <f>IFERROR(N32/N10,0)</f>
        <v>0</v>
      </c>
      <c r="O21" s="12">
        <f>IFERROR(O32/O10,0)</f>
        <v>0</v>
      </c>
    </row>
    <row r="22" spans="2:15">
      <c r="B22" t="str">
        <f>B11</f>
        <v>Insert Adj. 6</v>
      </c>
      <c r="C22" s="12">
        <f>IFERROR(C33/C11,0)</f>
        <v>0</v>
      </c>
      <c r="D22" s="12">
        <f>IFERROR(D33/D11,0)</f>
        <v>0</v>
      </c>
      <c r="E22" s="12">
        <f>IFERROR(E33/E11,0)</f>
        <v>0</v>
      </c>
      <c r="F22" s="12">
        <f>IFERROR(F33/F11,0)</f>
        <v>0</v>
      </c>
      <c r="G22" s="12">
        <f>IFERROR(G33/G11,0)</f>
        <v>0</v>
      </c>
      <c r="H22" s="12">
        <f>IFERROR(H33/H11,0)</f>
        <v>0</v>
      </c>
      <c r="I22" s="12">
        <f>IFERROR(I33/I11,0)</f>
        <v>0</v>
      </c>
      <c r="J22" s="12">
        <f>IFERROR(J33/J11,0)</f>
        <v>0</v>
      </c>
      <c r="K22" s="12">
        <f>IFERROR(K33/K11,0)</f>
        <v>0</v>
      </c>
      <c r="L22" s="12">
        <f>IFERROR(L33/L11,0)</f>
        <v>0</v>
      </c>
      <c r="M22" s="12">
        <f>IFERROR(M33/M11,0)</f>
        <v>0</v>
      </c>
      <c r="N22" s="12">
        <f>IFERROR(N33/N11,0)</f>
        <v>0</v>
      </c>
      <c r="O22" s="12">
        <f>IFERROR(O33/O11,0)</f>
        <v>0</v>
      </c>
    </row>
    <row r="23" spans="2:15">
      <c r="B23" t="str">
        <f>B12</f>
        <v>Insert Adj. 7</v>
      </c>
      <c r="C23" s="12">
        <f>IFERROR(C34/C12,0)</f>
        <v>0</v>
      </c>
      <c r="D23" s="12">
        <f>IFERROR(D34/D12,0)</f>
        <v>0</v>
      </c>
      <c r="E23" s="12">
        <f>IFERROR(E34/E12,0)</f>
        <v>0</v>
      </c>
      <c r="F23" s="12">
        <f>IFERROR(F34/F12,0)</f>
        <v>0</v>
      </c>
      <c r="G23" s="12">
        <f>IFERROR(G34/G12,0)</f>
        <v>0</v>
      </c>
      <c r="H23" s="12">
        <f>IFERROR(H34/H12,0)</f>
        <v>0</v>
      </c>
      <c r="I23" s="12">
        <f>IFERROR(I34/I12,0)</f>
        <v>0</v>
      </c>
      <c r="J23" s="12">
        <f>IFERROR(J34/J12,0)</f>
        <v>0</v>
      </c>
      <c r="K23" s="12">
        <f>IFERROR(K34/K12,0)</f>
        <v>0</v>
      </c>
      <c r="L23" s="12">
        <f>IFERROR(L34/L12,0)</f>
        <v>0</v>
      </c>
      <c r="M23" s="12">
        <f>IFERROR(M34/M12,0)</f>
        <v>0</v>
      </c>
      <c r="N23" s="12">
        <f>IFERROR(N34/N12,0)</f>
        <v>0</v>
      </c>
      <c r="O23" s="12">
        <f>IFERROR(O34/O12,0)</f>
        <v>0</v>
      </c>
    </row>
    <row r="24" spans="2:15">
      <c r="B24" t="str">
        <f>B13</f>
        <v>Insert Adj. 8</v>
      </c>
      <c r="C24" s="12">
        <f>IFERROR(C35/C13,0)</f>
        <v>0</v>
      </c>
      <c r="D24" s="12">
        <f>IFERROR(D35/D13,0)</f>
        <v>0</v>
      </c>
      <c r="E24" s="12">
        <f>IFERROR(E35/E13,0)</f>
        <v>0</v>
      </c>
      <c r="F24" s="12">
        <f>IFERROR(F35/F13,0)</f>
        <v>0</v>
      </c>
      <c r="G24" s="12">
        <f>IFERROR(G35/G13,0)</f>
        <v>0</v>
      </c>
      <c r="H24" s="12">
        <f>IFERROR(H35/H13,0)</f>
        <v>0</v>
      </c>
      <c r="I24" s="12">
        <f>IFERROR(I35/I13,0)</f>
        <v>0</v>
      </c>
      <c r="J24" s="12">
        <f>IFERROR(J35/J13,0)</f>
        <v>0</v>
      </c>
      <c r="K24" s="12">
        <f>IFERROR(K35/K13,0)</f>
        <v>0</v>
      </c>
      <c r="L24" s="12">
        <f>IFERROR(L35/L13,0)</f>
        <v>0</v>
      </c>
      <c r="M24" s="12">
        <f>IFERROR(M35/M13,0)</f>
        <v>0</v>
      </c>
      <c r="N24" s="12">
        <f>IFERROR(N35/N13,0)</f>
        <v>0</v>
      </c>
      <c r="O24" s="12">
        <f>IFERROR(O35/O13,0)</f>
        <v>0</v>
      </c>
    </row>
    <row r="25" spans="2:15">
      <c r="B25" s="2" t="s">
        <v>133</v>
      </c>
      <c r="C25" s="14">
        <f>IFERROR(C36/C14,0)</f>
        <v>0</v>
      </c>
      <c r="D25" s="14">
        <f>IFERROR(D36/D14,0)</f>
        <v>0</v>
      </c>
      <c r="E25" s="14">
        <f>IFERROR(E36/E14,0)</f>
        <v>0</v>
      </c>
      <c r="F25" s="14">
        <f>IFERROR(F36/F14,0)</f>
        <v>0</v>
      </c>
      <c r="G25" s="14">
        <f>IFERROR(G36/G14,0)</f>
        <v>0</v>
      </c>
      <c r="H25" s="14">
        <f>IFERROR(H36/H14,0)</f>
        <v>0</v>
      </c>
      <c r="I25" s="14">
        <f>IFERROR(I36/I14,0)</f>
        <v>0</v>
      </c>
      <c r="J25" s="14">
        <f>IFERROR(J36/J14,0)</f>
        <v>0</v>
      </c>
      <c r="K25" s="14">
        <f>IFERROR(K36/K14,0)</f>
        <v>0.4</v>
      </c>
      <c r="L25" s="14">
        <f>IFERROR(L36/L14,0)</f>
        <v>0.38</v>
      </c>
      <c r="M25" s="14">
        <f>IFERROR(M36/M14,0)</f>
        <v>0.38333333333333336</v>
      </c>
      <c r="N25" s="14">
        <f>IFERROR(N36/N14,0)</f>
        <v>0.4</v>
      </c>
      <c r="O25" s="14">
        <f>IFERROR(O36/O14,0)</f>
        <v>0.3888888888888889</v>
      </c>
    </row>
    <row r="27" spans="2:15">
      <c r="B27" s="2" t="s">
        <v>134</v>
      </c>
    </row>
    <row r="28" spans="2:15">
      <c r="B28" t="s">
        <v>186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20">
        <v>60</v>
      </c>
      <c r="L28" s="20">
        <v>95</v>
      </c>
      <c r="M28" s="20">
        <v>115</v>
      </c>
      <c r="N28" s="20">
        <v>80</v>
      </c>
      <c r="O28" s="6">
        <f>SUM(C28:N28)</f>
        <v>350</v>
      </c>
    </row>
    <row r="29" spans="2:15">
      <c r="B29" t="s">
        <v>176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20">
        <v>0</v>
      </c>
      <c r="L29" s="20">
        <v>0</v>
      </c>
      <c r="M29" s="20">
        <v>0</v>
      </c>
      <c r="N29" s="20">
        <v>0</v>
      </c>
      <c r="O29" s="6">
        <f>SUM(C29:N29)</f>
        <v>0</v>
      </c>
    </row>
    <row r="30" spans="2:15">
      <c r="B30" t="s">
        <v>177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20">
        <v>0</v>
      </c>
      <c r="L30" s="20">
        <v>0</v>
      </c>
      <c r="M30" s="20">
        <v>0</v>
      </c>
      <c r="N30" s="20">
        <v>0</v>
      </c>
      <c r="O30" s="6">
        <f>SUM(C30:N30)</f>
        <v>0</v>
      </c>
    </row>
    <row r="31" spans="2:15">
      <c r="B31" t="s">
        <v>178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20">
        <v>0</v>
      </c>
      <c r="L31" s="20">
        <v>0</v>
      </c>
      <c r="M31" s="20">
        <v>0</v>
      </c>
      <c r="N31" s="20">
        <v>0</v>
      </c>
      <c r="O31" s="6">
        <f>SUM(C31:N31)</f>
        <v>0</v>
      </c>
    </row>
    <row r="32" spans="2:15">
      <c r="B32" t="s">
        <v>179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20">
        <v>0</v>
      </c>
      <c r="L32" s="20">
        <v>0</v>
      </c>
      <c r="M32" s="20">
        <v>0</v>
      </c>
      <c r="N32" s="20">
        <v>0</v>
      </c>
      <c r="O32" s="6">
        <f>SUM(C32:N32)</f>
        <v>0</v>
      </c>
    </row>
    <row r="33" spans="2:15">
      <c r="B33" t="s">
        <v>180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20">
        <v>0</v>
      </c>
      <c r="L33" s="20">
        <v>0</v>
      </c>
      <c r="M33" s="20">
        <v>0</v>
      </c>
      <c r="N33" s="20">
        <v>0</v>
      </c>
      <c r="O33" s="6">
        <f>SUM(C33:N33)</f>
        <v>0</v>
      </c>
    </row>
    <row r="34" spans="2:15">
      <c r="B34" t="s">
        <v>181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20">
        <v>0</v>
      </c>
      <c r="L34" s="20">
        <v>0</v>
      </c>
      <c r="M34" s="20">
        <v>0</v>
      </c>
      <c r="N34" s="20">
        <v>0</v>
      </c>
      <c r="O34" s="6">
        <f>SUM(C34:N34)</f>
        <v>0</v>
      </c>
    </row>
    <row r="35" spans="2:15">
      <c r="B35" t="s">
        <v>182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20">
        <v>0</v>
      </c>
      <c r="L35" s="20">
        <v>0</v>
      </c>
      <c r="M35" s="20">
        <v>0</v>
      </c>
      <c r="N35" s="20">
        <v>0</v>
      </c>
      <c r="O35" s="6">
        <f>SUM(C35:N35)</f>
        <v>0</v>
      </c>
    </row>
    <row r="36" spans="2:15">
      <c r="B36" s="2" t="s">
        <v>135</v>
      </c>
      <c r="C36" s="9">
        <f>SUM(C28:C35)</f>
        <v>0</v>
      </c>
      <c r="D36" s="9">
        <f>SUM(D28:D35)</f>
        <v>0</v>
      </c>
      <c r="E36" s="9">
        <f>SUM(E28:E35)</f>
        <v>0</v>
      </c>
      <c r="F36" s="9">
        <f>SUM(F28:F35)</f>
        <v>0</v>
      </c>
      <c r="G36" s="9">
        <f>SUM(G28:G35)</f>
        <v>0</v>
      </c>
      <c r="H36" s="9">
        <f>SUM(H28:H35)</f>
        <v>0</v>
      </c>
      <c r="I36" s="9">
        <f>SUM(I28:I35)</f>
        <v>0</v>
      </c>
      <c r="J36" s="9">
        <f>SUM(J28:J35)</f>
        <v>0</v>
      </c>
      <c r="K36" s="9">
        <f>SUM(K28:K35)</f>
        <v>60</v>
      </c>
      <c r="L36" s="9">
        <f>SUM(L28:L35)</f>
        <v>95</v>
      </c>
      <c r="M36" s="9">
        <f>SUM(M28:M35)</f>
        <v>115</v>
      </c>
      <c r="N36" s="9">
        <f>SUM(N28:N35)</f>
        <v>80</v>
      </c>
      <c r="O36" s="9">
        <f>SUM(O28:O35)</f>
        <v>350</v>
      </c>
    </row>
    <row r="38" spans="2:15">
      <c r="B38" s="2" t="s">
        <v>136</v>
      </c>
    </row>
    <row r="39" spans="2:15">
      <c r="B39" t="str">
        <f>B6</f>
        <v>DOT highway program orders - surveyor vests</v>
      </c>
      <c r="C39" s="12">
        <f>IFERROR(C50/C6,0)</f>
        <v>0</v>
      </c>
      <c r="D39" s="12">
        <f>IFERROR(D50/D6,0)</f>
        <v>0</v>
      </c>
      <c r="E39" s="12">
        <f>IFERROR(E50/E6,0)</f>
        <v>0</v>
      </c>
      <c r="F39" s="12">
        <f>IFERROR(F50/F6,0)</f>
        <v>0</v>
      </c>
      <c r="G39" s="12">
        <f>IFERROR(G50/G6,0)</f>
        <v>0</v>
      </c>
      <c r="H39" s="12">
        <f>IFERROR(H50/H6,0)</f>
        <v>0</v>
      </c>
      <c r="I39" s="12">
        <f>IFERROR(I50/I6,0)</f>
        <v>0</v>
      </c>
      <c r="J39" s="12">
        <f>IFERROR(J50/J6,0)</f>
        <v>0</v>
      </c>
      <c r="K39" s="12">
        <f>IFERROR(K50/K6,0)</f>
        <v>0.04</v>
      </c>
      <c r="L39" s="12">
        <f>IFERROR(L50/L6,0)</f>
        <v>0.04</v>
      </c>
      <c r="M39" s="12">
        <f>IFERROR(M50/M6,0)</f>
        <v>0.04</v>
      </c>
      <c r="N39" s="12">
        <f>IFERROR(N50/N6,0)</f>
        <v>0.04</v>
      </c>
      <c r="O39" s="12">
        <f>IFERROR(O50/O6,0)</f>
        <v>0.04</v>
      </c>
    </row>
    <row r="40" spans="2:15">
      <c r="B40" t="str">
        <f>B7</f>
        <v>Insert Adj. 2</v>
      </c>
      <c r="C40" s="12">
        <f>IFERROR(C51/C7,0)</f>
        <v>0</v>
      </c>
      <c r="D40" s="12">
        <f>IFERROR(D51/D7,0)</f>
        <v>0</v>
      </c>
      <c r="E40" s="12">
        <f>IFERROR(E51/E7,0)</f>
        <v>0</v>
      </c>
      <c r="F40" s="12">
        <f>IFERROR(F51/F7,0)</f>
        <v>0</v>
      </c>
      <c r="G40" s="12">
        <f>IFERROR(G51/G7,0)</f>
        <v>0</v>
      </c>
      <c r="H40" s="12">
        <f>IFERROR(H51/H7,0)</f>
        <v>0</v>
      </c>
      <c r="I40" s="12">
        <f>IFERROR(I51/I7,0)</f>
        <v>0</v>
      </c>
      <c r="J40" s="12">
        <f>IFERROR(J51/J7,0)</f>
        <v>0</v>
      </c>
      <c r="K40" s="12">
        <f>IFERROR(K51/K7,0)</f>
        <v>0</v>
      </c>
      <c r="L40" s="12">
        <f>IFERROR(L51/L7,0)</f>
        <v>0</v>
      </c>
      <c r="M40" s="12">
        <f>IFERROR(M51/M7,0)</f>
        <v>0</v>
      </c>
      <c r="N40" s="12">
        <f>IFERROR(N51/N7,0)</f>
        <v>0</v>
      </c>
      <c r="O40" s="12">
        <f>IFERROR(O51/O7,0)</f>
        <v>0</v>
      </c>
    </row>
    <row r="41" spans="2:15">
      <c r="B41" t="str">
        <f>B8</f>
        <v>Insert Adj. 3</v>
      </c>
      <c r="C41" s="12">
        <f>IFERROR(C52/C8,0)</f>
        <v>0</v>
      </c>
      <c r="D41" s="12">
        <f>IFERROR(D52/D8,0)</f>
        <v>0</v>
      </c>
      <c r="E41" s="12">
        <f>IFERROR(E52/E8,0)</f>
        <v>0</v>
      </c>
      <c r="F41" s="12">
        <f>IFERROR(F52/F8,0)</f>
        <v>0</v>
      </c>
      <c r="G41" s="12">
        <f>IFERROR(G52/G8,0)</f>
        <v>0</v>
      </c>
      <c r="H41" s="12">
        <f>IFERROR(H52/H8,0)</f>
        <v>0</v>
      </c>
      <c r="I41" s="12">
        <f>IFERROR(I52/I8,0)</f>
        <v>0</v>
      </c>
      <c r="J41" s="12">
        <f>IFERROR(J52/J8,0)</f>
        <v>0</v>
      </c>
      <c r="K41" s="12">
        <f>IFERROR(K52/K8,0)</f>
        <v>0</v>
      </c>
      <c r="L41" s="12">
        <f>IFERROR(L52/L8,0)</f>
        <v>0</v>
      </c>
      <c r="M41" s="12">
        <f>IFERROR(M52/M8,0)</f>
        <v>0</v>
      </c>
      <c r="N41" s="12">
        <f>IFERROR(N52/N8,0)</f>
        <v>0</v>
      </c>
      <c r="O41" s="12">
        <f>IFERROR(O52/O8,0)</f>
        <v>0</v>
      </c>
    </row>
    <row r="42" spans="2:15">
      <c r="B42" t="str">
        <f>B9</f>
        <v>Insert Adj. 4</v>
      </c>
      <c r="C42" s="12">
        <f>IFERROR(C53/C9,0)</f>
        <v>0</v>
      </c>
      <c r="D42" s="12">
        <f>IFERROR(D53/D9,0)</f>
        <v>0</v>
      </c>
      <c r="E42" s="12">
        <f>IFERROR(E53/E9,0)</f>
        <v>0</v>
      </c>
      <c r="F42" s="12">
        <f>IFERROR(F53/F9,0)</f>
        <v>0</v>
      </c>
      <c r="G42" s="12">
        <f>IFERROR(G53/G9,0)</f>
        <v>0</v>
      </c>
      <c r="H42" s="12">
        <f>IFERROR(H53/H9,0)</f>
        <v>0</v>
      </c>
      <c r="I42" s="12">
        <f>IFERROR(I53/I9,0)</f>
        <v>0</v>
      </c>
      <c r="J42" s="12">
        <f>IFERROR(J53/J9,0)</f>
        <v>0</v>
      </c>
      <c r="K42" s="12">
        <f>IFERROR(K53/K9,0)</f>
        <v>0</v>
      </c>
      <c r="L42" s="12">
        <f>IFERROR(L53/L9,0)</f>
        <v>0</v>
      </c>
      <c r="M42" s="12">
        <f>IFERROR(M53/M9,0)</f>
        <v>0</v>
      </c>
      <c r="N42" s="12">
        <f>IFERROR(N53/N9,0)</f>
        <v>0</v>
      </c>
      <c r="O42" s="12">
        <f>IFERROR(O53/O9,0)</f>
        <v>0</v>
      </c>
    </row>
    <row r="43" spans="2:15">
      <c r="B43" t="str">
        <f>B10</f>
        <v>Insert Adj. 5</v>
      </c>
      <c r="C43" s="12">
        <f>IFERROR(C54/C10,0)</f>
        <v>0</v>
      </c>
      <c r="D43" s="12">
        <f>IFERROR(D54/D10,0)</f>
        <v>0</v>
      </c>
      <c r="E43" s="12">
        <f>IFERROR(E54/E10,0)</f>
        <v>0</v>
      </c>
      <c r="F43" s="12">
        <f>IFERROR(F54/F10,0)</f>
        <v>0</v>
      </c>
      <c r="G43" s="12">
        <f>IFERROR(G54/G10,0)</f>
        <v>0</v>
      </c>
      <c r="H43" s="12">
        <f>IFERROR(H54/H10,0)</f>
        <v>0</v>
      </c>
      <c r="I43" s="12">
        <f>IFERROR(I54/I10,0)</f>
        <v>0</v>
      </c>
      <c r="J43" s="12">
        <f>IFERROR(J54/J10,0)</f>
        <v>0</v>
      </c>
      <c r="K43" s="12">
        <f>IFERROR(K54/K10,0)</f>
        <v>0</v>
      </c>
      <c r="L43" s="12">
        <f>IFERROR(L54/L10,0)</f>
        <v>0</v>
      </c>
      <c r="M43" s="12">
        <f>IFERROR(M54/M10,0)</f>
        <v>0</v>
      </c>
      <c r="N43" s="12">
        <f>IFERROR(N54/N10,0)</f>
        <v>0</v>
      </c>
      <c r="O43" s="12">
        <f>IFERROR(O54/O10,0)</f>
        <v>0</v>
      </c>
    </row>
    <row r="44" spans="2:15">
      <c r="B44" t="str">
        <f>B11</f>
        <v>Insert Adj. 6</v>
      </c>
      <c r="C44" s="12">
        <f>IFERROR(C55/C11,0)</f>
        <v>0</v>
      </c>
      <c r="D44" s="12">
        <f>IFERROR(D55/D11,0)</f>
        <v>0</v>
      </c>
      <c r="E44" s="12">
        <f>IFERROR(E55/E11,0)</f>
        <v>0</v>
      </c>
      <c r="F44" s="12">
        <f>IFERROR(F55/F11,0)</f>
        <v>0</v>
      </c>
      <c r="G44" s="12">
        <f>IFERROR(G55/G11,0)</f>
        <v>0</v>
      </c>
      <c r="H44" s="12">
        <f>IFERROR(H55/H11,0)</f>
        <v>0</v>
      </c>
      <c r="I44" s="12">
        <f>IFERROR(I55/I11,0)</f>
        <v>0</v>
      </c>
      <c r="J44" s="12">
        <f>IFERROR(J55/J11,0)</f>
        <v>0</v>
      </c>
      <c r="K44" s="12">
        <f>IFERROR(K55/K11,0)</f>
        <v>0</v>
      </c>
      <c r="L44" s="12">
        <f>IFERROR(L55/L11,0)</f>
        <v>0</v>
      </c>
      <c r="M44" s="12">
        <f>IFERROR(M55/M11,0)</f>
        <v>0</v>
      </c>
      <c r="N44" s="12">
        <f>IFERROR(N55/N11,0)</f>
        <v>0</v>
      </c>
      <c r="O44" s="12">
        <f>IFERROR(O55/O11,0)</f>
        <v>0</v>
      </c>
    </row>
    <row r="45" spans="2:15">
      <c r="B45" t="str">
        <f>B12</f>
        <v>Insert Adj. 7</v>
      </c>
      <c r="C45" s="12">
        <f>IFERROR(C56/C12,0)</f>
        <v>0</v>
      </c>
      <c r="D45" s="12">
        <f>IFERROR(D56/D12,0)</f>
        <v>0</v>
      </c>
      <c r="E45" s="12">
        <f>IFERROR(E56/E12,0)</f>
        <v>0</v>
      </c>
      <c r="F45" s="12">
        <f>IFERROR(F56/F12,0)</f>
        <v>0</v>
      </c>
      <c r="G45" s="12">
        <f>IFERROR(G56/G12,0)</f>
        <v>0</v>
      </c>
      <c r="H45" s="12">
        <f>IFERROR(H56/H12,0)</f>
        <v>0</v>
      </c>
      <c r="I45" s="12">
        <f>IFERROR(I56/I12,0)</f>
        <v>0</v>
      </c>
      <c r="J45" s="12">
        <f>IFERROR(J56/J12,0)</f>
        <v>0</v>
      </c>
      <c r="K45" s="12">
        <f>IFERROR(K56/K12,0)</f>
        <v>0</v>
      </c>
      <c r="L45" s="12">
        <f>IFERROR(L56/L12,0)</f>
        <v>0</v>
      </c>
      <c r="M45" s="12">
        <f>IFERROR(M56/M12,0)</f>
        <v>0</v>
      </c>
      <c r="N45" s="12">
        <f>IFERROR(N56/N12,0)</f>
        <v>0</v>
      </c>
      <c r="O45" s="12">
        <f>IFERROR(O56/O12,0)</f>
        <v>0</v>
      </c>
    </row>
    <row r="46" spans="2:15">
      <c r="B46" t="str">
        <f>B13</f>
        <v>Insert Adj. 8</v>
      </c>
      <c r="C46" s="12">
        <f>IFERROR(C57/C13,0)</f>
        <v>0</v>
      </c>
      <c r="D46" s="12">
        <f>IFERROR(D57/D13,0)</f>
        <v>0</v>
      </c>
      <c r="E46" s="12">
        <f>IFERROR(E57/E13,0)</f>
        <v>0</v>
      </c>
      <c r="F46" s="12">
        <f>IFERROR(F57/F13,0)</f>
        <v>0</v>
      </c>
      <c r="G46" s="12">
        <f>IFERROR(G57/G13,0)</f>
        <v>0</v>
      </c>
      <c r="H46" s="12">
        <f>IFERROR(H57/H13,0)</f>
        <v>0</v>
      </c>
      <c r="I46" s="12">
        <f>IFERROR(I57/I13,0)</f>
        <v>0</v>
      </c>
      <c r="J46" s="12">
        <f>IFERROR(J57/J13,0)</f>
        <v>0</v>
      </c>
      <c r="K46" s="12">
        <f>IFERROR(K57/K13,0)</f>
        <v>0</v>
      </c>
      <c r="L46" s="12">
        <f>IFERROR(L57/L13,0)</f>
        <v>0</v>
      </c>
      <c r="M46" s="12">
        <f>IFERROR(M57/M13,0)</f>
        <v>0</v>
      </c>
      <c r="N46" s="12">
        <f>IFERROR(N57/N13,0)</f>
        <v>0</v>
      </c>
      <c r="O46" s="12">
        <f>IFERROR(O57/O13,0)</f>
        <v>0</v>
      </c>
    </row>
    <row r="47" spans="2:15">
      <c r="B47" s="2" t="s">
        <v>137</v>
      </c>
      <c r="C47" s="14">
        <f>IFERROR(C58/C14,0)</f>
        <v>0</v>
      </c>
      <c r="D47" s="14">
        <f>IFERROR(D58/D14,0)</f>
        <v>0</v>
      </c>
      <c r="E47" s="14">
        <f>IFERROR(E58/E14,0)</f>
        <v>0</v>
      </c>
      <c r="F47" s="14">
        <f>IFERROR(F58/F14,0)</f>
        <v>0</v>
      </c>
      <c r="G47" s="14">
        <f>IFERROR(G58/G14,0)</f>
        <v>0</v>
      </c>
      <c r="H47" s="14">
        <f>IFERROR(H58/H14,0)</f>
        <v>0</v>
      </c>
      <c r="I47" s="14">
        <f>IFERROR(I58/I14,0)</f>
        <v>0</v>
      </c>
      <c r="J47" s="14">
        <f>IFERROR(J58/J14,0)</f>
        <v>0</v>
      </c>
      <c r="K47" s="14">
        <f>IFERROR(K58/K14,0)</f>
        <v>0.50666666666666671</v>
      </c>
      <c r="L47" s="14">
        <f>IFERROR(L58/L14,0)</f>
        <v>0.04</v>
      </c>
      <c r="M47" s="14">
        <f>IFERROR(M58/M14,0)</f>
        <v>0.04</v>
      </c>
      <c r="N47" s="14">
        <f>IFERROR(N58/N14,0)</f>
        <v>0.04</v>
      </c>
      <c r="O47" s="14">
        <f>IFERROR(O58/O14,0)</f>
        <v>0.11777777777777777</v>
      </c>
    </row>
    <row r="49" spans="2:15">
      <c r="B49" s="2" t="s">
        <v>138</v>
      </c>
    </row>
    <row r="50" spans="2:15">
      <c r="B50" t="s">
        <v>187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20">
        <v>6</v>
      </c>
      <c r="L50" s="20">
        <v>10</v>
      </c>
      <c r="M50" s="20">
        <v>12</v>
      </c>
      <c r="N50" s="20">
        <v>8</v>
      </c>
      <c r="O50" s="6">
        <f>SUM(C50:N50)</f>
        <v>36</v>
      </c>
    </row>
    <row r="51" spans="2:15">
      <c r="B51" t="s">
        <v>188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20">
        <v>70</v>
      </c>
      <c r="L51" s="20">
        <v>0</v>
      </c>
      <c r="M51" s="20">
        <v>0</v>
      </c>
      <c r="N51" s="20">
        <v>0</v>
      </c>
      <c r="O51" s="6">
        <f>SUM(C51:N51)</f>
        <v>70</v>
      </c>
    </row>
    <row r="52" spans="2:15">
      <c r="B52" t="s">
        <v>177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20">
        <v>0</v>
      </c>
      <c r="L52" s="20">
        <v>0</v>
      </c>
      <c r="M52" s="20">
        <v>0</v>
      </c>
      <c r="N52" s="20">
        <v>0</v>
      </c>
      <c r="O52" s="6">
        <f>SUM(C52:N52)</f>
        <v>0</v>
      </c>
    </row>
    <row r="53" spans="2:15">
      <c r="B53" t="s">
        <v>178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20">
        <v>0</v>
      </c>
      <c r="L53" s="20">
        <v>0</v>
      </c>
      <c r="M53" s="20">
        <v>0</v>
      </c>
      <c r="N53" s="20">
        <v>0</v>
      </c>
      <c r="O53" s="6">
        <f>SUM(C53:N53)</f>
        <v>0</v>
      </c>
    </row>
    <row r="54" spans="2:15">
      <c r="B54" t="s">
        <v>179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20">
        <v>0</v>
      </c>
      <c r="L54" s="20">
        <v>0</v>
      </c>
      <c r="M54" s="20">
        <v>0</v>
      </c>
      <c r="N54" s="20">
        <v>0</v>
      </c>
      <c r="O54" s="6">
        <f>SUM(C54:N54)</f>
        <v>0</v>
      </c>
    </row>
    <row r="55" spans="2:15">
      <c r="B55" t="s">
        <v>180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20">
        <v>0</v>
      </c>
      <c r="L55" s="20">
        <v>0</v>
      </c>
      <c r="M55" s="20">
        <v>0</v>
      </c>
      <c r="N55" s="20">
        <v>0</v>
      </c>
      <c r="O55" s="6">
        <f>SUM(C55:N55)</f>
        <v>0</v>
      </c>
    </row>
    <row r="56" spans="2:15">
      <c r="B56" t="s">
        <v>181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20">
        <v>0</v>
      </c>
      <c r="L56" s="20">
        <v>0</v>
      </c>
      <c r="M56" s="20">
        <v>0</v>
      </c>
      <c r="N56" s="20">
        <v>0</v>
      </c>
      <c r="O56" s="6">
        <f>SUM(C56:N56)</f>
        <v>0</v>
      </c>
    </row>
    <row r="57" spans="2:15">
      <c r="B57" t="s">
        <v>182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20">
        <v>0</v>
      </c>
      <c r="L57" s="20">
        <v>0</v>
      </c>
      <c r="M57" s="20">
        <v>0</v>
      </c>
      <c r="N57" s="20">
        <v>0</v>
      </c>
      <c r="O57" s="6">
        <f>SUM(C57:N57)</f>
        <v>0</v>
      </c>
    </row>
    <row r="58" spans="2:15">
      <c r="B58" s="2" t="s">
        <v>139</v>
      </c>
      <c r="C58" s="9">
        <f>SUM(C50:C57)</f>
        <v>0</v>
      </c>
      <c r="D58" s="9">
        <f>SUM(D50:D57)</f>
        <v>0</v>
      </c>
      <c r="E58" s="9">
        <f>SUM(E50:E57)</f>
        <v>0</v>
      </c>
      <c r="F58" s="9">
        <f>SUM(F50:F57)</f>
        <v>0</v>
      </c>
      <c r="G58" s="9">
        <f>SUM(G50:G57)</f>
        <v>0</v>
      </c>
      <c r="H58" s="9">
        <f>SUM(H50:H57)</f>
        <v>0</v>
      </c>
      <c r="I58" s="9">
        <f>SUM(I50:I57)</f>
        <v>0</v>
      </c>
      <c r="J58" s="9">
        <f>SUM(J50:J57)</f>
        <v>0</v>
      </c>
      <c r="K58" s="9">
        <f>SUM(K50:K57)</f>
        <v>76</v>
      </c>
      <c r="L58" s="9">
        <f>SUM(L50:L57)</f>
        <v>10</v>
      </c>
      <c r="M58" s="9">
        <f>SUM(M50:M57)</f>
        <v>12</v>
      </c>
      <c r="N58" s="9">
        <f>SUM(N50:N57)</f>
        <v>8</v>
      </c>
      <c r="O58" s="9">
        <f>SUM(O50:O57)</f>
        <v>106</v>
      </c>
    </row>
    <row r="60" spans="2:15">
      <c r="B60" s="2" t="s">
        <v>113</v>
      </c>
    </row>
    <row r="61" spans="2:15">
      <c r="B61" t="str">
        <f>B6</f>
        <v>DOT highway program orders - surveyor vests</v>
      </c>
      <c r="C61" s="6">
        <f>C28-C50</f>
        <v>0</v>
      </c>
      <c r="D61" s="6">
        <f>D28-D50</f>
        <v>0</v>
      </c>
      <c r="E61" s="6">
        <f>E28-E50</f>
        <v>0</v>
      </c>
      <c r="F61" s="6">
        <f>F28-F50</f>
        <v>0</v>
      </c>
      <c r="G61" s="6">
        <f>G28-G50</f>
        <v>0</v>
      </c>
      <c r="H61" s="6">
        <f>H28-H50</f>
        <v>0</v>
      </c>
      <c r="I61" s="6">
        <f>I28-I50</f>
        <v>0</v>
      </c>
      <c r="J61" s="6">
        <f>J28-J50</f>
        <v>0</v>
      </c>
      <c r="K61" s="6">
        <f>K28-K50</f>
        <v>54</v>
      </c>
      <c r="L61" s="6">
        <f>L28-L50</f>
        <v>85</v>
      </c>
      <c r="M61" s="6">
        <f>M28-M50</f>
        <v>103</v>
      </c>
      <c r="N61" s="6">
        <f>N28-N50</f>
        <v>72</v>
      </c>
      <c r="O61" s="6">
        <f>SUM(C61:N61)</f>
        <v>314</v>
      </c>
    </row>
    <row r="62" spans="2:15">
      <c r="B62" t="str">
        <f>B7</f>
        <v>Insert Adj. 2</v>
      </c>
      <c r="C62" s="6">
        <f>C29-C51</f>
        <v>0</v>
      </c>
      <c r="D62" s="6">
        <f>D29-D51</f>
        <v>0</v>
      </c>
      <c r="E62" s="6">
        <f>E29-E51</f>
        <v>0</v>
      </c>
      <c r="F62" s="6">
        <f>F29-F51</f>
        <v>0</v>
      </c>
      <c r="G62" s="6">
        <f>G29-G51</f>
        <v>0</v>
      </c>
      <c r="H62" s="6">
        <f>H29-H51</f>
        <v>0</v>
      </c>
      <c r="I62" s="6">
        <f>I29-I51</f>
        <v>0</v>
      </c>
      <c r="J62" s="6">
        <f>J29-J51</f>
        <v>0</v>
      </c>
      <c r="K62" s="6">
        <f>K29-K51</f>
        <v>-70</v>
      </c>
      <c r="L62" s="6">
        <f>L29-L51</f>
        <v>0</v>
      </c>
      <c r="M62" s="6">
        <f>M29-M51</f>
        <v>0</v>
      </c>
      <c r="N62" s="6">
        <f>N29-N51</f>
        <v>0</v>
      </c>
      <c r="O62" s="6">
        <f>SUM(C62:N62)</f>
        <v>-70</v>
      </c>
    </row>
    <row r="63" spans="2:15">
      <c r="B63" t="str">
        <f>B8</f>
        <v>Insert Adj. 3</v>
      </c>
      <c r="C63" s="6">
        <f>C30-C52</f>
        <v>0</v>
      </c>
      <c r="D63" s="6">
        <f>D30-D52</f>
        <v>0</v>
      </c>
      <c r="E63" s="6">
        <f>E30-E52</f>
        <v>0</v>
      </c>
      <c r="F63" s="6">
        <f>F30-F52</f>
        <v>0</v>
      </c>
      <c r="G63" s="6">
        <f>G30-G52</f>
        <v>0</v>
      </c>
      <c r="H63" s="6">
        <f>H30-H52</f>
        <v>0</v>
      </c>
      <c r="I63" s="6">
        <f>I30-I52</f>
        <v>0</v>
      </c>
      <c r="J63" s="6">
        <f>J30-J52</f>
        <v>0</v>
      </c>
      <c r="K63" s="6">
        <f>K30-K52</f>
        <v>0</v>
      </c>
      <c r="L63" s="6">
        <f>L30-L52</f>
        <v>0</v>
      </c>
      <c r="M63" s="6">
        <f>M30-M52</f>
        <v>0</v>
      </c>
      <c r="N63" s="6">
        <f>N30-N52</f>
        <v>0</v>
      </c>
      <c r="O63" s="6">
        <f>SUM(C63:N63)</f>
        <v>0</v>
      </c>
    </row>
    <row r="64" spans="2:15">
      <c r="B64" t="str">
        <f>B9</f>
        <v>Insert Adj. 4</v>
      </c>
      <c r="C64" s="6">
        <f>C31-C53</f>
        <v>0</v>
      </c>
      <c r="D64" s="6">
        <f>D31-D53</f>
        <v>0</v>
      </c>
      <c r="E64" s="6">
        <f>E31-E53</f>
        <v>0</v>
      </c>
      <c r="F64" s="6">
        <f>F31-F53</f>
        <v>0</v>
      </c>
      <c r="G64" s="6">
        <f>G31-G53</f>
        <v>0</v>
      </c>
      <c r="H64" s="6">
        <f>H31-H53</f>
        <v>0</v>
      </c>
      <c r="I64" s="6">
        <f>I31-I53</f>
        <v>0</v>
      </c>
      <c r="J64" s="6">
        <f>J31-J53</f>
        <v>0</v>
      </c>
      <c r="K64" s="6">
        <f>K31-K53</f>
        <v>0</v>
      </c>
      <c r="L64" s="6">
        <f>L31-L53</f>
        <v>0</v>
      </c>
      <c r="M64" s="6">
        <f>M31-M53</f>
        <v>0</v>
      </c>
      <c r="N64" s="6">
        <f>N31-N53</f>
        <v>0</v>
      </c>
      <c r="O64" s="6">
        <f>SUM(C64:N64)</f>
        <v>0</v>
      </c>
    </row>
    <row r="65" spans="2:15">
      <c r="B65" t="str">
        <f>B10</f>
        <v>Insert Adj. 5</v>
      </c>
      <c r="C65" s="6">
        <f>C32-C54</f>
        <v>0</v>
      </c>
      <c r="D65" s="6">
        <f>D32-D54</f>
        <v>0</v>
      </c>
      <c r="E65" s="6">
        <f>E32-E54</f>
        <v>0</v>
      </c>
      <c r="F65" s="6">
        <f>F32-F54</f>
        <v>0</v>
      </c>
      <c r="G65" s="6">
        <f>G32-G54</f>
        <v>0</v>
      </c>
      <c r="H65" s="6">
        <f>H32-H54</f>
        <v>0</v>
      </c>
      <c r="I65" s="6">
        <f>I32-I54</f>
        <v>0</v>
      </c>
      <c r="J65" s="6">
        <f>J32-J54</f>
        <v>0</v>
      </c>
      <c r="K65" s="6">
        <f>K32-K54</f>
        <v>0</v>
      </c>
      <c r="L65" s="6">
        <f>L32-L54</f>
        <v>0</v>
      </c>
      <c r="M65" s="6">
        <f>M32-M54</f>
        <v>0</v>
      </c>
      <c r="N65" s="6">
        <f>N32-N54</f>
        <v>0</v>
      </c>
      <c r="O65" s="6">
        <f>SUM(C65:N65)</f>
        <v>0</v>
      </c>
    </row>
    <row r="66" spans="2:15">
      <c r="B66" t="str">
        <f>B11</f>
        <v>Insert Adj. 6</v>
      </c>
      <c r="C66" s="6">
        <f>C33-C55</f>
        <v>0</v>
      </c>
      <c r="D66" s="6">
        <f>D33-D55</f>
        <v>0</v>
      </c>
      <c r="E66" s="6">
        <f>E33-E55</f>
        <v>0</v>
      </c>
      <c r="F66" s="6">
        <f>F33-F55</f>
        <v>0</v>
      </c>
      <c r="G66" s="6">
        <f>G33-G55</f>
        <v>0</v>
      </c>
      <c r="H66" s="6">
        <f>H33-H55</f>
        <v>0</v>
      </c>
      <c r="I66" s="6">
        <f>I33-I55</f>
        <v>0</v>
      </c>
      <c r="J66" s="6">
        <f>J33-J55</f>
        <v>0</v>
      </c>
      <c r="K66" s="6">
        <f>K33-K55</f>
        <v>0</v>
      </c>
      <c r="L66" s="6">
        <f>L33-L55</f>
        <v>0</v>
      </c>
      <c r="M66" s="6">
        <f>M33-M55</f>
        <v>0</v>
      </c>
      <c r="N66" s="6">
        <f>N33-N55</f>
        <v>0</v>
      </c>
      <c r="O66" s="6">
        <f>SUM(C66:N66)</f>
        <v>0</v>
      </c>
    </row>
    <row r="67" spans="2:15">
      <c r="B67" t="str">
        <f>B12</f>
        <v>Insert Adj. 7</v>
      </c>
      <c r="C67" s="6">
        <f>C34-C56</f>
        <v>0</v>
      </c>
      <c r="D67" s="6">
        <f>D34-D56</f>
        <v>0</v>
      </c>
      <c r="E67" s="6">
        <f>E34-E56</f>
        <v>0</v>
      </c>
      <c r="F67" s="6">
        <f>F34-F56</f>
        <v>0</v>
      </c>
      <c r="G67" s="6">
        <f>G34-G56</f>
        <v>0</v>
      </c>
      <c r="H67" s="6">
        <f>H34-H56</f>
        <v>0</v>
      </c>
      <c r="I67" s="6">
        <f>I34-I56</f>
        <v>0</v>
      </c>
      <c r="J67" s="6">
        <f>J34-J56</f>
        <v>0</v>
      </c>
      <c r="K67" s="6">
        <f>K34-K56</f>
        <v>0</v>
      </c>
      <c r="L67" s="6">
        <f>L34-L56</f>
        <v>0</v>
      </c>
      <c r="M67" s="6">
        <f>M34-M56</f>
        <v>0</v>
      </c>
      <c r="N67" s="6">
        <f>N34-N56</f>
        <v>0</v>
      </c>
      <c r="O67" s="6">
        <f>SUM(C67:N67)</f>
        <v>0</v>
      </c>
    </row>
    <row r="68" spans="2:15">
      <c r="B68" t="str">
        <f>B13</f>
        <v>Insert Adj. 8</v>
      </c>
      <c r="C68" s="6">
        <f>C35-C57</f>
        <v>0</v>
      </c>
      <c r="D68" s="6">
        <f>D35-D57</f>
        <v>0</v>
      </c>
      <c r="E68" s="6">
        <f>E35-E57</f>
        <v>0</v>
      </c>
      <c r="F68" s="6">
        <f>F35-F57</f>
        <v>0</v>
      </c>
      <c r="G68" s="6">
        <f>G35-G57</f>
        <v>0</v>
      </c>
      <c r="H68" s="6">
        <f>H35-H57</f>
        <v>0</v>
      </c>
      <c r="I68" s="6">
        <f>I35-I57</f>
        <v>0</v>
      </c>
      <c r="J68" s="6">
        <f>J35-J57</f>
        <v>0</v>
      </c>
      <c r="K68" s="6">
        <f>K35-K57</f>
        <v>0</v>
      </c>
      <c r="L68" s="6">
        <f>L35-L57</f>
        <v>0</v>
      </c>
      <c r="M68" s="6">
        <f>M35-M57</f>
        <v>0</v>
      </c>
      <c r="N68" s="6">
        <f>N35-N57</f>
        <v>0</v>
      </c>
      <c r="O68" s="6">
        <f>SUM(C68:N68)</f>
        <v>0</v>
      </c>
    </row>
    <row r="69" spans="2:15">
      <c r="B69" s="2" t="s">
        <v>140</v>
      </c>
      <c r="C69" s="9">
        <f>SUM(C61:C68)</f>
        <v>0</v>
      </c>
      <c r="D69" s="9">
        <f>SUM(D61:D68)</f>
        <v>0</v>
      </c>
      <c r="E69" s="9">
        <f>SUM(E61:E68)</f>
        <v>0</v>
      </c>
      <c r="F69" s="9">
        <f>SUM(F61:F68)</f>
        <v>0</v>
      </c>
      <c r="G69" s="9">
        <f>SUM(G61:G68)</f>
        <v>0</v>
      </c>
      <c r="H69" s="9">
        <f>SUM(H61:H68)</f>
        <v>0</v>
      </c>
      <c r="I69" s="9">
        <f>SUM(I61:I68)</f>
        <v>0</v>
      </c>
      <c r="J69" s="9">
        <f>SUM(J61:J68)</f>
        <v>0</v>
      </c>
      <c r="K69" s="9">
        <f>SUM(K61:K68)</f>
        <v>-16</v>
      </c>
      <c r="L69" s="9">
        <f>SUM(L61:L68)</f>
        <v>85</v>
      </c>
      <c r="M69" s="9">
        <f>SUM(M61:M68)</f>
        <v>103</v>
      </c>
      <c r="N69" s="9">
        <f>SUM(N61:N68)</f>
        <v>72</v>
      </c>
      <c r="O69" s="9">
        <f>SUM(O61:O68)</f>
        <v>244</v>
      </c>
    </row>
    <row r="71" spans="2:15">
      <c r="B71" s="8" t="s">
        <v>141</v>
      </c>
    </row>
    <row r="73" spans="2:15">
      <c r="C73" s="4" t="s">
        <v>70</v>
      </c>
      <c r="D73" s="4" t="s">
        <v>71</v>
      </c>
      <c r="E73" s="4" t="s">
        <v>72</v>
      </c>
      <c r="F73" s="4" t="s">
        <v>73</v>
      </c>
      <c r="G73" s="4" t="s">
        <v>50</v>
      </c>
      <c r="H73" s="4" t="s">
        <v>74</v>
      </c>
      <c r="I73" s="4" t="s">
        <v>75</v>
      </c>
      <c r="J73" s="4" t="s">
        <v>76</v>
      </c>
      <c r="K73" s="4" t="s">
        <v>77</v>
      </c>
      <c r="L73" s="4" t="s">
        <v>78</v>
      </c>
      <c r="M73" s="4" t="s">
        <v>79</v>
      </c>
      <c r="N73" s="4" t="s">
        <v>80</v>
      </c>
      <c r="O73" s="4" t="s">
        <v>174</v>
      </c>
    </row>
    <row r="74" spans="2:15">
      <c r="B74" s="2" t="s">
        <v>111</v>
      </c>
    </row>
    <row r="75" spans="2:15">
      <c r="B75" t="s">
        <v>143</v>
      </c>
      <c r="C75" s="12">
        <f>Beacon!C35</f>
        <v>0.40707472592386679</v>
      </c>
      <c r="D75" s="12">
        <f>Beacon!D35</f>
        <v>0.4045211395262045</v>
      </c>
      <c r="E75" s="12">
        <f>Beacon!E35</f>
        <v>0.40263231680163608</v>
      </c>
      <c r="F75" s="12">
        <f>Beacon!F35</f>
        <v>0.40540621445249359</v>
      </c>
      <c r="G75" s="12">
        <f>Beacon!G35</f>
        <v>0.40782723812675825</v>
      </c>
      <c r="H75" s="12">
        <f>Beacon!H35</f>
        <v>0.40601749017536776</v>
      </c>
      <c r="I75" s="12">
        <f>Beacon!I35</f>
        <v>0.40736036579557361</v>
      </c>
      <c r="J75" s="12">
        <f>Beacon!J35</f>
        <v>0.40264448028616595</v>
      </c>
      <c r="K75" s="12">
        <f>Beacon!K35</f>
        <v>0.40296623036230839</v>
      </c>
      <c r="L75" s="12">
        <f>Beacon!L35</f>
        <v>0.4060066573283328</v>
      </c>
      <c r="M75" s="12">
        <f>Beacon!M35</f>
        <v>0.40330028633376919</v>
      </c>
      <c r="N75" s="12">
        <f>Beacon!N35</f>
        <v>0.40299067665560673</v>
      </c>
      <c r="O75" t="s">
        <v>183</v>
      </c>
    </row>
    <row r="76" spans="2:15">
      <c r="B76" t="s">
        <v>144</v>
      </c>
      <c r="C76" t="s">
        <v>145</v>
      </c>
      <c r="D76" t="s">
        <v>145</v>
      </c>
      <c r="E76" t="s">
        <v>145</v>
      </c>
      <c r="F76" t="s">
        <v>145</v>
      </c>
      <c r="G76" t="s">
        <v>145</v>
      </c>
      <c r="H76" t="s">
        <v>145</v>
      </c>
      <c r="I76" t="s">
        <v>145</v>
      </c>
      <c r="J76" t="s">
        <v>145</v>
      </c>
      <c r="K76" t="s">
        <v>145</v>
      </c>
      <c r="L76" t="s">
        <v>145</v>
      </c>
      <c r="M76" t="s">
        <v>145</v>
      </c>
      <c r="N76" t="s">
        <v>145</v>
      </c>
    </row>
    <row r="77" spans="2:15">
      <c r="B77" t="s">
        <v>146</v>
      </c>
      <c r="C77" s="6">
        <f>IF(C76="None",0,(((Beacon!C28*(C75+C76))-Beacon!C29)))</f>
        <v>0</v>
      </c>
      <c r="D77" s="6">
        <f>IF(D76="None",0,(((Beacon!D28*(D75+D76))-Beacon!D29)))</f>
        <v>0</v>
      </c>
      <c r="E77" s="6">
        <f>IF(E76="None",0,(((Beacon!E28*(E75+E76))-Beacon!E29)))</f>
        <v>0</v>
      </c>
      <c r="F77" s="6">
        <f>IF(F76="None",0,(((Beacon!F28*(F75+F76))-Beacon!F29)))</f>
        <v>0</v>
      </c>
      <c r="G77" s="6">
        <f>IF(G76="None",0,(((Beacon!G28*(G75+G76))-Beacon!G29)))</f>
        <v>0</v>
      </c>
      <c r="H77" s="6">
        <f>IF(H76="None",0,(((Beacon!H28*(H75+H76))-Beacon!H29)))</f>
        <v>0</v>
      </c>
      <c r="I77" s="6">
        <f>IF(I76="None",0,(((Beacon!I28*(I75+I76))-Beacon!I29)))</f>
        <v>0</v>
      </c>
      <c r="J77" s="6">
        <f>IF(J76="None",0,(((Beacon!J28*(J75+J76))-Beacon!J29)))</f>
        <v>0</v>
      </c>
      <c r="K77" s="6">
        <f>IF(K76="None",0,(((Beacon!K28*(K75+K76))-Beacon!K29)))</f>
        <v>0</v>
      </c>
      <c r="L77" s="6">
        <f>IF(L76="None",0,(((Beacon!L28*(L75+L76))-Beacon!L29)))</f>
        <v>0</v>
      </c>
      <c r="M77" s="6">
        <f>IF(M76="None",0,(((Beacon!M28*(M75+M76))-Beacon!M29)))</f>
        <v>0</v>
      </c>
      <c r="N77" s="6">
        <f>IF(N76="None",0,(((Beacon!N28*(N75+N76))-Beacon!N29)))</f>
        <v>0</v>
      </c>
      <c r="O77" s="6">
        <f>SUM(C77:N77)</f>
        <v>0</v>
      </c>
    </row>
    <row r="78" spans="2:15">
      <c r="B78" t="s">
        <v>147</v>
      </c>
      <c r="C78" s="12">
        <f>SUM(C75:C76)</f>
        <v>0.40707472592386679</v>
      </c>
      <c r="D78" s="12">
        <f>SUM(D75:D76)</f>
        <v>0.4045211395262045</v>
      </c>
      <c r="E78" s="12">
        <f>SUM(E75:E76)</f>
        <v>0.40263231680163608</v>
      </c>
      <c r="F78" s="12">
        <f>SUM(F75:F76)</f>
        <v>0.40540621445249359</v>
      </c>
      <c r="G78" s="12">
        <f>SUM(G75:G76)</f>
        <v>0.40782723812675825</v>
      </c>
      <c r="H78" s="12">
        <f>SUM(H75:H76)</f>
        <v>0.40601749017536776</v>
      </c>
      <c r="I78" s="12">
        <f>SUM(I75:I76)</f>
        <v>0.40736036579557361</v>
      </c>
      <c r="J78" s="12">
        <f>SUM(J75:J76)</f>
        <v>0.40264448028616595</v>
      </c>
      <c r="K78" s="12">
        <f>SUM(K75:K76)</f>
        <v>0.40296623036230839</v>
      </c>
      <c r="L78" s="12">
        <f>SUM(L75:L76)</f>
        <v>0.4060066573283328</v>
      </c>
      <c r="M78" s="12">
        <f>SUM(M75:M76)</f>
        <v>0.40330028633376919</v>
      </c>
      <c r="N78" s="12">
        <f>SUM(N75:N76)</f>
        <v>0.40299067665560673</v>
      </c>
      <c r="O78" t="s">
        <v>183</v>
      </c>
    </row>
    <row r="81" spans="1:15">
      <c r="B81" s="2" t="s">
        <v>112</v>
      </c>
    </row>
    <row r="82" spans="1:15">
      <c r="B82" t="s">
        <v>148</v>
      </c>
      <c r="C82" s="12">
        <f>Beacon!C36</f>
        <v>-0.22336118977709052</v>
      </c>
      <c r="D82" s="12">
        <f>Beacon!D36</f>
        <v>-0.22234267536298849</v>
      </c>
      <c r="E82" s="12">
        <f>Beacon!E36</f>
        <v>-0.22490145305206904</v>
      </c>
      <c r="F82" s="12">
        <f>Beacon!F36</f>
        <v>-0.21948153026402445</v>
      </c>
      <c r="G82" s="12">
        <f>Beacon!G36</f>
        <v>-0.22134701307297699</v>
      </c>
      <c r="H82" s="12">
        <f>Beacon!H36</f>
        <v>-0.22004069650041164</v>
      </c>
      <c r="I82" s="12">
        <f>Beacon!I36</f>
        <v>-0.22339885053821482</v>
      </c>
      <c r="J82" s="12">
        <f>Beacon!J36</f>
        <v>-0.22102808961849857</v>
      </c>
      <c r="K82" s="12">
        <f>Beacon!K36</f>
        <v>-0.21995812756708377</v>
      </c>
      <c r="L82" s="12">
        <f>Beacon!L36</f>
        <v>-0.22092690494479839</v>
      </c>
      <c r="M82" s="12">
        <f>Beacon!M36</f>
        <v>-0.21898740462437313</v>
      </c>
      <c r="N82" s="12">
        <f>Beacon!N36</f>
        <v>-0.21655381566502022</v>
      </c>
      <c r="O82" t="s">
        <v>183</v>
      </c>
    </row>
    <row r="83" spans="1:15">
      <c r="B83" t="s">
        <v>144</v>
      </c>
      <c r="C83" t="s">
        <v>145</v>
      </c>
      <c r="D83" t="s">
        <v>145</v>
      </c>
      <c r="E83" t="s">
        <v>145</v>
      </c>
      <c r="F83" t="s">
        <v>145</v>
      </c>
      <c r="G83" t="s">
        <v>145</v>
      </c>
      <c r="H83" t="s">
        <v>145</v>
      </c>
      <c r="I83" t="s">
        <v>145</v>
      </c>
      <c r="J83" t="s">
        <v>145</v>
      </c>
      <c r="K83" t="s">
        <v>145</v>
      </c>
      <c r="L83" t="s">
        <v>145</v>
      </c>
      <c r="M83" t="s">
        <v>145</v>
      </c>
      <c r="N83" t="s">
        <v>145</v>
      </c>
    </row>
    <row r="84" spans="1:15">
      <c r="B84" t="s">
        <v>146</v>
      </c>
      <c r="C84" s="6">
        <f>-IF(C83="None",0,(((Beacon!C28*-(C82+C83))-Beacon!C30)))</f>
        <v>0</v>
      </c>
      <c r="D84" s="6">
        <f>-IF(D83="None",0,(((Beacon!D28*-(D82+D83))-Beacon!D30)))</f>
        <v>0</v>
      </c>
      <c r="E84" s="6">
        <f>-IF(E83="None",0,(((Beacon!E28*-(E82+E83))-Beacon!E30)))</f>
        <v>0</v>
      </c>
      <c r="F84" s="6">
        <f>-IF(F83="None",0,(((Beacon!F28*-(F82+F83))-Beacon!F30)))</f>
        <v>0</v>
      </c>
      <c r="G84" s="6">
        <f>-IF(G83="None",0,(((Beacon!G28*-(G82+G83))-Beacon!G30)))</f>
        <v>0</v>
      </c>
      <c r="H84" s="6">
        <f>-IF(H83="None",0,(((Beacon!H28*-(H82+H83))-Beacon!H30)))</f>
        <v>0</v>
      </c>
      <c r="I84" s="6">
        <f>-IF(I83="None",0,(((Beacon!I28*-(I82+I83))-Beacon!I30)))</f>
        <v>0</v>
      </c>
      <c r="J84" s="6">
        <f>-IF(J83="None",0,(((Beacon!J28*-(J82+J83))-Beacon!J30)))</f>
        <v>0</v>
      </c>
      <c r="K84" s="6">
        <f>-IF(K83="None",0,(((Beacon!K28*-(K82+K83))-Beacon!K30)))</f>
        <v>0</v>
      </c>
      <c r="L84" s="6">
        <f>-IF(L83="None",0,(((Beacon!L28*-(L82+L83))-Beacon!L30)))</f>
        <v>0</v>
      </c>
      <c r="M84" s="6">
        <f>-IF(M83="None",0,(((Beacon!M28*-(M82+M83))-Beacon!M30)))</f>
        <v>0</v>
      </c>
      <c r="N84" s="6">
        <f>-IF(N83="None",0,(((Beacon!N28*-(N82+N83))-Beacon!N30)))</f>
        <v>0</v>
      </c>
      <c r="O84" s="6">
        <f>SUM(C84:N84)</f>
        <v>0</v>
      </c>
    </row>
    <row r="85" spans="1:15">
      <c r="B85" t="s">
        <v>149</v>
      </c>
      <c r="C85" s="12">
        <f>SUM(C82:C83)</f>
        <v>-0.22336118977709052</v>
      </c>
      <c r="D85" s="12">
        <f>SUM(D82:D83)</f>
        <v>-0.22234267536298849</v>
      </c>
      <c r="E85" s="12">
        <f>SUM(E82:E83)</f>
        <v>-0.22490145305206904</v>
      </c>
      <c r="F85" s="12">
        <f>SUM(F82:F83)</f>
        <v>-0.21948153026402445</v>
      </c>
      <c r="G85" s="12">
        <f>SUM(G82:G83)</f>
        <v>-0.22134701307297699</v>
      </c>
      <c r="H85" s="12">
        <f>SUM(H82:H83)</f>
        <v>-0.22004069650041164</v>
      </c>
      <c r="I85" s="12">
        <f>SUM(I82:I83)</f>
        <v>-0.22339885053821482</v>
      </c>
      <c r="J85" s="12">
        <f>SUM(J82:J83)</f>
        <v>-0.22102808961849857</v>
      </c>
      <c r="K85" s="12">
        <f>SUM(K82:K83)</f>
        <v>-0.21995812756708377</v>
      </c>
      <c r="L85" s="12">
        <f>SUM(L82:L83)</f>
        <v>-0.22092690494479839</v>
      </c>
      <c r="M85" s="12">
        <f>SUM(M82:M83)</f>
        <v>-0.21898740462437313</v>
      </c>
      <c r="N85" s="12">
        <f>SUM(N82:N83)</f>
        <v>-0.21655381566502022</v>
      </c>
      <c r="O85" t="s">
        <v>183</v>
      </c>
    </row>
    <row r="87" spans="1:15">
      <c r="B87" s="8" t="s">
        <v>150</v>
      </c>
    </row>
    <row r="89" spans="1:15">
      <c r="C89" s="4" t="s">
        <v>70</v>
      </c>
      <c r="D89" s="4" t="s">
        <v>71</v>
      </c>
      <c r="E89" s="4" t="s">
        <v>72</v>
      </c>
      <c r="F89" s="4" t="s">
        <v>73</v>
      </c>
      <c r="G89" s="4" t="s">
        <v>50</v>
      </c>
      <c r="H89" s="4" t="s">
        <v>74</v>
      </c>
      <c r="I89" s="4" t="s">
        <v>75</v>
      </c>
      <c r="J89" s="4" t="s">
        <v>76</v>
      </c>
      <c r="K89" s="4" t="s">
        <v>77</v>
      </c>
      <c r="L89" s="4" t="s">
        <v>78</v>
      </c>
      <c r="M89" s="4" t="s">
        <v>79</v>
      </c>
      <c r="N89" s="4" t="s">
        <v>80</v>
      </c>
      <c r="O89" s="4" t="s">
        <v>174</v>
      </c>
    </row>
    <row r="90" spans="1:15">
      <c r="A90">
        <v>2090</v>
      </c>
      <c r="B90" t="s">
        <v>151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20">
        <v>0</v>
      </c>
      <c r="L90" s="20">
        <v>0</v>
      </c>
      <c r="M90" s="20">
        <v>0</v>
      </c>
      <c r="N90" s="20">
        <v>0</v>
      </c>
    </row>
    <row r="91" spans="1:15">
      <c r="A91">
        <v>2135</v>
      </c>
      <c r="B91" t="s">
        <v>152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20">
        <v>0</v>
      </c>
      <c r="L91" s="20">
        <v>0</v>
      </c>
      <c r="M91" s="20">
        <v>0</v>
      </c>
      <c r="N91" s="20">
        <v>0</v>
      </c>
    </row>
    <row r="92" spans="1:15">
      <c r="A92">
        <v>2175</v>
      </c>
      <c r="B92" t="s">
        <v>153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20">
        <v>0</v>
      </c>
      <c r="L92" s="20">
        <v>0</v>
      </c>
      <c r="M92" s="20">
        <v>0</v>
      </c>
      <c r="N92" s="20">
        <v>0</v>
      </c>
    </row>
    <row r="93" spans="1:15">
      <c r="A93">
        <v>2140</v>
      </c>
      <c r="B93" t="s">
        <v>154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20">
        <v>0</v>
      </c>
      <c r="L93" s="20">
        <v>0</v>
      </c>
      <c r="M93" s="20">
        <v>0</v>
      </c>
      <c r="N93" s="20">
        <v>0</v>
      </c>
    </row>
    <row r="94" spans="1:15">
      <c r="A94">
        <v>2180</v>
      </c>
      <c r="B94" t="s">
        <v>155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20">
        <v>0</v>
      </c>
      <c r="L94" s="20">
        <v>0</v>
      </c>
      <c r="M94" s="20">
        <v>0</v>
      </c>
      <c r="N94" s="20">
        <v>0</v>
      </c>
    </row>
    <row r="95" spans="1:15">
      <c r="A95">
        <v>2185</v>
      </c>
      <c r="B95" s="2" t="s">
        <v>156</v>
      </c>
      <c r="C95" s="6">
        <f>SUM(C90:C94)</f>
        <v>0</v>
      </c>
      <c r="D95" s="6">
        <f>SUM(D90:D94)</f>
        <v>0</v>
      </c>
      <c r="E95" s="6">
        <f>SUM(E90:E94)</f>
        <v>0</v>
      </c>
      <c r="F95" s="6">
        <f>SUM(F90:F94)</f>
        <v>0</v>
      </c>
      <c r="G95" s="6">
        <f>SUM(G90:G94)</f>
        <v>0</v>
      </c>
      <c r="H95" s="6">
        <f>SUM(H90:H94)</f>
        <v>0</v>
      </c>
      <c r="I95" s="6">
        <f>SUM(I90:I94)</f>
        <v>0</v>
      </c>
      <c r="J95" s="6">
        <f>SUM(J90:J94)</f>
        <v>0</v>
      </c>
      <c r="K95" s="6">
        <f>SUM(K90:K94)</f>
        <v>0</v>
      </c>
      <c r="L95" s="6">
        <f>SUM(L90:L94)</f>
        <v>0</v>
      </c>
      <c r="M95" s="6">
        <f>SUM(M90:M94)</f>
        <v>0</v>
      </c>
      <c r="N95" s="6">
        <f>SUM(N90:N94)</f>
        <v>0</v>
      </c>
    </row>
    <row r="97" spans="2:2">
      <c r="B97" s="21" t="s">
        <v>184</v>
      </c>
    </row>
  </sheetData>
  <dataValidations count="1">
    <dataValidation type="list" allowBlank="1" sqref="C76:N76 C83:N83" xr:uid="{00000000-0002-0000-0B00-000000000000}">
      <formula1>"None,-2.0%,-1.5%,-1.0%,-0.5%,0.5%,1.0%,1.5%,2.0%"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70C0"/>
  </sheetPr>
  <dimension ref="B1:CE73"/>
  <sheetViews>
    <sheetView showGridLines="0" workbookViewId="0">
      <pane xSplit="2" ySplit="26" topLeftCell="C27" activePane="bottomRight" state="frozen"/>
      <selection pane="bottomRight"/>
      <selection pane="bottomLeft"/>
      <selection pane="topRight"/>
    </sheetView>
  </sheetViews>
  <sheetFormatPr defaultRowHeight="15" outlineLevelRow="1"/>
  <cols>
    <col min="1" max="1" width="2" customWidth="1"/>
    <col min="2" max="2" width="30" customWidth="1"/>
    <col min="3" max="15" width="11" customWidth="1"/>
    <col min="16" max="16" width="2" customWidth="1"/>
    <col min="17" max="29" width="11" customWidth="1"/>
    <col min="30" max="30" width="2" customWidth="1"/>
    <col min="31" max="43" width="11" customWidth="1"/>
    <col min="44" max="44" width="2" customWidth="1"/>
    <col min="45" max="57" width="11" customWidth="1"/>
    <col min="58" max="58" width="2" customWidth="1"/>
    <col min="59" max="71" width="11" customWidth="1"/>
    <col min="72" max="72" width="2" customWidth="1"/>
    <col min="73" max="75" width="11" customWidth="1"/>
    <col min="76" max="76" width="2" customWidth="1"/>
    <col min="77" max="79" width="11" customWidth="1"/>
    <col min="80" max="80" width="2" customWidth="1"/>
    <col min="81" max="83" width="11" customWidth="1"/>
  </cols>
  <sheetData>
    <row r="1" spans="2:14" outlineLevel="1">
      <c r="C1" s="15" t="s">
        <v>34</v>
      </c>
      <c r="D1" s="15" t="s">
        <v>34</v>
      </c>
      <c r="E1" s="15" t="s">
        <v>34</v>
      </c>
      <c r="F1" s="15" t="s">
        <v>34</v>
      </c>
      <c r="G1" s="15" t="s">
        <v>34</v>
      </c>
      <c r="H1" s="15" t="s">
        <v>34</v>
      </c>
      <c r="I1" s="15" t="s">
        <v>34</v>
      </c>
      <c r="J1" s="15" t="s">
        <v>34</v>
      </c>
      <c r="K1" s="15" t="s">
        <v>45</v>
      </c>
      <c r="L1" s="15" t="s">
        <v>45</v>
      </c>
      <c r="M1" s="15" t="s">
        <v>45</v>
      </c>
      <c r="N1" s="15" t="s">
        <v>45</v>
      </c>
    </row>
    <row r="2" spans="2:14" outlineLevel="1">
      <c r="B2" s="15" t="s">
        <v>2</v>
      </c>
      <c r="C2" s="15" t="s">
        <v>34</v>
      </c>
      <c r="D2" s="15" t="s">
        <v>34</v>
      </c>
      <c r="E2" s="15" t="s">
        <v>34</v>
      </c>
      <c r="F2" s="15" t="s">
        <v>34</v>
      </c>
      <c r="G2" s="15" t="s">
        <v>34</v>
      </c>
      <c r="H2" s="15" t="s">
        <v>34</v>
      </c>
      <c r="I2" s="15" t="s">
        <v>34</v>
      </c>
      <c r="J2" s="15" t="s">
        <v>34</v>
      </c>
      <c r="K2" s="15" t="s">
        <v>34</v>
      </c>
      <c r="L2" s="15" t="s">
        <v>34</v>
      </c>
      <c r="M2" s="15" t="s">
        <v>34</v>
      </c>
      <c r="N2" s="15" t="s">
        <v>34</v>
      </c>
    </row>
    <row r="3" spans="2:14" outlineLevel="1"/>
    <row r="4" spans="2:14" outlineLevel="1"/>
    <row r="5" spans="2:14" outlineLevel="1">
      <c r="B5" s="15" t="s">
        <v>4</v>
      </c>
      <c r="C5" s="15">
        <v>2026</v>
      </c>
      <c r="D5" s="15">
        <v>2026</v>
      </c>
      <c r="E5" s="15">
        <v>2026</v>
      </c>
      <c r="F5" s="15">
        <v>2026</v>
      </c>
      <c r="G5" s="15">
        <v>2026</v>
      </c>
      <c r="H5" s="15">
        <v>2026</v>
      </c>
      <c r="I5" s="15">
        <v>2026</v>
      </c>
      <c r="J5" s="15">
        <v>2026</v>
      </c>
      <c r="K5" s="15">
        <v>2026</v>
      </c>
      <c r="L5" s="15">
        <v>2026</v>
      </c>
      <c r="M5" s="15">
        <v>2026</v>
      </c>
      <c r="N5" s="15">
        <v>2026</v>
      </c>
    </row>
    <row r="6" spans="2:14" outlineLevel="1"/>
    <row r="7" spans="2:14" outlineLevel="1"/>
    <row r="8" spans="2:14" outlineLevel="1">
      <c r="B8" s="15" t="s">
        <v>5</v>
      </c>
      <c r="C8" s="15" t="s">
        <v>35</v>
      </c>
      <c r="D8" s="15" t="s">
        <v>39</v>
      </c>
      <c r="E8" s="15" t="s">
        <v>43</v>
      </c>
      <c r="F8" s="15" t="s">
        <v>47</v>
      </c>
      <c r="G8" s="15" t="s">
        <v>51</v>
      </c>
      <c r="H8" s="15" t="s">
        <v>54</v>
      </c>
      <c r="I8" s="15" t="s">
        <v>56</v>
      </c>
      <c r="J8" s="15" t="s">
        <v>58</v>
      </c>
      <c r="K8" s="15" t="s">
        <v>32</v>
      </c>
      <c r="L8" s="15" t="s">
        <v>37</v>
      </c>
      <c r="M8" s="15" t="s">
        <v>66</v>
      </c>
      <c r="N8" s="15" t="s">
        <v>68</v>
      </c>
    </row>
    <row r="9" spans="2:14" outlineLevel="1">
      <c r="B9" s="15" t="s">
        <v>13</v>
      </c>
    </row>
    <row r="10" spans="2:14" outlineLevel="1">
      <c r="B10" s="15" t="s">
        <v>14</v>
      </c>
    </row>
    <row r="11" spans="2:14" outlineLevel="1">
      <c r="B11" s="15" t="s">
        <v>16</v>
      </c>
      <c r="C11" s="15" t="s">
        <v>17</v>
      </c>
      <c r="D11" s="15" t="s">
        <v>17</v>
      </c>
      <c r="E11" s="15" t="s">
        <v>17</v>
      </c>
      <c r="F11" s="15" t="s">
        <v>17</v>
      </c>
      <c r="G11" s="15" t="s">
        <v>17</v>
      </c>
      <c r="H11" s="15" t="s">
        <v>17</v>
      </c>
      <c r="I11" s="15" t="s">
        <v>17</v>
      </c>
      <c r="J11" s="15" t="s">
        <v>17</v>
      </c>
      <c r="K11" s="15" t="s">
        <v>17</v>
      </c>
      <c r="L11" s="15" t="s">
        <v>17</v>
      </c>
      <c r="M11" s="15" t="s">
        <v>17</v>
      </c>
      <c r="N11" s="15" t="s">
        <v>17</v>
      </c>
    </row>
    <row r="12" spans="2:14" outlineLevel="1">
      <c r="B12" s="15" t="s">
        <v>18</v>
      </c>
      <c r="C12" s="15" t="s">
        <v>19</v>
      </c>
      <c r="D12" s="15" t="s">
        <v>19</v>
      </c>
      <c r="E12" s="15" t="s">
        <v>19</v>
      </c>
      <c r="F12" s="15" t="s">
        <v>19</v>
      </c>
      <c r="G12" s="15" t="s">
        <v>19</v>
      </c>
      <c r="H12" s="15" t="s">
        <v>19</v>
      </c>
      <c r="I12" s="15" t="s">
        <v>19</v>
      </c>
      <c r="J12" s="15" t="s">
        <v>19</v>
      </c>
      <c r="K12" s="15" t="s">
        <v>19</v>
      </c>
      <c r="L12" s="15" t="s">
        <v>19</v>
      </c>
      <c r="M12" s="15" t="s">
        <v>19</v>
      </c>
      <c r="N12" s="15" t="s">
        <v>19</v>
      </c>
    </row>
    <row r="13" spans="2:14" outlineLevel="1">
      <c r="B13" s="15" t="s">
        <v>20</v>
      </c>
    </row>
    <row r="14" spans="2:14" outlineLevel="1">
      <c r="B14" s="15" t="s">
        <v>22</v>
      </c>
    </row>
    <row r="15" spans="2:14" outlineLevel="1"/>
    <row r="16" spans="2:14" outlineLevel="1"/>
    <row r="17" spans="2:83" outlineLevel="1"/>
    <row r="18" spans="2:83" outlineLevel="1">
      <c r="B18" s="15" t="s">
        <v>7</v>
      </c>
      <c r="C18" s="15" t="s">
        <v>157</v>
      </c>
      <c r="D18" s="15" t="s">
        <v>157</v>
      </c>
      <c r="E18" s="15" t="s">
        <v>157</v>
      </c>
      <c r="F18" s="15" t="s">
        <v>157</v>
      </c>
      <c r="G18" s="15" t="s">
        <v>157</v>
      </c>
      <c r="H18" s="15" t="s">
        <v>157</v>
      </c>
      <c r="I18" s="15" t="s">
        <v>157</v>
      </c>
      <c r="J18" s="15" t="s">
        <v>157</v>
      </c>
      <c r="K18" s="15" t="s">
        <v>157</v>
      </c>
      <c r="L18" s="15" t="s">
        <v>157</v>
      </c>
      <c r="M18" s="15" t="s">
        <v>157</v>
      </c>
      <c r="N18" s="15" t="s">
        <v>157</v>
      </c>
    </row>
    <row r="19" spans="2:83" outlineLevel="1">
      <c r="B19" s="15" t="s">
        <v>11</v>
      </c>
      <c r="C19" s="15" t="s">
        <v>12</v>
      </c>
      <c r="D19" s="15" t="s">
        <v>12</v>
      </c>
      <c r="E19" s="15" t="s">
        <v>12</v>
      </c>
      <c r="F19" s="15" t="s">
        <v>12</v>
      </c>
      <c r="G19" s="15" t="s">
        <v>12</v>
      </c>
      <c r="H19" s="15" t="s">
        <v>12</v>
      </c>
      <c r="I19" s="15" t="s">
        <v>12</v>
      </c>
      <c r="J19" s="15" t="s">
        <v>12</v>
      </c>
      <c r="K19" s="15" t="s">
        <v>12</v>
      </c>
      <c r="L19" s="15" t="s">
        <v>12</v>
      </c>
      <c r="M19" s="15" t="s">
        <v>12</v>
      </c>
      <c r="N19" s="15" t="s">
        <v>12</v>
      </c>
    </row>
    <row r="21" spans="2:83">
      <c r="B21" s="1" t="s">
        <v>24</v>
      </c>
    </row>
    <row r="22" spans="2:83">
      <c r="B22" s="15" t="s">
        <v>189</v>
      </c>
    </row>
    <row r="23" spans="2:83">
      <c r="B23" s="3" t="s">
        <v>102</v>
      </c>
      <c r="BU23" s="8" t="s">
        <v>158</v>
      </c>
    </row>
    <row r="24" spans="2:83">
      <c r="C24" s="8" t="s">
        <v>159</v>
      </c>
      <c r="Q24" s="8" t="s">
        <v>160</v>
      </c>
      <c r="AE24" s="8" t="s">
        <v>161</v>
      </c>
      <c r="AS24" s="8" t="s">
        <v>162</v>
      </c>
      <c r="BG24" s="8" t="s">
        <v>52</v>
      </c>
      <c r="BU24" s="2" t="s">
        <v>91</v>
      </c>
      <c r="BY24" s="2" t="s">
        <v>92</v>
      </c>
      <c r="CC24" s="2" t="s">
        <v>81</v>
      </c>
    </row>
    <row r="25" spans="2:83"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34</v>
      </c>
      <c r="I25" t="s">
        <v>34</v>
      </c>
      <c r="J25" t="s">
        <v>34</v>
      </c>
      <c r="K25" t="s">
        <v>45</v>
      </c>
      <c r="L25" t="s">
        <v>45</v>
      </c>
      <c r="M25" t="s">
        <v>45</v>
      </c>
      <c r="N25" t="s">
        <v>45</v>
      </c>
      <c r="O25" t="s">
        <v>163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45</v>
      </c>
      <c r="Z25" t="s">
        <v>45</v>
      </c>
      <c r="AA25" t="s">
        <v>45</v>
      </c>
      <c r="AB25" t="s">
        <v>45</v>
      </c>
      <c r="AC25" t="s">
        <v>163</v>
      </c>
      <c r="BG25" t="s">
        <v>34</v>
      </c>
      <c r="BH25" t="s">
        <v>34</v>
      </c>
      <c r="BI25" t="s">
        <v>34</v>
      </c>
      <c r="BJ25" t="s">
        <v>34</v>
      </c>
      <c r="BK25" t="s">
        <v>34</v>
      </c>
      <c r="BL25" t="s">
        <v>34</v>
      </c>
      <c r="BM25" t="s">
        <v>34</v>
      </c>
      <c r="BN25" t="s">
        <v>34</v>
      </c>
      <c r="BO25" t="s">
        <v>34</v>
      </c>
      <c r="BP25" t="s">
        <v>52</v>
      </c>
      <c r="BQ25" t="s">
        <v>52</v>
      </c>
      <c r="BR25" t="s">
        <v>52</v>
      </c>
      <c r="BS25" t="s">
        <v>163</v>
      </c>
    </row>
    <row r="26" spans="2:83" ht="30" customHeight="1">
      <c r="B26" s="2" t="s">
        <v>164</v>
      </c>
      <c r="C26" s="16" t="s">
        <v>70</v>
      </c>
      <c r="D26" s="16" t="s">
        <v>71</v>
      </c>
      <c r="E26" s="16" t="s">
        <v>72</v>
      </c>
      <c r="F26" s="16" t="s">
        <v>73</v>
      </c>
      <c r="G26" s="16" t="s">
        <v>50</v>
      </c>
      <c r="H26" s="16" t="s">
        <v>74</v>
      </c>
      <c r="I26" s="16" t="s">
        <v>75</v>
      </c>
      <c r="J26" s="16" t="s">
        <v>76</v>
      </c>
      <c r="K26" s="16" t="s">
        <v>77</v>
      </c>
      <c r="L26" s="16" t="s">
        <v>78</v>
      </c>
      <c r="M26" s="16" t="s">
        <v>79</v>
      </c>
      <c r="N26" s="16" t="s">
        <v>80</v>
      </c>
      <c r="O26" s="16" t="s">
        <v>165</v>
      </c>
      <c r="Q26" s="16" t="s">
        <v>70</v>
      </c>
      <c r="R26" s="16" t="s">
        <v>71</v>
      </c>
      <c r="S26" s="16" t="s">
        <v>72</v>
      </c>
      <c r="T26" s="16" t="s">
        <v>73</v>
      </c>
      <c r="U26" s="16" t="s">
        <v>50</v>
      </c>
      <c r="V26" s="16" t="s">
        <v>74</v>
      </c>
      <c r="W26" s="16" t="s">
        <v>75</v>
      </c>
      <c r="X26" s="16" t="s">
        <v>76</v>
      </c>
      <c r="Y26" s="16" t="s">
        <v>77</v>
      </c>
      <c r="Z26" s="16" t="s">
        <v>78</v>
      </c>
      <c r="AA26" s="16" t="s">
        <v>79</v>
      </c>
      <c r="AB26" s="16" t="s">
        <v>80</v>
      </c>
      <c r="AC26" s="16" t="s">
        <v>165</v>
      </c>
      <c r="AE26" s="16" t="s">
        <v>70</v>
      </c>
      <c r="AF26" s="16" t="s">
        <v>71</v>
      </c>
      <c r="AG26" s="16" t="s">
        <v>72</v>
      </c>
      <c r="AH26" s="16" t="s">
        <v>73</v>
      </c>
      <c r="AI26" s="16" t="s">
        <v>50</v>
      </c>
      <c r="AJ26" s="16" t="s">
        <v>74</v>
      </c>
      <c r="AK26" s="16" t="s">
        <v>75</v>
      </c>
      <c r="AL26" s="16" t="s">
        <v>76</v>
      </c>
      <c r="AM26" s="16" t="s">
        <v>77</v>
      </c>
      <c r="AN26" s="16" t="s">
        <v>78</v>
      </c>
      <c r="AO26" s="16" t="s">
        <v>79</v>
      </c>
      <c r="AP26" s="16" t="s">
        <v>80</v>
      </c>
      <c r="AQ26" s="16" t="s">
        <v>165</v>
      </c>
      <c r="AS26" s="16" t="s">
        <v>70</v>
      </c>
      <c r="AT26" s="16" t="s">
        <v>71</v>
      </c>
      <c r="AU26" s="16" t="s">
        <v>72</v>
      </c>
      <c r="AV26" s="16" t="s">
        <v>73</v>
      </c>
      <c r="AW26" s="16" t="s">
        <v>50</v>
      </c>
      <c r="AX26" s="16" t="s">
        <v>74</v>
      </c>
      <c r="AY26" s="16" t="s">
        <v>75</v>
      </c>
      <c r="AZ26" s="16" t="s">
        <v>76</v>
      </c>
      <c r="BA26" s="16" t="s">
        <v>77</v>
      </c>
      <c r="BB26" s="16" t="s">
        <v>78</v>
      </c>
      <c r="BC26" s="16" t="s">
        <v>79</v>
      </c>
      <c r="BD26" s="16" t="s">
        <v>80</v>
      </c>
      <c r="BE26" s="16" t="s">
        <v>165</v>
      </c>
      <c r="BG26" s="16" t="s">
        <v>70</v>
      </c>
      <c r="BH26" s="16" t="s">
        <v>71</v>
      </c>
      <c r="BI26" s="16" t="s">
        <v>72</v>
      </c>
      <c r="BJ26" s="16" t="s">
        <v>73</v>
      </c>
      <c r="BK26" s="16" t="s">
        <v>50</v>
      </c>
      <c r="BL26" s="16" t="s">
        <v>74</v>
      </c>
      <c r="BM26" s="16" t="s">
        <v>75</v>
      </c>
      <c r="BN26" s="16" t="s">
        <v>76</v>
      </c>
      <c r="BO26" s="16" t="s">
        <v>77</v>
      </c>
      <c r="BP26" s="16" t="s">
        <v>78</v>
      </c>
      <c r="BQ26" s="16" t="s">
        <v>79</v>
      </c>
      <c r="BR26" s="16" t="s">
        <v>80</v>
      </c>
      <c r="BS26" s="16" t="s">
        <v>165</v>
      </c>
      <c r="BU26" s="17" t="s">
        <v>94</v>
      </c>
      <c r="BV26" s="17" t="s">
        <v>95</v>
      </c>
      <c r="BW26" s="17" t="s">
        <v>96</v>
      </c>
      <c r="BY26" s="17" t="s">
        <v>97</v>
      </c>
      <c r="BZ26" s="17" t="s">
        <v>98</v>
      </c>
      <c r="CA26" s="17" t="s">
        <v>99</v>
      </c>
      <c r="CC26" s="17" t="s">
        <v>97</v>
      </c>
      <c r="CD26" s="17" t="s">
        <v>98</v>
      </c>
      <c r="CE26" s="17" t="s">
        <v>99</v>
      </c>
    </row>
    <row r="28" spans="2:83">
      <c r="B28" s="2" t="s">
        <v>100</v>
      </c>
      <c r="C28" s="6">
        <v>5755.7</v>
      </c>
      <c r="D28" s="6">
        <v>5626.9</v>
      </c>
      <c r="E28" s="6">
        <v>6063.1</v>
      </c>
      <c r="F28" s="6">
        <v>6681.2</v>
      </c>
      <c r="G28" s="6">
        <v>6043</v>
      </c>
      <c r="H28" s="6">
        <v>6437.9</v>
      </c>
      <c r="I28" s="6">
        <v>6298.6</v>
      </c>
      <c r="J28" s="6">
        <v>6262.1</v>
      </c>
      <c r="K28" s="6">
        <v>6257.1</v>
      </c>
      <c r="L28" s="6">
        <v>6639.3</v>
      </c>
      <c r="M28" s="6">
        <v>6041.9</v>
      </c>
      <c r="N28" s="6">
        <v>6660.7</v>
      </c>
      <c r="O28" s="18">
        <f>SUM(C28:N28)</f>
        <v>74767.499999999985</v>
      </c>
      <c r="Q28" s="6">
        <v>5755.7</v>
      </c>
      <c r="R28" s="6">
        <v>5626.9</v>
      </c>
      <c r="S28" s="6">
        <v>6063.1</v>
      </c>
      <c r="T28" s="6">
        <v>6681.2</v>
      </c>
      <c r="U28" s="6">
        <v>6043</v>
      </c>
      <c r="V28" s="6">
        <v>6437.9</v>
      </c>
      <c r="W28" s="6">
        <v>6298.6</v>
      </c>
      <c r="X28" s="6">
        <v>6262.1</v>
      </c>
      <c r="Y28" s="6">
        <v>6257.1</v>
      </c>
      <c r="Z28" s="6">
        <v>6639.3</v>
      </c>
      <c r="AA28" s="6">
        <v>6041.9</v>
      </c>
      <c r="AB28" s="6">
        <v>6660.7</v>
      </c>
      <c r="AC28" s="18">
        <f>SUM(Q28:AB28)</f>
        <v>74767.499999999985</v>
      </c>
      <c r="AE28" s="6">
        <f>Q28-C28</f>
        <v>0</v>
      </c>
      <c r="AF28" s="6">
        <f>R28-D28</f>
        <v>0</v>
      </c>
      <c r="AG28" s="6">
        <f>S28-E28</f>
        <v>0</v>
      </c>
      <c r="AH28" s="6">
        <f>T28-F28</f>
        <v>0</v>
      </c>
      <c r="AI28" s="6">
        <f>U28-G28</f>
        <v>0</v>
      </c>
      <c r="AJ28" s="6">
        <f>V28-H28</f>
        <v>0</v>
      </c>
      <c r="AK28" s="6">
        <f>W28-I28</f>
        <v>0</v>
      </c>
      <c r="AL28" s="6">
        <f>X28-J28</f>
        <v>0</v>
      </c>
      <c r="AM28" s="6">
        <f>Y28-K28</f>
        <v>0</v>
      </c>
      <c r="AN28" s="6">
        <f>Z28-L28</f>
        <v>0</v>
      </c>
      <c r="AO28" s="6">
        <f>AA28-M28</f>
        <v>0</v>
      </c>
      <c r="AP28" s="6">
        <f>AB28-N28</f>
        <v>0</v>
      </c>
      <c r="AQ28" s="18">
        <f>SUM(AE28:AP28)</f>
        <v>0</v>
      </c>
      <c r="AS28" s="6">
        <f>'Beacon-Adj'!C14</f>
        <v>0</v>
      </c>
      <c r="AT28" s="6">
        <f>'Beacon-Adj'!D14</f>
        <v>0</v>
      </c>
      <c r="AU28" s="6">
        <f>'Beacon-Adj'!E14</f>
        <v>0</v>
      </c>
      <c r="AV28" s="6">
        <f>'Beacon-Adj'!F14</f>
        <v>0</v>
      </c>
      <c r="AW28" s="6">
        <f>'Beacon-Adj'!G14</f>
        <v>0</v>
      </c>
      <c r="AX28" s="6">
        <f>'Beacon-Adj'!H14</f>
        <v>0</v>
      </c>
      <c r="AY28" s="6">
        <f>'Beacon-Adj'!I14</f>
        <v>0</v>
      </c>
      <c r="AZ28" s="6">
        <f>'Beacon-Adj'!J14</f>
        <v>0</v>
      </c>
      <c r="BA28" s="6">
        <f>'Beacon-Adj'!K14</f>
        <v>150</v>
      </c>
      <c r="BB28" s="6">
        <f>'Beacon-Adj'!L14</f>
        <v>250</v>
      </c>
      <c r="BC28" s="6">
        <f>'Beacon-Adj'!M14</f>
        <v>300</v>
      </c>
      <c r="BD28" s="6">
        <f>'Beacon-Adj'!N14</f>
        <v>200</v>
      </c>
      <c r="BE28" s="18">
        <f>SUM(AS28:BD28)</f>
        <v>900</v>
      </c>
      <c r="BG28" s="6">
        <f>C28+AE28+AS28</f>
        <v>5755.7</v>
      </c>
      <c r="BH28" s="6">
        <f>D28+AF28+AT28</f>
        <v>5626.9</v>
      </c>
      <c r="BI28" s="6">
        <f>E28+AG28+AU28</f>
        <v>6063.1</v>
      </c>
      <c r="BJ28" s="6">
        <f>F28+AH28+AV28</f>
        <v>6681.2</v>
      </c>
      <c r="BK28" s="6">
        <f>G28+AI28+AW28</f>
        <v>6043</v>
      </c>
      <c r="BL28" s="6">
        <f>H28+AJ28+AX28</f>
        <v>6437.9</v>
      </c>
      <c r="BM28" s="6">
        <f>I28+AK28+AY28</f>
        <v>6298.6</v>
      </c>
      <c r="BN28" s="6">
        <f>J28+AL28+AZ28</f>
        <v>6262.1</v>
      </c>
      <c r="BO28" s="6">
        <f>K28+AM28+BA28</f>
        <v>6407.1</v>
      </c>
      <c r="BP28" s="6">
        <f>L28+AN28+BB28</f>
        <v>6889.3</v>
      </c>
      <c r="BQ28" s="6">
        <f>M28+AO28+BC28</f>
        <v>6341.9</v>
      </c>
      <c r="BR28" s="6">
        <f>N28+AP28+BD28</f>
        <v>6860.7</v>
      </c>
      <c r="BS28" s="18">
        <f>SUM(BG28:BR28)</f>
        <v>75667.499999999985</v>
      </c>
      <c r="BU28" s="6">
        <f>SUM(BG28:BO28)-SUM(C28:K28)</f>
        <v>150</v>
      </c>
      <c r="BV28" s="6">
        <f>SUM(BG28:BO28)-SUM(C51:K51)</f>
        <v>3250.7999999999884</v>
      </c>
      <c r="BW28" s="6">
        <f>SUM(BG28:BO28)-SUM(C64:K64)</f>
        <v>6179</v>
      </c>
      <c r="BY28" s="6">
        <f>SUM(BP28:BR28)-SUM(L28:N28)</f>
        <v>750</v>
      </c>
      <c r="BZ28" s="6">
        <f>SUM(BP28:BR28)-SUM(L51:N51)</f>
        <v>2417</v>
      </c>
      <c r="CA28" s="6">
        <f>SUM(BP28:BR28)-SUM(L64:N64)</f>
        <v>3639.3000000000029</v>
      </c>
      <c r="CC28" s="6">
        <f>BS28-O28</f>
        <v>900</v>
      </c>
      <c r="CD28" s="6">
        <f>BS28-O51</f>
        <v>5667.7999999999884</v>
      </c>
      <c r="CE28" s="6">
        <f>BS28-O64</f>
        <v>9818.3000000000029</v>
      </c>
    </row>
    <row r="29" spans="2:83">
      <c r="B29" s="5" t="s">
        <v>111</v>
      </c>
      <c r="C29" s="6">
        <v>2343</v>
      </c>
      <c r="D29" s="6">
        <v>2276.1999999999998</v>
      </c>
      <c r="E29" s="6">
        <v>2441.1999999999998</v>
      </c>
      <c r="F29" s="6">
        <v>2708.6</v>
      </c>
      <c r="G29" s="6">
        <v>2464.5</v>
      </c>
      <c r="H29" s="6">
        <v>2613.9</v>
      </c>
      <c r="I29" s="6">
        <v>2565.8000000000002</v>
      </c>
      <c r="J29" s="6">
        <v>2521.4</v>
      </c>
      <c r="K29" s="6">
        <v>2521.4</v>
      </c>
      <c r="L29" s="6">
        <v>2695.6</v>
      </c>
      <c r="M29" s="6">
        <v>2436.6999999999998</v>
      </c>
      <c r="N29" s="6">
        <v>2684.2</v>
      </c>
      <c r="O29" s="18">
        <f>SUM(C29:N29)</f>
        <v>30272.500000000004</v>
      </c>
      <c r="Q29" s="6">
        <v>2343</v>
      </c>
      <c r="R29" s="6">
        <v>2276.1999999999998</v>
      </c>
      <c r="S29" s="6">
        <v>2441.1999999999998</v>
      </c>
      <c r="T29" s="6">
        <v>2708.6</v>
      </c>
      <c r="U29" s="6">
        <v>2464.5</v>
      </c>
      <c r="V29" s="6">
        <v>2613.9</v>
      </c>
      <c r="W29" s="6">
        <v>2565.8000000000002</v>
      </c>
      <c r="X29" s="6">
        <v>2521.4</v>
      </c>
      <c r="Y29" s="6">
        <v>2521.4</v>
      </c>
      <c r="Z29" s="6">
        <v>2695.6</v>
      </c>
      <c r="AA29" s="6">
        <v>2436.6999999999998</v>
      </c>
      <c r="AB29" s="6">
        <v>2684.2</v>
      </c>
      <c r="AC29" s="18">
        <f>SUM(Q29:AB29)</f>
        <v>30272.500000000004</v>
      </c>
      <c r="AE29" s="6">
        <f>Q29-C29</f>
        <v>0</v>
      </c>
      <c r="AF29" s="6">
        <f>R29-D29</f>
        <v>0</v>
      </c>
      <c r="AG29" s="6">
        <f>S29-E29</f>
        <v>0</v>
      </c>
      <c r="AH29" s="6">
        <f>T29-F29</f>
        <v>0</v>
      </c>
      <c r="AI29" s="6">
        <f>U29-G29</f>
        <v>0</v>
      </c>
      <c r="AJ29" s="6">
        <f>V29-H29</f>
        <v>0</v>
      </c>
      <c r="AK29" s="6">
        <f>W29-I29</f>
        <v>0</v>
      </c>
      <c r="AL29" s="6">
        <f>X29-J29</f>
        <v>0</v>
      </c>
      <c r="AM29" s="6">
        <f>Y29-K29</f>
        <v>0</v>
      </c>
      <c r="AN29" s="6">
        <f>Z29-L29</f>
        <v>0</v>
      </c>
      <c r="AO29" s="6">
        <f>AA29-M29</f>
        <v>0</v>
      </c>
      <c r="AP29" s="6">
        <f>AB29-N29</f>
        <v>0</v>
      </c>
      <c r="AQ29" s="18">
        <f>SUM(AE29:AP29)</f>
        <v>0</v>
      </c>
      <c r="AS29" s="6">
        <f>'Beacon-Adj'!C36+'Beacon-Adj'!C77</f>
        <v>0</v>
      </c>
      <c r="AT29" s="6">
        <f>'Beacon-Adj'!D36+'Beacon-Adj'!D77</f>
        <v>0</v>
      </c>
      <c r="AU29" s="6">
        <f>'Beacon-Adj'!E36+'Beacon-Adj'!E77</f>
        <v>0</v>
      </c>
      <c r="AV29" s="6">
        <f>'Beacon-Adj'!F36+'Beacon-Adj'!F77</f>
        <v>0</v>
      </c>
      <c r="AW29" s="6">
        <f>'Beacon-Adj'!G36+'Beacon-Adj'!G77</f>
        <v>0</v>
      </c>
      <c r="AX29" s="6">
        <f>'Beacon-Adj'!H36+'Beacon-Adj'!H77</f>
        <v>0</v>
      </c>
      <c r="AY29" s="6">
        <f>'Beacon-Adj'!I36+'Beacon-Adj'!I77</f>
        <v>0</v>
      </c>
      <c r="AZ29" s="6">
        <f>'Beacon-Adj'!J36+'Beacon-Adj'!J77</f>
        <v>0</v>
      </c>
      <c r="BA29" s="6">
        <f>'Beacon-Adj'!K36+'Beacon-Adj'!K77</f>
        <v>60</v>
      </c>
      <c r="BB29" s="6">
        <f>'Beacon-Adj'!L36+'Beacon-Adj'!L77</f>
        <v>95</v>
      </c>
      <c r="BC29" s="6">
        <f>'Beacon-Adj'!M36+'Beacon-Adj'!M77</f>
        <v>115</v>
      </c>
      <c r="BD29" s="6">
        <f>'Beacon-Adj'!N36+'Beacon-Adj'!N77</f>
        <v>80</v>
      </c>
      <c r="BE29" s="18">
        <f>SUM(AS29:BD29)</f>
        <v>350</v>
      </c>
      <c r="BG29" s="6">
        <f>C29+AE29+AS29</f>
        <v>2343</v>
      </c>
      <c r="BH29" s="6">
        <f>D29+AF29+AT29</f>
        <v>2276.1999999999998</v>
      </c>
      <c r="BI29" s="6">
        <f>E29+AG29+AU29</f>
        <v>2441.1999999999998</v>
      </c>
      <c r="BJ29" s="6">
        <f>F29+AH29+AV29</f>
        <v>2708.6</v>
      </c>
      <c r="BK29" s="6">
        <f>G29+AI29+AW29</f>
        <v>2464.5</v>
      </c>
      <c r="BL29" s="6">
        <f>H29+AJ29+AX29</f>
        <v>2613.9</v>
      </c>
      <c r="BM29" s="6">
        <f>I29+AK29+AY29</f>
        <v>2565.8000000000002</v>
      </c>
      <c r="BN29" s="6">
        <f>J29+AL29+AZ29</f>
        <v>2521.4</v>
      </c>
      <c r="BO29" s="6">
        <f>K29+AM29+BA29</f>
        <v>2581.4</v>
      </c>
      <c r="BP29" s="6">
        <f>L29+AN29+BB29</f>
        <v>2790.6</v>
      </c>
      <c r="BQ29" s="6">
        <f>M29+AO29+BC29</f>
        <v>2551.6999999999998</v>
      </c>
      <c r="BR29" s="6">
        <f>N29+AP29+BD29</f>
        <v>2764.2</v>
      </c>
      <c r="BS29" s="18">
        <f>SUM(BG29:BR29)</f>
        <v>30622.500000000004</v>
      </c>
      <c r="BU29" s="6">
        <f>SUM(BG29:BO29)-SUM(C29:K29)</f>
        <v>60</v>
      </c>
      <c r="BV29" s="6">
        <f>SUM(BG29:BO29)-SUM(C52:K52)</f>
        <v>2370.9000000000051</v>
      </c>
      <c r="BW29" s="6">
        <f>SUM(BG29:BO29)-SUM(C65:K65)</f>
        <v>3866.8000000000029</v>
      </c>
      <c r="BY29" s="6">
        <f>SUM(BP29:BR29)-SUM(L29:N29)</f>
        <v>290</v>
      </c>
      <c r="BZ29" s="6">
        <f>SUM(BP29:BR29)-SUM(L52:N52)</f>
        <v>1301.6999999999998</v>
      </c>
      <c r="CA29" s="6">
        <f>SUM(BP29:BR29)-SUM(L65:N65)</f>
        <v>1877.2999999999993</v>
      </c>
      <c r="CC29" s="6">
        <f>BS29-O29</f>
        <v>350</v>
      </c>
      <c r="CD29" s="6">
        <f>BS29-O52</f>
        <v>3672.6000000000095</v>
      </c>
      <c r="CE29" s="6">
        <f>BS29-O65</f>
        <v>5744.1000000000022</v>
      </c>
    </row>
    <row r="30" spans="2:83">
      <c r="B30" s="5" t="s">
        <v>112</v>
      </c>
      <c r="C30" s="6">
        <v>-1285.5999999999999</v>
      </c>
      <c r="D30" s="6">
        <v>-1251.0999999999999</v>
      </c>
      <c r="E30" s="6">
        <v>-1363.6</v>
      </c>
      <c r="F30" s="6">
        <v>-1466.4</v>
      </c>
      <c r="G30" s="6">
        <v>-1337.6</v>
      </c>
      <c r="H30" s="6">
        <v>-1416.6</v>
      </c>
      <c r="I30" s="6">
        <v>-1407.1</v>
      </c>
      <c r="J30" s="6">
        <v>-1384.1</v>
      </c>
      <c r="K30" s="6">
        <v>-1376.3</v>
      </c>
      <c r="L30" s="6">
        <v>-1466.8</v>
      </c>
      <c r="M30" s="6">
        <v>-1323.1</v>
      </c>
      <c r="N30" s="6">
        <v>-1442.4</v>
      </c>
      <c r="O30" s="18">
        <f>SUM(C30:N30)</f>
        <v>-16520.7</v>
      </c>
      <c r="Q30" s="6">
        <v>-1285.5999999999999</v>
      </c>
      <c r="R30" s="6">
        <v>-1251.0999999999999</v>
      </c>
      <c r="S30" s="6">
        <v>-1363.6</v>
      </c>
      <c r="T30" s="6">
        <v>-1466.4</v>
      </c>
      <c r="U30" s="6">
        <v>-1337.6</v>
      </c>
      <c r="V30" s="6">
        <v>-1416.6</v>
      </c>
      <c r="W30" s="6">
        <v>-1407.1</v>
      </c>
      <c r="X30" s="6">
        <v>-1384.1</v>
      </c>
      <c r="Y30" s="6">
        <v>-1376.3</v>
      </c>
      <c r="Z30" s="6">
        <v>-1466.8</v>
      </c>
      <c r="AA30" s="6">
        <v>-1323.1</v>
      </c>
      <c r="AB30" s="6">
        <v>-1442.4</v>
      </c>
      <c r="AC30" s="18">
        <f>SUM(Q30:AB30)</f>
        <v>-16520.7</v>
      </c>
      <c r="AE30" s="6">
        <f>Q30-C30</f>
        <v>0</v>
      </c>
      <c r="AF30" s="6">
        <f>R30-D30</f>
        <v>0</v>
      </c>
      <c r="AG30" s="6">
        <f>S30-E30</f>
        <v>0</v>
      </c>
      <c r="AH30" s="6">
        <f>T30-F30</f>
        <v>0</v>
      </c>
      <c r="AI30" s="6">
        <f>U30-G30</f>
        <v>0</v>
      </c>
      <c r="AJ30" s="6">
        <f>V30-H30</f>
        <v>0</v>
      </c>
      <c r="AK30" s="6">
        <f>W30-I30</f>
        <v>0</v>
      </c>
      <c r="AL30" s="6">
        <f>X30-J30</f>
        <v>0</v>
      </c>
      <c r="AM30" s="6">
        <f>Y30-K30</f>
        <v>0</v>
      </c>
      <c r="AN30" s="6">
        <f>Z30-L30</f>
        <v>0</v>
      </c>
      <c r="AO30" s="6">
        <f>AA30-M30</f>
        <v>0</v>
      </c>
      <c r="AP30" s="6">
        <f>AB30-N30</f>
        <v>0</v>
      </c>
      <c r="AQ30" s="18">
        <f>SUM(AE30:AP30)</f>
        <v>0</v>
      </c>
      <c r="AS30" s="6">
        <f>-'Beacon-Adj'!C58-'Beacon-Adj'!C84</f>
        <v>0</v>
      </c>
      <c r="AT30" s="6">
        <f>-'Beacon-Adj'!D58-'Beacon-Adj'!D84</f>
        <v>0</v>
      </c>
      <c r="AU30" s="6">
        <f>-'Beacon-Adj'!E58-'Beacon-Adj'!E84</f>
        <v>0</v>
      </c>
      <c r="AV30" s="6">
        <f>-'Beacon-Adj'!F58-'Beacon-Adj'!F84</f>
        <v>0</v>
      </c>
      <c r="AW30" s="6">
        <f>-'Beacon-Adj'!G58-'Beacon-Adj'!G84</f>
        <v>0</v>
      </c>
      <c r="AX30" s="6">
        <f>-'Beacon-Adj'!H58-'Beacon-Adj'!H84</f>
        <v>0</v>
      </c>
      <c r="AY30" s="6">
        <f>-'Beacon-Adj'!I58-'Beacon-Adj'!I84</f>
        <v>0</v>
      </c>
      <c r="AZ30" s="6">
        <f>-'Beacon-Adj'!J58-'Beacon-Adj'!J84</f>
        <v>0</v>
      </c>
      <c r="BA30" s="6">
        <f>-'Beacon-Adj'!K58-'Beacon-Adj'!K84</f>
        <v>-76</v>
      </c>
      <c r="BB30" s="6">
        <f>-'Beacon-Adj'!L58-'Beacon-Adj'!L84</f>
        <v>-10</v>
      </c>
      <c r="BC30" s="6">
        <f>-'Beacon-Adj'!M58-'Beacon-Adj'!M84</f>
        <v>-12</v>
      </c>
      <c r="BD30" s="6">
        <f>-'Beacon-Adj'!N58-'Beacon-Adj'!N84</f>
        <v>-8</v>
      </c>
      <c r="BE30" s="18">
        <f>SUM(AS30:BD30)</f>
        <v>-106</v>
      </c>
      <c r="BG30" s="6">
        <f>C30+AE30+AS30</f>
        <v>-1285.5999999999999</v>
      </c>
      <c r="BH30" s="6">
        <f>D30+AF30+AT30</f>
        <v>-1251.0999999999999</v>
      </c>
      <c r="BI30" s="6">
        <f>E30+AG30+AU30</f>
        <v>-1363.6</v>
      </c>
      <c r="BJ30" s="6">
        <f>F30+AH30+AV30</f>
        <v>-1466.4</v>
      </c>
      <c r="BK30" s="6">
        <f>G30+AI30+AW30</f>
        <v>-1337.6</v>
      </c>
      <c r="BL30" s="6">
        <f>H30+AJ30+AX30</f>
        <v>-1416.6</v>
      </c>
      <c r="BM30" s="6">
        <f>I30+AK30+AY30</f>
        <v>-1407.1</v>
      </c>
      <c r="BN30" s="6">
        <f>J30+AL30+AZ30</f>
        <v>-1384.1</v>
      </c>
      <c r="BO30" s="6">
        <f>K30+AM30+BA30</f>
        <v>-1452.3</v>
      </c>
      <c r="BP30" s="6">
        <f>L30+AN30+BB30</f>
        <v>-1476.8</v>
      </c>
      <c r="BQ30" s="6">
        <f>M30+AO30+BC30</f>
        <v>-1335.1</v>
      </c>
      <c r="BR30" s="6">
        <f>N30+AP30+BD30</f>
        <v>-1450.4</v>
      </c>
      <c r="BS30" s="18">
        <f>SUM(BG30:BR30)</f>
        <v>-16626.7</v>
      </c>
      <c r="BU30" s="6">
        <f>SUM(BG30:BO30)-SUM(C30:K30)</f>
        <v>-76</v>
      </c>
      <c r="BV30" s="6">
        <f>SUM(BG30:BO30)-SUM(C53:K53)</f>
        <v>-434.79999999999927</v>
      </c>
      <c r="BW30" s="6">
        <f>SUM(BG30:BO30)-SUM(C66:K66)</f>
        <v>-863.89999999999964</v>
      </c>
      <c r="BY30" s="6">
        <f>SUM(BP30:BR30)-SUM(L30:N30)</f>
        <v>-30</v>
      </c>
      <c r="BZ30" s="6">
        <f>SUM(BP30:BR30)-SUM(L53:N53)</f>
        <v>-232.99999999999909</v>
      </c>
      <c r="CA30" s="6">
        <f>SUM(BP30:BR30)-SUM(L66:N66)</f>
        <v>-364.89999999999918</v>
      </c>
      <c r="CC30" s="6">
        <f>BS30-O30</f>
        <v>-106</v>
      </c>
      <c r="CD30" s="6">
        <f>BS30-O53</f>
        <v>-667.80000000000109</v>
      </c>
      <c r="CE30" s="6">
        <f>BS30-O66</f>
        <v>-1228.8000000000011</v>
      </c>
    </row>
    <row r="31" spans="2:83">
      <c r="B31" s="2" t="s">
        <v>113</v>
      </c>
      <c r="C31" s="6">
        <f>C29+C30</f>
        <v>1057.4000000000001</v>
      </c>
      <c r="D31" s="6">
        <f>D29+D30</f>
        <v>1025.0999999999999</v>
      </c>
      <c r="E31" s="6">
        <f>E29+E30</f>
        <v>1077.5999999999999</v>
      </c>
      <c r="F31" s="6">
        <f>F29+F30</f>
        <v>1242.1999999999998</v>
      </c>
      <c r="G31" s="6">
        <f>G29+G30</f>
        <v>1126.9000000000001</v>
      </c>
      <c r="H31" s="6">
        <f>H29+H30</f>
        <v>1197.3000000000002</v>
      </c>
      <c r="I31" s="6">
        <f>I29+I30</f>
        <v>1158.7000000000003</v>
      </c>
      <c r="J31" s="6">
        <f>J29+J30</f>
        <v>1137.3000000000002</v>
      </c>
      <c r="K31" s="6">
        <f>K29+K30</f>
        <v>1145.1000000000001</v>
      </c>
      <c r="L31" s="6">
        <f>L29+L30</f>
        <v>1228.8</v>
      </c>
      <c r="M31" s="6">
        <f>M29+M30</f>
        <v>1113.5999999999999</v>
      </c>
      <c r="N31" s="6">
        <f>N29+N30</f>
        <v>1241.7999999999997</v>
      </c>
      <c r="O31" s="18">
        <f>SUM(C31:N31)</f>
        <v>13751.8</v>
      </c>
      <c r="Q31" s="6">
        <f>Q29+Q30</f>
        <v>1057.4000000000001</v>
      </c>
      <c r="R31" s="6">
        <f>R29+R30</f>
        <v>1025.0999999999999</v>
      </c>
      <c r="S31" s="6">
        <f>S29+S30</f>
        <v>1077.5999999999999</v>
      </c>
      <c r="T31" s="6">
        <f>T29+T30</f>
        <v>1242.1999999999998</v>
      </c>
      <c r="U31" s="6">
        <f>U29+U30</f>
        <v>1126.9000000000001</v>
      </c>
      <c r="V31" s="6">
        <f>V29+V30</f>
        <v>1197.3000000000002</v>
      </c>
      <c r="W31" s="6">
        <f>W29+W30</f>
        <v>1158.7000000000003</v>
      </c>
      <c r="X31" s="6">
        <f>X29+X30</f>
        <v>1137.3000000000002</v>
      </c>
      <c r="Y31" s="6">
        <f>Y29+Y30</f>
        <v>1145.1000000000001</v>
      </c>
      <c r="Z31" s="6">
        <f>Z29+Z30</f>
        <v>1228.8</v>
      </c>
      <c r="AA31" s="6">
        <f>AA29+AA30</f>
        <v>1113.5999999999999</v>
      </c>
      <c r="AB31" s="6">
        <f>AB29+AB30</f>
        <v>1241.7999999999997</v>
      </c>
      <c r="AC31" s="18">
        <f>SUM(Q31:AB31)</f>
        <v>13751.8</v>
      </c>
      <c r="AE31" s="6">
        <f>AE29+AE30</f>
        <v>0</v>
      </c>
      <c r="AF31" s="6">
        <f>AF29+AF30</f>
        <v>0</v>
      </c>
      <c r="AG31" s="6">
        <f>AG29+AG30</f>
        <v>0</v>
      </c>
      <c r="AH31" s="6">
        <f>AH29+AH30</f>
        <v>0</v>
      </c>
      <c r="AI31" s="6">
        <f>AI29+AI30</f>
        <v>0</v>
      </c>
      <c r="AJ31" s="6">
        <f>AJ29+AJ30</f>
        <v>0</v>
      </c>
      <c r="AK31" s="6">
        <f>AK29+AK30</f>
        <v>0</v>
      </c>
      <c r="AL31" s="6">
        <f>AL29+AL30</f>
        <v>0</v>
      </c>
      <c r="AM31" s="6">
        <f>AM29+AM30</f>
        <v>0</v>
      </c>
      <c r="AN31" s="6">
        <f>AN29+AN30</f>
        <v>0</v>
      </c>
      <c r="AO31" s="6">
        <f>AO29+AO30</f>
        <v>0</v>
      </c>
      <c r="AP31" s="6">
        <f>AP29+AP30</f>
        <v>0</v>
      </c>
      <c r="AQ31" s="18">
        <f>SUM(AE31:AP31)</f>
        <v>0</v>
      </c>
      <c r="AS31" s="6">
        <f>AS29+AS30</f>
        <v>0</v>
      </c>
      <c r="AT31" s="6">
        <f>AT29+AT30</f>
        <v>0</v>
      </c>
      <c r="AU31" s="6">
        <f>AU29+AU30</f>
        <v>0</v>
      </c>
      <c r="AV31" s="6">
        <f>AV29+AV30</f>
        <v>0</v>
      </c>
      <c r="AW31" s="6">
        <f>AW29+AW30</f>
        <v>0</v>
      </c>
      <c r="AX31" s="6">
        <f>AX29+AX30</f>
        <v>0</v>
      </c>
      <c r="AY31" s="6">
        <f>AY29+AY30</f>
        <v>0</v>
      </c>
      <c r="AZ31" s="6">
        <f>AZ29+AZ30</f>
        <v>0</v>
      </c>
      <c r="BA31" s="6">
        <f>BA29+BA30</f>
        <v>-16</v>
      </c>
      <c r="BB31" s="6">
        <f>BB29+BB30</f>
        <v>85</v>
      </c>
      <c r="BC31" s="6">
        <f>BC29+BC30</f>
        <v>103</v>
      </c>
      <c r="BD31" s="6">
        <f>BD29+BD30</f>
        <v>72</v>
      </c>
      <c r="BE31" s="18">
        <f>SUM(AS31:BD31)</f>
        <v>244</v>
      </c>
      <c r="BG31" s="6">
        <f>BG29+BG30</f>
        <v>1057.4000000000001</v>
      </c>
      <c r="BH31" s="6">
        <f>BH29+BH30</f>
        <v>1025.0999999999999</v>
      </c>
      <c r="BI31" s="6">
        <f>BI29+BI30</f>
        <v>1077.5999999999999</v>
      </c>
      <c r="BJ31" s="6">
        <f>BJ29+BJ30</f>
        <v>1242.1999999999998</v>
      </c>
      <c r="BK31" s="6">
        <f>BK29+BK30</f>
        <v>1126.9000000000001</v>
      </c>
      <c r="BL31" s="6">
        <f>BL29+BL30</f>
        <v>1197.3000000000002</v>
      </c>
      <c r="BM31" s="6">
        <f>BM29+BM30</f>
        <v>1158.7000000000003</v>
      </c>
      <c r="BN31" s="6">
        <f>BN29+BN30</f>
        <v>1137.3000000000002</v>
      </c>
      <c r="BO31" s="6">
        <f>BO29+BO30</f>
        <v>1129.1000000000001</v>
      </c>
      <c r="BP31" s="6">
        <f>BP29+BP30</f>
        <v>1313.8</v>
      </c>
      <c r="BQ31" s="6">
        <f>BQ29+BQ30</f>
        <v>1216.5999999999999</v>
      </c>
      <c r="BR31" s="6">
        <f>BR29+BR30</f>
        <v>1313.7999999999997</v>
      </c>
      <c r="BS31" s="18">
        <f>SUM(BG31:BR31)</f>
        <v>13995.8</v>
      </c>
      <c r="BU31" s="6">
        <f>SUM(BG31:BO31)-SUM(C31:K31)</f>
        <v>-16</v>
      </c>
      <c r="BV31" s="6">
        <f>SUM(BG31:BO31)-SUM(C54:K54)</f>
        <v>1936.1000000000004</v>
      </c>
      <c r="BW31" s="6">
        <f>SUM(BG31:BO31)-SUM(C67:K67)</f>
        <v>3002.9000000000005</v>
      </c>
      <c r="BY31" s="6">
        <f>SUM(BP31:BR31)-SUM(L31:N31)</f>
        <v>260</v>
      </c>
      <c r="BZ31" s="6">
        <f>SUM(BP31:BR31)-SUM(L54:N54)</f>
        <v>1068.6999999999994</v>
      </c>
      <c r="CA31" s="6">
        <f>SUM(BP31:BR31)-SUM(L67:N67)</f>
        <v>1512.3999999999992</v>
      </c>
      <c r="CC31" s="6">
        <f>BS31-O31</f>
        <v>244</v>
      </c>
      <c r="CD31" s="6">
        <f>BS31-O54</f>
        <v>3004.7999999999993</v>
      </c>
      <c r="CE31" s="6">
        <f>BS31-O67</f>
        <v>4515.2999999999993</v>
      </c>
    </row>
    <row r="35" spans="2:71">
      <c r="B35" s="5" t="s">
        <v>166</v>
      </c>
      <c r="C35" s="12">
        <f>IFERROR(C29/C28,0)</f>
        <v>0.40707472592386679</v>
      </c>
      <c r="D35" s="12">
        <f>IFERROR(D29/D28,0)</f>
        <v>0.4045211395262045</v>
      </c>
      <c r="E35" s="12">
        <f>IFERROR(E29/E28,0)</f>
        <v>0.40263231680163608</v>
      </c>
      <c r="F35" s="12">
        <f>IFERROR(F29/F28,0)</f>
        <v>0.40540621445249359</v>
      </c>
      <c r="G35" s="12">
        <f>IFERROR(G29/G28,0)</f>
        <v>0.40782723812675825</v>
      </c>
      <c r="H35" s="12">
        <f>IFERROR(H29/H28,0)</f>
        <v>0.40601749017536776</v>
      </c>
      <c r="I35" s="12">
        <f>IFERROR(I29/I28,0)</f>
        <v>0.40736036579557361</v>
      </c>
      <c r="J35" s="12">
        <f>IFERROR(J29/J28,0)</f>
        <v>0.40264448028616595</v>
      </c>
      <c r="K35" s="12">
        <f>IFERROR(K29/K28,0)</f>
        <v>0.40296623036230839</v>
      </c>
      <c r="L35" s="12">
        <f>IFERROR(L29/L28,0)</f>
        <v>0.4060066573283328</v>
      </c>
      <c r="M35" s="12">
        <f>IFERROR(M29/M28,0)</f>
        <v>0.40330028633376919</v>
      </c>
      <c r="N35" s="12">
        <f>IFERROR(N29/N28,0)</f>
        <v>0.40299067665560673</v>
      </c>
      <c r="O35" s="12">
        <f>IFERROR(O29/O28,0)</f>
        <v>0.40488848764503305</v>
      </c>
      <c r="Q35" s="12">
        <f>IFERROR(Q29/Q28,0)</f>
        <v>0.40707472592386679</v>
      </c>
      <c r="R35" s="12">
        <f>IFERROR(R29/R28,0)</f>
        <v>0.4045211395262045</v>
      </c>
      <c r="S35" s="12">
        <f>IFERROR(S29/S28,0)</f>
        <v>0.40263231680163608</v>
      </c>
      <c r="T35" s="12">
        <f>IFERROR(T29/T28,0)</f>
        <v>0.40540621445249359</v>
      </c>
      <c r="U35" s="12">
        <f>IFERROR(U29/U28,0)</f>
        <v>0.40782723812675825</v>
      </c>
      <c r="V35" s="12">
        <f>IFERROR(V29/V28,0)</f>
        <v>0.40601749017536776</v>
      </c>
      <c r="W35" s="12">
        <f>IFERROR(W29/W28,0)</f>
        <v>0.40736036579557361</v>
      </c>
      <c r="X35" s="12">
        <f>IFERROR(X29/X28,0)</f>
        <v>0.40264448028616595</v>
      </c>
      <c r="Y35" s="12">
        <f>IFERROR(Y29/Y28,0)</f>
        <v>0.40296623036230839</v>
      </c>
      <c r="Z35" s="12">
        <f>IFERROR(Z29/Z28,0)</f>
        <v>0.4060066573283328</v>
      </c>
      <c r="AA35" s="12">
        <f>IFERROR(AA29/AA28,0)</f>
        <v>0.40330028633376919</v>
      </c>
      <c r="AB35" s="12">
        <f>IFERROR(AB29/AB28,0)</f>
        <v>0.40299067665560673</v>
      </c>
      <c r="AC35" s="12">
        <f>IFERROR(AC29/AC28,0)</f>
        <v>0.40488848764503305</v>
      </c>
      <c r="AE35" s="12">
        <f>IFERROR(AE29/AE28,0)</f>
        <v>0</v>
      </c>
      <c r="AF35" s="12">
        <f>IFERROR(AF29/AF28,0)</f>
        <v>0</v>
      </c>
      <c r="AG35" s="12">
        <f>IFERROR(AG29/AG28,0)</f>
        <v>0</v>
      </c>
      <c r="AH35" s="12">
        <f>IFERROR(AH29/AH28,0)</f>
        <v>0</v>
      </c>
      <c r="AI35" s="12">
        <f>IFERROR(AI29/AI28,0)</f>
        <v>0</v>
      </c>
      <c r="AJ35" s="12">
        <f>IFERROR(AJ29/AJ28,0)</f>
        <v>0</v>
      </c>
      <c r="AK35" s="12">
        <f>IFERROR(AK29/AK28,0)</f>
        <v>0</v>
      </c>
      <c r="AL35" s="12">
        <f>IFERROR(AL29/AL28,0)</f>
        <v>0</v>
      </c>
      <c r="AM35" s="12">
        <f>IFERROR(AM29/AM28,0)</f>
        <v>0</v>
      </c>
      <c r="AN35" s="12">
        <f>IFERROR(AN29/AN28,0)</f>
        <v>0</v>
      </c>
      <c r="AO35" s="12">
        <f>IFERROR(AO29/AO28,0)</f>
        <v>0</v>
      </c>
      <c r="AP35" s="12">
        <f>IFERROR(AP29/AP28,0)</f>
        <v>0</v>
      </c>
      <c r="AQ35" s="12">
        <f>IFERROR(AQ29/AQ28,0)</f>
        <v>0</v>
      </c>
      <c r="AS35" s="12">
        <f>IFERROR(AS29/AS28,0)</f>
        <v>0</v>
      </c>
      <c r="AT35" s="12">
        <f>IFERROR(AT29/AT28,0)</f>
        <v>0</v>
      </c>
      <c r="AU35" s="12">
        <f>IFERROR(AU29/AU28,0)</f>
        <v>0</v>
      </c>
      <c r="AV35" s="12">
        <f>IFERROR(AV29/AV28,0)</f>
        <v>0</v>
      </c>
      <c r="AW35" s="12">
        <f>IFERROR(AW29/AW28,0)</f>
        <v>0</v>
      </c>
      <c r="AX35" s="12">
        <f>IFERROR(AX29/AX28,0)</f>
        <v>0</v>
      </c>
      <c r="AY35" s="12">
        <f>IFERROR(AY29/AY28,0)</f>
        <v>0</v>
      </c>
      <c r="AZ35" s="12">
        <f>IFERROR(AZ29/AZ28,0)</f>
        <v>0</v>
      </c>
      <c r="BA35" s="12">
        <f>IFERROR(BA29/BA28,0)</f>
        <v>0.4</v>
      </c>
      <c r="BB35" s="12">
        <f>IFERROR(BB29/BB28,0)</f>
        <v>0.38</v>
      </c>
      <c r="BC35" s="12">
        <f>IFERROR(BC29/BC28,0)</f>
        <v>0.38333333333333336</v>
      </c>
      <c r="BD35" s="12">
        <f>IFERROR(BD29/BD28,0)</f>
        <v>0.4</v>
      </c>
      <c r="BE35" s="12">
        <f>IFERROR(BE29/BE28,0)</f>
        <v>0.3888888888888889</v>
      </c>
      <c r="BG35" s="12">
        <f>IFERROR(BG29/BG28,0)</f>
        <v>0.40707472592386679</v>
      </c>
      <c r="BH35" s="12">
        <f>IFERROR(BH29/BH28,0)</f>
        <v>0.4045211395262045</v>
      </c>
      <c r="BI35" s="12">
        <f>IFERROR(BI29/BI28,0)</f>
        <v>0.40263231680163608</v>
      </c>
      <c r="BJ35" s="12">
        <f>IFERROR(BJ29/BJ28,0)</f>
        <v>0.40540621445249359</v>
      </c>
      <c r="BK35" s="12">
        <f>IFERROR(BK29/BK28,0)</f>
        <v>0.40782723812675825</v>
      </c>
      <c r="BL35" s="12">
        <f>IFERROR(BL29/BL28,0)</f>
        <v>0.40601749017536776</v>
      </c>
      <c r="BM35" s="12">
        <f>IFERROR(BM29/BM28,0)</f>
        <v>0.40736036579557361</v>
      </c>
      <c r="BN35" s="12">
        <f>IFERROR(BN29/BN28,0)</f>
        <v>0.40264448028616595</v>
      </c>
      <c r="BO35" s="12">
        <f>IFERROR(BO29/BO28,0)</f>
        <v>0.40289678637761234</v>
      </c>
      <c r="BP35" s="12">
        <f>IFERROR(BP29/BP28,0)</f>
        <v>0.40506292366423291</v>
      </c>
      <c r="BQ35" s="12">
        <f>IFERROR(BQ29/BQ28,0)</f>
        <v>0.40235576089184627</v>
      </c>
      <c r="BR35" s="12">
        <f>IFERROR(BR29/BR28,0)</f>
        <v>0.40290349381258472</v>
      </c>
      <c r="BS35" s="12">
        <f>IFERROR(BS29/BS28,0)</f>
        <v>0.40469818614332453</v>
      </c>
    </row>
    <row r="36" spans="2:71">
      <c r="B36" s="5" t="s">
        <v>167</v>
      </c>
      <c r="C36" s="12">
        <f>IFERROR(C30/C28,0)</f>
        <v>-0.22336118977709052</v>
      </c>
      <c r="D36" s="12">
        <f>IFERROR(D30/D28,0)</f>
        <v>-0.22234267536298849</v>
      </c>
      <c r="E36" s="12">
        <f>IFERROR(E30/E28,0)</f>
        <v>-0.22490145305206904</v>
      </c>
      <c r="F36" s="12">
        <f>IFERROR(F30/F28,0)</f>
        <v>-0.21948153026402445</v>
      </c>
      <c r="G36" s="12">
        <f>IFERROR(G30/G28,0)</f>
        <v>-0.22134701307297699</v>
      </c>
      <c r="H36" s="12">
        <f>IFERROR(H30/H28,0)</f>
        <v>-0.22004069650041164</v>
      </c>
      <c r="I36" s="12">
        <f>IFERROR(I30/I28,0)</f>
        <v>-0.22339885053821482</v>
      </c>
      <c r="J36" s="12">
        <f>IFERROR(J30/J28,0)</f>
        <v>-0.22102808961849857</v>
      </c>
      <c r="K36" s="12">
        <f>IFERROR(K30/K28,0)</f>
        <v>-0.21995812756708377</v>
      </c>
      <c r="L36" s="12">
        <f>IFERROR(L30/L28,0)</f>
        <v>-0.22092690494479839</v>
      </c>
      <c r="M36" s="12">
        <f>IFERROR(M30/M28,0)</f>
        <v>-0.21898740462437313</v>
      </c>
      <c r="N36" s="12">
        <f>IFERROR(N30/N28,0)</f>
        <v>-0.21655381566502022</v>
      </c>
      <c r="O36" s="12">
        <f>IFERROR(O30/O28,0)</f>
        <v>-0.22096097903500858</v>
      </c>
      <c r="Q36" s="12">
        <f>IFERROR(Q30/Q28,0)</f>
        <v>-0.22336118977709052</v>
      </c>
      <c r="R36" s="12">
        <f>IFERROR(R30/R28,0)</f>
        <v>-0.22234267536298849</v>
      </c>
      <c r="S36" s="12">
        <f>IFERROR(S30/S28,0)</f>
        <v>-0.22490145305206904</v>
      </c>
      <c r="T36" s="12">
        <f>IFERROR(T30/T28,0)</f>
        <v>-0.21948153026402445</v>
      </c>
      <c r="U36" s="12">
        <f>IFERROR(U30/U28,0)</f>
        <v>-0.22134701307297699</v>
      </c>
      <c r="V36" s="12">
        <f>IFERROR(V30/V28,0)</f>
        <v>-0.22004069650041164</v>
      </c>
      <c r="W36" s="12">
        <f>IFERROR(W30/W28,0)</f>
        <v>-0.22339885053821482</v>
      </c>
      <c r="X36" s="12">
        <f>IFERROR(X30/X28,0)</f>
        <v>-0.22102808961849857</v>
      </c>
      <c r="Y36" s="12">
        <f>IFERROR(Y30/Y28,0)</f>
        <v>-0.21995812756708377</v>
      </c>
      <c r="Z36" s="12">
        <f>IFERROR(Z30/Z28,0)</f>
        <v>-0.22092690494479839</v>
      </c>
      <c r="AA36" s="12">
        <f>IFERROR(AA30/AA28,0)</f>
        <v>-0.21898740462437313</v>
      </c>
      <c r="AB36" s="12">
        <f>IFERROR(AB30/AB28,0)</f>
        <v>-0.21655381566502022</v>
      </c>
      <c r="AC36" s="12">
        <f>IFERROR(AC30/AC28,0)</f>
        <v>-0.22096097903500858</v>
      </c>
      <c r="AE36" s="12">
        <f>IFERROR(AE30/AE28,0)</f>
        <v>0</v>
      </c>
      <c r="AF36" s="12">
        <f>IFERROR(AF30/AF28,0)</f>
        <v>0</v>
      </c>
      <c r="AG36" s="12">
        <f>IFERROR(AG30/AG28,0)</f>
        <v>0</v>
      </c>
      <c r="AH36" s="12">
        <f>IFERROR(AH30/AH28,0)</f>
        <v>0</v>
      </c>
      <c r="AI36" s="12">
        <f>IFERROR(AI30/AI28,0)</f>
        <v>0</v>
      </c>
      <c r="AJ36" s="12">
        <f>IFERROR(AJ30/AJ28,0)</f>
        <v>0</v>
      </c>
      <c r="AK36" s="12">
        <f>IFERROR(AK30/AK28,0)</f>
        <v>0</v>
      </c>
      <c r="AL36" s="12">
        <f>IFERROR(AL30/AL28,0)</f>
        <v>0</v>
      </c>
      <c r="AM36" s="12">
        <f>IFERROR(AM30/AM28,0)</f>
        <v>0</v>
      </c>
      <c r="AN36" s="12">
        <f>IFERROR(AN30/AN28,0)</f>
        <v>0</v>
      </c>
      <c r="AO36" s="12">
        <f>IFERROR(AO30/AO28,0)</f>
        <v>0</v>
      </c>
      <c r="AP36" s="12">
        <f>IFERROR(AP30/AP28,0)</f>
        <v>0</v>
      </c>
      <c r="AQ36" s="12">
        <f>IFERROR(AQ30/AQ28,0)</f>
        <v>0</v>
      </c>
      <c r="AS36" s="12">
        <f>IFERROR(AS30/AS28,0)</f>
        <v>0</v>
      </c>
      <c r="AT36" s="12">
        <f>IFERROR(AT30/AT28,0)</f>
        <v>0</v>
      </c>
      <c r="AU36" s="12">
        <f>IFERROR(AU30/AU28,0)</f>
        <v>0</v>
      </c>
      <c r="AV36" s="12">
        <f>IFERROR(AV30/AV28,0)</f>
        <v>0</v>
      </c>
      <c r="AW36" s="12">
        <f>IFERROR(AW30/AW28,0)</f>
        <v>0</v>
      </c>
      <c r="AX36" s="12">
        <f>IFERROR(AX30/AX28,0)</f>
        <v>0</v>
      </c>
      <c r="AY36" s="12">
        <f>IFERROR(AY30/AY28,0)</f>
        <v>0</v>
      </c>
      <c r="AZ36" s="12">
        <f>IFERROR(AZ30/AZ28,0)</f>
        <v>0</v>
      </c>
      <c r="BA36" s="12">
        <f>IFERROR(BA30/BA28,0)</f>
        <v>-0.50666666666666671</v>
      </c>
      <c r="BB36" s="12">
        <f>IFERROR(BB30/BB28,0)</f>
        <v>-0.04</v>
      </c>
      <c r="BC36" s="12">
        <f>IFERROR(BC30/BC28,0)</f>
        <v>-0.04</v>
      </c>
      <c r="BD36" s="12">
        <f>IFERROR(BD30/BD28,0)</f>
        <v>-0.04</v>
      </c>
      <c r="BE36" s="12">
        <f>IFERROR(BE30/BE28,0)</f>
        <v>-0.11777777777777777</v>
      </c>
      <c r="BG36" s="12">
        <f>IFERROR(BG30/BG28,0)</f>
        <v>-0.22336118977709052</v>
      </c>
      <c r="BH36" s="12">
        <f>IFERROR(BH30/BH28,0)</f>
        <v>-0.22234267536298849</v>
      </c>
      <c r="BI36" s="12">
        <f>IFERROR(BI30/BI28,0)</f>
        <v>-0.22490145305206904</v>
      </c>
      <c r="BJ36" s="12">
        <f>IFERROR(BJ30/BJ28,0)</f>
        <v>-0.21948153026402445</v>
      </c>
      <c r="BK36" s="12">
        <f>IFERROR(BK30/BK28,0)</f>
        <v>-0.22134701307297699</v>
      </c>
      <c r="BL36" s="12">
        <f>IFERROR(BL30/BL28,0)</f>
        <v>-0.22004069650041164</v>
      </c>
      <c r="BM36" s="12">
        <f>IFERROR(BM30/BM28,0)</f>
        <v>-0.22339885053821482</v>
      </c>
      <c r="BN36" s="12">
        <f>IFERROR(BN30/BN28,0)</f>
        <v>-0.22102808961849857</v>
      </c>
      <c r="BO36" s="12">
        <f>IFERROR(BO30/BO28,0)</f>
        <v>-0.22667041251112047</v>
      </c>
      <c r="BP36" s="12">
        <f>IFERROR(BP30/BP28,0)</f>
        <v>-0.21436140101316534</v>
      </c>
      <c r="BQ36" s="12">
        <f>IFERROR(BQ30/BQ28,0)</f>
        <v>-0.21052050647282361</v>
      </c>
      <c r="BR36" s="12">
        <f>IFERROR(BR30/BR28,0)</f>
        <v>-0.21140699928578718</v>
      </c>
      <c r="BS36" s="12">
        <f>IFERROR(BS30/BS28,0)</f>
        <v>-0.21973370337331091</v>
      </c>
    </row>
    <row r="37" spans="2:71">
      <c r="B37" s="5" t="s">
        <v>168</v>
      </c>
      <c r="C37" s="12">
        <f>IFERROR(C31/C28,0)</f>
        <v>0.18371353614677627</v>
      </c>
      <c r="D37" s="12">
        <f>IFERROR(D31/D28,0)</f>
        <v>0.18217846416321598</v>
      </c>
      <c r="E37" s="12">
        <f>IFERROR(E31/E28,0)</f>
        <v>0.17773086374956704</v>
      </c>
      <c r="F37" s="12">
        <f>IFERROR(F31/F28,0)</f>
        <v>0.18592468418846911</v>
      </c>
      <c r="G37" s="12">
        <f>IFERROR(G31/G28,0)</f>
        <v>0.18648022505378126</v>
      </c>
      <c r="H37" s="12">
        <f>IFERROR(H31/H28,0)</f>
        <v>0.18597679367495615</v>
      </c>
      <c r="I37" s="12">
        <f>IFERROR(I31/I28,0)</f>
        <v>0.18396151525735882</v>
      </c>
      <c r="J37" s="12">
        <f>IFERROR(J31/J28,0)</f>
        <v>0.18161639066766741</v>
      </c>
      <c r="K37" s="12">
        <f>IFERROR(K31/K28,0)</f>
        <v>0.18300810279522464</v>
      </c>
      <c r="L37" s="12">
        <f>IFERROR(L31/L28,0)</f>
        <v>0.18507975238353438</v>
      </c>
      <c r="M37" s="12">
        <f>IFERROR(M31/M28,0)</f>
        <v>0.18431288170939605</v>
      </c>
      <c r="N37" s="12">
        <f>IFERROR(N31/N28,0)</f>
        <v>0.18643686099058654</v>
      </c>
      <c r="O37" s="12">
        <f>IFERROR(O31/O28,0)</f>
        <v>0.18392750861002444</v>
      </c>
      <c r="Q37" s="12">
        <f>IFERROR(Q31/Q28,0)</f>
        <v>0.18371353614677627</v>
      </c>
      <c r="R37" s="12">
        <f>IFERROR(R31/R28,0)</f>
        <v>0.18217846416321598</v>
      </c>
      <c r="S37" s="12">
        <f>IFERROR(S31/S28,0)</f>
        <v>0.17773086374956704</v>
      </c>
      <c r="T37" s="12">
        <f>IFERROR(T31/T28,0)</f>
        <v>0.18592468418846911</v>
      </c>
      <c r="U37" s="12">
        <f>IFERROR(U31/U28,0)</f>
        <v>0.18648022505378126</v>
      </c>
      <c r="V37" s="12">
        <f>IFERROR(V31/V28,0)</f>
        <v>0.18597679367495615</v>
      </c>
      <c r="W37" s="12">
        <f>IFERROR(W31/W28,0)</f>
        <v>0.18396151525735882</v>
      </c>
      <c r="X37" s="12">
        <f>IFERROR(X31/X28,0)</f>
        <v>0.18161639066766741</v>
      </c>
      <c r="Y37" s="12">
        <f>IFERROR(Y31/Y28,0)</f>
        <v>0.18300810279522464</v>
      </c>
      <c r="Z37" s="12">
        <f>IFERROR(Z31/Z28,0)</f>
        <v>0.18507975238353438</v>
      </c>
      <c r="AA37" s="12">
        <f>IFERROR(AA31/AA28,0)</f>
        <v>0.18431288170939605</v>
      </c>
      <c r="AB37" s="12">
        <f>IFERROR(AB31/AB28,0)</f>
        <v>0.18643686099058654</v>
      </c>
      <c r="AC37" s="12">
        <f>IFERROR(AC31/AC28,0)</f>
        <v>0.18392750861002444</v>
      </c>
      <c r="AE37" s="12">
        <f>IFERROR(AE31/AE28,0)</f>
        <v>0</v>
      </c>
      <c r="AF37" s="12">
        <f>IFERROR(AF31/AF28,0)</f>
        <v>0</v>
      </c>
      <c r="AG37" s="12">
        <f>IFERROR(AG31/AG28,0)</f>
        <v>0</v>
      </c>
      <c r="AH37" s="12">
        <f>IFERROR(AH31/AH28,0)</f>
        <v>0</v>
      </c>
      <c r="AI37" s="12">
        <f>IFERROR(AI31/AI28,0)</f>
        <v>0</v>
      </c>
      <c r="AJ37" s="12">
        <f>IFERROR(AJ31/AJ28,0)</f>
        <v>0</v>
      </c>
      <c r="AK37" s="12">
        <f>IFERROR(AK31/AK28,0)</f>
        <v>0</v>
      </c>
      <c r="AL37" s="12">
        <f>IFERROR(AL31/AL28,0)</f>
        <v>0</v>
      </c>
      <c r="AM37" s="12">
        <f>IFERROR(AM31/AM28,0)</f>
        <v>0</v>
      </c>
      <c r="AN37" s="12">
        <f>IFERROR(AN31/AN28,0)</f>
        <v>0</v>
      </c>
      <c r="AO37" s="12">
        <f>IFERROR(AO31/AO28,0)</f>
        <v>0</v>
      </c>
      <c r="AP37" s="12">
        <f>IFERROR(AP31/AP28,0)</f>
        <v>0</v>
      </c>
      <c r="AQ37" s="12">
        <f>IFERROR(AQ31/AQ28,0)</f>
        <v>0</v>
      </c>
      <c r="AS37" s="12">
        <f>IFERROR(AS31/AS28,0)</f>
        <v>0</v>
      </c>
      <c r="AT37" s="12">
        <f>IFERROR(AT31/AT28,0)</f>
        <v>0</v>
      </c>
      <c r="AU37" s="12">
        <f>IFERROR(AU31/AU28,0)</f>
        <v>0</v>
      </c>
      <c r="AV37" s="12">
        <f>IFERROR(AV31/AV28,0)</f>
        <v>0</v>
      </c>
      <c r="AW37" s="12">
        <f>IFERROR(AW31/AW28,0)</f>
        <v>0</v>
      </c>
      <c r="AX37" s="12">
        <f>IFERROR(AX31/AX28,0)</f>
        <v>0</v>
      </c>
      <c r="AY37" s="12">
        <f>IFERROR(AY31/AY28,0)</f>
        <v>0</v>
      </c>
      <c r="AZ37" s="12">
        <f>IFERROR(AZ31/AZ28,0)</f>
        <v>0</v>
      </c>
      <c r="BA37" s="12">
        <f>IFERROR(BA31/BA28,0)</f>
        <v>-0.10666666666666667</v>
      </c>
      <c r="BB37" s="12">
        <f>IFERROR(BB31/BB28,0)</f>
        <v>0.34</v>
      </c>
      <c r="BC37" s="12">
        <f>IFERROR(BC31/BC28,0)</f>
        <v>0.34333333333333332</v>
      </c>
      <c r="BD37" s="12">
        <f>IFERROR(BD31/BD28,0)</f>
        <v>0.36</v>
      </c>
      <c r="BE37" s="12">
        <f>IFERROR(BE31/BE28,0)</f>
        <v>0.27111111111111114</v>
      </c>
      <c r="BG37" s="12">
        <f>IFERROR(BG31/BG28,0)</f>
        <v>0.18371353614677627</v>
      </c>
      <c r="BH37" s="12">
        <f>IFERROR(BH31/BH28,0)</f>
        <v>0.18217846416321598</v>
      </c>
      <c r="BI37" s="12">
        <f>IFERROR(BI31/BI28,0)</f>
        <v>0.17773086374956704</v>
      </c>
      <c r="BJ37" s="12">
        <f>IFERROR(BJ31/BJ28,0)</f>
        <v>0.18592468418846911</v>
      </c>
      <c r="BK37" s="12">
        <f>IFERROR(BK31/BK28,0)</f>
        <v>0.18648022505378126</v>
      </c>
      <c r="BL37" s="12">
        <f>IFERROR(BL31/BL28,0)</f>
        <v>0.18597679367495615</v>
      </c>
      <c r="BM37" s="12">
        <f>IFERROR(BM31/BM28,0)</f>
        <v>0.18396151525735882</v>
      </c>
      <c r="BN37" s="12">
        <f>IFERROR(BN31/BN28,0)</f>
        <v>0.18161639066766741</v>
      </c>
      <c r="BO37" s="12">
        <f>IFERROR(BO31/BO28,0)</f>
        <v>0.17622637386649187</v>
      </c>
      <c r="BP37" s="12">
        <f>IFERROR(BP31/BP28,0)</f>
        <v>0.19070152265106757</v>
      </c>
      <c r="BQ37" s="12">
        <f>IFERROR(BQ31/BQ28,0)</f>
        <v>0.19183525441902269</v>
      </c>
      <c r="BR37" s="12">
        <f>IFERROR(BR31/BR28,0)</f>
        <v>0.19149649452679751</v>
      </c>
      <c r="BS37" s="12">
        <f>IFERROR(BS31/BS28,0)</f>
        <v>0.18496448277001357</v>
      </c>
    </row>
    <row r="38" spans="2:71">
      <c r="B38" s="5" t="s">
        <v>169</v>
      </c>
      <c r="C38" s="6">
        <f>IFERROR(C28/21,0)</f>
        <v>274.0809523809524</v>
      </c>
      <c r="D38" s="6">
        <f>IFERROR(D28/20,0)</f>
        <v>281.34499999999997</v>
      </c>
      <c r="E38" s="6">
        <f>IFERROR(E28/22,0)</f>
        <v>275.59545454545457</v>
      </c>
      <c r="F38" s="6">
        <f>IFERROR(F28/22,0)</f>
        <v>303.69090909090909</v>
      </c>
      <c r="G38" s="6">
        <f>IFERROR(G28/20,0)</f>
        <v>302.14999999999998</v>
      </c>
      <c r="H38" s="6">
        <f>IFERROR(H28/22,0)</f>
        <v>292.63181818181818</v>
      </c>
      <c r="I38" s="6">
        <f>IFERROR(I28/22,0)</f>
        <v>286.3</v>
      </c>
      <c r="J38" s="6">
        <f>IFERROR(J28/21,0)</f>
        <v>298.1952380952381</v>
      </c>
      <c r="K38" s="6">
        <f>IFERROR(K28/21,0)</f>
        <v>297.95714285714286</v>
      </c>
      <c r="L38" s="6">
        <f>IFERROR(L28/22,0)</f>
        <v>301.78636363636366</v>
      </c>
      <c r="M38" s="6">
        <f>IFERROR(M28/19,0)</f>
        <v>317.99473684210523</v>
      </c>
      <c r="N38" s="6">
        <f>IFERROR(N28/22,0)</f>
        <v>302.7590909090909</v>
      </c>
      <c r="O38" s="6">
        <f>IFERROR(O28/254,0)</f>
        <v>294.36023622047236</v>
      </c>
      <c r="Q38" s="6">
        <f>IFERROR(Q28/21,0)</f>
        <v>274.0809523809524</v>
      </c>
      <c r="R38" s="6">
        <f>IFERROR(R28/20,0)</f>
        <v>281.34499999999997</v>
      </c>
      <c r="S38" s="6">
        <f>IFERROR(S28/22,0)</f>
        <v>275.59545454545457</v>
      </c>
      <c r="T38" s="6">
        <f>IFERROR(T28/22,0)</f>
        <v>303.69090909090909</v>
      </c>
      <c r="U38" s="6">
        <f>IFERROR(U28/20,0)</f>
        <v>302.14999999999998</v>
      </c>
      <c r="V38" s="6">
        <f>IFERROR(V28/22,0)</f>
        <v>292.63181818181818</v>
      </c>
      <c r="W38" s="6">
        <f>IFERROR(W28/22,0)</f>
        <v>286.3</v>
      </c>
      <c r="X38" s="6">
        <f>IFERROR(X28/21,0)</f>
        <v>298.1952380952381</v>
      </c>
      <c r="Y38" s="6">
        <f>IFERROR(Y28/21,0)</f>
        <v>297.95714285714286</v>
      </c>
      <c r="Z38" s="6">
        <f>IFERROR(Z28/22,0)</f>
        <v>301.78636363636366</v>
      </c>
      <c r="AA38" s="6">
        <f>IFERROR(AA28/19,0)</f>
        <v>317.99473684210523</v>
      </c>
      <c r="AB38" s="6">
        <f>IFERROR(AB28/22,0)</f>
        <v>302.7590909090909</v>
      </c>
      <c r="AC38" s="6">
        <f>IFERROR(AC28/254,0)</f>
        <v>294.36023622047236</v>
      </c>
      <c r="AE38" s="6">
        <f>IFERROR(AE28/21,0)</f>
        <v>0</v>
      </c>
      <c r="AF38" s="6">
        <f>IFERROR(AF28/20,0)</f>
        <v>0</v>
      </c>
      <c r="AG38" s="6">
        <f>IFERROR(AG28/22,0)</f>
        <v>0</v>
      </c>
      <c r="AH38" s="6">
        <f>IFERROR(AH28/22,0)</f>
        <v>0</v>
      </c>
      <c r="AI38" s="6">
        <f>IFERROR(AI28/20,0)</f>
        <v>0</v>
      </c>
      <c r="AJ38" s="6">
        <f>IFERROR(AJ28/22,0)</f>
        <v>0</v>
      </c>
      <c r="AK38" s="6">
        <f>IFERROR(AK28/22,0)</f>
        <v>0</v>
      </c>
      <c r="AL38" s="6">
        <f>IFERROR(AL28/21,0)</f>
        <v>0</v>
      </c>
      <c r="AM38" s="6">
        <f>IFERROR(AM28/21,0)</f>
        <v>0</v>
      </c>
      <c r="AN38" s="6">
        <f>IFERROR(AN28/22,0)</f>
        <v>0</v>
      </c>
      <c r="AO38" s="6">
        <f>IFERROR(AO28/19,0)</f>
        <v>0</v>
      </c>
      <c r="AP38" s="6">
        <f>IFERROR(AP28/22,0)</f>
        <v>0</v>
      </c>
      <c r="AQ38" s="6">
        <f>IFERROR(AQ28/254,0)</f>
        <v>0</v>
      </c>
      <c r="AS38" s="6">
        <f>IFERROR(AS28/21,0)</f>
        <v>0</v>
      </c>
      <c r="AT38" s="6">
        <f>IFERROR(AT28/20,0)</f>
        <v>0</v>
      </c>
      <c r="AU38" s="6">
        <f>IFERROR(AU28/22,0)</f>
        <v>0</v>
      </c>
      <c r="AV38" s="6">
        <f>IFERROR(AV28/22,0)</f>
        <v>0</v>
      </c>
      <c r="AW38" s="6">
        <f>IFERROR(AW28/20,0)</f>
        <v>0</v>
      </c>
      <c r="AX38" s="6">
        <f>IFERROR(AX28/22,0)</f>
        <v>0</v>
      </c>
      <c r="AY38" s="6">
        <f>IFERROR(AY28/22,0)</f>
        <v>0</v>
      </c>
      <c r="AZ38" s="6">
        <f>IFERROR(AZ28/21,0)</f>
        <v>0</v>
      </c>
      <c r="BA38" s="6">
        <f>IFERROR(BA28/21,0)</f>
        <v>7.1428571428571432</v>
      </c>
      <c r="BB38" s="6">
        <f>IFERROR(BB28/22,0)</f>
        <v>11.363636363636363</v>
      </c>
      <c r="BC38" s="6">
        <f>IFERROR(BC28/19,0)</f>
        <v>15.789473684210526</v>
      </c>
      <c r="BD38" s="6">
        <f>IFERROR(BD28/22,0)</f>
        <v>9.0909090909090917</v>
      </c>
      <c r="BE38" s="6">
        <f>IFERROR(BE28/254,0)</f>
        <v>3.5433070866141732</v>
      </c>
      <c r="BG38" s="6">
        <f>IFERROR(BG28/21,0)</f>
        <v>274.0809523809524</v>
      </c>
      <c r="BH38" s="6">
        <f>IFERROR(BH28/20,0)</f>
        <v>281.34499999999997</v>
      </c>
      <c r="BI38" s="6">
        <f>IFERROR(BI28/22,0)</f>
        <v>275.59545454545457</v>
      </c>
      <c r="BJ38" s="6">
        <f>IFERROR(BJ28/22,0)</f>
        <v>303.69090909090909</v>
      </c>
      <c r="BK38" s="6">
        <f>IFERROR(BK28/20,0)</f>
        <v>302.14999999999998</v>
      </c>
      <c r="BL38" s="6">
        <f>IFERROR(BL28/22,0)</f>
        <v>292.63181818181818</v>
      </c>
      <c r="BM38" s="6">
        <f>IFERROR(BM28/22,0)</f>
        <v>286.3</v>
      </c>
      <c r="BN38" s="6">
        <f>IFERROR(BN28/21,0)</f>
        <v>298.1952380952381</v>
      </c>
      <c r="BO38" s="6">
        <f>IFERROR(BO28/21,0)</f>
        <v>305.10000000000002</v>
      </c>
      <c r="BP38" s="6">
        <f>IFERROR(BP28/22,0)</f>
        <v>313.15000000000003</v>
      </c>
      <c r="BQ38" s="6">
        <f>IFERROR(BQ28/19,0)</f>
        <v>333.78421052631575</v>
      </c>
      <c r="BR38" s="6">
        <f>IFERROR(BR28/22,0)</f>
        <v>311.84999999999997</v>
      </c>
      <c r="BS38" s="6">
        <f>IFERROR(BS28/254,0)</f>
        <v>297.90354330708658</v>
      </c>
    </row>
    <row r="40" spans="2:71">
      <c r="B40" s="5" t="s">
        <v>151</v>
      </c>
      <c r="C40" s="6">
        <v>8728.4</v>
      </c>
      <c r="D40" s="6">
        <v>8520.4</v>
      </c>
      <c r="E40" s="6">
        <v>9350.9</v>
      </c>
      <c r="F40" s="6">
        <v>10139.700000000001</v>
      </c>
      <c r="G40" s="6">
        <v>8907.5</v>
      </c>
      <c r="H40" s="6">
        <v>9173.9</v>
      </c>
      <c r="I40" s="6">
        <v>8799.1</v>
      </c>
      <c r="J40" s="6">
        <v>8273.4</v>
      </c>
      <c r="K40" s="6">
        <v>8326.6</v>
      </c>
      <c r="L40" s="6">
        <v>9166.2999999999993</v>
      </c>
      <c r="M40" s="6">
        <v>8313.4</v>
      </c>
      <c r="N40" s="6">
        <v>9050.6</v>
      </c>
      <c r="O40" s="6">
        <f>N40</f>
        <v>9050.6</v>
      </c>
      <c r="Q40" s="6">
        <v>8728.4</v>
      </c>
      <c r="R40" s="6">
        <v>8520.4</v>
      </c>
      <c r="S40" s="6">
        <v>9350.9</v>
      </c>
      <c r="T40" s="6">
        <v>10139.700000000001</v>
      </c>
      <c r="U40" s="6">
        <v>8907.5</v>
      </c>
      <c r="V40" s="6">
        <v>9173.9</v>
      </c>
      <c r="W40" s="6">
        <v>8799.1</v>
      </c>
      <c r="X40" s="6">
        <v>8273.4</v>
      </c>
      <c r="Y40" s="6">
        <v>8326.6</v>
      </c>
      <c r="Z40" s="6">
        <v>9166.2999999999993</v>
      </c>
      <c r="AA40" s="6">
        <v>8313.4</v>
      </c>
      <c r="AB40" s="6">
        <v>9050.6</v>
      </c>
      <c r="AC40" s="6">
        <f>AB40</f>
        <v>9050.6</v>
      </c>
      <c r="AE40" s="6">
        <f>Q40-C40</f>
        <v>0</v>
      </c>
      <c r="AF40" s="6">
        <f>R40-D40</f>
        <v>0</v>
      </c>
      <c r="AG40" s="6">
        <f>S40-E40</f>
        <v>0</v>
      </c>
      <c r="AH40" s="6">
        <f>T40-F40</f>
        <v>0</v>
      </c>
      <c r="AI40" s="6">
        <f>U40-G40</f>
        <v>0</v>
      </c>
      <c r="AJ40" s="6">
        <f>V40-H40</f>
        <v>0</v>
      </c>
      <c r="AK40" s="6">
        <f>W40-I40</f>
        <v>0</v>
      </c>
      <c r="AL40" s="6">
        <f>X40-J40</f>
        <v>0</v>
      </c>
      <c r="AM40" s="6">
        <f>Y40-K40</f>
        <v>0</v>
      </c>
      <c r="AN40" s="6">
        <f>Z40-L40</f>
        <v>0</v>
      </c>
      <c r="AO40" s="6">
        <f>AA40-M40</f>
        <v>0</v>
      </c>
      <c r="AP40" s="6">
        <f>AB40-N40</f>
        <v>0</v>
      </c>
      <c r="AQ40" s="6">
        <f>AP40</f>
        <v>0</v>
      </c>
      <c r="AS40" s="6">
        <f>'Beacon-Adj'!C90</f>
        <v>0</v>
      </c>
      <c r="AT40" s="6">
        <f>'Beacon-Adj'!D90</f>
        <v>0</v>
      </c>
      <c r="AU40" s="6">
        <f>'Beacon-Adj'!E90</f>
        <v>0</v>
      </c>
      <c r="AV40" s="6">
        <f>'Beacon-Adj'!F90</f>
        <v>0</v>
      </c>
      <c r="AW40" s="6">
        <f>'Beacon-Adj'!G90</f>
        <v>0</v>
      </c>
      <c r="AX40" s="6">
        <f>'Beacon-Adj'!H90</f>
        <v>0</v>
      </c>
      <c r="AY40" s="6">
        <f>'Beacon-Adj'!I90</f>
        <v>0</v>
      </c>
      <c r="AZ40" s="6">
        <f>'Beacon-Adj'!J90</f>
        <v>0</v>
      </c>
      <c r="BA40" s="6">
        <f>'Beacon-Adj'!K90</f>
        <v>0</v>
      </c>
      <c r="BB40" s="6">
        <f>'Beacon-Adj'!L90</f>
        <v>0</v>
      </c>
      <c r="BC40" s="6">
        <f>'Beacon-Adj'!M90</f>
        <v>0</v>
      </c>
      <c r="BD40" s="6">
        <f>'Beacon-Adj'!N90</f>
        <v>0</v>
      </c>
      <c r="BE40" s="6">
        <f>BD40</f>
        <v>0</v>
      </c>
      <c r="BG40" s="6">
        <f>C40+AE40+AS40</f>
        <v>8728.4</v>
      </c>
      <c r="BH40" s="6">
        <f>D40+AF40+AT40</f>
        <v>8520.4</v>
      </c>
      <c r="BI40" s="6">
        <f>E40+AG40+AU40</f>
        <v>9350.9</v>
      </c>
      <c r="BJ40" s="6">
        <f>F40+AH40+AV40</f>
        <v>10139.700000000001</v>
      </c>
      <c r="BK40" s="6">
        <f>G40+AI40+AW40</f>
        <v>8907.5</v>
      </c>
      <c r="BL40" s="6">
        <f>H40+AJ40+AX40</f>
        <v>9173.9</v>
      </c>
      <c r="BM40" s="6">
        <f>I40+AK40+AY40</f>
        <v>8799.1</v>
      </c>
      <c r="BN40" s="6">
        <f>J40+AL40+AZ40</f>
        <v>8273.4</v>
      </c>
      <c r="BO40" s="6">
        <f>K40+AM40+BA40</f>
        <v>8326.6</v>
      </c>
      <c r="BP40" s="6">
        <f>L40+AN40+BB40</f>
        <v>9166.2999999999993</v>
      </c>
      <c r="BQ40" s="6">
        <f>M40+AO40+BC40</f>
        <v>8313.4</v>
      </c>
      <c r="BR40" s="6">
        <f>N40+AP40+BD40</f>
        <v>9050.6</v>
      </c>
      <c r="BS40" s="6">
        <f>BR40</f>
        <v>9050.6</v>
      </c>
    </row>
    <row r="41" spans="2:71">
      <c r="B41" s="5" t="s">
        <v>152</v>
      </c>
      <c r="C41" s="6">
        <v>8729.5</v>
      </c>
      <c r="D41" s="6">
        <v>8534.1</v>
      </c>
      <c r="E41" s="6">
        <v>9195.7000000000007</v>
      </c>
      <c r="F41" s="6">
        <v>10133.200000000001</v>
      </c>
      <c r="G41" s="6">
        <v>9165.2000000000007</v>
      </c>
      <c r="H41" s="6">
        <v>9764.1</v>
      </c>
      <c r="I41" s="6">
        <v>9552.9</v>
      </c>
      <c r="J41" s="6">
        <v>9497.5</v>
      </c>
      <c r="K41" s="6">
        <v>9717.4</v>
      </c>
      <c r="L41" s="6">
        <v>10448.799999999999</v>
      </c>
      <c r="M41" s="6">
        <v>9618.5</v>
      </c>
      <c r="N41" s="6">
        <v>10405.4</v>
      </c>
      <c r="O41" s="6">
        <f>N41</f>
        <v>10405.4</v>
      </c>
      <c r="Q41" s="6">
        <v>8729.5</v>
      </c>
      <c r="R41" s="6">
        <v>8534.1</v>
      </c>
      <c r="S41" s="6">
        <v>9195.7000000000007</v>
      </c>
      <c r="T41" s="6">
        <v>10133.200000000001</v>
      </c>
      <c r="U41" s="6">
        <v>9165.2000000000007</v>
      </c>
      <c r="V41" s="6">
        <v>9764.1</v>
      </c>
      <c r="W41" s="6">
        <v>9552.9</v>
      </c>
      <c r="X41" s="6">
        <v>9497.5</v>
      </c>
      <c r="Y41" s="6">
        <v>9717.4</v>
      </c>
      <c r="Z41" s="6">
        <v>10448.799999999999</v>
      </c>
      <c r="AA41" s="6">
        <v>9618.5</v>
      </c>
      <c r="AB41" s="6">
        <v>10405.4</v>
      </c>
      <c r="AC41" s="6">
        <f>AB41</f>
        <v>10405.4</v>
      </c>
      <c r="AE41" s="6">
        <f>Q41-C41</f>
        <v>0</v>
      </c>
      <c r="AF41" s="6">
        <f>R41-D41</f>
        <v>0</v>
      </c>
      <c r="AG41" s="6">
        <f>S41-E41</f>
        <v>0</v>
      </c>
      <c r="AH41" s="6">
        <f>T41-F41</f>
        <v>0</v>
      </c>
      <c r="AI41" s="6">
        <f>U41-G41</f>
        <v>0</v>
      </c>
      <c r="AJ41" s="6">
        <f>V41-H41</f>
        <v>0</v>
      </c>
      <c r="AK41" s="6">
        <f>W41-I41</f>
        <v>0</v>
      </c>
      <c r="AL41" s="6">
        <f>X41-J41</f>
        <v>0</v>
      </c>
      <c r="AM41" s="6">
        <f>Y41-K41</f>
        <v>0</v>
      </c>
      <c r="AN41" s="6">
        <f>Z41-L41</f>
        <v>0</v>
      </c>
      <c r="AO41" s="6">
        <f>AA41-M41</f>
        <v>0</v>
      </c>
      <c r="AP41" s="6">
        <f>AB41-N41</f>
        <v>0</v>
      </c>
      <c r="AQ41" s="6">
        <f>AP41</f>
        <v>0</v>
      </c>
      <c r="AS41" s="6">
        <f>'Beacon-Adj'!C91</f>
        <v>0</v>
      </c>
      <c r="AT41" s="6">
        <f>'Beacon-Adj'!D91</f>
        <v>0</v>
      </c>
      <c r="AU41" s="6">
        <f>'Beacon-Adj'!E91</f>
        <v>0</v>
      </c>
      <c r="AV41" s="6">
        <f>'Beacon-Adj'!F91</f>
        <v>0</v>
      </c>
      <c r="AW41" s="6">
        <f>'Beacon-Adj'!G91</f>
        <v>0</v>
      </c>
      <c r="AX41" s="6">
        <f>'Beacon-Adj'!H91</f>
        <v>0</v>
      </c>
      <c r="AY41" s="6">
        <f>'Beacon-Adj'!I91</f>
        <v>0</v>
      </c>
      <c r="AZ41" s="6">
        <f>'Beacon-Adj'!J91</f>
        <v>0</v>
      </c>
      <c r="BA41" s="6">
        <f>'Beacon-Adj'!K91</f>
        <v>0</v>
      </c>
      <c r="BB41" s="6">
        <f>'Beacon-Adj'!L91</f>
        <v>0</v>
      </c>
      <c r="BC41" s="6">
        <f>'Beacon-Adj'!M91</f>
        <v>0</v>
      </c>
      <c r="BD41" s="6">
        <f>'Beacon-Adj'!N91</f>
        <v>0</v>
      </c>
      <c r="BE41" s="6">
        <f>BD41</f>
        <v>0</v>
      </c>
      <c r="BG41" s="6">
        <f>C41+AE41+AS41</f>
        <v>8729.5</v>
      </c>
      <c r="BH41" s="6">
        <f>D41+AF41+AT41</f>
        <v>8534.1</v>
      </c>
      <c r="BI41" s="6">
        <f>E41+AG41+AU41</f>
        <v>9195.7000000000007</v>
      </c>
      <c r="BJ41" s="6">
        <f>F41+AH41+AV41</f>
        <v>10133.200000000001</v>
      </c>
      <c r="BK41" s="6">
        <f>G41+AI41+AW41</f>
        <v>9165.2000000000007</v>
      </c>
      <c r="BL41" s="6">
        <f>H41+AJ41+AX41</f>
        <v>9764.1</v>
      </c>
      <c r="BM41" s="6">
        <f>I41+AK41+AY41</f>
        <v>9552.9</v>
      </c>
      <c r="BN41" s="6">
        <f>J41+AL41+AZ41</f>
        <v>9497.5</v>
      </c>
      <c r="BO41" s="6">
        <f>K41+AM41+BA41</f>
        <v>9717.4</v>
      </c>
      <c r="BP41" s="6">
        <f>L41+AN41+BB41</f>
        <v>10448.799999999999</v>
      </c>
      <c r="BQ41" s="6">
        <f>M41+AO41+BC41</f>
        <v>9618.5</v>
      </c>
      <c r="BR41" s="6">
        <f>N41+AP41+BD41</f>
        <v>10405.4</v>
      </c>
      <c r="BS41" s="6">
        <f>BR41</f>
        <v>10405.4</v>
      </c>
    </row>
    <row r="42" spans="2:71">
      <c r="B42" s="5" t="s">
        <v>153</v>
      </c>
      <c r="C42" s="6">
        <v>86.3</v>
      </c>
      <c r="D42" s="6">
        <v>84.4</v>
      </c>
      <c r="E42" s="6">
        <v>90.9</v>
      </c>
      <c r="F42" s="6">
        <v>100.2</v>
      </c>
      <c r="G42" s="6">
        <v>90.6</v>
      </c>
      <c r="H42" s="6">
        <v>96.6</v>
      </c>
      <c r="I42" s="6">
        <v>94.5</v>
      </c>
      <c r="J42" s="6">
        <v>93.9</v>
      </c>
      <c r="K42" s="6">
        <v>96.1</v>
      </c>
      <c r="L42" s="6">
        <v>103.3</v>
      </c>
      <c r="M42" s="6">
        <v>95.1</v>
      </c>
      <c r="N42" s="6">
        <v>102.9</v>
      </c>
      <c r="O42" s="6">
        <f>N42</f>
        <v>102.9</v>
      </c>
      <c r="Q42" s="6">
        <v>86.3</v>
      </c>
      <c r="R42" s="6">
        <v>84.4</v>
      </c>
      <c r="S42" s="6">
        <v>90.9</v>
      </c>
      <c r="T42" s="6">
        <v>100.2</v>
      </c>
      <c r="U42" s="6">
        <v>90.6</v>
      </c>
      <c r="V42" s="6">
        <v>96.6</v>
      </c>
      <c r="W42" s="6">
        <v>94.5</v>
      </c>
      <c r="X42" s="6">
        <v>93.9</v>
      </c>
      <c r="Y42" s="6">
        <v>96.1</v>
      </c>
      <c r="Z42" s="6">
        <v>103.3</v>
      </c>
      <c r="AA42" s="6">
        <v>95.1</v>
      </c>
      <c r="AB42" s="6">
        <v>102.9</v>
      </c>
      <c r="AC42" s="6">
        <f>AB42</f>
        <v>102.9</v>
      </c>
      <c r="AE42" s="6">
        <f>Q42-C42</f>
        <v>0</v>
      </c>
      <c r="AF42" s="6">
        <f>R42-D42</f>
        <v>0</v>
      </c>
      <c r="AG42" s="6">
        <f>S42-E42</f>
        <v>0</v>
      </c>
      <c r="AH42" s="6">
        <f>T42-F42</f>
        <v>0</v>
      </c>
      <c r="AI42" s="6">
        <f>U42-G42</f>
        <v>0</v>
      </c>
      <c r="AJ42" s="6">
        <f>V42-H42</f>
        <v>0</v>
      </c>
      <c r="AK42" s="6">
        <f>W42-I42</f>
        <v>0</v>
      </c>
      <c r="AL42" s="6">
        <f>X42-J42</f>
        <v>0</v>
      </c>
      <c r="AM42" s="6">
        <f>Y42-K42</f>
        <v>0</v>
      </c>
      <c r="AN42" s="6">
        <f>Z42-L42</f>
        <v>0</v>
      </c>
      <c r="AO42" s="6">
        <f>AA42-M42</f>
        <v>0</v>
      </c>
      <c r="AP42" s="6">
        <f>AB42-N42</f>
        <v>0</v>
      </c>
      <c r="AQ42" s="6">
        <f>AP42</f>
        <v>0</v>
      </c>
      <c r="AS42" s="6">
        <f>'Beacon-Adj'!C92</f>
        <v>0</v>
      </c>
      <c r="AT42" s="6">
        <f>'Beacon-Adj'!D92</f>
        <v>0</v>
      </c>
      <c r="AU42" s="6">
        <f>'Beacon-Adj'!E92</f>
        <v>0</v>
      </c>
      <c r="AV42" s="6">
        <f>'Beacon-Adj'!F92</f>
        <v>0</v>
      </c>
      <c r="AW42" s="6">
        <f>'Beacon-Adj'!G92</f>
        <v>0</v>
      </c>
      <c r="AX42" s="6">
        <f>'Beacon-Adj'!H92</f>
        <v>0</v>
      </c>
      <c r="AY42" s="6">
        <f>'Beacon-Adj'!I92</f>
        <v>0</v>
      </c>
      <c r="AZ42" s="6">
        <f>'Beacon-Adj'!J92</f>
        <v>0</v>
      </c>
      <c r="BA42" s="6">
        <f>'Beacon-Adj'!K92</f>
        <v>0</v>
      </c>
      <c r="BB42" s="6">
        <f>'Beacon-Adj'!L92</f>
        <v>0</v>
      </c>
      <c r="BC42" s="6">
        <f>'Beacon-Adj'!M92</f>
        <v>0</v>
      </c>
      <c r="BD42" s="6">
        <f>'Beacon-Adj'!N92</f>
        <v>0</v>
      </c>
      <c r="BE42" s="6">
        <f>BD42</f>
        <v>0</v>
      </c>
      <c r="BG42" s="6">
        <f>C42+AE42+AS42</f>
        <v>86.3</v>
      </c>
      <c r="BH42" s="6">
        <f>D42+AF42+AT42</f>
        <v>84.4</v>
      </c>
      <c r="BI42" s="6">
        <f>E42+AG42+AU42</f>
        <v>90.9</v>
      </c>
      <c r="BJ42" s="6">
        <f>F42+AH42+AV42</f>
        <v>100.2</v>
      </c>
      <c r="BK42" s="6">
        <f>G42+AI42+AW42</f>
        <v>90.6</v>
      </c>
      <c r="BL42" s="6">
        <f>H42+AJ42+AX42</f>
        <v>96.6</v>
      </c>
      <c r="BM42" s="6">
        <f>I42+AK42+AY42</f>
        <v>94.5</v>
      </c>
      <c r="BN42" s="6">
        <f>J42+AL42+AZ42</f>
        <v>93.9</v>
      </c>
      <c r="BO42" s="6">
        <f>K42+AM42+BA42</f>
        <v>96.1</v>
      </c>
      <c r="BP42" s="6">
        <f>L42+AN42+BB42</f>
        <v>103.3</v>
      </c>
      <c r="BQ42" s="6">
        <f>M42+AO42+BC42</f>
        <v>95.1</v>
      </c>
      <c r="BR42" s="6">
        <f>N42+AP42+BD42</f>
        <v>102.9</v>
      </c>
      <c r="BS42" s="6">
        <f>BR42</f>
        <v>102.9</v>
      </c>
    </row>
    <row r="43" spans="2:71">
      <c r="B43" s="5" t="s">
        <v>154</v>
      </c>
      <c r="C43" s="6">
        <v>-4891.5</v>
      </c>
      <c r="D43" s="6">
        <v>-4802.7</v>
      </c>
      <c r="E43" s="6">
        <v>-5191.3999999999996</v>
      </c>
      <c r="F43" s="6">
        <v>-5694.1</v>
      </c>
      <c r="G43" s="6">
        <v>-5129.2</v>
      </c>
      <c r="H43" s="6">
        <v>-5481.1</v>
      </c>
      <c r="I43" s="6">
        <v>-5350.3</v>
      </c>
      <c r="J43" s="6">
        <v>-5361.7</v>
      </c>
      <c r="K43" s="6">
        <v>-5483.5</v>
      </c>
      <c r="L43" s="6">
        <v>-5874.8</v>
      </c>
      <c r="M43" s="6">
        <v>-5432.6</v>
      </c>
      <c r="N43" s="6">
        <v>-5871.6</v>
      </c>
      <c r="O43" s="6">
        <f>N43</f>
        <v>-5871.6</v>
      </c>
      <c r="Q43" s="6">
        <v>-4891.5</v>
      </c>
      <c r="R43" s="6">
        <v>-4802.7</v>
      </c>
      <c r="S43" s="6">
        <v>-5191.3999999999996</v>
      </c>
      <c r="T43" s="6">
        <v>-5694.1</v>
      </c>
      <c r="U43" s="6">
        <v>-5129.2</v>
      </c>
      <c r="V43" s="6">
        <v>-5481.1</v>
      </c>
      <c r="W43" s="6">
        <v>-5350.3</v>
      </c>
      <c r="X43" s="6">
        <v>-5361.7</v>
      </c>
      <c r="Y43" s="6">
        <v>-5483.5</v>
      </c>
      <c r="Z43" s="6">
        <v>-5874.8</v>
      </c>
      <c r="AA43" s="6">
        <v>-5432.6</v>
      </c>
      <c r="AB43" s="6">
        <v>-5871.6</v>
      </c>
      <c r="AC43" s="6">
        <f>AB43</f>
        <v>-5871.6</v>
      </c>
      <c r="AE43" s="6">
        <f>Q43-C43</f>
        <v>0</v>
      </c>
      <c r="AF43" s="6">
        <f>R43-D43</f>
        <v>0</v>
      </c>
      <c r="AG43" s="6">
        <f>S43-E43</f>
        <v>0</v>
      </c>
      <c r="AH43" s="6">
        <f>T43-F43</f>
        <v>0</v>
      </c>
      <c r="AI43" s="6">
        <f>U43-G43</f>
        <v>0</v>
      </c>
      <c r="AJ43" s="6">
        <f>V43-H43</f>
        <v>0</v>
      </c>
      <c r="AK43" s="6">
        <f>W43-I43</f>
        <v>0</v>
      </c>
      <c r="AL43" s="6">
        <f>X43-J43</f>
        <v>0</v>
      </c>
      <c r="AM43" s="6">
        <f>Y43-K43</f>
        <v>0</v>
      </c>
      <c r="AN43" s="6">
        <f>Z43-L43</f>
        <v>0</v>
      </c>
      <c r="AO43" s="6">
        <f>AA43-M43</f>
        <v>0</v>
      </c>
      <c r="AP43" s="6">
        <f>AB43-N43</f>
        <v>0</v>
      </c>
      <c r="AQ43" s="6">
        <f>AP43</f>
        <v>0</v>
      </c>
      <c r="AS43" s="6">
        <f>'Beacon-Adj'!C93</f>
        <v>0</v>
      </c>
      <c r="AT43" s="6">
        <f>'Beacon-Adj'!D93</f>
        <v>0</v>
      </c>
      <c r="AU43" s="6">
        <f>'Beacon-Adj'!E93</f>
        <v>0</v>
      </c>
      <c r="AV43" s="6">
        <f>'Beacon-Adj'!F93</f>
        <v>0</v>
      </c>
      <c r="AW43" s="6">
        <f>'Beacon-Adj'!G93</f>
        <v>0</v>
      </c>
      <c r="AX43" s="6">
        <f>'Beacon-Adj'!H93</f>
        <v>0</v>
      </c>
      <c r="AY43" s="6">
        <f>'Beacon-Adj'!I93</f>
        <v>0</v>
      </c>
      <c r="AZ43" s="6">
        <f>'Beacon-Adj'!J93</f>
        <v>0</v>
      </c>
      <c r="BA43" s="6">
        <f>'Beacon-Adj'!K93</f>
        <v>0</v>
      </c>
      <c r="BB43" s="6">
        <f>'Beacon-Adj'!L93</f>
        <v>0</v>
      </c>
      <c r="BC43" s="6">
        <f>'Beacon-Adj'!M93</f>
        <v>0</v>
      </c>
      <c r="BD43" s="6">
        <f>'Beacon-Adj'!N93</f>
        <v>0</v>
      </c>
      <c r="BE43" s="6">
        <f>BD43</f>
        <v>0</v>
      </c>
      <c r="BG43" s="6">
        <f>C43+AE43+AS43</f>
        <v>-4891.5</v>
      </c>
      <c r="BH43" s="6">
        <f>D43+AF43+AT43</f>
        <v>-4802.7</v>
      </c>
      <c r="BI43" s="6">
        <f>E43+AG43+AU43</f>
        <v>-5191.3999999999996</v>
      </c>
      <c r="BJ43" s="6">
        <f>F43+AH43+AV43</f>
        <v>-5694.1</v>
      </c>
      <c r="BK43" s="6">
        <f>G43+AI43+AW43</f>
        <v>-5129.2</v>
      </c>
      <c r="BL43" s="6">
        <f>H43+AJ43+AX43</f>
        <v>-5481.1</v>
      </c>
      <c r="BM43" s="6">
        <f>I43+AK43+AY43</f>
        <v>-5350.3</v>
      </c>
      <c r="BN43" s="6">
        <f>J43+AL43+AZ43</f>
        <v>-5361.7</v>
      </c>
      <c r="BO43" s="6">
        <f>K43+AM43+BA43</f>
        <v>-5483.5</v>
      </c>
      <c r="BP43" s="6">
        <f>L43+AN43+BB43</f>
        <v>-5874.8</v>
      </c>
      <c r="BQ43" s="6">
        <f>M43+AO43+BC43</f>
        <v>-5432.6</v>
      </c>
      <c r="BR43" s="6">
        <f>N43+AP43+BD43</f>
        <v>-5871.6</v>
      </c>
      <c r="BS43" s="6">
        <f>BR43</f>
        <v>-5871.6</v>
      </c>
    </row>
    <row r="44" spans="2:71">
      <c r="B44" s="5" t="s">
        <v>155</v>
      </c>
      <c r="C44" s="6">
        <v>-172.7</v>
      </c>
      <c r="D44" s="6">
        <v>-168.8</v>
      </c>
      <c r="E44" s="6">
        <v>-181.9</v>
      </c>
      <c r="F44" s="6">
        <v>-200.4</v>
      </c>
      <c r="G44" s="6">
        <v>-181.3</v>
      </c>
      <c r="H44" s="6">
        <v>-193.1</v>
      </c>
      <c r="I44" s="6">
        <v>-189</v>
      </c>
      <c r="J44" s="6">
        <v>-187.9</v>
      </c>
      <c r="K44" s="6">
        <v>-192.2</v>
      </c>
      <c r="L44" s="6">
        <v>-206.7</v>
      </c>
      <c r="M44" s="6">
        <v>-190.3</v>
      </c>
      <c r="N44" s="6">
        <v>-205.8</v>
      </c>
      <c r="O44" s="6">
        <f>N44</f>
        <v>-205.8</v>
      </c>
      <c r="Q44" s="6">
        <v>-172.7</v>
      </c>
      <c r="R44" s="6">
        <v>-168.8</v>
      </c>
      <c r="S44" s="6">
        <v>-181.9</v>
      </c>
      <c r="T44" s="6">
        <v>-200.4</v>
      </c>
      <c r="U44" s="6">
        <v>-181.3</v>
      </c>
      <c r="V44" s="6">
        <v>-193.1</v>
      </c>
      <c r="W44" s="6">
        <v>-189</v>
      </c>
      <c r="X44" s="6">
        <v>-187.9</v>
      </c>
      <c r="Y44" s="6">
        <v>-192.2</v>
      </c>
      <c r="Z44" s="6">
        <v>-206.7</v>
      </c>
      <c r="AA44" s="6">
        <v>-190.3</v>
      </c>
      <c r="AB44" s="6">
        <v>-205.8</v>
      </c>
      <c r="AC44" s="6">
        <f>AB44</f>
        <v>-205.8</v>
      </c>
      <c r="AE44" s="6">
        <f>Q44-C44</f>
        <v>0</v>
      </c>
      <c r="AF44" s="6">
        <f>R44-D44</f>
        <v>0</v>
      </c>
      <c r="AG44" s="6">
        <f>S44-E44</f>
        <v>0</v>
      </c>
      <c r="AH44" s="6">
        <f>T44-F44</f>
        <v>0</v>
      </c>
      <c r="AI44" s="6">
        <f>U44-G44</f>
        <v>0</v>
      </c>
      <c r="AJ44" s="6">
        <f>V44-H44</f>
        <v>0</v>
      </c>
      <c r="AK44" s="6">
        <f>W44-I44</f>
        <v>0</v>
      </c>
      <c r="AL44" s="6">
        <f>X44-J44</f>
        <v>0</v>
      </c>
      <c r="AM44" s="6">
        <f>Y44-K44</f>
        <v>0</v>
      </c>
      <c r="AN44" s="6">
        <f>Z44-L44</f>
        <v>0</v>
      </c>
      <c r="AO44" s="6">
        <f>AA44-M44</f>
        <v>0</v>
      </c>
      <c r="AP44" s="6">
        <f>AB44-N44</f>
        <v>0</v>
      </c>
      <c r="AQ44" s="6">
        <f>AP44</f>
        <v>0</v>
      </c>
      <c r="AS44" s="6">
        <f>'Beacon-Adj'!C94</f>
        <v>0</v>
      </c>
      <c r="AT44" s="6">
        <f>'Beacon-Adj'!D94</f>
        <v>0</v>
      </c>
      <c r="AU44" s="6">
        <f>'Beacon-Adj'!E94</f>
        <v>0</v>
      </c>
      <c r="AV44" s="6">
        <f>'Beacon-Adj'!F94</f>
        <v>0</v>
      </c>
      <c r="AW44" s="6">
        <f>'Beacon-Adj'!G94</f>
        <v>0</v>
      </c>
      <c r="AX44" s="6">
        <f>'Beacon-Adj'!H94</f>
        <v>0</v>
      </c>
      <c r="AY44" s="6">
        <f>'Beacon-Adj'!I94</f>
        <v>0</v>
      </c>
      <c r="AZ44" s="6">
        <f>'Beacon-Adj'!J94</f>
        <v>0</v>
      </c>
      <c r="BA44" s="6">
        <f>'Beacon-Adj'!K94</f>
        <v>0</v>
      </c>
      <c r="BB44" s="6">
        <f>'Beacon-Adj'!L94</f>
        <v>0</v>
      </c>
      <c r="BC44" s="6">
        <f>'Beacon-Adj'!M94</f>
        <v>0</v>
      </c>
      <c r="BD44" s="6">
        <f>'Beacon-Adj'!N94</f>
        <v>0</v>
      </c>
      <c r="BE44" s="6">
        <f>BD44</f>
        <v>0</v>
      </c>
      <c r="BG44" s="6">
        <f>C44+AE44+AS44</f>
        <v>-172.7</v>
      </c>
      <c r="BH44" s="6">
        <f>D44+AF44+AT44</f>
        <v>-168.8</v>
      </c>
      <c r="BI44" s="6">
        <f>E44+AG44+AU44</f>
        <v>-181.9</v>
      </c>
      <c r="BJ44" s="6">
        <f>F44+AH44+AV44</f>
        <v>-200.4</v>
      </c>
      <c r="BK44" s="6">
        <f>G44+AI44+AW44</f>
        <v>-181.3</v>
      </c>
      <c r="BL44" s="6">
        <f>H44+AJ44+AX44</f>
        <v>-193.1</v>
      </c>
      <c r="BM44" s="6">
        <f>I44+AK44+AY44</f>
        <v>-189</v>
      </c>
      <c r="BN44" s="6">
        <f>J44+AL44+AZ44</f>
        <v>-187.9</v>
      </c>
      <c r="BO44" s="6">
        <f>K44+AM44+BA44</f>
        <v>-192.2</v>
      </c>
      <c r="BP44" s="6">
        <f>L44+AN44+BB44</f>
        <v>-206.7</v>
      </c>
      <c r="BQ44" s="6">
        <f>M44+AO44+BC44</f>
        <v>-190.3</v>
      </c>
      <c r="BR44" s="6">
        <f>N44+AP44+BD44</f>
        <v>-205.8</v>
      </c>
      <c r="BS44" s="6">
        <f>BR44</f>
        <v>-205.8</v>
      </c>
    </row>
    <row r="45" spans="2:71">
      <c r="B45" s="2" t="s">
        <v>170</v>
      </c>
      <c r="C45" s="6">
        <f>SUM(C40:C44)</f>
        <v>12480</v>
      </c>
      <c r="D45" s="6">
        <f>SUM(D40:D44)</f>
        <v>12167.400000000001</v>
      </c>
      <c r="E45" s="6">
        <f>SUM(E40:E44)</f>
        <v>13264.2</v>
      </c>
      <c r="F45" s="6">
        <f>SUM(F40:F44)</f>
        <v>14478.600000000002</v>
      </c>
      <c r="G45" s="6">
        <f>SUM(G40:G44)</f>
        <v>12852.8</v>
      </c>
      <c r="H45" s="6">
        <f>SUM(H40:H44)</f>
        <v>13360.399999999998</v>
      </c>
      <c r="I45" s="6">
        <f>SUM(I40:I44)</f>
        <v>12907.2</v>
      </c>
      <c r="J45" s="6">
        <f>SUM(J40:J44)</f>
        <v>12315.200000000003</v>
      </c>
      <c r="K45" s="6">
        <f>SUM(K40:K44)</f>
        <v>12464.399999999998</v>
      </c>
      <c r="L45" s="6">
        <f>SUM(L40:L44)</f>
        <v>13636.899999999998</v>
      </c>
      <c r="M45" s="6">
        <f>SUM(M40:M44)</f>
        <v>12404.1</v>
      </c>
      <c r="N45" s="6">
        <f>SUM(N40:N44)</f>
        <v>13481.500000000002</v>
      </c>
      <c r="O45" s="6">
        <f>N45</f>
        <v>13481.500000000002</v>
      </c>
      <c r="Q45" s="6">
        <f>SUM(Q40:Q44)</f>
        <v>12480</v>
      </c>
      <c r="R45" s="6">
        <f>SUM(R40:R44)</f>
        <v>12167.400000000001</v>
      </c>
      <c r="S45" s="6">
        <f>SUM(S40:S44)</f>
        <v>13264.2</v>
      </c>
      <c r="T45" s="6">
        <f>SUM(T40:T44)</f>
        <v>14478.600000000002</v>
      </c>
      <c r="U45" s="6">
        <f>SUM(U40:U44)</f>
        <v>12852.8</v>
      </c>
      <c r="V45" s="6">
        <f>SUM(V40:V44)</f>
        <v>13360.399999999998</v>
      </c>
      <c r="W45" s="6">
        <f>SUM(W40:W44)</f>
        <v>12907.2</v>
      </c>
      <c r="X45" s="6">
        <f>SUM(X40:X44)</f>
        <v>12315.200000000003</v>
      </c>
      <c r="Y45" s="6">
        <f>SUM(Y40:Y44)</f>
        <v>12464.399999999998</v>
      </c>
      <c r="Z45" s="6">
        <f>SUM(Z40:Z44)</f>
        <v>13636.899999999998</v>
      </c>
      <c r="AA45" s="6">
        <f>SUM(AA40:AA44)</f>
        <v>12404.1</v>
      </c>
      <c r="AB45" s="6">
        <f>SUM(AB40:AB44)</f>
        <v>13481.500000000002</v>
      </c>
      <c r="AC45" s="6">
        <f>AB45</f>
        <v>13481.500000000002</v>
      </c>
      <c r="AE45" s="6">
        <f>SUM(AE40:AE44)</f>
        <v>0</v>
      </c>
      <c r="AF45" s="6">
        <f>SUM(AF40:AF44)</f>
        <v>0</v>
      </c>
      <c r="AG45" s="6">
        <f>SUM(AG40:AG44)</f>
        <v>0</v>
      </c>
      <c r="AH45" s="6">
        <f>SUM(AH40:AH44)</f>
        <v>0</v>
      </c>
      <c r="AI45" s="6">
        <f>SUM(AI40:AI44)</f>
        <v>0</v>
      </c>
      <c r="AJ45" s="6">
        <f>SUM(AJ40:AJ44)</f>
        <v>0</v>
      </c>
      <c r="AK45" s="6">
        <f>SUM(AK40:AK44)</f>
        <v>0</v>
      </c>
      <c r="AL45" s="6">
        <f>SUM(AL40:AL44)</f>
        <v>0</v>
      </c>
      <c r="AM45" s="6">
        <f>SUM(AM40:AM44)</f>
        <v>0</v>
      </c>
      <c r="AN45" s="6">
        <f>SUM(AN40:AN44)</f>
        <v>0</v>
      </c>
      <c r="AO45" s="6">
        <f>SUM(AO40:AO44)</f>
        <v>0</v>
      </c>
      <c r="AP45" s="6">
        <f>SUM(AP40:AP44)</f>
        <v>0</v>
      </c>
      <c r="AQ45" s="6">
        <f>AP45</f>
        <v>0</v>
      </c>
      <c r="AS45" s="6">
        <f>SUM(AS40:AS44)</f>
        <v>0</v>
      </c>
      <c r="AT45" s="6">
        <f>SUM(AT40:AT44)</f>
        <v>0</v>
      </c>
      <c r="AU45" s="6">
        <f>SUM(AU40:AU44)</f>
        <v>0</v>
      </c>
      <c r="AV45" s="6">
        <f>SUM(AV40:AV44)</f>
        <v>0</v>
      </c>
      <c r="AW45" s="6">
        <f>SUM(AW40:AW44)</f>
        <v>0</v>
      </c>
      <c r="AX45" s="6">
        <f>SUM(AX40:AX44)</f>
        <v>0</v>
      </c>
      <c r="AY45" s="6">
        <f>SUM(AY40:AY44)</f>
        <v>0</v>
      </c>
      <c r="AZ45" s="6">
        <f>SUM(AZ40:AZ44)</f>
        <v>0</v>
      </c>
      <c r="BA45" s="6">
        <f>SUM(BA40:BA44)</f>
        <v>0</v>
      </c>
      <c r="BB45" s="6">
        <f>SUM(BB40:BB44)</f>
        <v>0</v>
      </c>
      <c r="BC45" s="6">
        <f>SUM(BC40:BC44)</f>
        <v>0</v>
      </c>
      <c r="BD45" s="6">
        <f>SUM(BD40:BD44)</f>
        <v>0</v>
      </c>
      <c r="BE45" s="6">
        <f>BD45</f>
        <v>0</v>
      </c>
      <c r="BG45" s="6">
        <f>SUM(BG40:BG44)</f>
        <v>12480</v>
      </c>
      <c r="BH45" s="6">
        <f>SUM(BH40:BH44)</f>
        <v>12167.400000000001</v>
      </c>
      <c r="BI45" s="6">
        <f>SUM(BI40:BI44)</f>
        <v>13264.2</v>
      </c>
      <c r="BJ45" s="6">
        <f>SUM(BJ40:BJ44)</f>
        <v>14478.600000000002</v>
      </c>
      <c r="BK45" s="6">
        <f>SUM(BK40:BK44)</f>
        <v>12852.8</v>
      </c>
      <c r="BL45" s="6">
        <f>SUM(BL40:BL44)</f>
        <v>13360.399999999998</v>
      </c>
      <c r="BM45" s="6">
        <f>SUM(BM40:BM44)</f>
        <v>12907.2</v>
      </c>
      <c r="BN45" s="6">
        <f>SUM(BN40:BN44)</f>
        <v>12315.200000000003</v>
      </c>
      <c r="BO45" s="6">
        <f>SUM(BO40:BO44)</f>
        <v>12464.399999999998</v>
      </c>
      <c r="BP45" s="6">
        <f>SUM(BP40:BP44)</f>
        <v>13636.899999999998</v>
      </c>
      <c r="BQ45" s="6">
        <f>SUM(BQ40:BQ44)</f>
        <v>12404.1</v>
      </c>
      <c r="BR45" s="6">
        <f>SUM(BR40:BR44)</f>
        <v>13481.500000000002</v>
      </c>
      <c r="BS45" s="6">
        <f>BR45</f>
        <v>13481.500000000002</v>
      </c>
    </row>
    <row r="46" spans="2:71">
      <c r="B46" s="5" t="s">
        <v>171</v>
      </c>
      <c r="C46" s="12">
        <f>IFERROR(C45/(C28*12),0)</f>
        <v>0.18069044599266815</v>
      </c>
      <c r="D46" s="12">
        <f>IFERROR(D45/(D28*12),0)</f>
        <v>0.18019691126552814</v>
      </c>
      <c r="E46" s="12">
        <f>IFERROR(E45/(E28*12),0)</f>
        <v>0.18230773036895315</v>
      </c>
      <c r="F46" s="12">
        <f>IFERROR(F45/(F28*12),0)</f>
        <v>0.18058881638029101</v>
      </c>
      <c r="G46" s="12">
        <f>IFERROR(G45/(G28*12),0)</f>
        <v>0.1772408847702576</v>
      </c>
      <c r="H46" s="12">
        <f>IFERROR(H45/(H28*12),0)</f>
        <v>0.17293941606217347</v>
      </c>
      <c r="I46" s="12">
        <f>IFERROR(I45/(I28*12),0)</f>
        <v>0.17076810719842503</v>
      </c>
      <c r="J46" s="12">
        <f>IFERROR(J45/(J28*12),0)</f>
        <v>0.16388538456215435</v>
      </c>
      <c r="K46" s="12">
        <f>IFERROR(K45/(K28*12),0)</f>
        <v>0.16600342011474958</v>
      </c>
      <c r="L46" s="12">
        <f>IFERROR(L45/(L28*12),0)</f>
        <v>0.17116387771803249</v>
      </c>
      <c r="M46" s="12">
        <f>IFERROR(M45/(M28*12),0)</f>
        <v>0.17108442708419541</v>
      </c>
      <c r="N46" s="12">
        <f>IFERROR(N45/(N28*12),0)</f>
        <v>0.168669709389904</v>
      </c>
      <c r="Q46" s="12">
        <f>IFERROR(Q45/(Q28*12),0)</f>
        <v>0.18069044599266815</v>
      </c>
      <c r="R46" s="12">
        <f>IFERROR(R45/(R28*12),0)</f>
        <v>0.18019691126552814</v>
      </c>
      <c r="S46" s="12">
        <f>IFERROR(S45/(S28*12),0)</f>
        <v>0.18230773036895315</v>
      </c>
      <c r="T46" s="12">
        <f>IFERROR(T45/(T28*12),0)</f>
        <v>0.18058881638029101</v>
      </c>
      <c r="U46" s="12">
        <f>IFERROR(U45/(U28*12),0)</f>
        <v>0.1772408847702576</v>
      </c>
      <c r="V46" s="12">
        <f>IFERROR(V45/(V28*12),0)</f>
        <v>0.17293941606217347</v>
      </c>
      <c r="W46" s="12">
        <f>IFERROR(W45/(W28*12),0)</f>
        <v>0.17076810719842503</v>
      </c>
      <c r="X46" s="12">
        <f>IFERROR(X45/(X28*12),0)</f>
        <v>0.16388538456215435</v>
      </c>
      <c r="Y46" s="12">
        <f>IFERROR(Y45/(Y28*12),0)</f>
        <v>0.16600342011474958</v>
      </c>
      <c r="Z46" s="12">
        <f>IFERROR(Z45/(Z28*12),0)</f>
        <v>0.17116387771803249</v>
      </c>
      <c r="AA46" s="12">
        <f>IFERROR(AA45/(AA28*12),0)</f>
        <v>0.17108442708419541</v>
      </c>
      <c r="AB46" s="12">
        <f>IFERROR(AB45/(AB28*12),0)</f>
        <v>0.168669709389904</v>
      </c>
      <c r="AE46" s="12">
        <f>IFERROR(AE45/(AE28*12),0)</f>
        <v>0</v>
      </c>
      <c r="AF46" s="12">
        <f>IFERROR(AF45/(AF28*12),0)</f>
        <v>0</v>
      </c>
      <c r="AG46" s="12">
        <f>IFERROR(AG45/(AG28*12),0)</f>
        <v>0</v>
      </c>
      <c r="AH46" s="12">
        <f>IFERROR(AH45/(AH28*12),0)</f>
        <v>0</v>
      </c>
      <c r="AI46" s="12">
        <f>IFERROR(AI45/(AI28*12),0)</f>
        <v>0</v>
      </c>
      <c r="AJ46" s="12">
        <f>IFERROR(AJ45/(AJ28*12),0)</f>
        <v>0</v>
      </c>
      <c r="AK46" s="12">
        <f>IFERROR(AK45/(AK28*12),0)</f>
        <v>0</v>
      </c>
      <c r="AL46" s="12">
        <f>IFERROR(AL45/(AL28*12),0)</f>
        <v>0</v>
      </c>
      <c r="AM46" s="12">
        <f>IFERROR(AM45/(AM28*12),0)</f>
        <v>0</v>
      </c>
      <c r="AN46" s="12">
        <f>IFERROR(AN45/(AN28*12),0)</f>
        <v>0</v>
      </c>
      <c r="AO46" s="12">
        <f>IFERROR(AO45/(AO28*12),0)</f>
        <v>0</v>
      </c>
      <c r="AP46" s="12">
        <f>IFERROR(AP45/(AP28*12),0)</f>
        <v>0</v>
      </c>
      <c r="AS46" s="12">
        <f>IFERROR(AS45/(AS28*12),0)</f>
        <v>0</v>
      </c>
      <c r="AT46" s="12">
        <f>IFERROR(AT45/(AT28*12),0)</f>
        <v>0</v>
      </c>
      <c r="AU46" s="12">
        <f>IFERROR(AU45/(AU28*12),0)</f>
        <v>0</v>
      </c>
      <c r="AV46" s="12">
        <f>IFERROR(AV45/(AV28*12),0)</f>
        <v>0</v>
      </c>
      <c r="AW46" s="12">
        <f>IFERROR(AW45/(AW28*12),0)</f>
        <v>0</v>
      </c>
      <c r="AX46" s="12">
        <f>IFERROR(AX45/(AX28*12),0)</f>
        <v>0</v>
      </c>
      <c r="AY46" s="12">
        <f>IFERROR(AY45/(AY28*12),0)</f>
        <v>0</v>
      </c>
      <c r="AZ46" s="12">
        <f>IFERROR(AZ45/(AZ28*12),0)</f>
        <v>0</v>
      </c>
      <c r="BA46" s="12">
        <f>IFERROR(BA45/(BA28*12),0)</f>
        <v>0</v>
      </c>
      <c r="BB46" s="12">
        <f>IFERROR(BB45/(BB28*12),0)</f>
        <v>0</v>
      </c>
      <c r="BC46" s="12">
        <f>IFERROR(BC45/(BC28*12),0)</f>
        <v>0</v>
      </c>
      <c r="BD46" s="12">
        <f>IFERROR(BD45/(BD28*12),0)</f>
        <v>0</v>
      </c>
      <c r="BG46" s="12">
        <f>IFERROR(BG45/(BG28*12),0)</f>
        <v>0.18069044599266815</v>
      </c>
      <c r="BH46" s="12">
        <f>IFERROR(BH45/(BH28*12),0)</f>
        <v>0.18019691126552814</v>
      </c>
      <c r="BI46" s="12">
        <f>IFERROR(BI45/(BI28*12),0)</f>
        <v>0.18230773036895315</v>
      </c>
      <c r="BJ46" s="12">
        <f>IFERROR(BJ45/(BJ28*12),0)</f>
        <v>0.18058881638029101</v>
      </c>
      <c r="BK46" s="12">
        <f>IFERROR(BK45/(BK28*12),0)</f>
        <v>0.1772408847702576</v>
      </c>
      <c r="BL46" s="12">
        <f>IFERROR(BL45/(BL28*12),0)</f>
        <v>0.17293941606217347</v>
      </c>
      <c r="BM46" s="12">
        <f>IFERROR(BM45/(BM28*12),0)</f>
        <v>0.17076810719842503</v>
      </c>
      <c r="BN46" s="12">
        <f>IFERROR(BN45/(BN28*12),0)</f>
        <v>0.16388538456215435</v>
      </c>
      <c r="BO46" s="12">
        <f>IFERROR(BO45/(BO28*12),0)</f>
        <v>0.16211702642381104</v>
      </c>
      <c r="BP46" s="12">
        <f>IFERROR(BP45/(BP28*12),0)</f>
        <v>0.1649526560511711</v>
      </c>
      <c r="BQ46" s="12">
        <f>IFERROR(BQ45/(BQ28*12),0)</f>
        <v>0.16299137482457943</v>
      </c>
      <c r="BR46" s="12">
        <f>IFERROR(BR45/(BR28*12),0)</f>
        <v>0.16375272688404005</v>
      </c>
    </row>
    <row r="49" spans="2:15">
      <c r="B49" s="8" t="s">
        <v>172</v>
      </c>
    </row>
    <row r="50" spans="2:15">
      <c r="C50" s="19" t="s">
        <v>70</v>
      </c>
      <c r="D50" s="19" t="s">
        <v>71</v>
      </c>
      <c r="E50" s="19" t="s">
        <v>72</v>
      </c>
      <c r="F50" s="19" t="s">
        <v>73</v>
      </c>
      <c r="G50" s="19" t="s">
        <v>50</v>
      </c>
      <c r="H50" s="19" t="s">
        <v>74</v>
      </c>
      <c r="I50" s="19" t="s">
        <v>75</v>
      </c>
      <c r="J50" s="19" t="s">
        <v>76</v>
      </c>
      <c r="K50" s="19" t="s">
        <v>77</v>
      </c>
      <c r="L50" s="19" t="s">
        <v>78</v>
      </c>
      <c r="M50" s="19" t="s">
        <v>79</v>
      </c>
      <c r="N50" s="19" t="s">
        <v>80</v>
      </c>
      <c r="O50" s="2" t="s">
        <v>165</v>
      </c>
    </row>
    <row r="51" spans="2:15">
      <c r="B51" t="s">
        <v>100</v>
      </c>
      <c r="C51" s="6">
        <v>5541.6</v>
      </c>
      <c r="D51" s="6">
        <v>5425</v>
      </c>
      <c r="E51" s="6">
        <v>5833.4</v>
      </c>
      <c r="F51" s="6">
        <v>6299.9</v>
      </c>
      <c r="G51" s="6">
        <v>5716.7</v>
      </c>
      <c r="H51" s="6">
        <v>6008.4</v>
      </c>
      <c r="I51" s="6">
        <v>5949.9</v>
      </c>
      <c r="J51" s="6">
        <v>5833.3</v>
      </c>
      <c r="K51" s="6">
        <v>5716.6</v>
      </c>
      <c r="L51" s="6">
        <v>6125</v>
      </c>
      <c r="M51" s="6">
        <v>5541.6</v>
      </c>
      <c r="N51" s="6">
        <v>6008.3</v>
      </c>
      <c r="O51" s="6">
        <f>SUM(C51:N51)</f>
        <v>69999.7</v>
      </c>
    </row>
    <row r="52" spans="2:15">
      <c r="B52" t="s">
        <v>111</v>
      </c>
      <c r="C52" s="6">
        <v>2133.6</v>
      </c>
      <c r="D52" s="6">
        <v>2088.6</v>
      </c>
      <c r="E52" s="6">
        <v>2245.9</v>
      </c>
      <c r="F52" s="6">
        <v>2425.5</v>
      </c>
      <c r="G52" s="6">
        <v>2200.9</v>
      </c>
      <c r="H52" s="6">
        <v>2313.1999999999998</v>
      </c>
      <c r="I52" s="6">
        <v>2290.8000000000002</v>
      </c>
      <c r="J52" s="6">
        <v>2245.8000000000002</v>
      </c>
      <c r="K52" s="6">
        <v>2200.8000000000002</v>
      </c>
      <c r="L52" s="6">
        <v>2358.1</v>
      </c>
      <c r="M52" s="6">
        <v>2133.6</v>
      </c>
      <c r="N52" s="6">
        <v>2313.1</v>
      </c>
      <c r="O52" s="6">
        <f>SUM(C52:N52)</f>
        <v>26949.899999999994</v>
      </c>
    </row>
    <row r="53" spans="2:15">
      <c r="B53" t="s">
        <v>112</v>
      </c>
      <c r="C53" s="6">
        <v>-1263.3</v>
      </c>
      <c r="D53" s="6">
        <v>-1236.9000000000001</v>
      </c>
      <c r="E53" s="6">
        <v>-1329.9</v>
      </c>
      <c r="F53" s="6">
        <v>-1436.6</v>
      </c>
      <c r="G53" s="6">
        <v>-1303.4000000000001</v>
      </c>
      <c r="H53" s="6">
        <v>-1369.5</v>
      </c>
      <c r="I53" s="6">
        <v>-1356.7</v>
      </c>
      <c r="J53" s="6">
        <v>-1329.9</v>
      </c>
      <c r="K53" s="6">
        <v>-1303.4000000000001</v>
      </c>
      <c r="L53" s="6">
        <v>-1396.5</v>
      </c>
      <c r="M53" s="6">
        <v>-1263.3</v>
      </c>
      <c r="N53" s="6">
        <v>-1369.5</v>
      </c>
      <c r="O53" s="6">
        <f>SUM(C53:N53)</f>
        <v>-15958.9</v>
      </c>
    </row>
    <row r="54" spans="2:15">
      <c r="B54" t="s">
        <v>113</v>
      </c>
      <c r="C54" s="6">
        <f>C52+C53</f>
        <v>870.3</v>
      </c>
      <c r="D54" s="6">
        <f>D52+D53</f>
        <v>851.69999999999982</v>
      </c>
      <c r="E54" s="6">
        <f>E52+E53</f>
        <v>916</v>
      </c>
      <c r="F54" s="6">
        <f>F52+F53</f>
        <v>988.90000000000009</v>
      </c>
      <c r="G54" s="6">
        <f>G52+G53</f>
        <v>897.5</v>
      </c>
      <c r="H54" s="6">
        <f>H52+H53</f>
        <v>943.69999999999982</v>
      </c>
      <c r="I54" s="6">
        <f>I52+I53</f>
        <v>934.10000000000014</v>
      </c>
      <c r="J54" s="6">
        <f>J52+J53</f>
        <v>915.90000000000009</v>
      </c>
      <c r="K54" s="6">
        <f>K52+K53</f>
        <v>897.40000000000009</v>
      </c>
      <c r="L54" s="6">
        <f>L52+L53</f>
        <v>961.59999999999991</v>
      </c>
      <c r="M54" s="6">
        <f>M52+M53</f>
        <v>870.3</v>
      </c>
      <c r="N54" s="6">
        <f>N52+N53</f>
        <v>943.59999999999991</v>
      </c>
      <c r="O54" s="6">
        <f>SUM(C54:N54)</f>
        <v>10991</v>
      </c>
    </row>
    <row r="55" spans="2:15">
      <c r="B55" t="s">
        <v>151</v>
      </c>
      <c r="C55" s="6">
        <v>8485.1</v>
      </c>
      <c r="D55" s="6">
        <v>8532.2000000000007</v>
      </c>
      <c r="E55" s="6">
        <v>9250.1</v>
      </c>
      <c r="F55" s="6">
        <v>9657.7999999999993</v>
      </c>
      <c r="G55" s="6">
        <v>8797.4</v>
      </c>
      <c r="H55" s="6">
        <v>9309.4</v>
      </c>
      <c r="I55" s="6">
        <v>9130</v>
      </c>
      <c r="J55" s="6">
        <v>8997.2999999999993</v>
      </c>
      <c r="K55" s="6">
        <v>8803.6</v>
      </c>
      <c r="L55" s="6">
        <v>9523.6</v>
      </c>
      <c r="M55" s="6">
        <v>8685.4</v>
      </c>
      <c r="N55" s="6">
        <v>9276.2999999999993</v>
      </c>
      <c r="O55" s="6">
        <f>N55</f>
        <v>9276.2999999999993</v>
      </c>
    </row>
    <row r="56" spans="2:15">
      <c r="B56" t="s">
        <v>152</v>
      </c>
      <c r="C56" s="6">
        <v>8312.4</v>
      </c>
      <c r="D56" s="6">
        <v>8137.5</v>
      </c>
      <c r="E56" s="6">
        <v>8750.1</v>
      </c>
      <c r="F56" s="6">
        <v>9449.9</v>
      </c>
      <c r="G56" s="6">
        <v>8575</v>
      </c>
      <c r="H56" s="6">
        <v>9012.6</v>
      </c>
      <c r="I56" s="6">
        <v>8924.9</v>
      </c>
      <c r="J56" s="6">
        <v>8750</v>
      </c>
      <c r="K56" s="6">
        <v>8574.9</v>
      </c>
      <c r="L56" s="6">
        <v>9187.5</v>
      </c>
      <c r="M56" s="6">
        <v>8312.4</v>
      </c>
      <c r="N56" s="6">
        <v>9012.5</v>
      </c>
      <c r="O56" s="6">
        <f>N56</f>
        <v>9012.5</v>
      </c>
    </row>
    <row r="57" spans="2:15">
      <c r="B57" t="s">
        <v>153</v>
      </c>
      <c r="C57" s="6">
        <v>83.1</v>
      </c>
      <c r="D57" s="6">
        <v>81.400000000000006</v>
      </c>
      <c r="E57" s="6">
        <v>87.5</v>
      </c>
      <c r="F57" s="6">
        <v>94.5</v>
      </c>
      <c r="G57" s="6">
        <v>85.8</v>
      </c>
      <c r="H57" s="6">
        <v>90.1</v>
      </c>
      <c r="I57" s="6">
        <v>89.2</v>
      </c>
      <c r="J57" s="6">
        <v>87.5</v>
      </c>
      <c r="K57" s="6">
        <v>85.7</v>
      </c>
      <c r="L57" s="6">
        <v>91.9</v>
      </c>
      <c r="M57" s="6">
        <v>83.1</v>
      </c>
      <c r="N57" s="6">
        <v>90.1</v>
      </c>
      <c r="O57" s="6">
        <f>N57</f>
        <v>90.1</v>
      </c>
    </row>
    <row r="58" spans="2:15">
      <c r="B58" t="s">
        <v>154</v>
      </c>
      <c r="C58" s="6">
        <v>-4771.2</v>
      </c>
      <c r="D58" s="6">
        <v>-4671</v>
      </c>
      <c r="E58" s="6">
        <v>-5022.5</v>
      </c>
      <c r="F58" s="6">
        <v>-5424.2</v>
      </c>
      <c r="G58" s="6">
        <v>-4922.1000000000004</v>
      </c>
      <c r="H58" s="6">
        <v>-5173.3</v>
      </c>
      <c r="I58" s="6">
        <v>-5122.7</v>
      </c>
      <c r="J58" s="6">
        <v>-5022.5</v>
      </c>
      <c r="K58" s="6">
        <v>-4922.1000000000004</v>
      </c>
      <c r="L58" s="6">
        <v>-5273.7</v>
      </c>
      <c r="M58" s="6">
        <v>-4771.2</v>
      </c>
      <c r="N58" s="6">
        <v>-5173.3</v>
      </c>
      <c r="O58" s="6">
        <f>N58</f>
        <v>-5173.3</v>
      </c>
    </row>
    <row r="59" spans="2:15">
      <c r="B59" t="s">
        <v>155</v>
      </c>
      <c r="C59" s="6">
        <v>-166.2</v>
      </c>
      <c r="D59" s="6">
        <v>-162.80000000000001</v>
      </c>
      <c r="E59" s="6">
        <v>-175</v>
      </c>
      <c r="F59" s="6">
        <v>-189</v>
      </c>
      <c r="G59" s="6">
        <v>-171.5</v>
      </c>
      <c r="H59" s="6">
        <v>-180.3</v>
      </c>
      <c r="I59" s="6">
        <v>-178.5</v>
      </c>
      <c r="J59" s="6">
        <v>-175</v>
      </c>
      <c r="K59" s="6">
        <v>-171.5</v>
      </c>
      <c r="L59" s="6">
        <v>-183.8</v>
      </c>
      <c r="M59" s="6">
        <v>-166.2</v>
      </c>
      <c r="N59" s="6">
        <v>-180.2</v>
      </c>
      <c r="O59" s="6">
        <f>N59</f>
        <v>-180.2</v>
      </c>
    </row>
    <row r="60" spans="2:15">
      <c r="B60" t="s">
        <v>170</v>
      </c>
      <c r="C60" s="6">
        <f>SUM(C55:C59)</f>
        <v>11943.199999999997</v>
      </c>
      <c r="D60" s="6">
        <f>SUM(D55:D59)</f>
        <v>11917.300000000003</v>
      </c>
      <c r="E60" s="6">
        <f>SUM(E55:E59)</f>
        <v>12890.2</v>
      </c>
      <c r="F60" s="6">
        <f>SUM(F55:F59)</f>
        <v>13588.999999999996</v>
      </c>
      <c r="G60" s="6">
        <f>SUM(G55:G59)</f>
        <v>12364.6</v>
      </c>
      <c r="H60" s="6">
        <f>SUM(H55:H59)</f>
        <v>13058.5</v>
      </c>
      <c r="I60" s="6">
        <f>SUM(I55:I59)</f>
        <v>12842.900000000001</v>
      </c>
      <c r="J60" s="6">
        <f>SUM(J55:J59)</f>
        <v>12637.3</v>
      </c>
      <c r="K60" s="6">
        <f>SUM(K55:K59)</f>
        <v>12370.6</v>
      </c>
      <c r="L60" s="6">
        <f>SUM(L55:L59)</f>
        <v>13345.5</v>
      </c>
      <c r="M60" s="6">
        <f>SUM(M55:M59)</f>
        <v>12143.499999999996</v>
      </c>
      <c r="N60" s="6">
        <f>SUM(N55:N59)</f>
        <v>13025.399999999998</v>
      </c>
      <c r="O60" s="6">
        <f>N60</f>
        <v>13025.399999999998</v>
      </c>
    </row>
    <row r="62" spans="2:15">
      <c r="B62" s="8" t="s">
        <v>173</v>
      </c>
    </row>
    <row r="63" spans="2:15">
      <c r="C63" s="19" t="s">
        <v>70</v>
      </c>
      <c r="D63" s="19" t="s">
        <v>71</v>
      </c>
      <c r="E63" s="19" t="s">
        <v>72</v>
      </c>
      <c r="F63" s="19" t="s">
        <v>73</v>
      </c>
      <c r="G63" s="19" t="s">
        <v>50</v>
      </c>
      <c r="H63" s="19" t="s">
        <v>74</v>
      </c>
      <c r="I63" s="19" t="s">
        <v>75</v>
      </c>
      <c r="J63" s="19" t="s">
        <v>76</v>
      </c>
      <c r="K63" s="19" t="s">
        <v>77</v>
      </c>
      <c r="L63" s="19" t="s">
        <v>78</v>
      </c>
      <c r="M63" s="19" t="s">
        <v>79</v>
      </c>
      <c r="N63" s="19" t="s">
        <v>80</v>
      </c>
      <c r="O63" s="2" t="s">
        <v>165</v>
      </c>
    </row>
    <row r="64" spans="2:15">
      <c r="B64" t="s">
        <v>100</v>
      </c>
      <c r="C64" s="6">
        <v>5230.6000000000004</v>
      </c>
      <c r="D64" s="6">
        <v>5032.7</v>
      </c>
      <c r="E64" s="6">
        <v>5537.8</v>
      </c>
      <c r="F64" s="6">
        <v>5891.1</v>
      </c>
      <c r="G64" s="6">
        <v>5489.5</v>
      </c>
      <c r="H64" s="6">
        <v>5559.1</v>
      </c>
      <c r="I64" s="6">
        <v>5661.9</v>
      </c>
      <c r="J64" s="6">
        <v>5518.7</v>
      </c>
      <c r="K64" s="6">
        <v>5475.2</v>
      </c>
      <c r="L64" s="6">
        <v>5706.6</v>
      </c>
      <c r="M64" s="6">
        <v>5149.2</v>
      </c>
      <c r="N64" s="6">
        <v>5596.8</v>
      </c>
      <c r="O64" s="6">
        <f>SUM(C64:N64)</f>
        <v>65849.199999999983</v>
      </c>
    </row>
    <row r="65" spans="2:15">
      <c r="B65" t="s">
        <v>111</v>
      </c>
      <c r="C65" s="6">
        <v>1988</v>
      </c>
      <c r="D65" s="6">
        <v>1911.2</v>
      </c>
      <c r="E65" s="6">
        <v>2093.3000000000002</v>
      </c>
      <c r="F65" s="6">
        <v>2204.5</v>
      </c>
      <c r="G65" s="6">
        <v>2085.4</v>
      </c>
      <c r="H65" s="6">
        <v>2091.1999999999998</v>
      </c>
      <c r="I65" s="6">
        <v>2118.6</v>
      </c>
      <c r="J65" s="6">
        <v>2099.8000000000002</v>
      </c>
      <c r="K65" s="6">
        <v>2057.1999999999998</v>
      </c>
      <c r="L65" s="6">
        <v>2168.9</v>
      </c>
      <c r="M65" s="6">
        <v>1966.5</v>
      </c>
      <c r="N65" s="6">
        <v>2093.8000000000002</v>
      </c>
      <c r="O65" s="6">
        <f>SUM(C65:N65)</f>
        <v>24878.400000000001</v>
      </c>
    </row>
    <row r="66" spans="2:15">
      <c r="B66" t="s">
        <v>112</v>
      </c>
      <c r="C66" s="6">
        <v>-1222.7</v>
      </c>
      <c r="D66" s="6">
        <v>-1199</v>
      </c>
      <c r="E66" s="6">
        <v>-1275.5999999999999</v>
      </c>
      <c r="F66" s="6">
        <v>-1379.8</v>
      </c>
      <c r="G66" s="6">
        <v>-1250.8</v>
      </c>
      <c r="H66" s="6">
        <v>-1325.1</v>
      </c>
      <c r="I66" s="6">
        <v>-1318.1</v>
      </c>
      <c r="J66" s="6">
        <v>-1275.9000000000001</v>
      </c>
      <c r="K66" s="6">
        <v>-1253.5</v>
      </c>
      <c r="L66" s="6">
        <v>-1346.9</v>
      </c>
      <c r="M66" s="6">
        <v>-1223.9000000000001</v>
      </c>
      <c r="N66" s="6">
        <v>-1326.6</v>
      </c>
      <c r="O66" s="6">
        <f>SUM(C66:N66)</f>
        <v>-15397.9</v>
      </c>
    </row>
    <row r="67" spans="2:15">
      <c r="B67" t="s">
        <v>113</v>
      </c>
      <c r="C67" s="6">
        <f>C65+C66</f>
        <v>765.3</v>
      </c>
      <c r="D67" s="6">
        <f>D65+D66</f>
        <v>712.2</v>
      </c>
      <c r="E67" s="6">
        <f>E65+E66</f>
        <v>817.70000000000027</v>
      </c>
      <c r="F67" s="6">
        <f>F65+F66</f>
        <v>824.7</v>
      </c>
      <c r="G67" s="6">
        <f>G65+G66</f>
        <v>834.60000000000014</v>
      </c>
      <c r="H67" s="6">
        <f>H65+H66</f>
        <v>766.09999999999991</v>
      </c>
      <c r="I67" s="6">
        <f>I65+I66</f>
        <v>800.5</v>
      </c>
      <c r="J67" s="6">
        <f>J65+J66</f>
        <v>823.90000000000009</v>
      </c>
      <c r="K67" s="6">
        <f>K65+K66</f>
        <v>803.69999999999982</v>
      </c>
      <c r="L67" s="6">
        <f>L65+L66</f>
        <v>822</v>
      </c>
      <c r="M67" s="6">
        <f>M65+M66</f>
        <v>742.59999999999991</v>
      </c>
      <c r="N67" s="6">
        <f>N65+N66</f>
        <v>767.20000000000027</v>
      </c>
      <c r="O67" s="6">
        <f>SUM(C67:N67)</f>
        <v>9480.5</v>
      </c>
    </row>
    <row r="68" spans="2:15">
      <c r="B68" t="s">
        <v>151</v>
      </c>
      <c r="C68" s="6">
        <v>9183.4</v>
      </c>
      <c r="D68" s="6">
        <v>8568.6</v>
      </c>
      <c r="E68" s="6">
        <v>9705.7999999999993</v>
      </c>
      <c r="F68" s="6">
        <v>10121.200000000001</v>
      </c>
      <c r="G68" s="6">
        <v>9687.6</v>
      </c>
      <c r="H68" s="6">
        <v>9731.7999999999993</v>
      </c>
      <c r="I68" s="6">
        <v>9903.5</v>
      </c>
      <c r="J68" s="6">
        <v>9764.2999999999993</v>
      </c>
      <c r="K68" s="6">
        <v>9522.2000000000007</v>
      </c>
      <c r="L68" s="6">
        <v>9819.1</v>
      </c>
      <c r="M68" s="6">
        <v>8967.9</v>
      </c>
      <c r="N68" s="6">
        <v>9843.9</v>
      </c>
      <c r="O68" s="6">
        <f>N68</f>
        <v>9843.9</v>
      </c>
    </row>
    <row r="69" spans="2:15">
      <c r="B69" t="s">
        <v>152</v>
      </c>
      <c r="C69" s="6">
        <v>8020.3</v>
      </c>
      <c r="D69" s="6">
        <v>7716.8</v>
      </c>
      <c r="E69" s="6">
        <v>8491.2999999999993</v>
      </c>
      <c r="F69" s="6">
        <v>9033</v>
      </c>
      <c r="G69" s="6">
        <v>8417.2000000000007</v>
      </c>
      <c r="H69" s="6">
        <v>8524</v>
      </c>
      <c r="I69" s="6">
        <v>8681.6</v>
      </c>
      <c r="J69" s="6">
        <v>8462</v>
      </c>
      <c r="K69" s="6">
        <v>8395.2999999999993</v>
      </c>
      <c r="L69" s="6">
        <v>8750.1</v>
      </c>
      <c r="M69" s="6">
        <v>7895.4</v>
      </c>
      <c r="N69" s="6">
        <v>8581.7999999999993</v>
      </c>
      <c r="O69" s="6">
        <f>N69</f>
        <v>8581.7999999999993</v>
      </c>
    </row>
    <row r="70" spans="2:15">
      <c r="B70" t="s">
        <v>153</v>
      </c>
      <c r="C70" s="6">
        <v>78.5</v>
      </c>
      <c r="D70" s="6">
        <v>75.5</v>
      </c>
      <c r="E70" s="6">
        <v>83.1</v>
      </c>
      <c r="F70" s="6">
        <v>88.4</v>
      </c>
      <c r="G70" s="6">
        <v>82.3</v>
      </c>
      <c r="H70" s="6">
        <v>83.4</v>
      </c>
      <c r="I70" s="6">
        <v>84.9</v>
      </c>
      <c r="J70" s="6">
        <v>82.8</v>
      </c>
      <c r="K70" s="6">
        <v>82.1</v>
      </c>
      <c r="L70" s="6">
        <v>85.6</v>
      </c>
      <c r="M70" s="6">
        <v>77.2</v>
      </c>
      <c r="N70" s="6">
        <v>84</v>
      </c>
      <c r="O70" s="6">
        <f>N70</f>
        <v>84</v>
      </c>
    </row>
    <row r="71" spans="2:15">
      <c r="B71" t="s">
        <v>154</v>
      </c>
      <c r="C71" s="6">
        <v>-4431.6000000000004</v>
      </c>
      <c r="D71" s="6">
        <v>-4266.1000000000004</v>
      </c>
      <c r="E71" s="6">
        <v>-4707.5</v>
      </c>
      <c r="F71" s="6">
        <v>-5038.3999999999996</v>
      </c>
      <c r="G71" s="6">
        <v>-4652.3</v>
      </c>
      <c r="H71" s="6">
        <v>-4739.5</v>
      </c>
      <c r="I71" s="6">
        <v>-4842.5</v>
      </c>
      <c r="J71" s="6">
        <v>-4672.5</v>
      </c>
      <c r="K71" s="6">
        <v>-4671.3</v>
      </c>
      <c r="L71" s="6">
        <v>-4834.8999999999996</v>
      </c>
      <c r="M71" s="6">
        <v>-4349.7</v>
      </c>
      <c r="N71" s="6">
        <v>-4787.3999999999996</v>
      </c>
      <c r="O71" s="6">
        <f>N71</f>
        <v>-4787.3999999999996</v>
      </c>
    </row>
    <row r="72" spans="2:15">
      <c r="B72" t="s">
        <v>155</v>
      </c>
      <c r="C72" s="6">
        <v>-156.9</v>
      </c>
      <c r="D72" s="6">
        <v>-151</v>
      </c>
      <c r="E72" s="6">
        <v>-166.1</v>
      </c>
      <c r="F72" s="6">
        <v>-176.7</v>
      </c>
      <c r="G72" s="6">
        <v>-164.7</v>
      </c>
      <c r="H72" s="6">
        <v>-166.8</v>
      </c>
      <c r="I72" s="6">
        <v>-169.9</v>
      </c>
      <c r="J72" s="6">
        <v>-165.6</v>
      </c>
      <c r="K72" s="6">
        <v>-164.3</v>
      </c>
      <c r="L72" s="6">
        <v>-171.2</v>
      </c>
      <c r="M72" s="6">
        <v>-154.5</v>
      </c>
      <c r="N72" s="6">
        <v>-167.9</v>
      </c>
      <c r="O72" s="6">
        <f>N72</f>
        <v>-167.9</v>
      </c>
    </row>
    <row r="73" spans="2:15">
      <c r="B73" t="s">
        <v>170</v>
      </c>
      <c r="C73" s="6">
        <f>SUM(C68:C72)</f>
        <v>12693.7</v>
      </c>
      <c r="D73" s="6">
        <f>SUM(D68:D72)</f>
        <v>11943.800000000001</v>
      </c>
      <c r="E73" s="6">
        <f>SUM(E68:E72)</f>
        <v>13406.599999999997</v>
      </c>
      <c r="F73" s="6">
        <f>SUM(F68:F72)</f>
        <v>14027.500000000002</v>
      </c>
      <c r="G73" s="6">
        <f>SUM(G68:G72)</f>
        <v>13370.100000000002</v>
      </c>
      <c r="H73" s="6">
        <f>SUM(H68:H72)</f>
        <v>13432.900000000001</v>
      </c>
      <c r="I73" s="6">
        <f>SUM(I68:I72)</f>
        <v>13657.6</v>
      </c>
      <c r="J73" s="6">
        <f>SUM(J68:J72)</f>
        <v>13470.999999999998</v>
      </c>
      <c r="K73" s="6">
        <f>SUM(K68:K72)</f>
        <v>13164</v>
      </c>
      <c r="L73" s="6">
        <f>SUM(L68:L72)</f>
        <v>13648.699999999999</v>
      </c>
      <c r="M73" s="6">
        <f>SUM(M68:M72)</f>
        <v>12436.3</v>
      </c>
      <c r="N73" s="6">
        <f>SUM(N68:N72)</f>
        <v>13554.399999999998</v>
      </c>
      <c r="O73" s="6">
        <f>N73</f>
        <v>13554.399999999998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23"/>
  <sheetViews>
    <sheetView showGridLines="0" workbookViewId="0"/>
  </sheetViews>
  <sheetFormatPr defaultRowHeight="15"/>
  <cols>
    <col min="2" max="2" width="28" customWidth="1"/>
    <col min="3" max="11" width="14" customWidth="1"/>
  </cols>
  <sheetData>
    <row r="1" spans="1:11">
      <c r="A1" t="s">
        <v>27</v>
      </c>
      <c r="B1" t="s">
        <v>32</v>
      </c>
      <c r="D1" s="3" t="s">
        <v>103</v>
      </c>
    </row>
    <row r="2" spans="1:11">
      <c r="A2" t="s">
        <v>28</v>
      </c>
      <c r="B2" t="s">
        <v>37</v>
      </c>
      <c r="D2" s="1" t="s">
        <v>24</v>
      </c>
    </row>
    <row r="4" spans="1:11">
      <c r="C4" s="8" t="s">
        <v>52</v>
      </c>
    </row>
    <row r="5" spans="1:11">
      <c r="C5" s="2" t="s">
        <v>91</v>
      </c>
      <c r="F5" s="2" t="s">
        <v>92</v>
      </c>
      <c r="I5" s="2" t="s">
        <v>81</v>
      </c>
    </row>
    <row r="6" spans="1:11" ht="30" customHeight="1">
      <c r="B6" s="2" t="s">
        <v>93</v>
      </c>
      <c r="C6" s="4" t="s">
        <v>94</v>
      </c>
      <c r="D6" s="4" t="s">
        <v>95</v>
      </c>
      <c r="E6" s="4" t="s">
        <v>96</v>
      </c>
      <c r="F6" s="4" t="s">
        <v>97</v>
      </c>
      <c r="G6" s="4" t="s">
        <v>98</v>
      </c>
      <c r="H6" s="4" t="s">
        <v>99</v>
      </c>
      <c r="I6" s="4" t="s">
        <v>97</v>
      </c>
      <c r="J6" s="4" t="s">
        <v>98</v>
      </c>
      <c r="K6" s="4" t="s">
        <v>99</v>
      </c>
    </row>
    <row r="8" spans="1:11">
      <c r="B8" s="2" t="s">
        <v>100</v>
      </c>
      <c r="C8" s="6">
        <f>Cobalt!BU28</f>
        <v>30</v>
      </c>
      <c r="D8" s="6">
        <f>Cobalt!BV28</f>
        <v>-114.60000000000582</v>
      </c>
      <c r="E8" s="6">
        <f>Cobalt!BW28</f>
        <v>1556.1999999999971</v>
      </c>
      <c r="F8" s="6">
        <f>Cobalt!BY28</f>
        <v>120</v>
      </c>
      <c r="G8" s="6">
        <f>Cobalt!BZ28</f>
        <v>5.5</v>
      </c>
      <c r="H8" s="6">
        <f>Cobalt!CA28</f>
        <v>598.79999999999927</v>
      </c>
      <c r="I8" s="6">
        <f>Cobalt!CC28</f>
        <v>150</v>
      </c>
      <c r="J8" s="6">
        <f>Cobalt!CD28</f>
        <v>-109.09999999999854</v>
      </c>
      <c r="K8" s="6">
        <f>Cobalt!CE28</f>
        <v>2155</v>
      </c>
    </row>
    <row r="10" spans="1:11">
      <c r="B10" s="2" t="s">
        <v>111</v>
      </c>
      <c r="C10" s="6">
        <f>Cobalt!BU29</f>
        <v>-162</v>
      </c>
      <c r="D10" s="6">
        <f>Cobalt!BV29</f>
        <v>-598.39999999999964</v>
      </c>
      <c r="E10" s="6">
        <f>Cobalt!BW29</f>
        <v>253.60000000000036</v>
      </c>
      <c r="F10" s="6">
        <f>Cobalt!BY29</f>
        <v>-648</v>
      </c>
      <c r="G10" s="6">
        <f>Cobalt!BZ29</f>
        <v>-833.5</v>
      </c>
      <c r="H10" s="6">
        <f>Cobalt!CA29</f>
        <v>-575.39999999999964</v>
      </c>
      <c r="I10" s="6">
        <f>Cobalt!CC29</f>
        <v>-810</v>
      </c>
      <c r="J10" s="6">
        <f>Cobalt!CD29</f>
        <v>-1431.8999999999978</v>
      </c>
      <c r="K10" s="6">
        <f>Cobalt!CE29</f>
        <v>-321.79999999999927</v>
      </c>
    </row>
    <row r="12" spans="1:11">
      <c r="B12" s="2" t="s">
        <v>112</v>
      </c>
      <c r="C12" s="6">
        <f>Cobalt!BU30</f>
        <v>6</v>
      </c>
      <c r="D12" s="6">
        <f>Cobalt!BV30</f>
        <v>-85.299999999999272</v>
      </c>
      <c r="E12" s="6">
        <f>Cobalt!BW30</f>
        <v>-284.99999999999818</v>
      </c>
      <c r="F12" s="6">
        <f>Cobalt!BY30</f>
        <v>-36</v>
      </c>
      <c r="G12" s="6">
        <f>Cobalt!BZ30</f>
        <v>-30</v>
      </c>
      <c r="H12" s="6">
        <f>Cobalt!CA30</f>
        <v>-101.5</v>
      </c>
      <c r="I12" s="6">
        <f>Cobalt!CC30</f>
        <v>-30</v>
      </c>
      <c r="J12" s="6">
        <f>Cobalt!CD30</f>
        <v>-115.29999999999927</v>
      </c>
      <c r="K12" s="6">
        <f>Cobalt!CE30</f>
        <v>-386.49999999999818</v>
      </c>
    </row>
    <row r="14" spans="1:11">
      <c r="B14" s="2" t="s">
        <v>113</v>
      </c>
      <c r="C14" s="6">
        <f>Cobalt!BU31</f>
        <v>-156</v>
      </c>
      <c r="D14" s="6">
        <f>Cobalt!BV31</f>
        <v>-683.70000000000073</v>
      </c>
      <c r="E14" s="6">
        <f>Cobalt!BW31</f>
        <v>-31.400000000000546</v>
      </c>
      <c r="F14" s="6">
        <f>Cobalt!BY31</f>
        <v>-684</v>
      </c>
      <c r="G14" s="6">
        <f>Cobalt!BZ31</f>
        <v>-863.49999999999977</v>
      </c>
      <c r="H14" s="6">
        <f>Cobalt!CA31</f>
        <v>-676.89999999999986</v>
      </c>
      <c r="I14" s="6">
        <f>Cobalt!CC31</f>
        <v>-840</v>
      </c>
      <c r="J14" s="6">
        <f>Cobalt!CD31</f>
        <v>-1547.1999999999998</v>
      </c>
      <c r="K14" s="6">
        <f>Cobalt!CE31</f>
        <v>-708.30000000000018</v>
      </c>
    </row>
    <row r="17" spans="2:11">
      <c r="B17" s="8" t="s">
        <v>126</v>
      </c>
    </row>
    <row r="18" spans="2:11">
      <c r="B18" s="24"/>
      <c r="C18" s="25"/>
      <c r="D18" s="25"/>
      <c r="E18" s="25"/>
      <c r="F18" s="25"/>
      <c r="G18" s="25"/>
      <c r="H18" s="25"/>
      <c r="I18" s="25"/>
      <c r="J18" s="25"/>
      <c r="K18" s="25"/>
    </row>
    <row r="19" spans="2:11">
      <c r="B19" s="24"/>
      <c r="C19" s="25"/>
      <c r="D19" s="25"/>
      <c r="E19" s="25"/>
      <c r="F19" s="25"/>
      <c r="G19" s="25"/>
      <c r="H19" s="25"/>
      <c r="I19" s="25"/>
      <c r="J19" s="25"/>
      <c r="K19" s="25"/>
    </row>
    <row r="20" spans="2:11">
      <c r="B20" s="24"/>
      <c r="C20" s="25"/>
      <c r="D20" s="25"/>
      <c r="E20" s="25"/>
      <c r="F20" s="25"/>
      <c r="G20" s="25"/>
      <c r="H20" s="25"/>
      <c r="I20" s="25"/>
      <c r="J20" s="25"/>
      <c r="K20" s="25"/>
    </row>
    <row r="21" spans="2:11">
      <c r="B21" s="24"/>
      <c r="C21" s="25"/>
      <c r="D21" s="25"/>
      <c r="E21" s="25"/>
      <c r="F21" s="25"/>
      <c r="G21" s="25"/>
      <c r="H21" s="25"/>
      <c r="I21" s="25"/>
      <c r="J21" s="25"/>
      <c r="K21" s="25"/>
    </row>
    <row r="22" spans="2:11">
      <c r="B22" s="24"/>
      <c r="C22" s="25"/>
      <c r="D22" s="25"/>
      <c r="E22" s="25"/>
      <c r="F22" s="25"/>
      <c r="G22" s="25"/>
      <c r="H22" s="25"/>
      <c r="I22" s="25"/>
      <c r="J22" s="25"/>
      <c r="K22" s="25"/>
    </row>
    <row r="23" spans="2:11">
      <c r="B23" s="24"/>
      <c r="C23" s="25"/>
      <c r="D23" s="25"/>
      <c r="E23" s="25"/>
      <c r="F23" s="25"/>
      <c r="G23" s="25"/>
      <c r="H23" s="25"/>
      <c r="I23" s="25"/>
      <c r="J23" s="25"/>
      <c r="K23" s="25"/>
    </row>
  </sheetData>
  <mergeCells count="6">
    <mergeCell ref="B23:K23"/>
    <mergeCell ref="B22:K22"/>
    <mergeCell ref="B18:K18"/>
    <mergeCell ref="B21:K21"/>
    <mergeCell ref="B20:K20"/>
    <mergeCell ref="B19:K1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97"/>
  <sheetViews>
    <sheetView showGridLines="0" workbookViewId="0">
      <pane xSplit="2" ySplit="4" topLeftCell="C5" activePane="bottomRight" state="frozen"/>
      <selection pane="bottomRight"/>
      <selection pane="bottomLeft"/>
      <selection pane="topRight"/>
    </sheetView>
  </sheetViews>
  <sheetFormatPr defaultRowHeight="15"/>
  <cols>
    <col min="1" max="1" width="7" customWidth="1"/>
    <col min="2" max="2" width="52" customWidth="1"/>
    <col min="3" max="15" width="11" customWidth="1"/>
  </cols>
  <sheetData>
    <row r="1" spans="1:15">
      <c r="A1" t="s">
        <v>114</v>
      </c>
      <c r="C1">
        <v>21</v>
      </c>
      <c r="D1">
        <v>20</v>
      </c>
      <c r="E1">
        <v>22</v>
      </c>
      <c r="F1">
        <v>22</v>
      </c>
      <c r="G1">
        <v>20</v>
      </c>
      <c r="H1">
        <v>22</v>
      </c>
      <c r="I1">
        <v>22</v>
      </c>
      <c r="J1">
        <v>21</v>
      </c>
      <c r="K1">
        <v>21</v>
      </c>
      <c r="L1">
        <v>22</v>
      </c>
      <c r="M1">
        <v>19</v>
      </c>
      <c r="N1">
        <v>22</v>
      </c>
      <c r="O1">
        <f>SUM(C1:N1)</f>
        <v>254</v>
      </c>
    </row>
    <row r="2" spans="1:15">
      <c r="B2" s="8" t="s">
        <v>127</v>
      </c>
    </row>
    <row r="3" spans="1:15">
      <c r="B3" s="1" t="s">
        <v>24</v>
      </c>
    </row>
    <row r="4" spans="1:15">
      <c r="C4" s="4" t="s">
        <v>70</v>
      </c>
      <c r="D4" s="4" t="s">
        <v>71</v>
      </c>
      <c r="E4" s="4" t="s">
        <v>72</v>
      </c>
      <c r="F4" s="4" t="s">
        <v>73</v>
      </c>
      <c r="G4" s="4" t="s">
        <v>50</v>
      </c>
      <c r="H4" s="4" t="s">
        <v>74</v>
      </c>
      <c r="I4" s="4" t="s">
        <v>75</v>
      </c>
      <c r="J4" s="4" t="s">
        <v>76</v>
      </c>
      <c r="K4" s="4" t="s">
        <v>77</v>
      </c>
      <c r="L4" s="4" t="s">
        <v>78</v>
      </c>
      <c r="M4" s="4" t="s">
        <v>79</v>
      </c>
      <c r="N4" s="4" t="s">
        <v>80</v>
      </c>
      <c r="O4" s="4" t="s">
        <v>174</v>
      </c>
    </row>
    <row r="5" spans="1:15">
      <c r="B5" s="2" t="s">
        <v>100</v>
      </c>
    </row>
    <row r="6" spans="1:15">
      <c r="B6" t="s">
        <v>190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20">
        <v>300</v>
      </c>
      <c r="L6" s="20">
        <v>400</v>
      </c>
      <c r="M6" s="20">
        <v>400</v>
      </c>
      <c r="N6" s="20">
        <v>400</v>
      </c>
      <c r="O6" s="6">
        <f>SUM(C6:N6)</f>
        <v>1500</v>
      </c>
    </row>
    <row r="7" spans="1:15">
      <c r="B7" t="s">
        <v>191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20">
        <v>-270</v>
      </c>
      <c r="L7" s="20">
        <v>-360</v>
      </c>
      <c r="M7" s="20">
        <v>-360</v>
      </c>
      <c r="N7" s="20">
        <v>-360</v>
      </c>
      <c r="O7" s="6">
        <f>SUM(C7:N7)</f>
        <v>-1350</v>
      </c>
    </row>
    <row r="8" spans="1:15">
      <c r="B8" t="s">
        <v>177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20">
        <v>0</v>
      </c>
      <c r="L8" s="20">
        <v>0</v>
      </c>
      <c r="M8" s="20">
        <v>0</v>
      </c>
      <c r="N8" s="20">
        <v>0</v>
      </c>
      <c r="O8" s="6">
        <f>SUM(C8:N8)</f>
        <v>0</v>
      </c>
    </row>
    <row r="9" spans="1:15">
      <c r="B9" t="s">
        <v>178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20">
        <v>0</v>
      </c>
      <c r="L9" s="20">
        <v>0</v>
      </c>
      <c r="M9" s="20">
        <v>0</v>
      </c>
      <c r="N9" s="20">
        <v>0</v>
      </c>
      <c r="O9" s="6">
        <f>SUM(C9:N9)</f>
        <v>0</v>
      </c>
    </row>
    <row r="10" spans="1:15">
      <c r="B10" t="s">
        <v>179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20">
        <v>0</v>
      </c>
      <c r="L10" s="20">
        <v>0</v>
      </c>
      <c r="M10" s="20">
        <v>0</v>
      </c>
      <c r="N10" s="20">
        <v>0</v>
      </c>
      <c r="O10" s="6">
        <f>SUM(C10:N10)</f>
        <v>0</v>
      </c>
    </row>
    <row r="11" spans="1:15">
      <c r="B11" t="s">
        <v>180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20">
        <v>0</v>
      </c>
      <c r="L11" s="20">
        <v>0</v>
      </c>
      <c r="M11" s="20">
        <v>0</v>
      </c>
      <c r="N11" s="20">
        <v>0</v>
      </c>
      <c r="O11" s="6">
        <f>SUM(C11:N11)</f>
        <v>0</v>
      </c>
    </row>
    <row r="12" spans="1:15">
      <c r="B12" t="s">
        <v>181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20">
        <v>0</v>
      </c>
      <c r="L12" s="20">
        <v>0</v>
      </c>
      <c r="M12" s="20">
        <v>0</v>
      </c>
      <c r="N12" s="20">
        <v>0</v>
      </c>
      <c r="O12" s="6">
        <f>SUM(C12:N12)</f>
        <v>0</v>
      </c>
    </row>
    <row r="13" spans="1:15">
      <c r="B13" t="s">
        <v>182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20">
        <v>0</v>
      </c>
      <c r="L13" s="20">
        <v>0</v>
      </c>
      <c r="M13" s="20">
        <v>0</v>
      </c>
      <c r="N13" s="20">
        <v>0</v>
      </c>
      <c r="O13" s="6">
        <f>SUM(C13:N13)</f>
        <v>0</v>
      </c>
    </row>
    <row r="14" spans="1:15">
      <c r="B14" s="2" t="s">
        <v>131</v>
      </c>
      <c r="C14" s="9">
        <f>SUM(C6:C13)</f>
        <v>0</v>
      </c>
      <c r="D14" s="9">
        <f>SUM(D6:D13)</f>
        <v>0</v>
      </c>
      <c r="E14" s="9">
        <f>SUM(E6:E13)</f>
        <v>0</v>
      </c>
      <c r="F14" s="9">
        <f>SUM(F6:F13)</f>
        <v>0</v>
      </c>
      <c r="G14" s="9">
        <f>SUM(G6:G13)</f>
        <v>0</v>
      </c>
      <c r="H14" s="9">
        <f>SUM(H6:H13)</f>
        <v>0</v>
      </c>
      <c r="I14" s="9">
        <f>SUM(I6:I13)</f>
        <v>0</v>
      </c>
      <c r="J14" s="9">
        <f>SUM(J6:J13)</f>
        <v>0</v>
      </c>
      <c r="K14" s="9">
        <f>SUM(K6:K13)</f>
        <v>30</v>
      </c>
      <c r="L14" s="9">
        <f>SUM(L6:L13)</f>
        <v>40</v>
      </c>
      <c r="M14" s="9">
        <f>SUM(M6:M13)</f>
        <v>40</v>
      </c>
      <c r="N14" s="9">
        <f>SUM(N6:N13)</f>
        <v>40</v>
      </c>
      <c r="O14" s="9">
        <f>SUM(O6:O13)</f>
        <v>150</v>
      </c>
    </row>
    <row r="16" spans="1:15">
      <c r="B16" s="2" t="s">
        <v>132</v>
      </c>
    </row>
    <row r="17" spans="2:15">
      <c r="B17" t="str">
        <f>B6</f>
        <v>Volume increase - new distributor program</v>
      </c>
      <c r="C17" s="12">
        <f>IFERROR(C28/C6,0)</f>
        <v>0</v>
      </c>
      <c r="D17" s="12">
        <f>IFERROR(D28/D6,0)</f>
        <v>0</v>
      </c>
      <c r="E17" s="12">
        <f>IFERROR(E28/E6,0)</f>
        <v>0</v>
      </c>
      <c r="F17" s="12">
        <f>IFERROR(F28/F6,0)</f>
        <v>0</v>
      </c>
      <c r="G17" s="12">
        <f>IFERROR(G28/G6,0)</f>
        <v>0</v>
      </c>
      <c r="H17" s="12">
        <f>IFERROR(H28/H6,0)</f>
        <v>0</v>
      </c>
      <c r="I17" s="12">
        <f>IFERROR(I28/I6,0)</f>
        <v>0</v>
      </c>
      <c r="J17" s="12">
        <f>IFERROR(J28/J6,0)</f>
        <v>0</v>
      </c>
      <c r="K17" s="12">
        <f>IFERROR(K28/K6,0)</f>
        <v>0.36</v>
      </c>
      <c r="L17" s="12">
        <f>IFERROR(L28/L6,0)</f>
        <v>0.36</v>
      </c>
      <c r="M17" s="12">
        <f>IFERROR(M28/M6,0)</f>
        <v>0.36</v>
      </c>
      <c r="N17" s="12">
        <f>IFERROR(N28/N6,0)</f>
        <v>0.36</v>
      </c>
      <c r="O17" s="12">
        <f>IFERROR(O28/O6,0)</f>
        <v>0.36</v>
      </c>
    </row>
    <row r="18" spans="2:15">
      <c r="B18" t="str">
        <f>B7</f>
        <v>Price adjustment to meet competitor pricing</v>
      </c>
      <c r="C18" s="12">
        <f>IFERROR(C29/C7,0)</f>
        <v>0</v>
      </c>
      <c r="D18" s="12">
        <f>IFERROR(D29/D7,0)</f>
        <v>0</v>
      </c>
      <c r="E18" s="12">
        <f>IFERROR(E29/E7,0)</f>
        <v>0</v>
      </c>
      <c r="F18" s="12">
        <f>IFERROR(F29/F7,0)</f>
        <v>0</v>
      </c>
      <c r="G18" s="12">
        <f>IFERROR(G29/G7,0)</f>
        <v>0</v>
      </c>
      <c r="H18" s="12">
        <f>IFERROR(H29/H7,0)</f>
        <v>0</v>
      </c>
      <c r="I18" s="12">
        <f>IFERROR(I29/I7,0)</f>
        <v>0</v>
      </c>
      <c r="J18" s="12">
        <f>IFERROR(J29/J7,0)</f>
        <v>0</v>
      </c>
      <c r="K18" s="12">
        <f>IFERROR(K29/K7,0)</f>
        <v>1</v>
      </c>
      <c r="L18" s="12">
        <f>IFERROR(L29/L7,0)</f>
        <v>1</v>
      </c>
      <c r="M18" s="12">
        <f>IFERROR(M29/M7,0)</f>
        <v>1</v>
      </c>
      <c r="N18" s="12">
        <f>IFERROR(N29/N7,0)</f>
        <v>1</v>
      </c>
      <c r="O18" s="12">
        <f>IFERROR(O29/O7,0)</f>
        <v>1</v>
      </c>
    </row>
    <row r="19" spans="2:15">
      <c r="B19" t="str">
        <f>B8</f>
        <v>Insert Adj. 3</v>
      </c>
      <c r="C19" s="12">
        <f>IFERROR(C30/C8,0)</f>
        <v>0</v>
      </c>
      <c r="D19" s="12">
        <f>IFERROR(D30/D8,0)</f>
        <v>0</v>
      </c>
      <c r="E19" s="12">
        <f>IFERROR(E30/E8,0)</f>
        <v>0</v>
      </c>
      <c r="F19" s="12">
        <f>IFERROR(F30/F8,0)</f>
        <v>0</v>
      </c>
      <c r="G19" s="12">
        <f>IFERROR(G30/G8,0)</f>
        <v>0</v>
      </c>
      <c r="H19" s="12">
        <f>IFERROR(H30/H8,0)</f>
        <v>0</v>
      </c>
      <c r="I19" s="12">
        <f>IFERROR(I30/I8,0)</f>
        <v>0</v>
      </c>
      <c r="J19" s="12">
        <f>IFERROR(J30/J8,0)</f>
        <v>0</v>
      </c>
      <c r="K19" s="12">
        <f>IFERROR(K30/K8,0)</f>
        <v>0</v>
      </c>
      <c r="L19" s="12">
        <f>IFERROR(L30/L8,0)</f>
        <v>0</v>
      </c>
      <c r="M19" s="12">
        <f>IFERROR(M30/M8,0)</f>
        <v>0</v>
      </c>
      <c r="N19" s="12">
        <f>IFERROR(N30/N8,0)</f>
        <v>0</v>
      </c>
      <c r="O19" s="12">
        <f>IFERROR(O30/O8,0)</f>
        <v>0</v>
      </c>
    </row>
    <row r="20" spans="2:15">
      <c r="B20" t="str">
        <f>B9</f>
        <v>Insert Adj. 4</v>
      </c>
      <c r="C20" s="12">
        <f>IFERROR(C31/C9,0)</f>
        <v>0</v>
      </c>
      <c r="D20" s="12">
        <f>IFERROR(D31/D9,0)</f>
        <v>0</v>
      </c>
      <c r="E20" s="12">
        <f>IFERROR(E31/E9,0)</f>
        <v>0</v>
      </c>
      <c r="F20" s="12">
        <f>IFERROR(F31/F9,0)</f>
        <v>0</v>
      </c>
      <c r="G20" s="12">
        <f>IFERROR(G31/G9,0)</f>
        <v>0</v>
      </c>
      <c r="H20" s="12">
        <f>IFERROR(H31/H9,0)</f>
        <v>0</v>
      </c>
      <c r="I20" s="12">
        <f>IFERROR(I31/I9,0)</f>
        <v>0</v>
      </c>
      <c r="J20" s="12">
        <f>IFERROR(J31/J9,0)</f>
        <v>0</v>
      </c>
      <c r="K20" s="12">
        <f>IFERROR(K31/K9,0)</f>
        <v>0</v>
      </c>
      <c r="L20" s="12">
        <f>IFERROR(L31/L9,0)</f>
        <v>0</v>
      </c>
      <c r="M20" s="12">
        <f>IFERROR(M31/M9,0)</f>
        <v>0</v>
      </c>
      <c r="N20" s="12">
        <f>IFERROR(N31/N9,0)</f>
        <v>0</v>
      </c>
      <c r="O20" s="12">
        <f>IFERROR(O31/O9,0)</f>
        <v>0</v>
      </c>
    </row>
    <row r="21" spans="2:15">
      <c r="B21" t="str">
        <f>B10</f>
        <v>Insert Adj. 5</v>
      </c>
      <c r="C21" s="12">
        <f>IFERROR(C32/C10,0)</f>
        <v>0</v>
      </c>
      <c r="D21" s="12">
        <f>IFERROR(D32/D10,0)</f>
        <v>0</v>
      </c>
      <c r="E21" s="12">
        <f>IFERROR(E32/E10,0)</f>
        <v>0</v>
      </c>
      <c r="F21" s="12">
        <f>IFERROR(F32/F10,0)</f>
        <v>0</v>
      </c>
      <c r="G21" s="12">
        <f>IFERROR(G32/G10,0)</f>
        <v>0</v>
      </c>
      <c r="H21" s="12">
        <f>IFERROR(H32/H10,0)</f>
        <v>0</v>
      </c>
      <c r="I21" s="12">
        <f>IFERROR(I32/I10,0)</f>
        <v>0</v>
      </c>
      <c r="J21" s="12">
        <f>IFERROR(J32/J10,0)</f>
        <v>0</v>
      </c>
      <c r="K21" s="12">
        <f>IFERROR(K32/K10,0)</f>
        <v>0</v>
      </c>
      <c r="L21" s="12">
        <f>IFERROR(L32/L10,0)</f>
        <v>0</v>
      </c>
      <c r="M21" s="12">
        <f>IFERROR(M32/M10,0)</f>
        <v>0</v>
      </c>
      <c r="N21" s="12">
        <f>IFERROR(N32/N10,0)</f>
        <v>0</v>
      </c>
      <c r="O21" s="12">
        <f>IFERROR(O32/O10,0)</f>
        <v>0</v>
      </c>
    </row>
    <row r="22" spans="2:15">
      <c r="B22" t="str">
        <f>B11</f>
        <v>Insert Adj. 6</v>
      </c>
      <c r="C22" s="12">
        <f>IFERROR(C33/C11,0)</f>
        <v>0</v>
      </c>
      <c r="D22" s="12">
        <f>IFERROR(D33/D11,0)</f>
        <v>0</v>
      </c>
      <c r="E22" s="12">
        <f>IFERROR(E33/E11,0)</f>
        <v>0</v>
      </c>
      <c r="F22" s="12">
        <f>IFERROR(F33/F11,0)</f>
        <v>0</v>
      </c>
      <c r="G22" s="12">
        <f>IFERROR(G33/G11,0)</f>
        <v>0</v>
      </c>
      <c r="H22" s="12">
        <f>IFERROR(H33/H11,0)</f>
        <v>0</v>
      </c>
      <c r="I22" s="12">
        <f>IFERROR(I33/I11,0)</f>
        <v>0</v>
      </c>
      <c r="J22" s="12">
        <f>IFERROR(J33/J11,0)</f>
        <v>0</v>
      </c>
      <c r="K22" s="12">
        <f>IFERROR(K33/K11,0)</f>
        <v>0</v>
      </c>
      <c r="L22" s="12">
        <f>IFERROR(L33/L11,0)</f>
        <v>0</v>
      </c>
      <c r="M22" s="12">
        <f>IFERROR(M33/M11,0)</f>
        <v>0</v>
      </c>
      <c r="N22" s="12">
        <f>IFERROR(N33/N11,0)</f>
        <v>0</v>
      </c>
      <c r="O22" s="12">
        <f>IFERROR(O33/O11,0)</f>
        <v>0</v>
      </c>
    </row>
    <row r="23" spans="2:15">
      <c r="B23" t="str">
        <f>B12</f>
        <v>Insert Adj. 7</v>
      </c>
      <c r="C23" s="12">
        <f>IFERROR(C34/C12,0)</f>
        <v>0</v>
      </c>
      <c r="D23" s="12">
        <f>IFERROR(D34/D12,0)</f>
        <v>0</v>
      </c>
      <c r="E23" s="12">
        <f>IFERROR(E34/E12,0)</f>
        <v>0</v>
      </c>
      <c r="F23" s="12">
        <f>IFERROR(F34/F12,0)</f>
        <v>0</v>
      </c>
      <c r="G23" s="12">
        <f>IFERROR(G34/G12,0)</f>
        <v>0</v>
      </c>
      <c r="H23" s="12">
        <f>IFERROR(H34/H12,0)</f>
        <v>0</v>
      </c>
      <c r="I23" s="12">
        <f>IFERROR(I34/I12,0)</f>
        <v>0</v>
      </c>
      <c r="J23" s="12">
        <f>IFERROR(J34/J12,0)</f>
        <v>0</v>
      </c>
      <c r="K23" s="12">
        <f>IFERROR(K34/K12,0)</f>
        <v>0</v>
      </c>
      <c r="L23" s="12">
        <f>IFERROR(L34/L12,0)</f>
        <v>0</v>
      </c>
      <c r="M23" s="12">
        <f>IFERROR(M34/M12,0)</f>
        <v>0</v>
      </c>
      <c r="N23" s="12">
        <f>IFERROR(N34/N12,0)</f>
        <v>0</v>
      </c>
      <c r="O23" s="12">
        <f>IFERROR(O34/O12,0)</f>
        <v>0</v>
      </c>
    </row>
    <row r="24" spans="2:15">
      <c r="B24" t="str">
        <f>B13</f>
        <v>Insert Adj. 8</v>
      </c>
      <c r="C24" s="12">
        <f>IFERROR(C35/C13,0)</f>
        <v>0</v>
      </c>
      <c r="D24" s="12">
        <f>IFERROR(D35/D13,0)</f>
        <v>0</v>
      </c>
      <c r="E24" s="12">
        <f>IFERROR(E35/E13,0)</f>
        <v>0</v>
      </c>
      <c r="F24" s="12">
        <f>IFERROR(F35/F13,0)</f>
        <v>0</v>
      </c>
      <c r="G24" s="12">
        <f>IFERROR(G35/G13,0)</f>
        <v>0</v>
      </c>
      <c r="H24" s="12">
        <f>IFERROR(H35/H13,0)</f>
        <v>0</v>
      </c>
      <c r="I24" s="12">
        <f>IFERROR(I35/I13,0)</f>
        <v>0</v>
      </c>
      <c r="J24" s="12">
        <f>IFERROR(J35/J13,0)</f>
        <v>0</v>
      </c>
      <c r="K24" s="12">
        <f>IFERROR(K35/K13,0)</f>
        <v>0</v>
      </c>
      <c r="L24" s="12">
        <f>IFERROR(L35/L13,0)</f>
        <v>0</v>
      </c>
      <c r="M24" s="12">
        <f>IFERROR(M35/M13,0)</f>
        <v>0</v>
      </c>
      <c r="N24" s="12">
        <f>IFERROR(N35/N13,0)</f>
        <v>0</v>
      </c>
      <c r="O24" s="12">
        <f>IFERROR(O35/O13,0)</f>
        <v>0</v>
      </c>
    </row>
    <row r="25" spans="2:15">
      <c r="B25" s="2" t="s">
        <v>133</v>
      </c>
      <c r="C25" s="14">
        <f>IFERROR(C36/C14,0)</f>
        <v>0</v>
      </c>
      <c r="D25" s="14">
        <f>IFERROR(D36/D14,0)</f>
        <v>0</v>
      </c>
      <c r="E25" s="14">
        <f>IFERROR(E36/E14,0)</f>
        <v>0</v>
      </c>
      <c r="F25" s="14">
        <f>IFERROR(F36/F14,0)</f>
        <v>0</v>
      </c>
      <c r="G25" s="14">
        <f>IFERROR(G36/G14,0)</f>
        <v>0</v>
      </c>
      <c r="H25" s="14">
        <f>IFERROR(H36/H14,0)</f>
        <v>0</v>
      </c>
      <c r="I25" s="14">
        <f>IFERROR(I36/I14,0)</f>
        <v>0</v>
      </c>
      <c r="J25" s="14">
        <f>IFERROR(J36/J14,0)</f>
        <v>0</v>
      </c>
      <c r="K25" s="14">
        <f>IFERROR(K36/K14,0)</f>
        <v>-5.4</v>
      </c>
      <c r="L25" s="14">
        <f>IFERROR(L36/L14,0)</f>
        <v>-5.4</v>
      </c>
      <c r="M25" s="14">
        <f>IFERROR(M36/M14,0)</f>
        <v>-5.4</v>
      </c>
      <c r="N25" s="14">
        <f>IFERROR(N36/N14,0)</f>
        <v>-5.4</v>
      </c>
      <c r="O25" s="14">
        <f>IFERROR(O36/O14,0)</f>
        <v>-5.4</v>
      </c>
    </row>
    <row r="27" spans="2:15">
      <c r="B27" s="2" t="s">
        <v>134</v>
      </c>
    </row>
    <row r="28" spans="2:15">
      <c r="B28" t="s">
        <v>190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20">
        <v>108</v>
      </c>
      <c r="L28" s="20">
        <v>144</v>
      </c>
      <c r="M28" s="20">
        <v>144</v>
      </c>
      <c r="N28" s="20">
        <v>144</v>
      </c>
      <c r="O28" s="6">
        <f>SUM(C28:N28)</f>
        <v>540</v>
      </c>
    </row>
    <row r="29" spans="2:15">
      <c r="B29" t="s">
        <v>191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20">
        <v>-270</v>
      </c>
      <c r="L29" s="20">
        <v>-360</v>
      </c>
      <c r="M29" s="20">
        <v>-360</v>
      </c>
      <c r="N29" s="20">
        <v>-360</v>
      </c>
      <c r="O29" s="6">
        <f>SUM(C29:N29)</f>
        <v>-1350</v>
      </c>
    </row>
    <row r="30" spans="2:15">
      <c r="B30" t="s">
        <v>177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20">
        <v>0</v>
      </c>
      <c r="L30" s="20">
        <v>0</v>
      </c>
      <c r="M30" s="20">
        <v>0</v>
      </c>
      <c r="N30" s="20">
        <v>0</v>
      </c>
      <c r="O30" s="6">
        <f>SUM(C30:N30)</f>
        <v>0</v>
      </c>
    </row>
    <row r="31" spans="2:15">
      <c r="B31" t="s">
        <v>178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20">
        <v>0</v>
      </c>
      <c r="L31" s="20">
        <v>0</v>
      </c>
      <c r="M31" s="20">
        <v>0</v>
      </c>
      <c r="N31" s="20">
        <v>0</v>
      </c>
      <c r="O31" s="6">
        <f>SUM(C31:N31)</f>
        <v>0</v>
      </c>
    </row>
    <row r="32" spans="2:15">
      <c r="B32" t="s">
        <v>179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20">
        <v>0</v>
      </c>
      <c r="L32" s="20">
        <v>0</v>
      </c>
      <c r="M32" s="20">
        <v>0</v>
      </c>
      <c r="N32" s="20">
        <v>0</v>
      </c>
      <c r="O32" s="6">
        <f>SUM(C32:N32)</f>
        <v>0</v>
      </c>
    </row>
    <row r="33" spans="2:15">
      <c r="B33" t="s">
        <v>180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20">
        <v>0</v>
      </c>
      <c r="L33" s="20">
        <v>0</v>
      </c>
      <c r="M33" s="20">
        <v>0</v>
      </c>
      <c r="N33" s="20">
        <v>0</v>
      </c>
      <c r="O33" s="6">
        <f>SUM(C33:N33)</f>
        <v>0</v>
      </c>
    </row>
    <row r="34" spans="2:15">
      <c r="B34" t="s">
        <v>181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20">
        <v>0</v>
      </c>
      <c r="L34" s="20">
        <v>0</v>
      </c>
      <c r="M34" s="20">
        <v>0</v>
      </c>
      <c r="N34" s="20">
        <v>0</v>
      </c>
      <c r="O34" s="6">
        <f>SUM(C34:N34)</f>
        <v>0</v>
      </c>
    </row>
    <row r="35" spans="2:15">
      <c r="B35" t="s">
        <v>182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20">
        <v>0</v>
      </c>
      <c r="L35" s="20">
        <v>0</v>
      </c>
      <c r="M35" s="20">
        <v>0</v>
      </c>
      <c r="N35" s="20">
        <v>0</v>
      </c>
      <c r="O35" s="6">
        <f>SUM(C35:N35)</f>
        <v>0</v>
      </c>
    </row>
    <row r="36" spans="2:15">
      <c r="B36" s="2" t="s">
        <v>135</v>
      </c>
      <c r="C36" s="9">
        <f>SUM(C28:C35)</f>
        <v>0</v>
      </c>
      <c r="D36" s="9">
        <f>SUM(D28:D35)</f>
        <v>0</v>
      </c>
      <c r="E36" s="9">
        <f>SUM(E28:E35)</f>
        <v>0</v>
      </c>
      <c r="F36" s="9">
        <f>SUM(F28:F35)</f>
        <v>0</v>
      </c>
      <c r="G36" s="9">
        <f>SUM(G28:G35)</f>
        <v>0</v>
      </c>
      <c r="H36" s="9">
        <f>SUM(H28:H35)</f>
        <v>0</v>
      </c>
      <c r="I36" s="9">
        <f>SUM(I28:I35)</f>
        <v>0</v>
      </c>
      <c r="J36" s="9">
        <f>SUM(J28:J35)</f>
        <v>0</v>
      </c>
      <c r="K36" s="9">
        <f>SUM(K28:K35)</f>
        <v>-162</v>
      </c>
      <c r="L36" s="9">
        <f>SUM(L28:L35)</f>
        <v>-216</v>
      </c>
      <c r="M36" s="9">
        <f>SUM(M28:M35)</f>
        <v>-216</v>
      </c>
      <c r="N36" s="9">
        <f>SUM(N28:N35)</f>
        <v>-216</v>
      </c>
      <c r="O36" s="9">
        <f>SUM(O28:O35)</f>
        <v>-810</v>
      </c>
    </row>
    <row r="38" spans="2:15">
      <c r="B38" s="2" t="s">
        <v>136</v>
      </c>
    </row>
    <row r="39" spans="2:15">
      <c r="B39" t="str">
        <f>B6</f>
        <v>Volume increase - new distributor program</v>
      </c>
      <c r="C39" s="12">
        <f>IFERROR(C50/C6,0)</f>
        <v>0</v>
      </c>
      <c r="D39" s="12">
        <f>IFERROR(D50/D6,0)</f>
        <v>0</v>
      </c>
      <c r="E39" s="12">
        <f>IFERROR(E50/E6,0)</f>
        <v>0</v>
      </c>
      <c r="F39" s="12">
        <f>IFERROR(F50/F6,0)</f>
        <v>0</v>
      </c>
      <c r="G39" s="12">
        <f>IFERROR(G50/G6,0)</f>
        <v>0</v>
      </c>
      <c r="H39" s="12">
        <f>IFERROR(H50/H6,0)</f>
        <v>0</v>
      </c>
      <c r="I39" s="12">
        <f>IFERROR(I50/I6,0)</f>
        <v>0</v>
      </c>
      <c r="J39" s="12">
        <f>IFERROR(J50/J6,0)</f>
        <v>0</v>
      </c>
      <c r="K39" s="12">
        <f>IFERROR(K50/K6,0)</f>
        <v>0.08</v>
      </c>
      <c r="L39" s="12">
        <f>IFERROR(L50/L6,0)</f>
        <v>0.08</v>
      </c>
      <c r="M39" s="12">
        <f>IFERROR(M50/M6,0)</f>
        <v>0.08</v>
      </c>
      <c r="N39" s="12">
        <f>IFERROR(N50/N6,0)</f>
        <v>0.08</v>
      </c>
      <c r="O39" s="12">
        <f>IFERROR(O50/O6,0)</f>
        <v>0.08</v>
      </c>
    </row>
    <row r="40" spans="2:15">
      <c r="B40" t="str">
        <f>B7</f>
        <v>Price adjustment to meet competitor pricing</v>
      </c>
      <c r="C40" s="12">
        <f>IFERROR(C51/C7,0)</f>
        <v>0</v>
      </c>
      <c r="D40" s="12">
        <f>IFERROR(D51/D7,0)</f>
        <v>0</v>
      </c>
      <c r="E40" s="12">
        <f>IFERROR(E51/E7,0)</f>
        <v>0</v>
      </c>
      <c r="F40" s="12">
        <f>IFERROR(F51/F7,0)</f>
        <v>0</v>
      </c>
      <c r="G40" s="12">
        <f>IFERROR(G51/G7,0)</f>
        <v>0</v>
      </c>
      <c r="H40" s="12">
        <f>IFERROR(H51/H7,0)</f>
        <v>0</v>
      </c>
      <c r="I40" s="12">
        <f>IFERROR(I51/I7,0)</f>
        <v>0</v>
      </c>
      <c r="J40" s="12">
        <f>IFERROR(J51/J7,0)</f>
        <v>0</v>
      </c>
      <c r="K40" s="12">
        <f>IFERROR(K51/K7,0)</f>
        <v>0.1111111111111111</v>
      </c>
      <c r="L40" s="12">
        <f>IFERROR(L51/L7,0)</f>
        <v>5.5555555555555552E-2</v>
      </c>
      <c r="M40" s="12">
        <f>IFERROR(M51/M7,0)</f>
        <v>5.5555555555555552E-2</v>
      </c>
      <c r="N40" s="12">
        <f>IFERROR(N51/N7,0)</f>
        <v>5.5555555555555552E-2</v>
      </c>
      <c r="O40" s="12">
        <f>IFERROR(O51/O7,0)</f>
        <v>6.6666666666666666E-2</v>
      </c>
    </row>
    <row r="41" spans="2:15">
      <c r="B41" t="str">
        <f>B8</f>
        <v>Insert Adj. 3</v>
      </c>
      <c r="C41" s="12">
        <f>IFERROR(C52/C8,0)</f>
        <v>0</v>
      </c>
      <c r="D41" s="12">
        <f>IFERROR(D52/D8,0)</f>
        <v>0</v>
      </c>
      <c r="E41" s="12">
        <f>IFERROR(E52/E8,0)</f>
        <v>0</v>
      </c>
      <c r="F41" s="12">
        <f>IFERROR(F52/F8,0)</f>
        <v>0</v>
      </c>
      <c r="G41" s="12">
        <f>IFERROR(G52/G8,0)</f>
        <v>0</v>
      </c>
      <c r="H41" s="12">
        <f>IFERROR(H52/H8,0)</f>
        <v>0</v>
      </c>
      <c r="I41" s="12">
        <f>IFERROR(I52/I8,0)</f>
        <v>0</v>
      </c>
      <c r="J41" s="12">
        <f>IFERROR(J52/J8,0)</f>
        <v>0</v>
      </c>
      <c r="K41" s="12">
        <f>IFERROR(K52/K8,0)</f>
        <v>0</v>
      </c>
      <c r="L41" s="12">
        <f>IFERROR(L52/L8,0)</f>
        <v>0</v>
      </c>
      <c r="M41" s="12">
        <f>IFERROR(M52/M8,0)</f>
        <v>0</v>
      </c>
      <c r="N41" s="12">
        <f>IFERROR(N52/N8,0)</f>
        <v>0</v>
      </c>
      <c r="O41" s="12">
        <f>IFERROR(O52/O8,0)</f>
        <v>0</v>
      </c>
    </row>
    <row r="42" spans="2:15">
      <c r="B42" t="str">
        <f>B9</f>
        <v>Insert Adj. 4</v>
      </c>
      <c r="C42" s="12">
        <f>IFERROR(C53/C9,0)</f>
        <v>0</v>
      </c>
      <c r="D42" s="12">
        <f>IFERROR(D53/D9,0)</f>
        <v>0</v>
      </c>
      <c r="E42" s="12">
        <f>IFERROR(E53/E9,0)</f>
        <v>0</v>
      </c>
      <c r="F42" s="12">
        <f>IFERROR(F53/F9,0)</f>
        <v>0</v>
      </c>
      <c r="G42" s="12">
        <f>IFERROR(G53/G9,0)</f>
        <v>0</v>
      </c>
      <c r="H42" s="12">
        <f>IFERROR(H53/H9,0)</f>
        <v>0</v>
      </c>
      <c r="I42" s="12">
        <f>IFERROR(I53/I9,0)</f>
        <v>0</v>
      </c>
      <c r="J42" s="12">
        <f>IFERROR(J53/J9,0)</f>
        <v>0</v>
      </c>
      <c r="K42" s="12">
        <f>IFERROR(K53/K9,0)</f>
        <v>0</v>
      </c>
      <c r="L42" s="12">
        <f>IFERROR(L53/L9,0)</f>
        <v>0</v>
      </c>
      <c r="M42" s="12">
        <f>IFERROR(M53/M9,0)</f>
        <v>0</v>
      </c>
      <c r="N42" s="12">
        <f>IFERROR(N53/N9,0)</f>
        <v>0</v>
      </c>
      <c r="O42" s="12">
        <f>IFERROR(O53/O9,0)</f>
        <v>0</v>
      </c>
    </row>
    <row r="43" spans="2:15">
      <c r="B43" t="str">
        <f>B10</f>
        <v>Insert Adj. 5</v>
      </c>
      <c r="C43" s="12">
        <f>IFERROR(C54/C10,0)</f>
        <v>0</v>
      </c>
      <c r="D43" s="12">
        <f>IFERROR(D54/D10,0)</f>
        <v>0</v>
      </c>
      <c r="E43" s="12">
        <f>IFERROR(E54/E10,0)</f>
        <v>0</v>
      </c>
      <c r="F43" s="12">
        <f>IFERROR(F54/F10,0)</f>
        <v>0</v>
      </c>
      <c r="G43" s="12">
        <f>IFERROR(G54/G10,0)</f>
        <v>0</v>
      </c>
      <c r="H43" s="12">
        <f>IFERROR(H54/H10,0)</f>
        <v>0</v>
      </c>
      <c r="I43" s="12">
        <f>IFERROR(I54/I10,0)</f>
        <v>0</v>
      </c>
      <c r="J43" s="12">
        <f>IFERROR(J54/J10,0)</f>
        <v>0</v>
      </c>
      <c r="K43" s="12">
        <f>IFERROR(K54/K10,0)</f>
        <v>0</v>
      </c>
      <c r="L43" s="12">
        <f>IFERROR(L54/L10,0)</f>
        <v>0</v>
      </c>
      <c r="M43" s="12">
        <f>IFERROR(M54/M10,0)</f>
        <v>0</v>
      </c>
      <c r="N43" s="12">
        <f>IFERROR(N54/N10,0)</f>
        <v>0</v>
      </c>
      <c r="O43" s="12">
        <f>IFERROR(O54/O10,0)</f>
        <v>0</v>
      </c>
    </row>
    <row r="44" spans="2:15">
      <c r="B44" t="str">
        <f>B11</f>
        <v>Insert Adj. 6</v>
      </c>
      <c r="C44" s="12">
        <f>IFERROR(C55/C11,0)</f>
        <v>0</v>
      </c>
      <c r="D44" s="12">
        <f>IFERROR(D55/D11,0)</f>
        <v>0</v>
      </c>
      <c r="E44" s="12">
        <f>IFERROR(E55/E11,0)</f>
        <v>0</v>
      </c>
      <c r="F44" s="12">
        <f>IFERROR(F55/F11,0)</f>
        <v>0</v>
      </c>
      <c r="G44" s="12">
        <f>IFERROR(G55/G11,0)</f>
        <v>0</v>
      </c>
      <c r="H44" s="12">
        <f>IFERROR(H55/H11,0)</f>
        <v>0</v>
      </c>
      <c r="I44" s="12">
        <f>IFERROR(I55/I11,0)</f>
        <v>0</v>
      </c>
      <c r="J44" s="12">
        <f>IFERROR(J55/J11,0)</f>
        <v>0</v>
      </c>
      <c r="K44" s="12">
        <f>IFERROR(K55/K11,0)</f>
        <v>0</v>
      </c>
      <c r="L44" s="12">
        <f>IFERROR(L55/L11,0)</f>
        <v>0</v>
      </c>
      <c r="M44" s="12">
        <f>IFERROR(M55/M11,0)</f>
        <v>0</v>
      </c>
      <c r="N44" s="12">
        <f>IFERROR(N55/N11,0)</f>
        <v>0</v>
      </c>
      <c r="O44" s="12">
        <f>IFERROR(O55/O11,0)</f>
        <v>0</v>
      </c>
    </row>
    <row r="45" spans="2:15">
      <c r="B45" t="str">
        <f>B12</f>
        <v>Insert Adj. 7</v>
      </c>
      <c r="C45" s="12">
        <f>IFERROR(C56/C12,0)</f>
        <v>0</v>
      </c>
      <c r="D45" s="12">
        <f>IFERROR(D56/D12,0)</f>
        <v>0</v>
      </c>
      <c r="E45" s="12">
        <f>IFERROR(E56/E12,0)</f>
        <v>0</v>
      </c>
      <c r="F45" s="12">
        <f>IFERROR(F56/F12,0)</f>
        <v>0</v>
      </c>
      <c r="G45" s="12">
        <f>IFERROR(G56/G12,0)</f>
        <v>0</v>
      </c>
      <c r="H45" s="12">
        <f>IFERROR(H56/H12,0)</f>
        <v>0</v>
      </c>
      <c r="I45" s="12">
        <f>IFERROR(I56/I12,0)</f>
        <v>0</v>
      </c>
      <c r="J45" s="12">
        <f>IFERROR(J56/J12,0)</f>
        <v>0</v>
      </c>
      <c r="K45" s="12">
        <f>IFERROR(K56/K12,0)</f>
        <v>0</v>
      </c>
      <c r="L45" s="12">
        <f>IFERROR(L56/L12,0)</f>
        <v>0</v>
      </c>
      <c r="M45" s="12">
        <f>IFERROR(M56/M12,0)</f>
        <v>0</v>
      </c>
      <c r="N45" s="12">
        <f>IFERROR(N56/N12,0)</f>
        <v>0</v>
      </c>
      <c r="O45" s="12">
        <f>IFERROR(O56/O12,0)</f>
        <v>0</v>
      </c>
    </row>
    <row r="46" spans="2:15">
      <c r="B46" t="str">
        <f>B13</f>
        <v>Insert Adj. 8</v>
      </c>
      <c r="C46" s="12">
        <f>IFERROR(C57/C13,0)</f>
        <v>0</v>
      </c>
      <c r="D46" s="12">
        <f>IFERROR(D57/D13,0)</f>
        <v>0</v>
      </c>
      <c r="E46" s="12">
        <f>IFERROR(E57/E13,0)</f>
        <v>0</v>
      </c>
      <c r="F46" s="12">
        <f>IFERROR(F57/F13,0)</f>
        <v>0</v>
      </c>
      <c r="G46" s="12">
        <f>IFERROR(G57/G13,0)</f>
        <v>0</v>
      </c>
      <c r="H46" s="12">
        <f>IFERROR(H57/H13,0)</f>
        <v>0</v>
      </c>
      <c r="I46" s="12">
        <f>IFERROR(I57/I13,0)</f>
        <v>0</v>
      </c>
      <c r="J46" s="12">
        <f>IFERROR(J57/J13,0)</f>
        <v>0</v>
      </c>
      <c r="K46" s="12">
        <f>IFERROR(K57/K13,0)</f>
        <v>0</v>
      </c>
      <c r="L46" s="12">
        <f>IFERROR(L57/L13,0)</f>
        <v>0</v>
      </c>
      <c r="M46" s="12">
        <f>IFERROR(M57/M13,0)</f>
        <v>0</v>
      </c>
      <c r="N46" s="12">
        <f>IFERROR(N57/N13,0)</f>
        <v>0</v>
      </c>
      <c r="O46" s="12">
        <f>IFERROR(O57/O13,0)</f>
        <v>0</v>
      </c>
    </row>
    <row r="47" spans="2:15">
      <c r="B47" s="2" t="s">
        <v>137</v>
      </c>
      <c r="C47" s="14">
        <f>IFERROR(C58/C14,0)</f>
        <v>0</v>
      </c>
      <c r="D47" s="14">
        <f>IFERROR(D58/D14,0)</f>
        <v>0</v>
      </c>
      <c r="E47" s="14">
        <f>IFERROR(E58/E14,0)</f>
        <v>0</v>
      </c>
      <c r="F47" s="14">
        <f>IFERROR(F58/F14,0)</f>
        <v>0</v>
      </c>
      <c r="G47" s="14">
        <f>IFERROR(G58/G14,0)</f>
        <v>0</v>
      </c>
      <c r="H47" s="14">
        <f>IFERROR(H58/H14,0)</f>
        <v>0</v>
      </c>
      <c r="I47" s="14">
        <f>IFERROR(I58/I14,0)</f>
        <v>0</v>
      </c>
      <c r="J47" s="14">
        <f>IFERROR(J58/J14,0)</f>
        <v>0</v>
      </c>
      <c r="K47" s="14">
        <f>IFERROR(K58/K14,0)</f>
        <v>-0.2</v>
      </c>
      <c r="L47" s="14">
        <f>IFERROR(L58/L14,0)</f>
        <v>0.3</v>
      </c>
      <c r="M47" s="14">
        <f>IFERROR(M58/M14,0)</f>
        <v>0.3</v>
      </c>
      <c r="N47" s="14">
        <f>IFERROR(N58/N14,0)</f>
        <v>0.3</v>
      </c>
      <c r="O47" s="14">
        <f>IFERROR(O58/O14,0)</f>
        <v>0.2</v>
      </c>
    </row>
    <row r="49" spans="2:15">
      <c r="B49" s="2" t="s">
        <v>138</v>
      </c>
    </row>
    <row r="50" spans="2:15">
      <c r="B50" t="s">
        <v>192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20">
        <v>24</v>
      </c>
      <c r="L50" s="20">
        <v>32</v>
      </c>
      <c r="M50" s="20">
        <v>32</v>
      </c>
      <c r="N50" s="20">
        <v>32</v>
      </c>
      <c r="O50" s="6">
        <f>SUM(C50:N50)</f>
        <v>120</v>
      </c>
    </row>
    <row r="51" spans="2:15">
      <c r="B51" t="s">
        <v>193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20">
        <v>-30</v>
      </c>
      <c r="L51" s="20">
        <v>-20</v>
      </c>
      <c r="M51" s="20">
        <v>-20</v>
      </c>
      <c r="N51" s="20">
        <v>-20</v>
      </c>
      <c r="O51" s="6">
        <f>SUM(C51:N51)</f>
        <v>-90</v>
      </c>
    </row>
    <row r="52" spans="2:15">
      <c r="B52" t="s">
        <v>177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20">
        <v>0</v>
      </c>
      <c r="L52" s="20">
        <v>0</v>
      </c>
      <c r="M52" s="20">
        <v>0</v>
      </c>
      <c r="N52" s="20">
        <v>0</v>
      </c>
      <c r="O52" s="6">
        <f>SUM(C52:N52)</f>
        <v>0</v>
      </c>
    </row>
    <row r="53" spans="2:15">
      <c r="B53" t="s">
        <v>178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20">
        <v>0</v>
      </c>
      <c r="L53" s="20">
        <v>0</v>
      </c>
      <c r="M53" s="20">
        <v>0</v>
      </c>
      <c r="N53" s="20">
        <v>0</v>
      </c>
      <c r="O53" s="6">
        <f>SUM(C53:N53)</f>
        <v>0</v>
      </c>
    </row>
    <row r="54" spans="2:15">
      <c r="B54" t="s">
        <v>179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20">
        <v>0</v>
      </c>
      <c r="L54" s="20">
        <v>0</v>
      </c>
      <c r="M54" s="20">
        <v>0</v>
      </c>
      <c r="N54" s="20">
        <v>0</v>
      </c>
      <c r="O54" s="6">
        <f>SUM(C54:N54)</f>
        <v>0</v>
      </c>
    </row>
    <row r="55" spans="2:15">
      <c r="B55" t="s">
        <v>180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20">
        <v>0</v>
      </c>
      <c r="L55" s="20">
        <v>0</v>
      </c>
      <c r="M55" s="20">
        <v>0</v>
      </c>
      <c r="N55" s="20">
        <v>0</v>
      </c>
      <c r="O55" s="6">
        <f>SUM(C55:N55)</f>
        <v>0</v>
      </c>
    </row>
    <row r="56" spans="2:15">
      <c r="B56" t="s">
        <v>181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20">
        <v>0</v>
      </c>
      <c r="L56" s="20">
        <v>0</v>
      </c>
      <c r="M56" s="20">
        <v>0</v>
      </c>
      <c r="N56" s="20">
        <v>0</v>
      </c>
      <c r="O56" s="6">
        <f>SUM(C56:N56)</f>
        <v>0</v>
      </c>
    </row>
    <row r="57" spans="2:15">
      <c r="B57" t="s">
        <v>182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20">
        <v>0</v>
      </c>
      <c r="L57" s="20">
        <v>0</v>
      </c>
      <c r="M57" s="20">
        <v>0</v>
      </c>
      <c r="N57" s="20">
        <v>0</v>
      </c>
      <c r="O57" s="6">
        <f>SUM(C57:N57)</f>
        <v>0</v>
      </c>
    </row>
    <row r="58" spans="2:15">
      <c r="B58" s="2" t="s">
        <v>139</v>
      </c>
      <c r="C58" s="9">
        <f>SUM(C50:C57)</f>
        <v>0</v>
      </c>
      <c r="D58" s="9">
        <f>SUM(D50:D57)</f>
        <v>0</v>
      </c>
      <c r="E58" s="9">
        <f>SUM(E50:E57)</f>
        <v>0</v>
      </c>
      <c r="F58" s="9">
        <f>SUM(F50:F57)</f>
        <v>0</v>
      </c>
      <c r="G58" s="9">
        <f>SUM(G50:G57)</f>
        <v>0</v>
      </c>
      <c r="H58" s="9">
        <f>SUM(H50:H57)</f>
        <v>0</v>
      </c>
      <c r="I58" s="9">
        <f>SUM(I50:I57)</f>
        <v>0</v>
      </c>
      <c r="J58" s="9">
        <f>SUM(J50:J57)</f>
        <v>0</v>
      </c>
      <c r="K58" s="9">
        <f>SUM(K50:K57)</f>
        <v>-6</v>
      </c>
      <c r="L58" s="9">
        <f>SUM(L50:L57)</f>
        <v>12</v>
      </c>
      <c r="M58" s="9">
        <f>SUM(M50:M57)</f>
        <v>12</v>
      </c>
      <c r="N58" s="9">
        <f>SUM(N50:N57)</f>
        <v>12</v>
      </c>
      <c r="O58" s="9">
        <f>SUM(O50:O57)</f>
        <v>30</v>
      </c>
    </row>
    <row r="60" spans="2:15">
      <c r="B60" s="2" t="s">
        <v>113</v>
      </c>
    </row>
    <row r="61" spans="2:15">
      <c r="B61" t="str">
        <f>B6</f>
        <v>Volume increase - new distributor program</v>
      </c>
      <c r="C61" s="6">
        <f>C28-C50</f>
        <v>0</v>
      </c>
      <c r="D61" s="6">
        <f>D28-D50</f>
        <v>0</v>
      </c>
      <c r="E61" s="6">
        <f>E28-E50</f>
        <v>0</v>
      </c>
      <c r="F61" s="6">
        <f>F28-F50</f>
        <v>0</v>
      </c>
      <c r="G61" s="6">
        <f>G28-G50</f>
        <v>0</v>
      </c>
      <c r="H61" s="6">
        <f>H28-H50</f>
        <v>0</v>
      </c>
      <c r="I61" s="6">
        <f>I28-I50</f>
        <v>0</v>
      </c>
      <c r="J61" s="6">
        <f>J28-J50</f>
        <v>0</v>
      </c>
      <c r="K61" s="6">
        <f>K28-K50</f>
        <v>84</v>
      </c>
      <c r="L61" s="6">
        <f>L28-L50</f>
        <v>112</v>
      </c>
      <c r="M61" s="6">
        <f>M28-M50</f>
        <v>112</v>
      </c>
      <c r="N61" s="6">
        <f>N28-N50</f>
        <v>112</v>
      </c>
      <c r="O61" s="6">
        <f>SUM(C61:N61)</f>
        <v>420</v>
      </c>
    </row>
    <row r="62" spans="2:15">
      <c r="B62" t="str">
        <f>B7</f>
        <v>Price adjustment to meet competitor pricing</v>
      </c>
      <c r="C62" s="6">
        <f>C29-C51</f>
        <v>0</v>
      </c>
      <c r="D62" s="6">
        <f>D29-D51</f>
        <v>0</v>
      </c>
      <c r="E62" s="6">
        <f>E29-E51</f>
        <v>0</v>
      </c>
      <c r="F62" s="6">
        <f>F29-F51</f>
        <v>0</v>
      </c>
      <c r="G62" s="6">
        <f>G29-G51</f>
        <v>0</v>
      </c>
      <c r="H62" s="6">
        <f>H29-H51</f>
        <v>0</v>
      </c>
      <c r="I62" s="6">
        <f>I29-I51</f>
        <v>0</v>
      </c>
      <c r="J62" s="6">
        <f>J29-J51</f>
        <v>0</v>
      </c>
      <c r="K62" s="6">
        <f>K29-K51</f>
        <v>-240</v>
      </c>
      <c r="L62" s="6">
        <f>L29-L51</f>
        <v>-340</v>
      </c>
      <c r="M62" s="6">
        <f>M29-M51</f>
        <v>-340</v>
      </c>
      <c r="N62" s="6">
        <f>N29-N51</f>
        <v>-340</v>
      </c>
      <c r="O62" s="6">
        <f>SUM(C62:N62)</f>
        <v>-1260</v>
      </c>
    </row>
    <row r="63" spans="2:15">
      <c r="B63" t="str">
        <f>B8</f>
        <v>Insert Adj. 3</v>
      </c>
      <c r="C63" s="6">
        <f>C30-C52</f>
        <v>0</v>
      </c>
      <c r="D63" s="6">
        <f>D30-D52</f>
        <v>0</v>
      </c>
      <c r="E63" s="6">
        <f>E30-E52</f>
        <v>0</v>
      </c>
      <c r="F63" s="6">
        <f>F30-F52</f>
        <v>0</v>
      </c>
      <c r="G63" s="6">
        <f>G30-G52</f>
        <v>0</v>
      </c>
      <c r="H63" s="6">
        <f>H30-H52</f>
        <v>0</v>
      </c>
      <c r="I63" s="6">
        <f>I30-I52</f>
        <v>0</v>
      </c>
      <c r="J63" s="6">
        <f>J30-J52</f>
        <v>0</v>
      </c>
      <c r="K63" s="6">
        <f>K30-K52</f>
        <v>0</v>
      </c>
      <c r="L63" s="6">
        <f>L30-L52</f>
        <v>0</v>
      </c>
      <c r="M63" s="6">
        <f>M30-M52</f>
        <v>0</v>
      </c>
      <c r="N63" s="6">
        <f>N30-N52</f>
        <v>0</v>
      </c>
      <c r="O63" s="6">
        <f>SUM(C63:N63)</f>
        <v>0</v>
      </c>
    </row>
    <row r="64" spans="2:15">
      <c r="B64" t="str">
        <f>B9</f>
        <v>Insert Adj. 4</v>
      </c>
      <c r="C64" s="6">
        <f>C31-C53</f>
        <v>0</v>
      </c>
      <c r="D64" s="6">
        <f>D31-D53</f>
        <v>0</v>
      </c>
      <c r="E64" s="6">
        <f>E31-E53</f>
        <v>0</v>
      </c>
      <c r="F64" s="6">
        <f>F31-F53</f>
        <v>0</v>
      </c>
      <c r="G64" s="6">
        <f>G31-G53</f>
        <v>0</v>
      </c>
      <c r="H64" s="6">
        <f>H31-H53</f>
        <v>0</v>
      </c>
      <c r="I64" s="6">
        <f>I31-I53</f>
        <v>0</v>
      </c>
      <c r="J64" s="6">
        <f>J31-J53</f>
        <v>0</v>
      </c>
      <c r="K64" s="6">
        <f>K31-K53</f>
        <v>0</v>
      </c>
      <c r="L64" s="6">
        <f>L31-L53</f>
        <v>0</v>
      </c>
      <c r="M64" s="6">
        <f>M31-M53</f>
        <v>0</v>
      </c>
      <c r="N64" s="6">
        <f>N31-N53</f>
        <v>0</v>
      </c>
      <c r="O64" s="6">
        <f>SUM(C64:N64)</f>
        <v>0</v>
      </c>
    </row>
    <row r="65" spans="2:15">
      <c r="B65" t="str">
        <f>B10</f>
        <v>Insert Adj. 5</v>
      </c>
      <c r="C65" s="6">
        <f>C32-C54</f>
        <v>0</v>
      </c>
      <c r="D65" s="6">
        <f>D32-D54</f>
        <v>0</v>
      </c>
      <c r="E65" s="6">
        <f>E32-E54</f>
        <v>0</v>
      </c>
      <c r="F65" s="6">
        <f>F32-F54</f>
        <v>0</v>
      </c>
      <c r="G65" s="6">
        <f>G32-G54</f>
        <v>0</v>
      </c>
      <c r="H65" s="6">
        <f>H32-H54</f>
        <v>0</v>
      </c>
      <c r="I65" s="6">
        <f>I32-I54</f>
        <v>0</v>
      </c>
      <c r="J65" s="6">
        <f>J32-J54</f>
        <v>0</v>
      </c>
      <c r="K65" s="6">
        <f>K32-K54</f>
        <v>0</v>
      </c>
      <c r="L65" s="6">
        <f>L32-L54</f>
        <v>0</v>
      </c>
      <c r="M65" s="6">
        <f>M32-M54</f>
        <v>0</v>
      </c>
      <c r="N65" s="6">
        <f>N32-N54</f>
        <v>0</v>
      </c>
      <c r="O65" s="6">
        <f>SUM(C65:N65)</f>
        <v>0</v>
      </c>
    </row>
    <row r="66" spans="2:15">
      <c r="B66" t="str">
        <f>B11</f>
        <v>Insert Adj. 6</v>
      </c>
      <c r="C66" s="6">
        <f>C33-C55</f>
        <v>0</v>
      </c>
      <c r="D66" s="6">
        <f>D33-D55</f>
        <v>0</v>
      </c>
      <c r="E66" s="6">
        <f>E33-E55</f>
        <v>0</v>
      </c>
      <c r="F66" s="6">
        <f>F33-F55</f>
        <v>0</v>
      </c>
      <c r="G66" s="6">
        <f>G33-G55</f>
        <v>0</v>
      </c>
      <c r="H66" s="6">
        <f>H33-H55</f>
        <v>0</v>
      </c>
      <c r="I66" s="6">
        <f>I33-I55</f>
        <v>0</v>
      </c>
      <c r="J66" s="6">
        <f>J33-J55</f>
        <v>0</v>
      </c>
      <c r="K66" s="6">
        <f>K33-K55</f>
        <v>0</v>
      </c>
      <c r="L66" s="6">
        <f>L33-L55</f>
        <v>0</v>
      </c>
      <c r="M66" s="6">
        <f>M33-M55</f>
        <v>0</v>
      </c>
      <c r="N66" s="6">
        <f>N33-N55</f>
        <v>0</v>
      </c>
      <c r="O66" s="6">
        <f>SUM(C66:N66)</f>
        <v>0</v>
      </c>
    </row>
    <row r="67" spans="2:15">
      <c r="B67" t="str">
        <f>B12</f>
        <v>Insert Adj. 7</v>
      </c>
      <c r="C67" s="6">
        <f>C34-C56</f>
        <v>0</v>
      </c>
      <c r="D67" s="6">
        <f>D34-D56</f>
        <v>0</v>
      </c>
      <c r="E67" s="6">
        <f>E34-E56</f>
        <v>0</v>
      </c>
      <c r="F67" s="6">
        <f>F34-F56</f>
        <v>0</v>
      </c>
      <c r="G67" s="6">
        <f>G34-G56</f>
        <v>0</v>
      </c>
      <c r="H67" s="6">
        <f>H34-H56</f>
        <v>0</v>
      </c>
      <c r="I67" s="6">
        <f>I34-I56</f>
        <v>0</v>
      </c>
      <c r="J67" s="6">
        <f>J34-J56</f>
        <v>0</v>
      </c>
      <c r="K67" s="6">
        <f>K34-K56</f>
        <v>0</v>
      </c>
      <c r="L67" s="6">
        <f>L34-L56</f>
        <v>0</v>
      </c>
      <c r="M67" s="6">
        <f>M34-M56</f>
        <v>0</v>
      </c>
      <c r="N67" s="6">
        <f>N34-N56</f>
        <v>0</v>
      </c>
      <c r="O67" s="6">
        <f>SUM(C67:N67)</f>
        <v>0</v>
      </c>
    </row>
    <row r="68" spans="2:15">
      <c r="B68" t="str">
        <f>B13</f>
        <v>Insert Adj. 8</v>
      </c>
      <c r="C68" s="6">
        <f>C35-C57</f>
        <v>0</v>
      </c>
      <c r="D68" s="6">
        <f>D35-D57</f>
        <v>0</v>
      </c>
      <c r="E68" s="6">
        <f>E35-E57</f>
        <v>0</v>
      </c>
      <c r="F68" s="6">
        <f>F35-F57</f>
        <v>0</v>
      </c>
      <c r="G68" s="6">
        <f>G35-G57</f>
        <v>0</v>
      </c>
      <c r="H68" s="6">
        <f>H35-H57</f>
        <v>0</v>
      </c>
      <c r="I68" s="6">
        <f>I35-I57</f>
        <v>0</v>
      </c>
      <c r="J68" s="6">
        <f>J35-J57</f>
        <v>0</v>
      </c>
      <c r="K68" s="6">
        <f>K35-K57</f>
        <v>0</v>
      </c>
      <c r="L68" s="6">
        <f>L35-L57</f>
        <v>0</v>
      </c>
      <c r="M68" s="6">
        <f>M35-M57</f>
        <v>0</v>
      </c>
      <c r="N68" s="6">
        <f>N35-N57</f>
        <v>0</v>
      </c>
      <c r="O68" s="6">
        <f>SUM(C68:N68)</f>
        <v>0</v>
      </c>
    </row>
    <row r="69" spans="2:15">
      <c r="B69" s="2" t="s">
        <v>140</v>
      </c>
      <c r="C69" s="9">
        <f>SUM(C61:C68)</f>
        <v>0</v>
      </c>
      <c r="D69" s="9">
        <f>SUM(D61:D68)</f>
        <v>0</v>
      </c>
      <c r="E69" s="9">
        <f>SUM(E61:E68)</f>
        <v>0</v>
      </c>
      <c r="F69" s="9">
        <f>SUM(F61:F68)</f>
        <v>0</v>
      </c>
      <c r="G69" s="9">
        <f>SUM(G61:G68)</f>
        <v>0</v>
      </c>
      <c r="H69" s="9">
        <f>SUM(H61:H68)</f>
        <v>0</v>
      </c>
      <c r="I69" s="9">
        <f>SUM(I61:I68)</f>
        <v>0</v>
      </c>
      <c r="J69" s="9">
        <f>SUM(J61:J68)</f>
        <v>0</v>
      </c>
      <c r="K69" s="9">
        <f>SUM(K61:K68)</f>
        <v>-156</v>
      </c>
      <c r="L69" s="9">
        <f>SUM(L61:L68)</f>
        <v>-228</v>
      </c>
      <c r="M69" s="9">
        <f>SUM(M61:M68)</f>
        <v>-228</v>
      </c>
      <c r="N69" s="9">
        <f>SUM(N61:N68)</f>
        <v>-228</v>
      </c>
      <c r="O69" s="9">
        <f>SUM(O61:O68)</f>
        <v>-840</v>
      </c>
    </row>
    <row r="71" spans="2:15">
      <c r="B71" s="8" t="s">
        <v>141</v>
      </c>
    </row>
    <row r="73" spans="2:15">
      <c r="C73" s="4" t="s">
        <v>70</v>
      </c>
      <c r="D73" s="4" t="s">
        <v>71</v>
      </c>
      <c r="E73" s="4" t="s">
        <v>72</v>
      </c>
      <c r="F73" s="4" t="s">
        <v>73</v>
      </c>
      <c r="G73" s="4" t="s">
        <v>50</v>
      </c>
      <c r="H73" s="4" t="s">
        <v>74</v>
      </c>
      <c r="I73" s="4" t="s">
        <v>75</v>
      </c>
      <c r="J73" s="4" t="s">
        <v>76</v>
      </c>
      <c r="K73" s="4" t="s">
        <v>77</v>
      </c>
      <c r="L73" s="4" t="s">
        <v>78</v>
      </c>
      <c r="M73" s="4" t="s">
        <v>79</v>
      </c>
      <c r="N73" s="4" t="s">
        <v>80</v>
      </c>
      <c r="O73" s="4" t="s">
        <v>174</v>
      </c>
    </row>
    <row r="74" spans="2:15">
      <c r="B74" s="2" t="s">
        <v>111</v>
      </c>
    </row>
    <row r="75" spans="2:15">
      <c r="B75" t="s">
        <v>143</v>
      </c>
      <c r="C75" s="12">
        <f>Cobalt!C35</f>
        <v>0.34824952112806074</v>
      </c>
      <c r="D75" s="12">
        <f>Cobalt!D35</f>
        <v>0.35296063513066489</v>
      </c>
      <c r="E75" s="12">
        <f>Cobalt!E35</f>
        <v>0.35215705283567617</v>
      </c>
      <c r="F75" s="12">
        <f>Cobalt!F35</f>
        <v>0.34943838449373504</v>
      </c>
      <c r="G75" s="12">
        <f>Cobalt!G35</f>
        <v>0.35192607437096413</v>
      </c>
      <c r="H75" s="12">
        <f>Cobalt!H35</f>
        <v>0.35119427768552819</v>
      </c>
      <c r="I75" s="12">
        <f>Cobalt!I35</f>
        <v>0.34865652314664941</v>
      </c>
      <c r="J75" s="12">
        <f>Cobalt!J35</f>
        <v>0.35233544952767415</v>
      </c>
      <c r="K75" s="12">
        <f>Cobalt!K35</f>
        <v>0.34882898806893503</v>
      </c>
      <c r="L75" s="12">
        <f>Cobalt!L35</f>
        <v>0.3511586827606511</v>
      </c>
      <c r="M75" s="12">
        <f>Cobalt!M35</f>
        <v>0.34816519038306681</v>
      </c>
      <c r="N75" s="12">
        <f>Cobalt!N35</f>
        <v>0.3491468818907752</v>
      </c>
      <c r="O75" t="s">
        <v>183</v>
      </c>
    </row>
    <row r="76" spans="2:15">
      <c r="B76" t="s">
        <v>144</v>
      </c>
      <c r="C76" t="s">
        <v>145</v>
      </c>
      <c r="D76" t="s">
        <v>145</v>
      </c>
      <c r="E76" t="s">
        <v>145</v>
      </c>
      <c r="F76" t="s">
        <v>145</v>
      </c>
      <c r="G76" t="s">
        <v>145</v>
      </c>
      <c r="H76" t="s">
        <v>145</v>
      </c>
      <c r="I76" t="s">
        <v>145</v>
      </c>
      <c r="J76" t="s">
        <v>145</v>
      </c>
      <c r="K76" t="s">
        <v>145</v>
      </c>
      <c r="L76" t="s">
        <v>145</v>
      </c>
      <c r="M76" t="s">
        <v>145</v>
      </c>
      <c r="N76" t="s">
        <v>145</v>
      </c>
    </row>
    <row r="77" spans="2:15">
      <c r="B77" t="s">
        <v>146</v>
      </c>
      <c r="C77" s="6">
        <f>IF(C76="None",0,(((Cobalt!C28*(C75+C76))-Cobalt!C29)))</f>
        <v>0</v>
      </c>
      <c r="D77" s="6">
        <f>IF(D76="None",0,(((Cobalt!D28*(D75+D76))-Cobalt!D29)))</f>
        <v>0</v>
      </c>
      <c r="E77" s="6">
        <f>IF(E76="None",0,(((Cobalt!E28*(E75+E76))-Cobalt!E29)))</f>
        <v>0</v>
      </c>
      <c r="F77" s="6">
        <f>IF(F76="None",0,(((Cobalt!F28*(F75+F76))-Cobalt!F29)))</f>
        <v>0</v>
      </c>
      <c r="G77" s="6">
        <f>IF(G76="None",0,(((Cobalt!G28*(G75+G76))-Cobalt!G29)))</f>
        <v>0</v>
      </c>
      <c r="H77" s="6">
        <f>IF(H76="None",0,(((Cobalt!H28*(H75+H76))-Cobalt!H29)))</f>
        <v>0</v>
      </c>
      <c r="I77" s="6">
        <f>IF(I76="None",0,(((Cobalt!I28*(I75+I76))-Cobalt!I29)))</f>
        <v>0</v>
      </c>
      <c r="J77" s="6">
        <f>IF(J76="None",0,(((Cobalt!J28*(J75+J76))-Cobalt!J29)))</f>
        <v>0</v>
      </c>
      <c r="K77" s="6">
        <f>IF(K76="None",0,(((Cobalt!K28*(K75+K76))-Cobalt!K29)))</f>
        <v>0</v>
      </c>
      <c r="L77" s="6">
        <f>IF(L76="None",0,(((Cobalt!L28*(L75+L76))-Cobalt!L29)))</f>
        <v>0</v>
      </c>
      <c r="M77" s="6">
        <f>IF(M76="None",0,(((Cobalt!M28*(M75+M76))-Cobalt!M29)))</f>
        <v>0</v>
      </c>
      <c r="N77" s="6">
        <f>IF(N76="None",0,(((Cobalt!N28*(N75+N76))-Cobalt!N29)))</f>
        <v>0</v>
      </c>
      <c r="O77" s="6">
        <f>SUM(C77:N77)</f>
        <v>0</v>
      </c>
    </row>
    <row r="78" spans="2:15">
      <c r="B78" t="s">
        <v>147</v>
      </c>
      <c r="C78" s="12">
        <f>SUM(C75:C76)</f>
        <v>0.34824952112806074</v>
      </c>
      <c r="D78" s="12">
        <f>SUM(D75:D76)</f>
        <v>0.35296063513066489</v>
      </c>
      <c r="E78" s="12">
        <f>SUM(E75:E76)</f>
        <v>0.35215705283567617</v>
      </c>
      <c r="F78" s="12">
        <f>SUM(F75:F76)</f>
        <v>0.34943838449373504</v>
      </c>
      <c r="G78" s="12">
        <f>SUM(G75:G76)</f>
        <v>0.35192607437096413</v>
      </c>
      <c r="H78" s="12">
        <f>SUM(H75:H76)</f>
        <v>0.35119427768552819</v>
      </c>
      <c r="I78" s="12">
        <f>SUM(I75:I76)</f>
        <v>0.34865652314664941</v>
      </c>
      <c r="J78" s="12">
        <f>SUM(J75:J76)</f>
        <v>0.35233544952767415</v>
      </c>
      <c r="K78" s="12">
        <f>SUM(K75:K76)</f>
        <v>0.34882898806893503</v>
      </c>
      <c r="L78" s="12">
        <f>SUM(L75:L76)</f>
        <v>0.3511586827606511</v>
      </c>
      <c r="M78" s="12">
        <f>SUM(M75:M76)</f>
        <v>0.34816519038306681</v>
      </c>
      <c r="N78" s="12">
        <f>SUM(N75:N76)</f>
        <v>0.3491468818907752</v>
      </c>
      <c r="O78" t="s">
        <v>183</v>
      </c>
    </row>
    <row r="81" spans="1:15">
      <c r="B81" s="2" t="s">
        <v>112</v>
      </c>
    </row>
    <row r="82" spans="1:15">
      <c r="B82" t="s">
        <v>148</v>
      </c>
      <c r="C82" s="12">
        <f>Cobalt!C36</f>
        <v>-0.22401975490987974</v>
      </c>
      <c r="D82" s="12">
        <f>Cobalt!D36</f>
        <v>-0.22248475969944712</v>
      </c>
      <c r="E82" s="12">
        <f>Cobalt!E36</f>
        <v>-0.22339487947825318</v>
      </c>
      <c r="F82" s="12">
        <f>Cobalt!F36</f>
        <v>-0.22069259154130003</v>
      </c>
      <c r="G82" s="12">
        <f>Cobalt!G36</f>
        <v>-0.22113115119127144</v>
      </c>
      <c r="H82" s="12">
        <f>Cobalt!H36</f>
        <v>-0.22503938348873845</v>
      </c>
      <c r="I82" s="12">
        <f>Cobalt!I36</f>
        <v>-0.22322218625229306</v>
      </c>
      <c r="J82" s="12">
        <f>Cobalt!J36</f>
        <v>-0.24571852433623492</v>
      </c>
      <c r="K82" s="12">
        <f>Cobalt!K36</f>
        <v>-0.21915598762704375</v>
      </c>
      <c r="L82" s="12">
        <f>Cobalt!L36</f>
        <v>-0.22385078016570636</v>
      </c>
      <c r="M82" s="12">
        <f>Cobalt!M36</f>
        <v>-0.22300701714022775</v>
      </c>
      <c r="N82" s="12">
        <f>Cobalt!N36</f>
        <v>-0.22322365181648862</v>
      </c>
      <c r="O82" t="s">
        <v>183</v>
      </c>
    </row>
    <row r="83" spans="1:15">
      <c r="B83" t="s">
        <v>144</v>
      </c>
      <c r="C83" t="s">
        <v>145</v>
      </c>
      <c r="D83" t="s">
        <v>145</v>
      </c>
      <c r="E83" t="s">
        <v>145</v>
      </c>
      <c r="F83" t="s">
        <v>145</v>
      </c>
      <c r="G83" t="s">
        <v>145</v>
      </c>
      <c r="H83" t="s">
        <v>145</v>
      </c>
      <c r="I83" t="s">
        <v>145</v>
      </c>
      <c r="J83" t="s">
        <v>145</v>
      </c>
      <c r="K83" t="s">
        <v>145</v>
      </c>
      <c r="L83" t="s">
        <v>145</v>
      </c>
      <c r="M83" t="s">
        <v>145</v>
      </c>
      <c r="N83" t="s">
        <v>145</v>
      </c>
    </row>
    <row r="84" spans="1:15">
      <c r="B84" t="s">
        <v>146</v>
      </c>
      <c r="C84" s="6">
        <f>-IF(C83="None",0,(((Cobalt!C28*-(C82+C83))-Cobalt!C30)))</f>
        <v>0</v>
      </c>
      <c r="D84" s="6">
        <f>-IF(D83="None",0,(((Cobalt!D28*-(D82+D83))-Cobalt!D30)))</f>
        <v>0</v>
      </c>
      <c r="E84" s="6">
        <f>-IF(E83="None",0,(((Cobalt!E28*-(E82+E83))-Cobalt!E30)))</f>
        <v>0</v>
      </c>
      <c r="F84" s="6">
        <f>-IF(F83="None",0,(((Cobalt!F28*-(F82+F83))-Cobalt!F30)))</f>
        <v>0</v>
      </c>
      <c r="G84" s="6">
        <f>-IF(G83="None",0,(((Cobalt!G28*-(G82+G83))-Cobalt!G30)))</f>
        <v>0</v>
      </c>
      <c r="H84" s="6">
        <f>-IF(H83="None",0,(((Cobalt!H28*-(H82+H83))-Cobalt!H30)))</f>
        <v>0</v>
      </c>
      <c r="I84" s="6">
        <f>-IF(I83="None",0,(((Cobalt!I28*-(I82+I83))-Cobalt!I30)))</f>
        <v>0</v>
      </c>
      <c r="J84" s="6">
        <f>-IF(J83="None",0,(((Cobalt!J28*-(J82+J83))-Cobalt!J30)))</f>
        <v>0</v>
      </c>
      <c r="K84" s="6">
        <f>-IF(K83="None",0,(((Cobalt!K28*-(K82+K83))-Cobalt!K30)))</f>
        <v>0</v>
      </c>
      <c r="L84" s="6">
        <f>-IF(L83="None",0,(((Cobalt!L28*-(L82+L83))-Cobalt!L30)))</f>
        <v>0</v>
      </c>
      <c r="M84" s="6">
        <f>-IF(M83="None",0,(((Cobalt!M28*-(M82+M83))-Cobalt!M30)))</f>
        <v>0</v>
      </c>
      <c r="N84" s="6">
        <f>-IF(N83="None",0,(((Cobalt!N28*-(N82+N83))-Cobalt!N30)))</f>
        <v>0</v>
      </c>
      <c r="O84" s="6">
        <f>SUM(C84:N84)</f>
        <v>0</v>
      </c>
    </row>
    <row r="85" spans="1:15">
      <c r="B85" t="s">
        <v>149</v>
      </c>
      <c r="C85" s="12">
        <f>SUM(C82:C83)</f>
        <v>-0.22401975490987974</v>
      </c>
      <c r="D85" s="12">
        <f>SUM(D82:D83)</f>
        <v>-0.22248475969944712</v>
      </c>
      <c r="E85" s="12">
        <f>SUM(E82:E83)</f>
        <v>-0.22339487947825318</v>
      </c>
      <c r="F85" s="12">
        <f>SUM(F82:F83)</f>
        <v>-0.22069259154130003</v>
      </c>
      <c r="G85" s="12">
        <f>SUM(G82:G83)</f>
        <v>-0.22113115119127144</v>
      </c>
      <c r="H85" s="12">
        <f>SUM(H82:H83)</f>
        <v>-0.22503938348873845</v>
      </c>
      <c r="I85" s="12">
        <f>SUM(I82:I83)</f>
        <v>-0.22322218625229306</v>
      </c>
      <c r="J85" s="12">
        <f>SUM(J82:J83)</f>
        <v>-0.24571852433623492</v>
      </c>
      <c r="K85" s="12">
        <f>SUM(K82:K83)</f>
        <v>-0.21915598762704375</v>
      </c>
      <c r="L85" s="12">
        <f>SUM(L82:L83)</f>
        <v>-0.22385078016570636</v>
      </c>
      <c r="M85" s="12">
        <f>SUM(M82:M83)</f>
        <v>-0.22300701714022775</v>
      </c>
      <c r="N85" s="12">
        <f>SUM(N82:N83)</f>
        <v>-0.22322365181648862</v>
      </c>
      <c r="O85" t="s">
        <v>183</v>
      </c>
    </row>
    <row r="87" spans="1:15">
      <c r="B87" s="8" t="s">
        <v>150</v>
      </c>
    </row>
    <row r="89" spans="1:15">
      <c r="C89" s="4" t="s">
        <v>70</v>
      </c>
      <c r="D89" s="4" t="s">
        <v>71</v>
      </c>
      <c r="E89" s="4" t="s">
        <v>72</v>
      </c>
      <c r="F89" s="4" t="s">
        <v>73</v>
      </c>
      <c r="G89" s="4" t="s">
        <v>50</v>
      </c>
      <c r="H89" s="4" t="s">
        <v>74</v>
      </c>
      <c r="I89" s="4" t="s">
        <v>75</v>
      </c>
      <c r="J89" s="4" t="s">
        <v>76</v>
      </c>
      <c r="K89" s="4" t="s">
        <v>77</v>
      </c>
      <c r="L89" s="4" t="s">
        <v>78</v>
      </c>
      <c r="M89" s="4" t="s">
        <v>79</v>
      </c>
      <c r="N89" s="4" t="s">
        <v>80</v>
      </c>
      <c r="O89" s="4" t="s">
        <v>174</v>
      </c>
    </row>
    <row r="90" spans="1:15">
      <c r="A90">
        <v>2090</v>
      </c>
      <c r="B90" t="s">
        <v>151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20">
        <v>0</v>
      </c>
      <c r="L90" s="20">
        <v>0</v>
      </c>
      <c r="M90" s="20">
        <v>0</v>
      </c>
      <c r="N90" s="20">
        <v>0</v>
      </c>
    </row>
    <row r="91" spans="1:15">
      <c r="A91">
        <v>2135</v>
      </c>
      <c r="B91" t="s">
        <v>152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20">
        <v>0</v>
      </c>
      <c r="L91" s="20">
        <v>0</v>
      </c>
      <c r="M91" s="20">
        <v>0</v>
      </c>
      <c r="N91" s="20">
        <v>0</v>
      </c>
    </row>
    <row r="92" spans="1:15">
      <c r="A92">
        <v>2175</v>
      </c>
      <c r="B92" t="s">
        <v>153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20">
        <v>0</v>
      </c>
      <c r="L92" s="20">
        <v>0</v>
      </c>
      <c r="M92" s="20">
        <v>0</v>
      </c>
      <c r="N92" s="20">
        <v>0</v>
      </c>
    </row>
    <row r="93" spans="1:15">
      <c r="A93">
        <v>2140</v>
      </c>
      <c r="B93" t="s">
        <v>154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20">
        <v>0</v>
      </c>
      <c r="L93" s="20">
        <v>0</v>
      </c>
      <c r="M93" s="20">
        <v>0</v>
      </c>
      <c r="N93" s="20">
        <v>0</v>
      </c>
    </row>
    <row r="94" spans="1:15">
      <c r="A94">
        <v>2180</v>
      </c>
      <c r="B94" t="s">
        <v>155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20">
        <v>0</v>
      </c>
      <c r="L94" s="20">
        <v>0</v>
      </c>
      <c r="M94" s="20">
        <v>0</v>
      </c>
      <c r="N94" s="20">
        <v>0</v>
      </c>
    </row>
    <row r="95" spans="1:15">
      <c r="A95">
        <v>2185</v>
      </c>
      <c r="B95" s="2" t="s">
        <v>156</v>
      </c>
      <c r="C95" s="6">
        <f>SUM(C90:C94)</f>
        <v>0</v>
      </c>
      <c r="D95" s="6">
        <f>SUM(D90:D94)</f>
        <v>0</v>
      </c>
      <c r="E95" s="6">
        <f>SUM(E90:E94)</f>
        <v>0</v>
      </c>
      <c r="F95" s="6">
        <f>SUM(F90:F94)</f>
        <v>0</v>
      </c>
      <c r="G95" s="6">
        <f>SUM(G90:G94)</f>
        <v>0</v>
      </c>
      <c r="H95" s="6">
        <f>SUM(H90:H94)</f>
        <v>0</v>
      </c>
      <c r="I95" s="6">
        <f>SUM(I90:I94)</f>
        <v>0</v>
      </c>
      <c r="J95" s="6">
        <f>SUM(J90:J94)</f>
        <v>0</v>
      </c>
      <c r="K95" s="6">
        <f>SUM(K90:K94)</f>
        <v>0</v>
      </c>
      <c r="L95" s="6">
        <f>SUM(L90:L94)</f>
        <v>0</v>
      </c>
      <c r="M95" s="6">
        <f>SUM(M90:M94)</f>
        <v>0</v>
      </c>
      <c r="N95" s="6">
        <f>SUM(N90:N94)</f>
        <v>0</v>
      </c>
    </row>
    <row r="97" spans="2:2">
      <c r="B97" s="21" t="s">
        <v>184</v>
      </c>
    </row>
  </sheetData>
  <dataValidations count="1">
    <dataValidation type="list" allowBlank="1" sqref="C76:N76 C83:N83" xr:uid="{00000000-0002-0000-0E00-000000000000}">
      <formula1>"None,-2.0%,-1.5%,-1.0%,-0.5%,0.5%,1.0%,1.5%,2.0%"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70C0"/>
  </sheetPr>
  <dimension ref="B1:CE73"/>
  <sheetViews>
    <sheetView showGridLines="0" workbookViewId="0">
      <pane xSplit="2" ySplit="26" topLeftCell="C27" activePane="bottomRight" state="frozen"/>
      <selection pane="bottomRight"/>
      <selection pane="bottomLeft"/>
      <selection pane="topRight"/>
    </sheetView>
  </sheetViews>
  <sheetFormatPr defaultRowHeight="15" outlineLevelRow="1"/>
  <cols>
    <col min="1" max="1" width="2" customWidth="1"/>
    <col min="2" max="2" width="30" customWidth="1"/>
    <col min="3" max="15" width="11" customWidth="1"/>
    <col min="16" max="16" width="2" customWidth="1"/>
    <col min="17" max="29" width="11" customWidth="1"/>
    <col min="30" max="30" width="2" customWidth="1"/>
    <col min="31" max="43" width="11" customWidth="1"/>
    <col min="44" max="44" width="2" customWidth="1"/>
    <col min="45" max="57" width="11" customWidth="1"/>
    <col min="58" max="58" width="2" customWidth="1"/>
    <col min="59" max="71" width="11" customWidth="1"/>
    <col min="72" max="72" width="2" customWidth="1"/>
    <col min="73" max="75" width="11" customWidth="1"/>
    <col min="76" max="76" width="2" customWidth="1"/>
    <col min="77" max="79" width="11" customWidth="1"/>
    <col min="80" max="80" width="2" customWidth="1"/>
    <col min="81" max="83" width="11" customWidth="1"/>
  </cols>
  <sheetData>
    <row r="1" spans="2:14" outlineLevel="1">
      <c r="C1" s="15" t="s">
        <v>34</v>
      </c>
      <c r="D1" s="15" t="s">
        <v>34</v>
      </c>
      <c r="E1" s="15" t="s">
        <v>34</v>
      </c>
      <c r="F1" s="15" t="s">
        <v>34</v>
      </c>
      <c r="G1" s="15" t="s">
        <v>34</v>
      </c>
      <c r="H1" s="15" t="s">
        <v>34</v>
      </c>
      <c r="I1" s="15" t="s">
        <v>34</v>
      </c>
      <c r="J1" s="15" t="s">
        <v>34</v>
      </c>
      <c r="K1" s="15" t="s">
        <v>45</v>
      </c>
      <c r="L1" s="15" t="s">
        <v>45</v>
      </c>
      <c r="M1" s="15" t="s">
        <v>45</v>
      </c>
      <c r="N1" s="15" t="s">
        <v>45</v>
      </c>
    </row>
    <row r="2" spans="2:14" outlineLevel="1">
      <c r="B2" s="15" t="s">
        <v>2</v>
      </c>
      <c r="C2" s="15" t="s">
        <v>34</v>
      </c>
      <c r="D2" s="15" t="s">
        <v>34</v>
      </c>
      <c r="E2" s="15" t="s">
        <v>34</v>
      </c>
      <c r="F2" s="15" t="s">
        <v>34</v>
      </c>
      <c r="G2" s="15" t="s">
        <v>34</v>
      </c>
      <c r="H2" s="15" t="s">
        <v>34</v>
      </c>
      <c r="I2" s="15" t="s">
        <v>34</v>
      </c>
      <c r="J2" s="15" t="s">
        <v>34</v>
      </c>
      <c r="K2" s="15" t="s">
        <v>34</v>
      </c>
      <c r="L2" s="15" t="s">
        <v>34</v>
      </c>
      <c r="M2" s="15" t="s">
        <v>34</v>
      </c>
      <c r="N2" s="15" t="s">
        <v>34</v>
      </c>
    </row>
    <row r="3" spans="2:14" outlineLevel="1"/>
    <row r="4" spans="2:14" outlineLevel="1"/>
    <row r="5" spans="2:14" outlineLevel="1">
      <c r="B5" s="15" t="s">
        <v>4</v>
      </c>
      <c r="C5" s="15">
        <v>2026</v>
      </c>
      <c r="D5" s="15">
        <v>2026</v>
      </c>
      <c r="E5" s="15">
        <v>2026</v>
      </c>
      <c r="F5" s="15">
        <v>2026</v>
      </c>
      <c r="G5" s="15">
        <v>2026</v>
      </c>
      <c r="H5" s="15">
        <v>2026</v>
      </c>
      <c r="I5" s="15">
        <v>2026</v>
      </c>
      <c r="J5" s="15">
        <v>2026</v>
      </c>
      <c r="K5" s="15">
        <v>2026</v>
      </c>
      <c r="L5" s="15">
        <v>2026</v>
      </c>
      <c r="M5" s="15">
        <v>2026</v>
      </c>
      <c r="N5" s="15">
        <v>2026</v>
      </c>
    </row>
    <row r="6" spans="2:14" outlineLevel="1"/>
    <row r="7" spans="2:14" outlineLevel="1"/>
    <row r="8" spans="2:14" outlineLevel="1">
      <c r="B8" s="15" t="s">
        <v>5</v>
      </c>
      <c r="C8" s="15" t="s">
        <v>35</v>
      </c>
      <c r="D8" s="15" t="s">
        <v>39</v>
      </c>
      <c r="E8" s="15" t="s">
        <v>43</v>
      </c>
      <c r="F8" s="15" t="s">
        <v>47</v>
      </c>
      <c r="G8" s="15" t="s">
        <v>51</v>
      </c>
      <c r="H8" s="15" t="s">
        <v>54</v>
      </c>
      <c r="I8" s="15" t="s">
        <v>56</v>
      </c>
      <c r="J8" s="15" t="s">
        <v>58</v>
      </c>
      <c r="K8" s="15" t="s">
        <v>32</v>
      </c>
      <c r="L8" s="15" t="s">
        <v>37</v>
      </c>
      <c r="M8" s="15" t="s">
        <v>66</v>
      </c>
      <c r="N8" s="15" t="s">
        <v>68</v>
      </c>
    </row>
    <row r="9" spans="2:14" outlineLevel="1">
      <c r="B9" s="15" t="s">
        <v>13</v>
      </c>
    </row>
    <row r="10" spans="2:14" outlineLevel="1">
      <c r="B10" s="15" t="s">
        <v>14</v>
      </c>
    </row>
    <row r="11" spans="2:14" outlineLevel="1">
      <c r="B11" s="15" t="s">
        <v>16</v>
      </c>
      <c r="C11" s="15" t="s">
        <v>17</v>
      </c>
      <c r="D11" s="15" t="s">
        <v>17</v>
      </c>
      <c r="E11" s="15" t="s">
        <v>17</v>
      </c>
      <c r="F11" s="15" t="s">
        <v>17</v>
      </c>
      <c r="G11" s="15" t="s">
        <v>17</v>
      </c>
      <c r="H11" s="15" t="s">
        <v>17</v>
      </c>
      <c r="I11" s="15" t="s">
        <v>17</v>
      </c>
      <c r="J11" s="15" t="s">
        <v>17</v>
      </c>
      <c r="K11" s="15" t="s">
        <v>17</v>
      </c>
      <c r="L11" s="15" t="s">
        <v>17</v>
      </c>
      <c r="M11" s="15" t="s">
        <v>17</v>
      </c>
      <c r="N11" s="15" t="s">
        <v>17</v>
      </c>
    </row>
    <row r="12" spans="2:14" outlineLevel="1">
      <c r="B12" s="15" t="s">
        <v>18</v>
      </c>
      <c r="C12" s="15" t="s">
        <v>19</v>
      </c>
      <c r="D12" s="15" t="s">
        <v>19</v>
      </c>
      <c r="E12" s="15" t="s">
        <v>19</v>
      </c>
      <c r="F12" s="15" t="s">
        <v>19</v>
      </c>
      <c r="G12" s="15" t="s">
        <v>19</v>
      </c>
      <c r="H12" s="15" t="s">
        <v>19</v>
      </c>
      <c r="I12" s="15" t="s">
        <v>19</v>
      </c>
      <c r="J12" s="15" t="s">
        <v>19</v>
      </c>
      <c r="K12" s="15" t="s">
        <v>19</v>
      </c>
      <c r="L12" s="15" t="s">
        <v>19</v>
      </c>
      <c r="M12" s="15" t="s">
        <v>19</v>
      </c>
      <c r="N12" s="15" t="s">
        <v>19</v>
      </c>
    </row>
    <row r="13" spans="2:14" outlineLevel="1">
      <c r="B13" s="15" t="s">
        <v>20</v>
      </c>
    </row>
    <row r="14" spans="2:14" outlineLevel="1">
      <c r="B14" s="15" t="s">
        <v>22</v>
      </c>
    </row>
    <row r="15" spans="2:14" outlineLevel="1"/>
    <row r="16" spans="2:14" outlineLevel="1"/>
    <row r="17" spans="2:83" outlineLevel="1"/>
    <row r="18" spans="2:83" outlineLevel="1">
      <c r="B18" s="15" t="s">
        <v>7</v>
      </c>
      <c r="C18" s="15" t="s">
        <v>157</v>
      </c>
      <c r="D18" s="15" t="s">
        <v>157</v>
      </c>
      <c r="E18" s="15" t="s">
        <v>157</v>
      </c>
      <c r="F18" s="15" t="s">
        <v>157</v>
      </c>
      <c r="G18" s="15" t="s">
        <v>157</v>
      </c>
      <c r="H18" s="15" t="s">
        <v>157</v>
      </c>
      <c r="I18" s="15" t="s">
        <v>157</v>
      </c>
      <c r="J18" s="15" t="s">
        <v>157</v>
      </c>
      <c r="K18" s="15" t="s">
        <v>157</v>
      </c>
      <c r="L18" s="15" t="s">
        <v>157</v>
      </c>
      <c r="M18" s="15" t="s">
        <v>157</v>
      </c>
      <c r="N18" s="15" t="s">
        <v>157</v>
      </c>
    </row>
    <row r="19" spans="2:83" outlineLevel="1">
      <c r="B19" s="15" t="s">
        <v>11</v>
      </c>
      <c r="C19" s="15" t="s">
        <v>12</v>
      </c>
      <c r="D19" s="15" t="s">
        <v>12</v>
      </c>
      <c r="E19" s="15" t="s">
        <v>12</v>
      </c>
      <c r="F19" s="15" t="s">
        <v>12</v>
      </c>
      <c r="G19" s="15" t="s">
        <v>12</v>
      </c>
      <c r="H19" s="15" t="s">
        <v>12</v>
      </c>
      <c r="I19" s="15" t="s">
        <v>12</v>
      </c>
      <c r="J19" s="15" t="s">
        <v>12</v>
      </c>
      <c r="K19" s="15" t="s">
        <v>12</v>
      </c>
      <c r="L19" s="15" t="s">
        <v>12</v>
      </c>
      <c r="M19" s="15" t="s">
        <v>12</v>
      </c>
      <c r="N19" s="15" t="s">
        <v>12</v>
      </c>
    </row>
    <row r="21" spans="2:83">
      <c r="B21" s="1" t="s">
        <v>24</v>
      </c>
    </row>
    <row r="22" spans="2:83">
      <c r="B22" s="15" t="s">
        <v>194</v>
      </c>
    </row>
    <row r="23" spans="2:83">
      <c r="B23" s="3" t="s">
        <v>103</v>
      </c>
      <c r="BU23" s="8" t="s">
        <v>158</v>
      </c>
    </row>
    <row r="24" spans="2:83">
      <c r="C24" s="8" t="s">
        <v>159</v>
      </c>
      <c r="Q24" s="8" t="s">
        <v>160</v>
      </c>
      <c r="AE24" s="8" t="s">
        <v>161</v>
      </c>
      <c r="AS24" s="8" t="s">
        <v>162</v>
      </c>
      <c r="BG24" s="8" t="s">
        <v>52</v>
      </c>
      <c r="BU24" s="2" t="s">
        <v>91</v>
      </c>
      <c r="BY24" s="2" t="s">
        <v>92</v>
      </c>
      <c r="CC24" s="2" t="s">
        <v>81</v>
      </c>
    </row>
    <row r="25" spans="2:83"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34</v>
      </c>
      <c r="I25" t="s">
        <v>34</v>
      </c>
      <c r="J25" t="s">
        <v>34</v>
      </c>
      <c r="K25" t="s">
        <v>45</v>
      </c>
      <c r="L25" t="s">
        <v>45</v>
      </c>
      <c r="M25" t="s">
        <v>45</v>
      </c>
      <c r="N25" t="s">
        <v>45</v>
      </c>
      <c r="O25" t="s">
        <v>163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45</v>
      </c>
      <c r="Z25" t="s">
        <v>45</v>
      </c>
      <c r="AA25" t="s">
        <v>45</v>
      </c>
      <c r="AB25" t="s">
        <v>45</v>
      </c>
      <c r="AC25" t="s">
        <v>163</v>
      </c>
      <c r="BG25" t="s">
        <v>34</v>
      </c>
      <c r="BH25" t="s">
        <v>34</v>
      </c>
      <c r="BI25" t="s">
        <v>34</v>
      </c>
      <c r="BJ25" t="s">
        <v>34</v>
      </c>
      <c r="BK25" t="s">
        <v>34</v>
      </c>
      <c r="BL25" t="s">
        <v>34</v>
      </c>
      <c r="BM25" t="s">
        <v>34</v>
      </c>
      <c r="BN25" t="s">
        <v>34</v>
      </c>
      <c r="BO25" t="s">
        <v>34</v>
      </c>
      <c r="BP25" t="s">
        <v>52</v>
      </c>
      <c r="BQ25" t="s">
        <v>52</v>
      </c>
      <c r="BR25" t="s">
        <v>52</v>
      </c>
      <c r="BS25" t="s">
        <v>163</v>
      </c>
    </row>
    <row r="26" spans="2:83" ht="30" customHeight="1">
      <c r="B26" s="2" t="s">
        <v>164</v>
      </c>
      <c r="C26" s="16" t="s">
        <v>70</v>
      </c>
      <c r="D26" s="16" t="s">
        <v>71</v>
      </c>
      <c r="E26" s="16" t="s">
        <v>72</v>
      </c>
      <c r="F26" s="16" t="s">
        <v>73</v>
      </c>
      <c r="G26" s="16" t="s">
        <v>50</v>
      </c>
      <c r="H26" s="16" t="s">
        <v>74</v>
      </c>
      <c r="I26" s="16" t="s">
        <v>75</v>
      </c>
      <c r="J26" s="16" t="s">
        <v>76</v>
      </c>
      <c r="K26" s="16" t="s">
        <v>77</v>
      </c>
      <c r="L26" s="16" t="s">
        <v>78</v>
      </c>
      <c r="M26" s="16" t="s">
        <v>79</v>
      </c>
      <c r="N26" s="16" t="s">
        <v>80</v>
      </c>
      <c r="O26" s="16" t="s">
        <v>165</v>
      </c>
      <c r="Q26" s="16" t="s">
        <v>70</v>
      </c>
      <c r="R26" s="16" t="s">
        <v>71</v>
      </c>
      <c r="S26" s="16" t="s">
        <v>72</v>
      </c>
      <c r="T26" s="16" t="s">
        <v>73</v>
      </c>
      <c r="U26" s="16" t="s">
        <v>50</v>
      </c>
      <c r="V26" s="16" t="s">
        <v>74</v>
      </c>
      <c r="W26" s="16" t="s">
        <v>75</v>
      </c>
      <c r="X26" s="16" t="s">
        <v>76</v>
      </c>
      <c r="Y26" s="16" t="s">
        <v>77</v>
      </c>
      <c r="Z26" s="16" t="s">
        <v>78</v>
      </c>
      <c r="AA26" s="16" t="s">
        <v>79</v>
      </c>
      <c r="AB26" s="16" t="s">
        <v>80</v>
      </c>
      <c r="AC26" s="16" t="s">
        <v>165</v>
      </c>
      <c r="AE26" s="16" t="s">
        <v>70</v>
      </c>
      <c r="AF26" s="16" t="s">
        <v>71</v>
      </c>
      <c r="AG26" s="16" t="s">
        <v>72</v>
      </c>
      <c r="AH26" s="16" t="s">
        <v>73</v>
      </c>
      <c r="AI26" s="16" t="s">
        <v>50</v>
      </c>
      <c r="AJ26" s="16" t="s">
        <v>74</v>
      </c>
      <c r="AK26" s="16" t="s">
        <v>75</v>
      </c>
      <c r="AL26" s="16" t="s">
        <v>76</v>
      </c>
      <c r="AM26" s="16" t="s">
        <v>77</v>
      </c>
      <c r="AN26" s="16" t="s">
        <v>78</v>
      </c>
      <c r="AO26" s="16" t="s">
        <v>79</v>
      </c>
      <c r="AP26" s="16" t="s">
        <v>80</v>
      </c>
      <c r="AQ26" s="16" t="s">
        <v>165</v>
      </c>
      <c r="AS26" s="16" t="s">
        <v>70</v>
      </c>
      <c r="AT26" s="16" t="s">
        <v>71</v>
      </c>
      <c r="AU26" s="16" t="s">
        <v>72</v>
      </c>
      <c r="AV26" s="16" t="s">
        <v>73</v>
      </c>
      <c r="AW26" s="16" t="s">
        <v>50</v>
      </c>
      <c r="AX26" s="16" t="s">
        <v>74</v>
      </c>
      <c r="AY26" s="16" t="s">
        <v>75</v>
      </c>
      <c r="AZ26" s="16" t="s">
        <v>76</v>
      </c>
      <c r="BA26" s="16" t="s">
        <v>77</v>
      </c>
      <c r="BB26" s="16" t="s">
        <v>78</v>
      </c>
      <c r="BC26" s="16" t="s">
        <v>79</v>
      </c>
      <c r="BD26" s="16" t="s">
        <v>80</v>
      </c>
      <c r="BE26" s="16" t="s">
        <v>165</v>
      </c>
      <c r="BG26" s="16" t="s">
        <v>70</v>
      </c>
      <c r="BH26" s="16" t="s">
        <v>71</v>
      </c>
      <c r="BI26" s="16" t="s">
        <v>72</v>
      </c>
      <c r="BJ26" s="16" t="s">
        <v>73</v>
      </c>
      <c r="BK26" s="16" t="s">
        <v>50</v>
      </c>
      <c r="BL26" s="16" t="s">
        <v>74</v>
      </c>
      <c r="BM26" s="16" t="s">
        <v>75</v>
      </c>
      <c r="BN26" s="16" t="s">
        <v>76</v>
      </c>
      <c r="BO26" s="16" t="s">
        <v>77</v>
      </c>
      <c r="BP26" s="16" t="s">
        <v>78</v>
      </c>
      <c r="BQ26" s="16" t="s">
        <v>79</v>
      </c>
      <c r="BR26" s="16" t="s">
        <v>80</v>
      </c>
      <c r="BS26" s="16" t="s">
        <v>165</v>
      </c>
      <c r="BU26" s="17" t="s">
        <v>94</v>
      </c>
      <c r="BV26" s="17" t="s">
        <v>95</v>
      </c>
      <c r="BW26" s="17" t="s">
        <v>96</v>
      </c>
      <c r="BY26" s="17" t="s">
        <v>97</v>
      </c>
      <c r="BZ26" s="17" t="s">
        <v>98</v>
      </c>
      <c r="CA26" s="17" t="s">
        <v>99</v>
      </c>
      <c r="CC26" s="17" t="s">
        <v>97</v>
      </c>
      <c r="CD26" s="17" t="s">
        <v>98</v>
      </c>
      <c r="CE26" s="17" t="s">
        <v>99</v>
      </c>
    </row>
    <row r="28" spans="2:83">
      <c r="B28" s="2" t="s">
        <v>100</v>
      </c>
      <c r="C28" s="6">
        <v>4333.1000000000004</v>
      </c>
      <c r="D28" s="6">
        <v>4232.2</v>
      </c>
      <c r="E28" s="6">
        <v>4538.6000000000004</v>
      </c>
      <c r="F28" s="6">
        <v>4932.2</v>
      </c>
      <c r="G28" s="6">
        <v>4491</v>
      </c>
      <c r="H28" s="6">
        <v>4697.3999999999996</v>
      </c>
      <c r="I28" s="6">
        <v>4633.5</v>
      </c>
      <c r="J28" s="6">
        <v>4583.7</v>
      </c>
      <c r="K28" s="6">
        <v>4526</v>
      </c>
      <c r="L28" s="6">
        <v>4755.3999999999996</v>
      </c>
      <c r="M28" s="6">
        <v>4346.5</v>
      </c>
      <c r="N28" s="6">
        <v>4671.1000000000004</v>
      </c>
      <c r="O28" s="18">
        <f>SUM(C28:N28)</f>
        <v>54740.7</v>
      </c>
      <c r="Q28" s="6">
        <v>4333.1000000000004</v>
      </c>
      <c r="R28" s="6">
        <v>4232.2</v>
      </c>
      <c r="S28" s="6">
        <v>4538.6000000000004</v>
      </c>
      <c r="T28" s="6">
        <v>4932.2</v>
      </c>
      <c r="U28" s="6">
        <v>4491</v>
      </c>
      <c r="V28" s="6">
        <v>4697.3999999999996</v>
      </c>
      <c r="W28" s="6">
        <v>4633.5</v>
      </c>
      <c r="X28" s="6">
        <v>4583.7</v>
      </c>
      <c r="Y28" s="6">
        <v>4526</v>
      </c>
      <c r="Z28" s="6">
        <v>4755.3999999999996</v>
      </c>
      <c r="AA28" s="6">
        <v>4346.5</v>
      </c>
      <c r="AB28" s="6">
        <v>4671.1000000000004</v>
      </c>
      <c r="AC28" s="18">
        <f>SUM(Q28:AB28)</f>
        <v>54740.7</v>
      </c>
      <c r="AE28" s="6">
        <f>Q28-C28</f>
        <v>0</v>
      </c>
      <c r="AF28" s="6">
        <f>R28-D28</f>
        <v>0</v>
      </c>
      <c r="AG28" s="6">
        <f>S28-E28</f>
        <v>0</v>
      </c>
      <c r="AH28" s="6">
        <f>T28-F28</f>
        <v>0</v>
      </c>
      <c r="AI28" s="6">
        <f>U28-G28</f>
        <v>0</v>
      </c>
      <c r="AJ28" s="6">
        <f>V28-H28</f>
        <v>0</v>
      </c>
      <c r="AK28" s="6">
        <f>W28-I28</f>
        <v>0</v>
      </c>
      <c r="AL28" s="6">
        <f>X28-J28</f>
        <v>0</v>
      </c>
      <c r="AM28" s="6">
        <f>Y28-K28</f>
        <v>0</v>
      </c>
      <c r="AN28" s="6">
        <f>Z28-L28</f>
        <v>0</v>
      </c>
      <c r="AO28" s="6">
        <f>AA28-M28</f>
        <v>0</v>
      </c>
      <c r="AP28" s="6">
        <f>AB28-N28</f>
        <v>0</v>
      </c>
      <c r="AQ28" s="18">
        <f>SUM(AE28:AP28)</f>
        <v>0</v>
      </c>
      <c r="AS28" s="6">
        <f>'Cobalt-Adj'!C14</f>
        <v>0</v>
      </c>
      <c r="AT28" s="6">
        <f>'Cobalt-Adj'!D14</f>
        <v>0</v>
      </c>
      <c r="AU28" s="6">
        <f>'Cobalt-Adj'!E14</f>
        <v>0</v>
      </c>
      <c r="AV28" s="6">
        <f>'Cobalt-Adj'!F14</f>
        <v>0</v>
      </c>
      <c r="AW28" s="6">
        <f>'Cobalt-Adj'!G14</f>
        <v>0</v>
      </c>
      <c r="AX28" s="6">
        <f>'Cobalt-Adj'!H14</f>
        <v>0</v>
      </c>
      <c r="AY28" s="6">
        <f>'Cobalt-Adj'!I14</f>
        <v>0</v>
      </c>
      <c r="AZ28" s="6">
        <f>'Cobalt-Adj'!J14</f>
        <v>0</v>
      </c>
      <c r="BA28" s="6">
        <f>'Cobalt-Adj'!K14</f>
        <v>30</v>
      </c>
      <c r="BB28" s="6">
        <f>'Cobalt-Adj'!L14</f>
        <v>40</v>
      </c>
      <c r="BC28" s="6">
        <f>'Cobalt-Adj'!M14</f>
        <v>40</v>
      </c>
      <c r="BD28" s="6">
        <f>'Cobalt-Adj'!N14</f>
        <v>40</v>
      </c>
      <c r="BE28" s="18">
        <f>SUM(AS28:BD28)</f>
        <v>150</v>
      </c>
      <c r="BG28" s="6">
        <f>C28+AE28+AS28</f>
        <v>4333.1000000000004</v>
      </c>
      <c r="BH28" s="6">
        <f>D28+AF28+AT28</f>
        <v>4232.2</v>
      </c>
      <c r="BI28" s="6">
        <f>E28+AG28+AU28</f>
        <v>4538.6000000000004</v>
      </c>
      <c r="BJ28" s="6">
        <f>F28+AH28+AV28</f>
        <v>4932.2</v>
      </c>
      <c r="BK28" s="6">
        <f>G28+AI28+AW28</f>
        <v>4491</v>
      </c>
      <c r="BL28" s="6">
        <f>H28+AJ28+AX28</f>
        <v>4697.3999999999996</v>
      </c>
      <c r="BM28" s="6">
        <f>I28+AK28+AY28</f>
        <v>4633.5</v>
      </c>
      <c r="BN28" s="6">
        <f>J28+AL28+AZ28</f>
        <v>4583.7</v>
      </c>
      <c r="BO28" s="6">
        <f>K28+AM28+BA28</f>
        <v>4556</v>
      </c>
      <c r="BP28" s="6">
        <f>L28+AN28+BB28</f>
        <v>4795.3999999999996</v>
      </c>
      <c r="BQ28" s="6">
        <f>M28+AO28+BC28</f>
        <v>4386.5</v>
      </c>
      <c r="BR28" s="6">
        <f>N28+AP28+BD28</f>
        <v>4711.1000000000004</v>
      </c>
      <c r="BS28" s="18">
        <f>SUM(BG28:BR28)</f>
        <v>54890.7</v>
      </c>
      <c r="BU28" s="6">
        <f>SUM(BG28:BO28)-SUM(C28:K28)</f>
        <v>30</v>
      </c>
      <c r="BV28" s="6">
        <f>SUM(BG28:BO28)-SUM(C51:K51)</f>
        <v>-114.60000000000582</v>
      </c>
      <c r="BW28" s="6">
        <f>SUM(BG28:BO28)-SUM(C64:K64)</f>
        <v>1556.1999999999971</v>
      </c>
      <c r="BY28" s="6">
        <f>SUM(BP28:BR28)-SUM(L28:N28)</f>
        <v>120</v>
      </c>
      <c r="BZ28" s="6">
        <f>SUM(BP28:BR28)-SUM(L51:N51)</f>
        <v>5.5</v>
      </c>
      <c r="CA28" s="6">
        <f>SUM(BP28:BR28)-SUM(L64:N64)</f>
        <v>598.79999999999927</v>
      </c>
      <c r="CC28" s="6">
        <f>BS28-O28</f>
        <v>150</v>
      </c>
      <c r="CD28" s="6">
        <f>BS28-O51</f>
        <v>-109.09999999999854</v>
      </c>
      <c r="CE28" s="6">
        <f>BS28-O64</f>
        <v>2155</v>
      </c>
    </row>
    <row r="29" spans="2:83">
      <c r="B29" s="5" t="s">
        <v>111</v>
      </c>
      <c r="C29" s="6">
        <v>1509</v>
      </c>
      <c r="D29" s="6">
        <v>1493.8</v>
      </c>
      <c r="E29" s="6">
        <v>1598.3</v>
      </c>
      <c r="F29" s="6">
        <v>1723.5</v>
      </c>
      <c r="G29" s="6">
        <v>1580.5</v>
      </c>
      <c r="H29" s="6">
        <v>1649.7</v>
      </c>
      <c r="I29" s="6">
        <v>1615.5</v>
      </c>
      <c r="J29" s="6">
        <v>1615</v>
      </c>
      <c r="K29" s="6">
        <v>1578.8</v>
      </c>
      <c r="L29" s="6">
        <v>1669.9</v>
      </c>
      <c r="M29" s="6">
        <v>1513.3</v>
      </c>
      <c r="N29" s="6">
        <v>1630.9</v>
      </c>
      <c r="O29" s="18">
        <f>SUM(C29:N29)</f>
        <v>19178.2</v>
      </c>
      <c r="Q29" s="6">
        <v>1509</v>
      </c>
      <c r="R29" s="6">
        <v>1493.8</v>
      </c>
      <c r="S29" s="6">
        <v>1598.3</v>
      </c>
      <c r="T29" s="6">
        <v>1723.5</v>
      </c>
      <c r="U29" s="6">
        <v>1580.5</v>
      </c>
      <c r="V29" s="6">
        <v>1649.7</v>
      </c>
      <c r="W29" s="6">
        <v>1615.5</v>
      </c>
      <c r="X29" s="6">
        <v>1615</v>
      </c>
      <c r="Y29" s="6">
        <v>1578.8</v>
      </c>
      <c r="Z29" s="6">
        <v>1669.9</v>
      </c>
      <c r="AA29" s="6">
        <v>1513.3</v>
      </c>
      <c r="AB29" s="6">
        <v>1630.9</v>
      </c>
      <c r="AC29" s="18">
        <f>SUM(Q29:AB29)</f>
        <v>19178.2</v>
      </c>
      <c r="AE29" s="6">
        <f>Q29-C29</f>
        <v>0</v>
      </c>
      <c r="AF29" s="6">
        <f>R29-D29</f>
        <v>0</v>
      </c>
      <c r="AG29" s="6">
        <f>S29-E29</f>
        <v>0</v>
      </c>
      <c r="AH29" s="6">
        <f>T29-F29</f>
        <v>0</v>
      </c>
      <c r="AI29" s="6">
        <f>U29-G29</f>
        <v>0</v>
      </c>
      <c r="AJ29" s="6">
        <f>V29-H29</f>
        <v>0</v>
      </c>
      <c r="AK29" s="6">
        <f>W29-I29</f>
        <v>0</v>
      </c>
      <c r="AL29" s="6">
        <f>X29-J29</f>
        <v>0</v>
      </c>
      <c r="AM29" s="6">
        <f>Y29-K29</f>
        <v>0</v>
      </c>
      <c r="AN29" s="6">
        <f>Z29-L29</f>
        <v>0</v>
      </c>
      <c r="AO29" s="6">
        <f>AA29-M29</f>
        <v>0</v>
      </c>
      <c r="AP29" s="6">
        <f>AB29-N29</f>
        <v>0</v>
      </c>
      <c r="AQ29" s="18">
        <f>SUM(AE29:AP29)</f>
        <v>0</v>
      </c>
      <c r="AS29" s="6">
        <f>'Cobalt-Adj'!C36+'Cobalt-Adj'!C77</f>
        <v>0</v>
      </c>
      <c r="AT29" s="6">
        <f>'Cobalt-Adj'!D36+'Cobalt-Adj'!D77</f>
        <v>0</v>
      </c>
      <c r="AU29" s="6">
        <f>'Cobalt-Adj'!E36+'Cobalt-Adj'!E77</f>
        <v>0</v>
      </c>
      <c r="AV29" s="6">
        <f>'Cobalt-Adj'!F36+'Cobalt-Adj'!F77</f>
        <v>0</v>
      </c>
      <c r="AW29" s="6">
        <f>'Cobalt-Adj'!G36+'Cobalt-Adj'!G77</f>
        <v>0</v>
      </c>
      <c r="AX29" s="6">
        <f>'Cobalt-Adj'!H36+'Cobalt-Adj'!H77</f>
        <v>0</v>
      </c>
      <c r="AY29" s="6">
        <f>'Cobalt-Adj'!I36+'Cobalt-Adj'!I77</f>
        <v>0</v>
      </c>
      <c r="AZ29" s="6">
        <f>'Cobalt-Adj'!J36+'Cobalt-Adj'!J77</f>
        <v>0</v>
      </c>
      <c r="BA29" s="6">
        <f>'Cobalt-Adj'!K36+'Cobalt-Adj'!K77</f>
        <v>-162</v>
      </c>
      <c r="BB29" s="6">
        <f>'Cobalt-Adj'!L36+'Cobalt-Adj'!L77</f>
        <v>-216</v>
      </c>
      <c r="BC29" s="6">
        <f>'Cobalt-Adj'!M36+'Cobalt-Adj'!M77</f>
        <v>-216</v>
      </c>
      <c r="BD29" s="6">
        <f>'Cobalt-Adj'!N36+'Cobalt-Adj'!N77</f>
        <v>-216</v>
      </c>
      <c r="BE29" s="18">
        <f>SUM(AS29:BD29)</f>
        <v>-810</v>
      </c>
      <c r="BG29" s="6">
        <f>C29+AE29+AS29</f>
        <v>1509</v>
      </c>
      <c r="BH29" s="6">
        <f>D29+AF29+AT29</f>
        <v>1493.8</v>
      </c>
      <c r="BI29" s="6">
        <f>E29+AG29+AU29</f>
        <v>1598.3</v>
      </c>
      <c r="BJ29" s="6">
        <f>F29+AH29+AV29</f>
        <v>1723.5</v>
      </c>
      <c r="BK29" s="6">
        <f>G29+AI29+AW29</f>
        <v>1580.5</v>
      </c>
      <c r="BL29" s="6">
        <f>H29+AJ29+AX29</f>
        <v>1649.7</v>
      </c>
      <c r="BM29" s="6">
        <f>I29+AK29+AY29</f>
        <v>1615.5</v>
      </c>
      <c r="BN29" s="6">
        <f>J29+AL29+AZ29</f>
        <v>1615</v>
      </c>
      <c r="BO29" s="6">
        <f>K29+AM29+BA29</f>
        <v>1416.8</v>
      </c>
      <c r="BP29" s="6">
        <f>L29+AN29+BB29</f>
        <v>1453.9</v>
      </c>
      <c r="BQ29" s="6">
        <f>M29+AO29+BC29</f>
        <v>1297.3</v>
      </c>
      <c r="BR29" s="6">
        <f>N29+AP29+BD29</f>
        <v>1414.9</v>
      </c>
      <c r="BS29" s="18">
        <f>SUM(BG29:BR29)</f>
        <v>18368.2</v>
      </c>
      <c r="BU29" s="6">
        <f>SUM(BG29:BO29)-SUM(C29:K29)</f>
        <v>-162</v>
      </c>
      <c r="BV29" s="6">
        <f>SUM(BG29:BO29)-SUM(C52:K52)</f>
        <v>-598.39999999999964</v>
      </c>
      <c r="BW29" s="6">
        <f>SUM(BG29:BO29)-SUM(C65:K65)</f>
        <v>253.60000000000036</v>
      </c>
      <c r="BY29" s="6">
        <f>SUM(BP29:BR29)-SUM(L29:N29)</f>
        <v>-648</v>
      </c>
      <c r="BZ29" s="6">
        <f>SUM(BP29:BR29)-SUM(L52:N52)</f>
        <v>-833.5</v>
      </c>
      <c r="CA29" s="6">
        <f>SUM(BP29:BR29)-SUM(L65:N65)</f>
        <v>-575.39999999999964</v>
      </c>
      <c r="CC29" s="6">
        <f>BS29-O29</f>
        <v>-810</v>
      </c>
      <c r="CD29" s="6">
        <f>BS29-O52</f>
        <v>-1431.8999999999978</v>
      </c>
      <c r="CE29" s="6">
        <f>BS29-O65</f>
        <v>-321.79999999999927</v>
      </c>
    </row>
    <row r="30" spans="2:83">
      <c r="B30" s="5" t="s">
        <v>112</v>
      </c>
      <c r="C30" s="6">
        <v>-970.7</v>
      </c>
      <c r="D30" s="6">
        <v>-941.6</v>
      </c>
      <c r="E30" s="6">
        <v>-1013.9</v>
      </c>
      <c r="F30" s="6">
        <v>-1088.5</v>
      </c>
      <c r="G30" s="6">
        <v>-993.1</v>
      </c>
      <c r="H30" s="6">
        <v>-1057.0999999999999</v>
      </c>
      <c r="I30" s="6">
        <v>-1034.3</v>
      </c>
      <c r="J30" s="6">
        <v>-1126.3</v>
      </c>
      <c r="K30" s="6">
        <v>-991.9</v>
      </c>
      <c r="L30" s="6">
        <v>-1064.5</v>
      </c>
      <c r="M30" s="6">
        <v>-969.3</v>
      </c>
      <c r="N30" s="6">
        <v>-1042.7</v>
      </c>
      <c r="O30" s="18">
        <f>SUM(C30:N30)</f>
        <v>-12293.9</v>
      </c>
      <c r="Q30" s="6">
        <v>-970.7</v>
      </c>
      <c r="R30" s="6">
        <v>-941.6</v>
      </c>
      <c r="S30" s="6">
        <v>-1013.9</v>
      </c>
      <c r="T30" s="6">
        <v>-1088.5</v>
      </c>
      <c r="U30" s="6">
        <v>-993.1</v>
      </c>
      <c r="V30" s="6">
        <v>-1057.0999999999999</v>
      </c>
      <c r="W30" s="6">
        <v>-1034.3</v>
      </c>
      <c r="X30" s="6">
        <v>-1126.3</v>
      </c>
      <c r="Y30" s="6">
        <v>-991.9</v>
      </c>
      <c r="Z30" s="6">
        <v>-1064.5</v>
      </c>
      <c r="AA30" s="6">
        <v>-969.3</v>
      </c>
      <c r="AB30" s="6">
        <v>-1042.7</v>
      </c>
      <c r="AC30" s="18">
        <f>SUM(Q30:AB30)</f>
        <v>-12293.9</v>
      </c>
      <c r="AE30" s="6">
        <f>Q30-C30</f>
        <v>0</v>
      </c>
      <c r="AF30" s="6">
        <f>R30-D30</f>
        <v>0</v>
      </c>
      <c r="AG30" s="6">
        <f>S30-E30</f>
        <v>0</v>
      </c>
      <c r="AH30" s="6">
        <f>T30-F30</f>
        <v>0</v>
      </c>
      <c r="AI30" s="6">
        <f>U30-G30</f>
        <v>0</v>
      </c>
      <c r="AJ30" s="6">
        <f>V30-H30</f>
        <v>0</v>
      </c>
      <c r="AK30" s="6">
        <f>W30-I30</f>
        <v>0</v>
      </c>
      <c r="AL30" s="6">
        <f>X30-J30</f>
        <v>0</v>
      </c>
      <c r="AM30" s="6">
        <f>Y30-K30</f>
        <v>0</v>
      </c>
      <c r="AN30" s="6">
        <f>Z30-L30</f>
        <v>0</v>
      </c>
      <c r="AO30" s="6">
        <f>AA30-M30</f>
        <v>0</v>
      </c>
      <c r="AP30" s="6">
        <f>AB30-N30</f>
        <v>0</v>
      </c>
      <c r="AQ30" s="18">
        <f>SUM(AE30:AP30)</f>
        <v>0</v>
      </c>
      <c r="AS30" s="6">
        <f>-'Cobalt-Adj'!C58-'Cobalt-Adj'!C84</f>
        <v>0</v>
      </c>
      <c r="AT30" s="6">
        <f>-'Cobalt-Adj'!D58-'Cobalt-Adj'!D84</f>
        <v>0</v>
      </c>
      <c r="AU30" s="6">
        <f>-'Cobalt-Adj'!E58-'Cobalt-Adj'!E84</f>
        <v>0</v>
      </c>
      <c r="AV30" s="6">
        <f>-'Cobalt-Adj'!F58-'Cobalt-Adj'!F84</f>
        <v>0</v>
      </c>
      <c r="AW30" s="6">
        <f>-'Cobalt-Adj'!G58-'Cobalt-Adj'!G84</f>
        <v>0</v>
      </c>
      <c r="AX30" s="6">
        <f>-'Cobalt-Adj'!H58-'Cobalt-Adj'!H84</f>
        <v>0</v>
      </c>
      <c r="AY30" s="6">
        <f>-'Cobalt-Adj'!I58-'Cobalt-Adj'!I84</f>
        <v>0</v>
      </c>
      <c r="AZ30" s="6">
        <f>-'Cobalt-Adj'!J58-'Cobalt-Adj'!J84</f>
        <v>0</v>
      </c>
      <c r="BA30" s="6">
        <f>-'Cobalt-Adj'!K58-'Cobalt-Adj'!K84</f>
        <v>6</v>
      </c>
      <c r="BB30" s="6">
        <f>-'Cobalt-Adj'!L58-'Cobalt-Adj'!L84</f>
        <v>-12</v>
      </c>
      <c r="BC30" s="6">
        <f>-'Cobalt-Adj'!M58-'Cobalt-Adj'!M84</f>
        <v>-12</v>
      </c>
      <c r="BD30" s="6">
        <f>-'Cobalt-Adj'!N58-'Cobalt-Adj'!N84</f>
        <v>-12</v>
      </c>
      <c r="BE30" s="18">
        <f>SUM(AS30:BD30)</f>
        <v>-30</v>
      </c>
      <c r="BG30" s="6">
        <f>C30+AE30+AS30</f>
        <v>-970.7</v>
      </c>
      <c r="BH30" s="6">
        <f>D30+AF30+AT30</f>
        <v>-941.6</v>
      </c>
      <c r="BI30" s="6">
        <f>E30+AG30+AU30</f>
        <v>-1013.9</v>
      </c>
      <c r="BJ30" s="6">
        <f>F30+AH30+AV30</f>
        <v>-1088.5</v>
      </c>
      <c r="BK30" s="6">
        <f>G30+AI30+AW30</f>
        <v>-993.1</v>
      </c>
      <c r="BL30" s="6">
        <f>H30+AJ30+AX30</f>
        <v>-1057.0999999999999</v>
      </c>
      <c r="BM30" s="6">
        <f>I30+AK30+AY30</f>
        <v>-1034.3</v>
      </c>
      <c r="BN30" s="6">
        <f>J30+AL30+AZ30</f>
        <v>-1126.3</v>
      </c>
      <c r="BO30" s="6">
        <f>K30+AM30+BA30</f>
        <v>-985.9</v>
      </c>
      <c r="BP30" s="6">
        <f>L30+AN30+BB30</f>
        <v>-1076.5</v>
      </c>
      <c r="BQ30" s="6">
        <f>M30+AO30+BC30</f>
        <v>-981.3</v>
      </c>
      <c r="BR30" s="6">
        <f>N30+AP30+BD30</f>
        <v>-1054.7</v>
      </c>
      <c r="BS30" s="18">
        <f>SUM(BG30:BR30)</f>
        <v>-12323.9</v>
      </c>
      <c r="BU30" s="6">
        <f>SUM(BG30:BO30)-SUM(C30:K30)</f>
        <v>6</v>
      </c>
      <c r="BV30" s="6">
        <f>SUM(BG30:BO30)-SUM(C53:K53)</f>
        <v>-85.299999999999272</v>
      </c>
      <c r="BW30" s="6">
        <f>SUM(BG30:BO30)-SUM(C66:K66)</f>
        <v>-284.99999999999818</v>
      </c>
      <c r="BY30" s="6">
        <f>SUM(BP30:BR30)-SUM(L30:N30)</f>
        <v>-36</v>
      </c>
      <c r="BZ30" s="6">
        <f>SUM(BP30:BR30)-SUM(L53:N53)</f>
        <v>-30</v>
      </c>
      <c r="CA30" s="6">
        <f>SUM(BP30:BR30)-SUM(L66:N66)</f>
        <v>-101.5</v>
      </c>
      <c r="CC30" s="6">
        <f>BS30-O30</f>
        <v>-30</v>
      </c>
      <c r="CD30" s="6">
        <f>BS30-O53</f>
        <v>-115.29999999999927</v>
      </c>
      <c r="CE30" s="6">
        <f>BS30-O66</f>
        <v>-386.49999999999818</v>
      </c>
    </row>
    <row r="31" spans="2:83">
      <c r="B31" s="2" t="s">
        <v>113</v>
      </c>
      <c r="C31" s="6">
        <f>C29+C30</f>
        <v>538.29999999999995</v>
      </c>
      <c r="D31" s="6">
        <f>D29+D30</f>
        <v>552.19999999999993</v>
      </c>
      <c r="E31" s="6">
        <f>E29+E30</f>
        <v>584.4</v>
      </c>
      <c r="F31" s="6">
        <f>F29+F30</f>
        <v>635</v>
      </c>
      <c r="G31" s="6">
        <f>G29+G30</f>
        <v>587.4</v>
      </c>
      <c r="H31" s="6">
        <f>H29+H30</f>
        <v>592.60000000000014</v>
      </c>
      <c r="I31" s="6">
        <f>I29+I30</f>
        <v>581.20000000000005</v>
      </c>
      <c r="J31" s="6">
        <f>J29+J30</f>
        <v>488.70000000000005</v>
      </c>
      <c r="K31" s="6">
        <f>K29+K30</f>
        <v>586.9</v>
      </c>
      <c r="L31" s="6">
        <f>L29+L30</f>
        <v>605.40000000000009</v>
      </c>
      <c r="M31" s="6">
        <f>M29+M30</f>
        <v>544</v>
      </c>
      <c r="N31" s="6">
        <f>N29+N30</f>
        <v>588.20000000000005</v>
      </c>
      <c r="O31" s="18">
        <f>SUM(C31:N31)</f>
        <v>6884.3</v>
      </c>
      <c r="Q31" s="6">
        <f>Q29+Q30</f>
        <v>538.29999999999995</v>
      </c>
      <c r="R31" s="6">
        <f>R29+R30</f>
        <v>552.19999999999993</v>
      </c>
      <c r="S31" s="6">
        <f>S29+S30</f>
        <v>584.4</v>
      </c>
      <c r="T31" s="6">
        <f>T29+T30</f>
        <v>635</v>
      </c>
      <c r="U31" s="6">
        <f>U29+U30</f>
        <v>587.4</v>
      </c>
      <c r="V31" s="6">
        <f>V29+V30</f>
        <v>592.60000000000014</v>
      </c>
      <c r="W31" s="6">
        <f>W29+W30</f>
        <v>581.20000000000005</v>
      </c>
      <c r="X31" s="6">
        <f>X29+X30</f>
        <v>488.70000000000005</v>
      </c>
      <c r="Y31" s="6">
        <f>Y29+Y30</f>
        <v>586.9</v>
      </c>
      <c r="Z31" s="6">
        <f>Z29+Z30</f>
        <v>605.40000000000009</v>
      </c>
      <c r="AA31" s="6">
        <f>AA29+AA30</f>
        <v>544</v>
      </c>
      <c r="AB31" s="6">
        <f>AB29+AB30</f>
        <v>588.20000000000005</v>
      </c>
      <c r="AC31" s="18">
        <f>SUM(Q31:AB31)</f>
        <v>6884.3</v>
      </c>
      <c r="AE31" s="6">
        <f>AE29+AE30</f>
        <v>0</v>
      </c>
      <c r="AF31" s="6">
        <f>AF29+AF30</f>
        <v>0</v>
      </c>
      <c r="AG31" s="6">
        <f>AG29+AG30</f>
        <v>0</v>
      </c>
      <c r="AH31" s="6">
        <f>AH29+AH30</f>
        <v>0</v>
      </c>
      <c r="AI31" s="6">
        <f>AI29+AI30</f>
        <v>0</v>
      </c>
      <c r="AJ31" s="6">
        <f>AJ29+AJ30</f>
        <v>0</v>
      </c>
      <c r="AK31" s="6">
        <f>AK29+AK30</f>
        <v>0</v>
      </c>
      <c r="AL31" s="6">
        <f>AL29+AL30</f>
        <v>0</v>
      </c>
      <c r="AM31" s="6">
        <f>AM29+AM30</f>
        <v>0</v>
      </c>
      <c r="AN31" s="6">
        <f>AN29+AN30</f>
        <v>0</v>
      </c>
      <c r="AO31" s="6">
        <f>AO29+AO30</f>
        <v>0</v>
      </c>
      <c r="AP31" s="6">
        <f>AP29+AP30</f>
        <v>0</v>
      </c>
      <c r="AQ31" s="18">
        <f>SUM(AE31:AP31)</f>
        <v>0</v>
      </c>
      <c r="AS31" s="6">
        <f>AS29+AS30</f>
        <v>0</v>
      </c>
      <c r="AT31" s="6">
        <f>AT29+AT30</f>
        <v>0</v>
      </c>
      <c r="AU31" s="6">
        <f>AU29+AU30</f>
        <v>0</v>
      </c>
      <c r="AV31" s="6">
        <f>AV29+AV30</f>
        <v>0</v>
      </c>
      <c r="AW31" s="6">
        <f>AW29+AW30</f>
        <v>0</v>
      </c>
      <c r="AX31" s="6">
        <f>AX29+AX30</f>
        <v>0</v>
      </c>
      <c r="AY31" s="6">
        <f>AY29+AY30</f>
        <v>0</v>
      </c>
      <c r="AZ31" s="6">
        <f>AZ29+AZ30</f>
        <v>0</v>
      </c>
      <c r="BA31" s="6">
        <f>BA29+BA30</f>
        <v>-156</v>
      </c>
      <c r="BB31" s="6">
        <f>BB29+BB30</f>
        <v>-228</v>
      </c>
      <c r="BC31" s="6">
        <f>BC29+BC30</f>
        <v>-228</v>
      </c>
      <c r="BD31" s="6">
        <f>BD29+BD30</f>
        <v>-228</v>
      </c>
      <c r="BE31" s="18">
        <f>SUM(AS31:BD31)</f>
        <v>-840</v>
      </c>
      <c r="BG31" s="6">
        <f>BG29+BG30</f>
        <v>538.29999999999995</v>
      </c>
      <c r="BH31" s="6">
        <f>BH29+BH30</f>
        <v>552.19999999999993</v>
      </c>
      <c r="BI31" s="6">
        <f>BI29+BI30</f>
        <v>584.4</v>
      </c>
      <c r="BJ31" s="6">
        <f>BJ29+BJ30</f>
        <v>635</v>
      </c>
      <c r="BK31" s="6">
        <f>BK29+BK30</f>
        <v>587.4</v>
      </c>
      <c r="BL31" s="6">
        <f>BL29+BL30</f>
        <v>592.60000000000014</v>
      </c>
      <c r="BM31" s="6">
        <f>BM29+BM30</f>
        <v>581.20000000000005</v>
      </c>
      <c r="BN31" s="6">
        <f>BN29+BN30</f>
        <v>488.70000000000005</v>
      </c>
      <c r="BO31" s="6">
        <f>BO29+BO30</f>
        <v>430.9</v>
      </c>
      <c r="BP31" s="6">
        <f>BP29+BP30</f>
        <v>377.40000000000009</v>
      </c>
      <c r="BQ31" s="6">
        <f>BQ29+BQ30</f>
        <v>316</v>
      </c>
      <c r="BR31" s="6">
        <f>BR29+BR30</f>
        <v>360.20000000000005</v>
      </c>
      <c r="BS31" s="18">
        <f>SUM(BG31:BR31)</f>
        <v>6044.3</v>
      </c>
      <c r="BU31" s="6">
        <f>SUM(BG31:BO31)-SUM(C31:K31)</f>
        <v>-156</v>
      </c>
      <c r="BV31" s="6">
        <f>SUM(BG31:BO31)-SUM(C54:K54)</f>
        <v>-683.70000000000073</v>
      </c>
      <c r="BW31" s="6">
        <f>SUM(BG31:BO31)-SUM(C67:K67)</f>
        <v>-31.400000000000546</v>
      </c>
      <c r="BY31" s="6">
        <f>SUM(BP31:BR31)-SUM(L31:N31)</f>
        <v>-684</v>
      </c>
      <c r="BZ31" s="6">
        <f>SUM(BP31:BR31)-SUM(L54:N54)</f>
        <v>-863.49999999999977</v>
      </c>
      <c r="CA31" s="6">
        <f>SUM(BP31:BR31)-SUM(L67:N67)</f>
        <v>-676.89999999999986</v>
      </c>
      <c r="CC31" s="6">
        <f>BS31-O31</f>
        <v>-840</v>
      </c>
      <c r="CD31" s="6">
        <f>BS31-O54</f>
        <v>-1547.1999999999998</v>
      </c>
      <c r="CE31" s="6">
        <f>BS31-O67</f>
        <v>-708.30000000000018</v>
      </c>
    </row>
    <row r="35" spans="2:71">
      <c r="B35" s="5" t="s">
        <v>166</v>
      </c>
      <c r="C35" s="12">
        <f>IFERROR(C29/C28,0)</f>
        <v>0.34824952112806074</v>
      </c>
      <c r="D35" s="12">
        <f>IFERROR(D29/D28,0)</f>
        <v>0.35296063513066489</v>
      </c>
      <c r="E35" s="12">
        <f>IFERROR(E29/E28,0)</f>
        <v>0.35215705283567617</v>
      </c>
      <c r="F35" s="12">
        <f>IFERROR(F29/F28,0)</f>
        <v>0.34943838449373504</v>
      </c>
      <c r="G35" s="12">
        <f>IFERROR(G29/G28,0)</f>
        <v>0.35192607437096413</v>
      </c>
      <c r="H35" s="12">
        <f>IFERROR(H29/H28,0)</f>
        <v>0.35119427768552819</v>
      </c>
      <c r="I35" s="12">
        <f>IFERROR(I29/I28,0)</f>
        <v>0.34865652314664941</v>
      </c>
      <c r="J35" s="12">
        <f>IFERROR(J29/J28,0)</f>
        <v>0.35233544952767415</v>
      </c>
      <c r="K35" s="12">
        <f>IFERROR(K29/K28,0)</f>
        <v>0.34882898806893503</v>
      </c>
      <c r="L35" s="12">
        <f>IFERROR(L29/L28,0)</f>
        <v>0.3511586827606511</v>
      </c>
      <c r="M35" s="12">
        <f>IFERROR(M29/M28,0)</f>
        <v>0.34816519038306681</v>
      </c>
      <c r="N35" s="12">
        <f>IFERROR(N29/N28,0)</f>
        <v>0.3491468818907752</v>
      </c>
      <c r="O35" s="12">
        <f>IFERROR(O29/O28,0)</f>
        <v>0.35034626886393488</v>
      </c>
      <c r="Q35" s="12">
        <f>IFERROR(Q29/Q28,0)</f>
        <v>0.34824952112806074</v>
      </c>
      <c r="R35" s="12">
        <f>IFERROR(R29/R28,0)</f>
        <v>0.35296063513066489</v>
      </c>
      <c r="S35" s="12">
        <f>IFERROR(S29/S28,0)</f>
        <v>0.35215705283567617</v>
      </c>
      <c r="T35" s="12">
        <f>IFERROR(T29/T28,0)</f>
        <v>0.34943838449373504</v>
      </c>
      <c r="U35" s="12">
        <f>IFERROR(U29/U28,0)</f>
        <v>0.35192607437096413</v>
      </c>
      <c r="V35" s="12">
        <f>IFERROR(V29/V28,0)</f>
        <v>0.35119427768552819</v>
      </c>
      <c r="W35" s="12">
        <f>IFERROR(W29/W28,0)</f>
        <v>0.34865652314664941</v>
      </c>
      <c r="X35" s="12">
        <f>IFERROR(X29/X28,0)</f>
        <v>0.35233544952767415</v>
      </c>
      <c r="Y35" s="12">
        <f>IFERROR(Y29/Y28,0)</f>
        <v>0.34882898806893503</v>
      </c>
      <c r="Z35" s="12">
        <f>IFERROR(Z29/Z28,0)</f>
        <v>0.3511586827606511</v>
      </c>
      <c r="AA35" s="12">
        <f>IFERROR(AA29/AA28,0)</f>
        <v>0.34816519038306681</v>
      </c>
      <c r="AB35" s="12">
        <f>IFERROR(AB29/AB28,0)</f>
        <v>0.3491468818907752</v>
      </c>
      <c r="AC35" s="12">
        <f>IFERROR(AC29/AC28,0)</f>
        <v>0.35034626886393488</v>
      </c>
      <c r="AE35" s="12">
        <f>IFERROR(AE29/AE28,0)</f>
        <v>0</v>
      </c>
      <c r="AF35" s="12">
        <f>IFERROR(AF29/AF28,0)</f>
        <v>0</v>
      </c>
      <c r="AG35" s="12">
        <f>IFERROR(AG29/AG28,0)</f>
        <v>0</v>
      </c>
      <c r="AH35" s="12">
        <f>IFERROR(AH29/AH28,0)</f>
        <v>0</v>
      </c>
      <c r="AI35" s="12">
        <f>IFERROR(AI29/AI28,0)</f>
        <v>0</v>
      </c>
      <c r="AJ35" s="12">
        <f>IFERROR(AJ29/AJ28,0)</f>
        <v>0</v>
      </c>
      <c r="AK35" s="12">
        <f>IFERROR(AK29/AK28,0)</f>
        <v>0</v>
      </c>
      <c r="AL35" s="12">
        <f>IFERROR(AL29/AL28,0)</f>
        <v>0</v>
      </c>
      <c r="AM35" s="12">
        <f>IFERROR(AM29/AM28,0)</f>
        <v>0</v>
      </c>
      <c r="AN35" s="12">
        <f>IFERROR(AN29/AN28,0)</f>
        <v>0</v>
      </c>
      <c r="AO35" s="12">
        <f>IFERROR(AO29/AO28,0)</f>
        <v>0</v>
      </c>
      <c r="AP35" s="12">
        <f>IFERROR(AP29/AP28,0)</f>
        <v>0</v>
      </c>
      <c r="AQ35" s="12">
        <f>IFERROR(AQ29/AQ28,0)</f>
        <v>0</v>
      </c>
      <c r="AS35" s="12">
        <f>IFERROR(AS29/AS28,0)</f>
        <v>0</v>
      </c>
      <c r="AT35" s="12">
        <f>IFERROR(AT29/AT28,0)</f>
        <v>0</v>
      </c>
      <c r="AU35" s="12">
        <f>IFERROR(AU29/AU28,0)</f>
        <v>0</v>
      </c>
      <c r="AV35" s="12">
        <f>IFERROR(AV29/AV28,0)</f>
        <v>0</v>
      </c>
      <c r="AW35" s="12">
        <f>IFERROR(AW29/AW28,0)</f>
        <v>0</v>
      </c>
      <c r="AX35" s="12">
        <f>IFERROR(AX29/AX28,0)</f>
        <v>0</v>
      </c>
      <c r="AY35" s="12">
        <f>IFERROR(AY29/AY28,0)</f>
        <v>0</v>
      </c>
      <c r="AZ35" s="12">
        <f>IFERROR(AZ29/AZ28,0)</f>
        <v>0</v>
      </c>
      <c r="BA35" s="12">
        <f>IFERROR(BA29/BA28,0)</f>
        <v>-5.4</v>
      </c>
      <c r="BB35" s="12">
        <f>IFERROR(BB29/BB28,0)</f>
        <v>-5.4</v>
      </c>
      <c r="BC35" s="12">
        <f>IFERROR(BC29/BC28,0)</f>
        <v>-5.4</v>
      </c>
      <c r="BD35" s="12">
        <f>IFERROR(BD29/BD28,0)</f>
        <v>-5.4</v>
      </c>
      <c r="BE35" s="12">
        <f>IFERROR(BE29/BE28,0)</f>
        <v>-5.4</v>
      </c>
      <c r="BG35" s="12">
        <f>IFERROR(BG29/BG28,0)</f>
        <v>0.34824952112806074</v>
      </c>
      <c r="BH35" s="12">
        <f>IFERROR(BH29/BH28,0)</f>
        <v>0.35296063513066489</v>
      </c>
      <c r="BI35" s="12">
        <f>IFERROR(BI29/BI28,0)</f>
        <v>0.35215705283567617</v>
      </c>
      <c r="BJ35" s="12">
        <f>IFERROR(BJ29/BJ28,0)</f>
        <v>0.34943838449373504</v>
      </c>
      <c r="BK35" s="12">
        <f>IFERROR(BK29/BK28,0)</f>
        <v>0.35192607437096413</v>
      </c>
      <c r="BL35" s="12">
        <f>IFERROR(BL29/BL28,0)</f>
        <v>0.35119427768552819</v>
      </c>
      <c r="BM35" s="12">
        <f>IFERROR(BM29/BM28,0)</f>
        <v>0.34865652314664941</v>
      </c>
      <c r="BN35" s="12">
        <f>IFERROR(BN29/BN28,0)</f>
        <v>0.35233544952767415</v>
      </c>
      <c r="BO35" s="12">
        <f>IFERROR(BO29/BO28,0)</f>
        <v>0.31097453906935907</v>
      </c>
      <c r="BP35" s="12">
        <f>IFERROR(BP29/BP28,0)</f>
        <v>0.30318638695416444</v>
      </c>
      <c r="BQ35" s="12">
        <f>IFERROR(BQ29/BQ28,0)</f>
        <v>0.29574831870511797</v>
      </c>
      <c r="BR35" s="12">
        <f>IFERROR(BR29/BR28,0)</f>
        <v>0.30033325550296108</v>
      </c>
      <c r="BS35" s="12">
        <f>IFERROR(BS29/BS28,0)</f>
        <v>0.33463227832765846</v>
      </c>
    </row>
    <row r="36" spans="2:71">
      <c r="B36" s="5" t="s">
        <v>167</v>
      </c>
      <c r="C36" s="12">
        <f>IFERROR(C30/C28,0)</f>
        <v>-0.22401975490987974</v>
      </c>
      <c r="D36" s="12">
        <f>IFERROR(D30/D28,0)</f>
        <v>-0.22248475969944712</v>
      </c>
      <c r="E36" s="12">
        <f>IFERROR(E30/E28,0)</f>
        <v>-0.22339487947825318</v>
      </c>
      <c r="F36" s="12">
        <f>IFERROR(F30/F28,0)</f>
        <v>-0.22069259154130003</v>
      </c>
      <c r="G36" s="12">
        <f>IFERROR(G30/G28,0)</f>
        <v>-0.22113115119127144</v>
      </c>
      <c r="H36" s="12">
        <f>IFERROR(H30/H28,0)</f>
        <v>-0.22503938348873845</v>
      </c>
      <c r="I36" s="12">
        <f>IFERROR(I30/I28,0)</f>
        <v>-0.22322218625229306</v>
      </c>
      <c r="J36" s="12">
        <f>IFERROR(J30/J28,0)</f>
        <v>-0.24571852433623492</v>
      </c>
      <c r="K36" s="12">
        <f>IFERROR(K30/K28,0)</f>
        <v>-0.21915598762704375</v>
      </c>
      <c r="L36" s="12">
        <f>IFERROR(L30/L28,0)</f>
        <v>-0.22385078016570636</v>
      </c>
      <c r="M36" s="12">
        <f>IFERROR(M30/M28,0)</f>
        <v>-0.22300701714022775</v>
      </c>
      <c r="N36" s="12">
        <f>IFERROR(N30/N28,0)</f>
        <v>-0.22322365181648862</v>
      </c>
      <c r="O36" s="12">
        <f>IFERROR(O30/O28,0)</f>
        <v>-0.22458426728193101</v>
      </c>
      <c r="Q36" s="12">
        <f>IFERROR(Q30/Q28,0)</f>
        <v>-0.22401975490987974</v>
      </c>
      <c r="R36" s="12">
        <f>IFERROR(R30/R28,0)</f>
        <v>-0.22248475969944712</v>
      </c>
      <c r="S36" s="12">
        <f>IFERROR(S30/S28,0)</f>
        <v>-0.22339487947825318</v>
      </c>
      <c r="T36" s="12">
        <f>IFERROR(T30/T28,0)</f>
        <v>-0.22069259154130003</v>
      </c>
      <c r="U36" s="12">
        <f>IFERROR(U30/U28,0)</f>
        <v>-0.22113115119127144</v>
      </c>
      <c r="V36" s="12">
        <f>IFERROR(V30/V28,0)</f>
        <v>-0.22503938348873845</v>
      </c>
      <c r="W36" s="12">
        <f>IFERROR(W30/W28,0)</f>
        <v>-0.22322218625229306</v>
      </c>
      <c r="X36" s="12">
        <f>IFERROR(X30/X28,0)</f>
        <v>-0.24571852433623492</v>
      </c>
      <c r="Y36" s="12">
        <f>IFERROR(Y30/Y28,0)</f>
        <v>-0.21915598762704375</v>
      </c>
      <c r="Z36" s="12">
        <f>IFERROR(Z30/Z28,0)</f>
        <v>-0.22385078016570636</v>
      </c>
      <c r="AA36" s="12">
        <f>IFERROR(AA30/AA28,0)</f>
        <v>-0.22300701714022775</v>
      </c>
      <c r="AB36" s="12">
        <f>IFERROR(AB30/AB28,0)</f>
        <v>-0.22322365181648862</v>
      </c>
      <c r="AC36" s="12">
        <f>IFERROR(AC30/AC28,0)</f>
        <v>-0.22458426728193101</v>
      </c>
      <c r="AE36" s="12">
        <f>IFERROR(AE30/AE28,0)</f>
        <v>0</v>
      </c>
      <c r="AF36" s="12">
        <f>IFERROR(AF30/AF28,0)</f>
        <v>0</v>
      </c>
      <c r="AG36" s="12">
        <f>IFERROR(AG30/AG28,0)</f>
        <v>0</v>
      </c>
      <c r="AH36" s="12">
        <f>IFERROR(AH30/AH28,0)</f>
        <v>0</v>
      </c>
      <c r="AI36" s="12">
        <f>IFERROR(AI30/AI28,0)</f>
        <v>0</v>
      </c>
      <c r="AJ36" s="12">
        <f>IFERROR(AJ30/AJ28,0)</f>
        <v>0</v>
      </c>
      <c r="AK36" s="12">
        <f>IFERROR(AK30/AK28,0)</f>
        <v>0</v>
      </c>
      <c r="AL36" s="12">
        <f>IFERROR(AL30/AL28,0)</f>
        <v>0</v>
      </c>
      <c r="AM36" s="12">
        <f>IFERROR(AM30/AM28,0)</f>
        <v>0</v>
      </c>
      <c r="AN36" s="12">
        <f>IFERROR(AN30/AN28,0)</f>
        <v>0</v>
      </c>
      <c r="AO36" s="12">
        <f>IFERROR(AO30/AO28,0)</f>
        <v>0</v>
      </c>
      <c r="AP36" s="12">
        <f>IFERROR(AP30/AP28,0)</f>
        <v>0</v>
      </c>
      <c r="AQ36" s="12">
        <f>IFERROR(AQ30/AQ28,0)</f>
        <v>0</v>
      </c>
      <c r="AS36" s="12">
        <f>IFERROR(AS30/AS28,0)</f>
        <v>0</v>
      </c>
      <c r="AT36" s="12">
        <f>IFERROR(AT30/AT28,0)</f>
        <v>0</v>
      </c>
      <c r="AU36" s="12">
        <f>IFERROR(AU30/AU28,0)</f>
        <v>0</v>
      </c>
      <c r="AV36" s="12">
        <f>IFERROR(AV30/AV28,0)</f>
        <v>0</v>
      </c>
      <c r="AW36" s="12">
        <f>IFERROR(AW30/AW28,0)</f>
        <v>0</v>
      </c>
      <c r="AX36" s="12">
        <f>IFERROR(AX30/AX28,0)</f>
        <v>0</v>
      </c>
      <c r="AY36" s="12">
        <f>IFERROR(AY30/AY28,0)</f>
        <v>0</v>
      </c>
      <c r="AZ36" s="12">
        <f>IFERROR(AZ30/AZ28,0)</f>
        <v>0</v>
      </c>
      <c r="BA36" s="12">
        <f>IFERROR(BA30/BA28,0)</f>
        <v>0.2</v>
      </c>
      <c r="BB36" s="12">
        <f>IFERROR(BB30/BB28,0)</f>
        <v>-0.3</v>
      </c>
      <c r="BC36" s="12">
        <f>IFERROR(BC30/BC28,0)</f>
        <v>-0.3</v>
      </c>
      <c r="BD36" s="12">
        <f>IFERROR(BD30/BD28,0)</f>
        <v>-0.3</v>
      </c>
      <c r="BE36" s="12">
        <f>IFERROR(BE30/BE28,0)</f>
        <v>-0.2</v>
      </c>
      <c r="BG36" s="12">
        <f>IFERROR(BG30/BG28,0)</f>
        <v>-0.22401975490987974</v>
      </c>
      <c r="BH36" s="12">
        <f>IFERROR(BH30/BH28,0)</f>
        <v>-0.22248475969944712</v>
      </c>
      <c r="BI36" s="12">
        <f>IFERROR(BI30/BI28,0)</f>
        <v>-0.22339487947825318</v>
      </c>
      <c r="BJ36" s="12">
        <f>IFERROR(BJ30/BJ28,0)</f>
        <v>-0.22069259154130003</v>
      </c>
      <c r="BK36" s="12">
        <f>IFERROR(BK30/BK28,0)</f>
        <v>-0.22113115119127144</v>
      </c>
      <c r="BL36" s="12">
        <f>IFERROR(BL30/BL28,0)</f>
        <v>-0.22503938348873845</v>
      </c>
      <c r="BM36" s="12">
        <f>IFERROR(BM30/BM28,0)</f>
        <v>-0.22322218625229306</v>
      </c>
      <c r="BN36" s="12">
        <f>IFERROR(BN30/BN28,0)</f>
        <v>-0.24571852433623492</v>
      </c>
      <c r="BO36" s="12">
        <f>IFERROR(BO30/BO28,0)</f>
        <v>-0.21639596136962247</v>
      </c>
      <c r="BP36" s="12">
        <f>IFERROR(BP30/BP28,0)</f>
        <v>-0.2244859657171456</v>
      </c>
      <c r="BQ36" s="12">
        <f>IFERROR(BQ30/BQ28,0)</f>
        <v>-0.22370910748888634</v>
      </c>
      <c r="BR36" s="12">
        <f>IFERROR(BR30/BR28,0)</f>
        <v>-0.22387552800832078</v>
      </c>
      <c r="BS36" s="12">
        <f>IFERROR(BS30/BS28,0)</f>
        <v>-0.22451708577227109</v>
      </c>
    </row>
    <row r="37" spans="2:71">
      <c r="B37" s="5" t="s">
        <v>168</v>
      </c>
      <c r="C37" s="12">
        <f>IFERROR(C31/C28,0)</f>
        <v>0.12422976621818096</v>
      </c>
      <c r="D37" s="12">
        <f>IFERROR(D31/D28,0)</f>
        <v>0.1304758754312178</v>
      </c>
      <c r="E37" s="12">
        <f>IFERROR(E31/E28,0)</f>
        <v>0.12876217335742299</v>
      </c>
      <c r="F37" s="12">
        <f>IFERROR(F31/F28,0)</f>
        <v>0.12874579295243502</v>
      </c>
      <c r="G37" s="12">
        <f>IFERROR(G31/G28,0)</f>
        <v>0.13079492317969271</v>
      </c>
      <c r="H37" s="12">
        <f>IFERROR(H31/H28,0)</f>
        <v>0.12615489419678974</v>
      </c>
      <c r="I37" s="12">
        <f>IFERROR(I31/I28,0)</f>
        <v>0.12543433689435632</v>
      </c>
      <c r="J37" s="12">
        <f>IFERROR(J31/J28,0)</f>
        <v>0.10661692519143924</v>
      </c>
      <c r="K37" s="12">
        <f>IFERROR(K31/K28,0)</f>
        <v>0.12967300044189128</v>
      </c>
      <c r="L37" s="12">
        <f>IFERROR(L31/L28,0)</f>
        <v>0.12730790259494473</v>
      </c>
      <c r="M37" s="12">
        <f>IFERROR(M31/M28,0)</f>
        <v>0.12515817324283907</v>
      </c>
      <c r="N37" s="12">
        <f>IFERROR(N31/N28,0)</f>
        <v>0.12592323007428657</v>
      </c>
      <c r="O37" s="12">
        <f>IFERROR(O31/O28,0)</f>
        <v>0.1257620015820039</v>
      </c>
      <c r="Q37" s="12">
        <f>IFERROR(Q31/Q28,0)</f>
        <v>0.12422976621818096</v>
      </c>
      <c r="R37" s="12">
        <f>IFERROR(R31/R28,0)</f>
        <v>0.1304758754312178</v>
      </c>
      <c r="S37" s="12">
        <f>IFERROR(S31/S28,0)</f>
        <v>0.12876217335742299</v>
      </c>
      <c r="T37" s="12">
        <f>IFERROR(T31/T28,0)</f>
        <v>0.12874579295243502</v>
      </c>
      <c r="U37" s="12">
        <f>IFERROR(U31/U28,0)</f>
        <v>0.13079492317969271</v>
      </c>
      <c r="V37" s="12">
        <f>IFERROR(V31/V28,0)</f>
        <v>0.12615489419678974</v>
      </c>
      <c r="W37" s="12">
        <f>IFERROR(W31/W28,0)</f>
        <v>0.12543433689435632</v>
      </c>
      <c r="X37" s="12">
        <f>IFERROR(X31/X28,0)</f>
        <v>0.10661692519143924</v>
      </c>
      <c r="Y37" s="12">
        <f>IFERROR(Y31/Y28,0)</f>
        <v>0.12967300044189128</v>
      </c>
      <c r="Z37" s="12">
        <f>IFERROR(Z31/Z28,0)</f>
        <v>0.12730790259494473</v>
      </c>
      <c r="AA37" s="12">
        <f>IFERROR(AA31/AA28,0)</f>
        <v>0.12515817324283907</v>
      </c>
      <c r="AB37" s="12">
        <f>IFERROR(AB31/AB28,0)</f>
        <v>0.12592323007428657</v>
      </c>
      <c r="AC37" s="12">
        <f>IFERROR(AC31/AC28,0)</f>
        <v>0.1257620015820039</v>
      </c>
      <c r="AE37" s="12">
        <f>IFERROR(AE31/AE28,0)</f>
        <v>0</v>
      </c>
      <c r="AF37" s="12">
        <f>IFERROR(AF31/AF28,0)</f>
        <v>0</v>
      </c>
      <c r="AG37" s="12">
        <f>IFERROR(AG31/AG28,0)</f>
        <v>0</v>
      </c>
      <c r="AH37" s="12">
        <f>IFERROR(AH31/AH28,0)</f>
        <v>0</v>
      </c>
      <c r="AI37" s="12">
        <f>IFERROR(AI31/AI28,0)</f>
        <v>0</v>
      </c>
      <c r="AJ37" s="12">
        <f>IFERROR(AJ31/AJ28,0)</f>
        <v>0</v>
      </c>
      <c r="AK37" s="12">
        <f>IFERROR(AK31/AK28,0)</f>
        <v>0</v>
      </c>
      <c r="AL37" s="12">
        <f>IFERROR(AL31/AL28,0)</f>
        <v>0</v>
      </c>
      <c r="AM37" s="12">
        <f>IFERROR(AM31/AM28,0)</f>
        <v>0</v>
      </c>
      <c r="AN37" s="12">
        <f>IFERROR(AN31/AN28,0)</f>
        <v>0</v>
      </c>
      <c r="AO37" s="12">
        <f>IFERROR(AO31/AO28,0)</f>
        <v>0</v>
      </c>
      <c r="AP37" s="12">
        <f>IFERROR(AP31/AP28,0)</f>
        <v>0</v>
      </c>
      <c r="AQ37" s="12">
        <f>IFERROR(AQ31/AQ28,0)</f>
        <v>0</v>
      </c>
      <c r="AS37" s="12">
        <f>IFERROR(AS31/AS28,0)</f>
        <v>0</v>
      </c>
      <c r="AT37" s="12">
        <f>IFERROR(AT31/AT28,0)</f>
        <v>0</v>
      </c>
      <c r="AU37" s="12">
        <f>IFERROR(AU31/AU28,0)</f>
        <v>0</v>
      </c>
      <c r="AV37" s="12">
        <f>IFERROR(AV31/AV28,0)</f>
        <v>0</v>
      </c>
      <c r="AW37" s="12">
        <f>IFERROR(AW31/AW28,0)</f>
        <v>0</v>
      </c>
      <c r="AX37" s="12">
        <f>IFERROR(AX31/AX28,0)</f>
        <v>0</v>
      </c>
      <c r="AY37" s="12">
        <f>IFERROR(AY31/AY28,0)</f>
        <v>0</v>
      </c>
      <c r="AZ37" s="12">
        <f>IFERROR(AZ31/AZ28,0)</f>
        <v>0</v>
      </c>
      <c r="BA37" s="12">
        <f>IFERROR(BA31/BA28,0)</f>
        <v>-5.2</v>
      </c>
      <c r="BB37" s="12">
        <f>IFERROR(BB31/BB28,0)</f>
        <v>-5.7</v>
      </c>
      <c r="BC37" s="12">
        <f>IFERROR(BC31/BC28,0)</f>
        <v>-5.7</v>
      </c>
      <c r="BD37" s="12">
        <f>IFERROR(BD31/BD28,0)</f>
        <v>-5.7</v>
      </c>
      <c r="BE37" s="12">
        <f>IFERROR(BE31/BE28,0)</f>
        <v>-5.6</v>
      </c>
      <c r="BG37" s="12">
        <f>IFERROR(BG31/BG28,0)</f>
        <v>0.12422976621818096</v>
      </c>
      <c r="BH37" s="12">
        <f>IFERROR(BH31/BH28,0)</f>
        <v>0.1304758754312178</v>
      </c>
      <c r="BI37" s="12">
        <f>IFERROR(BI31/BI28,0)</f>
        <v>0.12876217335742299</v>
      </c>
      <c r="BJ37" s="12">
        <f>IFERROR(BJ31/BJ28,0)</f>
        <v>0.12874579295243502</v>
      </c>
      <c r="BK37" s="12">
        <f>IFERROR(BK31/BK28,0)</f>
        <v>0.13079492317969271</v>
      </c>
      <c r="BL37" s="12">
        <f>IFERROR(BL31/BL28,0)</f>
        <v>0.12615489419678974</v>
      </c>
      <c r="BM37" s="12">
        <f>IFERROR(BM31/BM28,0)</f>
        <v>0.12543433689435632</v>
      </c>
      <c r="BN37" s="12">
        <f>IFERROR(BN31/BN28,0)</f>
        <v>0.10661692519143924</v>
      </c>
      <c r="BO37" s="12">
        <f>IFERROR(BO31/BO28,0)</f>
        <v>9.4578577699736613E-2</v>
      </c>
      <c r="BP37" s="12">
        <f>IFERROR(BP31/BP28,0)</f>
        <v>7.8700421237018828E-2</v>
      </c>
      <c r="BQ37" s="12">
        <f>IFERROR(BQ31/BQ28,0)</f>
        <v>7.2039211216231622E-2</v>
      </c>
      <c r="BR37" s="12">
        <f>IFERROR(BR31/BR28,0)</f>
        <v>7.6457727494640318E-2</v>
      </c>
      <c r="BS37" s="12">
        <f>IFERROR(BS31/BS28,0)</f>
        <v>0.11011519255538735</v>
      </c>
    </row>
    <row r="38" spans="2:71">
      <c r="B38" s="5" t="s">
        <v>169</v>
      </c>
      <c r="C38" s="6">
        <f>IFERROR(C28/21,0)</f>
        <v>206.33809523809526</v>
      </c>
      <c r="D38" s="6">
        <f>IFERROR(D28/20,0)</f>
        <v>211.60999999999999</v>
      </c>
      <c r="E38" s="6">
        <f>IFERROR(E28/22,0)</f>
        <v>206.3</v>
      </c>
      <c r="F38" s="6">
        <f>IFERROR(F28/22,0)</f>
        <v>224.19090909090909</v>
      </c>
      <c r="G38" s="6">
        <f>IFERROR(G28/20,0)</f>
        <v>224.55</v>
      </c>
      <c r="H38" s="6">
        <f>IFERROR(H28/22,0)</f>
        <v>213.5181818181818</v>
      </c>
      <c r="I38" s="6">
        <f>IFERROR(I28/22,0)</f>
        <v>210.61363636363637</v>
      </c>
      <c r="J38" s="6">
        <f>IFERROR(J28/21,0)</f>
        <v>218.27142857142857</v>
      </c>
      <c r="K38" s="6">
        <f>IFERROR(K28/21,0)</f>
        <v>215.52380952380952</v>
      </c>
      <c r="L38" s="6">
        <f>IFERROR(L28/22,0)</f>
        <v>216.15454545454543</v>
      </c>
      <c r="M38" s="6">
        <f>IFERROR(M28/19,0)</f>
        <v>228.76315789473685</v>
      </c>
      <c r="N38" s="6">
        <f>IFERROR(N28/22,0)</f>
        <v>212.32272727272729</v>
      </c>
      <c r="O38" s="6">
        <f>IFERROR(O28/254,0)</f>
        <v>215.51456692913385</v>
      </c>
      <c r="Q38" s="6">
        <f>IFERROR(Q28/21,0)</f>
        <v>206.33809523809526</v>
      </c>
      <c r="R38" s="6">
        <f>IFERROR(R28/20,0)</f>
        <v>211.60999999999999</v>
      </c>
      <c r="S38" s="6">
        <f>IFERROR(S28/22,0)</f>
        <v>206.3</v>
      </c>
      <c r="T38" s="6">
        <f>IFERROR(T28/22,0)</f>
        <v>224.19090909090909</v>
      </c>
      <c r="U38" s="6">
        <f>IFERROR(U28/20,0)</f>
        <v>224.55</v>
      </c>
      <c r="V38" s="6">
        <f>IFERROR(V28/22,0)</f>
        <v>213.5181818181818</v>
      </c>
      <c r="W38" s="6">
        <f>IFERROR(W28/22,0)</f>
        <v>210.61363636363637</v>
      </c>
      <c r="X38" s="6">
        <f>IFERROR(X28/21,0)</f>
        <v>218.27142857142857</v>
      </c>
      <c r="Y38" s="6">
        <f>IFERROR(Y28/21,0)</f>
        <v>215.52380952380952</v>
      </c>
      <c r="Z38" s="6">
        <f>IFERROR(Z28/22,0)</f>
        <v>216.15454545454543</v>
      </c>
      <c r="AA38" s="6">
        <f>IFERROR(AA28/19,0)</f>
        <v>228.76315789473685</v>
      </c>
      <c r="AB38" s="6">
        <f>IFERROR(AB28/22,0)</f>
        <v>212.32272727272729</v>
      </c>
      <c r="AC38" s="6">
        <f>IFERROR(AC28/254,0)</f>
        <v>215.51456692913385</v>
      </c>
      <c r="AE38" s="6">
        <f>IFERROR(AE28/21,0)</f>
        <v>0</v>
      </c>
      <c r="AF38" s="6">
        <f>IFERROR(AF28/20,0)</f>
        <v>0</v>
      </c>
      <c r="AG38" s="6">
        <f>IFERROR(AG28/22,0)</f>
        <v>0</v>
      </c>
      <c r="AH38" s="6">
        <f>IFERROR(AH28/22,0)</f>
        <v>0</v>
      </c>
      <c r="AI38" s="6">
        <f>IFERROR(AI28/20,0)</f>
        <v>0</v>
      </c>
      <c r="AJ38" s="6">
        <f>IFERROR(AJ28/22,0)</f>
        <v>0</v>
      </c>
      <c r="AK38" s="6">
        <f>IFERROR(AK28/22,0)</f>
        <v>0</v>
      </c>
      <c r="AL38" s="6">
        <f>IFERROR(AL28/21,0)</f>
        <v>0</v>
      </c>
      <c r="AM38" s="6">
        <f>IFERROR(AM28/21,0)</f>
        <v>0</v>
      </c>
      <c r="AN38" s="6">
        <f>IFERROR(AN28/22,0)</f>
        <v>0</v>
      </c>
      <c r="AO38" s="6">
        <f>IFERROR(AO28/19,0)</f>
        <v>0</v>
      </c>
      <c r="AP38" s="6">
        <f>IFERROR(AP28/22,0)</f>
        <v>0</v>
      </c>
      <c r="AQ38" s="6">
        <f>IFERROR(AQ28/254,0)</f>
        <v>0</v>
      </c>
      <c r="AS38" s="6">
        <f>IFERROR(AS28/21,0)</f>
        <v>0</v>
      </c>
      <c r="AT38" s="6">
        <f>IFERROR(AT28/20,0)</f>
        <v>0</v>
      </c>
      <c r="AU38" s="6">
        <f>IFERROR(AU28/22,0)</f>
        <v>0</v>
      </c>
      <c r="AV38" s="6">
        <f>IFERROR(AV28/22,0)</f>
        <v>0</v>
      </c>
      <c r="AW38" s="6">
        <f>IFERROR(AW28/20,0)</f>
        <v>0</v>
      </c>
      <c r="AX38" s="6">
        <f>IFERROR(AX28/22,0)</f>
        <v>0</v>
      </c>
      <c r="AY38" s="6">
        <f>IFERROR(AY28/22,0)</f>
        <v>0</v>
      </c>
      <c r="AZ38" s="6">
        <f>IFERROR(AZ28/21,0)</f>
        <v>0</v>
      </c>
      <c r="BA38" s="6">
        <f>IFERROR(BA28/21,0)</f>
        <v>1.4285714285714286</v>
      </c>
      <c r="BB38" s="6">
        <f>IFERROR(BB28/22,0)</f>
        <v>1.8181818181818181</v>
      </c>
      <c r="BC38" s="6">
        <f>IFERROR(BC28/19,0)</f>
        <v>2.1052631578947367</v>
      </c>
      <c r="BD38" s="6">
        <f>IFERROR(BD28/22,0)</f>
        <v>1.8181818181818181</v>
      </c>
      <c r="BE38" s="6">
        <f>IFERROR(BE28/254,0)</f>
        <v>0.59055118110236215</v>
      </c>
      <c r="BG38" s="6">
        <f>IFERROR(BG28/21,0)</f>
        <v>206.33809523809526</v>
      </c>
      <c r="BH38" s="6">
        <f>IFERROR(BH28/20,0)</f>
        <v>211.60999999999999</v>
      </c>
      <c r="BI38" s="6">
        <f>IFERROR(BI28/22,0)</f>
        <v>206.3</v>
      </c>
      <c r="BJ38" s="6">
        <f>IFERROR(BJ28/22,0)</f>
        <v>224.19090909090909</v>
      </c>
      <c r="BK38" s="6">
        <f>IFERROR(BK28/20,0)</f>
        <v>224.55</v>
      </c>
      <c r="BL38" s="6">
        <f>IFERROR(BL28/22,0)</f>
        <v>213.5181818181818</v>
      </c>
      <c r="BM38" s="6">
        <f>IFERROR(BM28/22,0)</f>
        <v>210.61363636363637</v>
      </c>
      <c r="BN38" s="6">
        <f>IFERROR(BN28/21,0)</f>
        <v>218.27142857142857</v>
      </c>
      <c r="BO38" s="6">
        <f>IFERROR(BO28/21,0)</f>
        <v>216.95238095238096</v>
      </c>
      <c r="BP38" s="6">
        <f>IFERROR(BP28/22,0)</f>
        <v>217.97272727272727</v>
      </c>
      <c r="BQ38" s="6">
        <f>IFERROR(BQ28/19,0)</f>
        <v>230.86842105263159</v>
      </c>
      <c r="BR38" s="6">
        <f>IFERROR(BR28/22,0)</f>
        <v>214.1409090909091</v>
      </c>
      <c r="BS38" s="6">
        <f>IFERROR(BS28/254,0)</f>
        <v>216.10511811023622</v>
      </c>
    </row>
    <row r="40" spans="2:71">
      <c r="B40" s="5" t="s">
        <v>151</v>
      </c>
      <c r="C40" s="6">
        <v>7094.3</v>
      </c>
      <c r="D40" s="6">
        <v>6972</v>
      </c>
      <c r="E40" s="6">
        <v>7351.6</v>
      </c>
      <c r="F40" s="6">
        <v>8214.5</v>
      </c>
      <c r="G40" s="6">
        <v>7205.2</v>
      </c>
      <c r="H40" s="6">
        <v>7160.1</v>
      </c>
      <c r="I40" s="6">
        <v>7084.7</v>
      </c>
      <c r="J40" s="6">
        <v>6525.8</v>
      </c>
      <c r="K40" s="6">
        <v>6847.2</v>
      </c>
      <c r="L40" s="6">
        <v>7279.3</v>
      </c>
      <c r="M40" s="6">
        <v>6741.2</v>
      </c>
      <c r="N40" s="6">
        <v>7395.4</v>
      </c>
      <c r="O40" s="6">
        <f>N40</f>
        <v>7395.4</v>
      </c>
      <c r="Q40" s="6">
        <v>7094.3</v>
      </c>
      <c r="R40" s="6">
        <v>6972</v>
      </c>
      <c r="S40" s="6">
        <v>7351.6</v>
      </c>
      <c r="T40" s="6">
        <v>8214.5</v>
      </c>
      <c r="U40" s="6">
        <v>7205.2</v>
      </c>
      <c r="V40" s="6">
        <v>7160.1</v>
      </c>
      <c r="W40" s="6">
        <v>7084.7</v>
      </c>
      <c r="X40" s="6">
        <v>6525.8</v>
      </c>
      <c r="Y40" s="6">
        <v>6847.2</v>
      </c>
      <c r="Z40" s="6">
        <v>7279.3</v>
      </c>
      <c r="AA40" s="6">
        <v>6741.2</v>
      </c>
      <c r="AB40" s="6">
        <v>7395.4</v>
      </c>
      <c r="AC40" s="6">
        <f>AB40</f>
        <v>7395.4</v>
      </c>
      <c r="AE40" s="6">
        <f>Q40-C40</f>
        <v>0</v>
      </c>
      <c r="AF40" s="6">
        <f>R40-D40</f>
        <v>0</v>
      </c>
      <c r="AG40" s="6">
        <f>S40-E40</f>
        <v>0</v>
      </c>
      <c r="AH40" s="6">
        <f>T40-F40</f>
        <v>0</v>
      </c>
      <c r="AI40" s="6">
        <f>U40-G40</f>
        <v>0</v>
      </c>
      <c r="AJ40" s="6">
        <f>V40-H40</f>
        <v>0</v>
      </c>
      <c r="AK40" s="6">
        <f>W40-I40</f>
        <v>0</v>
      </c>
      <c r="AL40" s="6">
        <f>X40-J40</f>
        <v>0</v>
      </c>
      <c r="AM40" s="6">
        <f>Y40-K40</f>
        <v>0</v>
      </c>
      <c r="AN40" s="6">
        <f>Z40-L40</f>
        <v>0</v>
      </c>
      <c r="AO40" s="6">
        <f>AA40-M40</f>
        <v>0</v>
      </c>
      <c r="AP40" s="6">
        <f>AB40-N40</f>
        <v>0</v>
      </c>
      <c r="AQ40" s="6">
        <f>AP40</f>
        <v>0</v>
      </c>
      <c r="AS40" s="6">
        <f>'Cobalt-Adj'!C90</f>
        <v>0</v>
      </c>
      <c r="AT40" s="6">
        <f>'Cobalt-Adj'!D90</f>
        <v>0</v>
      </c>
      <c r="AU40" s="6">
        <f>'Cobalt-Adj'!E90</f>
        <v>0</v>
      </c>
      <c r="AV40" s="6">
        <f>'Cobalt-Adj'!F90</f>
        <v>0</v>
      </c>
      <c r="AW40" s="6">
        <f>'Cobalt-Adj'!G90</f>
        <v>0</v>
      </c>
      <c r="AX40" s="6">
        <f>'Cobalt-Adj'!H90</f>
        <v>0</v>
      </c>
      <c r="AY40" s="6">
        <f>'Cobalt-Adj'!I90</f>
        <v>0</v>
      </c>
      <c r="AZ40" s="6">
        <f>'Cobalt-Adj'!J90</f>
        <v>0</v>
      </c>
      <c r="BA40" s="6">
        <f>'Cobalt-Adj'!K90</f>
        <v>0</v>
      </c>
      <c r="BB40" s="6">
        <f>'Cobalt-Adj'!L90</f>
        <v>0</v>
      </c>
      <c r="BC40" s="6">
        <f>'Cobalt-Adj'!M90</f>
        <v>0</v>
      </c>
      <c r="BD40" s="6">
        <f>'Cobalt-Adj'!N90</f>
        <v>0</v>
      </c>
      <c r="BE40" s="6">
        <f>BD40</f>
        <v>0</v>
      </c>
      <c r="BG40" s="6">
        <f>C40+AE40+AS40</f>
        <v>7094.3</v>
      </c>
      <c r="BH40" s="6">
        <f>D40+AF40+AT40</f>
        <v>6972</v>
      </c>
      <c r="BI40" s="6">
        <f>E40+AG40+AU40</f>
        <v>7351.6</v>
      </c>
      <c r="BJ40" s="6">
        <f>F40+AH40+AV40</f>
        <v>8214.5</v>
      </c>
      <c r="BK40" s="6">
        <f>G40+AI40+AW40</f>
        <v>7205.2</v>
      </c>
      <c r="BL40" s="6">
        <f>H40+AJ40+AX40</f>
        <v>7160.1</v>
      </c>
      <c r="BM40" s="6">
        <f>I40+AK40+AY40</f>
        <v>7084.7</v>
      </c>
      <c r="BN40" s="6">
        <f>J40+AL40+AZ40</f>
        <v>6525.8</v>
      </c>
      <c r="BO40" s="6">
        <f>K40+AM40+BA40</f>
        <v>6847.2</v>
      </c>
      <c r="BP40" s="6">
        <f>L40+AN40+BB40</f>
        <v>7279.3</v>
      </c>
      <c r="BQ40" s="6">
        <f>M40+AO40+BC40</f>
        <v>6741.2</v>
      </c>
      <c r="BR40" s="6">
        <f>N40+AP40+BD40</f>
        <v>7395.4</v>
      </c>
      <c r="BS40" s="6">
        <f>BR40</f>
        <v>7395.4</v>
      </c>
    </row>
    <row r="41" spans="2:71">
      <c r="B41" s="5" t="s">
        <v>152</v>
      </c>
      <c r="C41" s="6">
        <v>6571.9</v>
      </c>
      <c r="D41" s="6">
        <v>6418.8</v>
      </c>
      <c r="E41" s="6">
        <v>6883.5</v>
      </c>
      <c r="F41" s="6">
        <v>7480.5</v>
      </c>
      <c r="G41" s="6">
        <v>6811.4</v>
      </c>
      <c r="H41" s="6">
        <v>7124.4</v>
      </c>
      <c r="I41" s="6">
        <v>7027.5</v>
      </c>
      <c r="J41" s="6">
        <v>6951.9</v>
      </c>
      <c r="K41" s="6">
        <v>6909.9</v>
      </c>
      <c r="L41" s="6">
        <v>7273</v>
      </c>
      <c r="M41" s="6">
        <v>6652.9</v>
      </c>
      <c r="N41" s="6">
        <v>7145.2</v>
      </c>
      <c r="O41" s="6">
        <f>N41</f>
        <v>7145.2</v>
      </c>
      <c r="Q41" s="6">
        <v>6571.9</v>
      </c>
      <c r="R41" s="6">
        <v>6418.8</v>
      </c>
      <c r="S41" s="6">
        <v>6883.5</v>
      </c>
      <c r="T41" s="6">
        <v>7480.5</v>
      </c>
      <c r="U41" s="6">
        <v>6811.4</v>
      </c>
      <c r="V41" s="6">
        <v>7124.4</v>
      </c>
      <c r="W41" s="6">
        <v>7027.5</v>
      </c>
      <c r="X41" s="6">
        <v>6951.9</v>
      </c>
      <c r="Y41" s="6">
        <v>6909.9</v>
      </c>
      <c r="Z41" s="6">
        <v>7273</v>
      </c>
      <c r="AA41" s="6">
        <v>6652.9</v>
      </c>
      <c r="AB41" s="6">
        <v>7145.2</v>
      </c>
      <c r="AC41" s="6">
        <f>AB41</f>
        <v>7145.2</v>
      </c>
      <c r="AE41" s="6">
        <f>Q41-C41</f>
        <v>0</v>
      </c>
      <c r="AF41" s="6">
        <f>R41-D41</f>
        <v>0</v>
      </c>
      <c r="AG41" s="6">
        <f>S41-E41</f>
        <v>0</v>
      </c>
      <c r="AH41" s="6">
        <f>T41-F41</f>
        <v>0</v>
      </c>
      <c r="AI41" s="6">
        <f>U41-G41</f>
        <v>0</v>
      </c>
      <c r="AJ41" s="6">
        <f>V41-H41</f>
        <v>0</v>
      </c>
      <c r="AK41" s="6">
        <f>W41-I41</f>
        <v>0</v>
      </c>
      <c r="AL41" s="6">
        <f>X41-J41</f>
        <v>0</v>
      </c>
      <c r="AM41" s="6">
        <f>Y41-K41</f>
        <v>0</v>
      </c>
      <c r="AN41" s="6">
        <f>Z41-L41</f>
        <v>0</v>
      </c>
      <c r="AO41" s="6">
        <f>AA41-M41</f>
        <v>0</v>
      </c>
      <c r="AP41" s="6">
        <f>AB41-N41</f>
        <v>0</v>
      </c>
      <c r="AQ41" s="6">
        <f>AP41</f>
        <v>0</v>
      </c>
      <c r="AS41" s="6">
        <f>'Cobalt-Adj'!C91</f>
        <v>0</v>
      </c>
      <c r="AT41" s="6">
        <f>'Cobalt-Adj'!D91</f>
        <v>0</v>
      </c>
      <c r="AU41" s="6">
        <f>'Cobalt-Adj'!E91</f>
        <v>0</v>
      </c>
      <c r="AV41" s="6">
        <f>'Cobalt-Adj'!F91</f>
        <v>0</v>
      </c>
      <c r="AW41" s="6">
        <f>'Cobalt-Adj'!G91</f>
        <v>0</v>
      </c>
      <c r="AX41" s="6">
        <f>'Cobalt-Adj'!H91</f>
        <v>0</v>
      </c>
      <c r="AY41" s="6">
        <f>'Cobalt-Adj'!I91</f>
        <v>0</v>
      </c>
      <c r="AZ41" s="6">
        <f>'Cobalt-Adj'!J91</f>
        <v>0</v>
      </c>
      <c r="BA41" s="6">
        <f>'Cobalt-Adj'!K91</f>
        <v>0</v>
      </c>
      <c r="BB41" s="6">
        <f>'Cobalt-Adj'!L91</f>
        <v>0</v>
      </c>
      <c r="BC41" s="6">
        <f>'Cobalt-Adj'!M91</f>
        <v>0</v>
      </c>
      <c r="BD41" s="6">
        <f>'Cobalt-Adj'!N91</f>
        <v>0</v>
      </c>
      <c r="BE41" s="6">
        <f>BD41</f>
        <v>0</v>
      </c>
      <c r="BG41" s="6">
        <f>C41+AE41+AS41</f>
        <v>6571.9</v>
      </c>
      <c r="BH41" s="6">
        <f>D41+AF41+AT41</f>
        <v>6418.8</v>
      </c>
      <c r="BI41" s="6">
        <f>E41+AG41+AU41</f>
        <v>6883.5</v>
      </c>
      <c r="BJ41" s="6">
        <f>F41+AH41+AV41</f>
        <v>7480.5</v>
      </c>
      <c r="BK41" s="6">
        <f>G41+AI41+AW41</f>
        <v>6811.4</v>
      </c>
      <c r="BL41" s="6">
        <f>H41+AJ41+AX41</f>
        <v>7124.4</v>
      </c>
      <c r="BM41" s="6">
        <f>I41+AK41+AY41</f>
        <v>7027.5</v>
      </c>
      <c r="BN41" s="6">
        <f>J41+AL41+AZ41</f>
        <v>6951.9</v>
      </c>
      <c r="BO41" s="6">
        <f>K41+AM41+BA41</f>
        <v>6909.9</v>
      </c>
      <c r="BP41" s="6">
        <f>L41+AN41+BB41</f>
        <v>7273</v>
      </c>
      <c r="BQ41" s="6">
        <f>M41+AO41+BC41</f>
        <v>6652.9</v>
      </c>
      <c r="BR41" s="6">
        <f>N41+AP41+BD41</f>
        <v>7145.2</v>
      </c>
      <c r="BS41" s="6">
        <f>BR41</f>
        <v>7145.2</v>
      </c>
    </row>
    <row r="42" spans="2:71">
      <c r="B42" s="5" t="s">
        <v>153</v>
      </c>
      <c r="C42" s="6">
        <v>65</v>
      </c>
      <c r="D42" s="6">
        <v>63.5</v>
      </c>
      <c r="E42" s="6">
        <v>68.099999999999994</v>
      </c>
      <c r="F42" s="6">
        <v>74</v>
      </c>
      <c r="G42" s="6">
        <v>67.400000000000006</v>
      </c>
      <c r="H42" s="6">
        <v>70.5</v>
      </c>
      <c r="I42" s="6">
        <v>69.5</v>
      </c>
      <c r="J42" s="6">
        <v>68.8</v>
      </c>
      <c r="K42" s="6">
        <v>68.3</v>
      </c>
      <c r="L42" s="6">
        <v>71.900000000000006</v>
      </c>
      <c r="M42" s="6">
        <v>65.8</v>
      </c>
      <c r="N42" s="6">
        <v>70.7</v>
      </c>
      <c r="O42" s="6">
        <f>N42</f>
        <v>70.7</v>
      </c>
      <c r="Q42" s="6">
        <v>65</v>
      </c>
      <c r="R42" s="6">
        <v>63.5</v>
      </c>
      <c r="S42" s="6">
        <v>68.099999999999994</v>
      </c>
      <c r="T42" s="6">
        <v>74</v>
      </c>
      <c r="U42" s="6">
        <v>67.400000000000006</v>
      </c>
      <c r="V42" s="6">
        <v>70.5</v>
      </c>
      <c r="W42" s="6">
        <v>69.5</v>
      </c>
      <c r="X42" s="6">
        <v>68.8</v>
      </c>
      <c r="Y42" s="6">
        <v>68.3</v>
      </c>
      <c r="Z42" s="6">
        <v>71.900000000000006</v>
      </c>
      <c r="AA42" s="6">
        <v>65.8</v>
      </c>
      <c r="AB42" s="6">
        <v>70.7</v>
      </c>
      <c r="AC42" s="6">
        <f>AB42</f>
        <v>70.7</v>
      </c>
      <c r="AE42" s="6">
        <f>Q42-C42</f>
        <v>0</v>
      </c>
      <c r="AF42" s="6">
        <f>R42-D42</f>
        <v>0</v>
      </c>
      <c r="AG42" s="6">
        <f>S42-E42</f>
        <v>0</v>
      </c>
      <c r="AH42" s="6">
        <f>T42-F42</f>
        <v>0</v>
      </c>
      <c r="AI42" s="6">
        <f>U42-G42</f>
        <v>0</v>
      </c>
      <c r="AJ42" s="6">
        <f>V42-H42</f>
        <v>0</v>
      </c>
      <c r="AK42" s="6">
        <f>W42-I42</f>
        <v>0</v>
      </c>
      <c r="AL42" s="6">
        <f>X42-J42</f>
        <v>0</v>
      </c>
      <c r="AM42" s="6">
        <f>Y42-K42</f>
        <v>0</v>
      </c>
      <c r="AN42" s="6">
        <f>Z42-L42</f>
        <v>0</v>
      </c>
      <c r="AO42" s="6">
        <f>AA42-M42</f>
        <v>0</v>
      </c>
      <c r="AP42" s="6">
        <f>AB42-N42</f>
        <v>0</v>
      </c>
      <c r="AQ42" s="6">
        <f>AP42</f>
        <v>0</v>
      </c>
      <c r="AS42" s="6">
        <f>'Cobalt-Adj'!C92</f>
        <v>0</v>
      </c>
      <c r="AT42" s="6">
        <f>'Cobalt-Adj'!D92</f>
        <v>0</v>
      </c>
      <c r="AU42" s="6">
        <f>'Cobalt-Adj'!E92</f>
        <v>0</v>
      </c>
      <c r="AV42" s="6">
        <f>'Cobalt-Adj'!F92</f>
        <v>0</v>
      </c>
      <c r="AW42" s="6">
        <f>'Cobalt-Adj'!G92</f>
        <v>0</v>
      </c>
      <c r="AX42" s="6">
        <f>'Cobalt-Adj'!H92</f>
        <v>0</v>
      </c>
      <c r="AY42" s="6">
        <f>'Cobalt-Adj'!I92</f>
        <v>0</v>
      </c>
      <c r="AZ42" s="6">
        <f>'Cobalt-Adj'!J92</f>
        <v>0</v>
      </c>
      <c r="BA42" s="6">
        <f>'Cobalt-Adj'!K92</f>
        <v>0</v>
      </c>
      <c r="BB42" s="6">
        <f>'Cobalt-Adj'!L92</f>
        <v>0</v>
      </c>
      <c r="BC42" s="6">
        <f>'Cobalt-Adj'!M92</f>
        <v>0</v>
      </c>
      <c r="BD42" s="6">
        <f>'Cobalt-Adj'!N92</f>
        <v>0</v>
      </c>
      <c r="BE42" s="6">
        <f>BD42</f>
        <v>0</v>
      </c>
      <c r="BG42" s="6">
        <f>C42+AE42+AS42</f>
        <v>65</v>
      </c>
      <c r="BH42" s="6">
        <f>D42+AF42+AT42</f>
        <v>63.5</v>
      </c>
      <c r="BI42" s="6">
        <f>E42+AG42+AU42</f>
        <v>68.099999999999994</v>
      </c>
      <c r="BJ42" s="6">
        <f>F42+AH42+AV42</f>
        <v>74</v>
      </c>
      <c r="BK42" s="6">
        <f>G42+AI42+AW42</f>
        <v>67.400000000000006</v>
      </c>
      <c r="BL42" s="6">
        <f>H42+AJ42+AX42</f>
        <v>70.5</v>
      </c>
      <c r="BM42" s="6">
        <f>I42+AK42+AY42</f>
        <v>69.5</v>
      </c>
      <c r="BN42" s="6">
        <f>J42+AL42+AZ42</f>
        <v>68.8</v>
      </c>
      <c r="BO42" s="6">
        <f>K42+AM42+BA42</f>
        <v>68.3</v>
      </c>
      <c r="BP42" s="6">
        <f>L42+AN42+BB42</f>
        <v>71.900000000000006</v>
      </c>
      <c r="BQ42" s="6">
        <f>M42+AO42+BC42</f>
        <v>65.8</v>
      </c>
      <c r="BR42" s="6">
        <f>N42+AP42+BD42</f>
        <v>70.7</v>
      </c>
      <c r="BS42" s="6">
        <f>BR42</f>
        <v>70.7</v>
      </c>
    </row>
    <row r="43" spans="2:71">
      <c r="B43" s="5" t="s">
        <v>154</v>
      </c>
      <c r="C43" s="6">
        <v>-4047.9</v>
      </c>
      <c r="D43" s="6">
        <v>-3925</v>
      </c>
      <c r="E43" s="6">
        <v>-4214.3999999999996</v>
      </c>
      <c r="F43" s="6">
        <v>-4599.1000000000004</v>
      </c>
      <c r="G43" s="6">
        <v>-4171.7</v>
      </c>
      <c r="H43" s="6">
        <v>-4368.3999999999996</v>
      </c>
      <c r="I43" s="6">
        <v>-4325.8</v>
      </c>
      <c r="J43" s="6">
        <v>-4255.1000000000004</v>
      </c>
      <c r="K43" s="6">
        <v>-4499.5</v>
      </c>
      <c r="L43" s="6">
        <v>-4789.5</v>
      </c>
      <c r="M43" s="6">
        <v>-4427.8999999999996</v>
      </c>
      <c r="N43" s="6">
        <v>-4724.6000000000004</v>
      </c>
      <c r="O43" s="6">
        <f>N43</f>
        <v>-4724.6000000000004</v>
      </c>
      <c r="Q43" s="6">
        <v>-4047.9</v>
      </c>
      <c r="R43" s="6">
        <v>-3925</v>
      </c>
      <c r="S43" s="6">
        <v>-4214.3999999999996</v>
      </c>
      <c r="T43" s="6">
        <v>-4599.1000000000004</v>
      </c>
      <c r="U43" s="6">
        <v>-4171.7</v>
      </c>
      <c r="V43" s="6">
        <v>-4368.3999999999996</v>
      </c>
      <c r="W43" s="6">
        <v>-4325.8</v>
      </c>
      <c r="X43" s="6">
        <v>-4255.1000000000004</v>
      </c>
      <c r="Y43" s="6">
        <v>-4499.5</v>
      </c>
      <c r="Z43" s="6">
        <v>-4789.5</v>
      </c>
      <c r="AA43" s="6">
        <v>-4427.8999999999996</v>
      </c>
      <c r="AB43" s="6">
        <v>-4724.6000000000004</v>
      </c>
      <c r="AC43" s="6">
        <f>AB43</f>
        <v>-4724.6000000000004</v>
      </c>
      <c r="AE43" s="6">
        <f>Q43-C43</f>
        <v>0</v>
      </c>
      <c r="AF43" s="6">
        <f>R43-D43</f>
        <v>0</v>
      </c>
      <c r="AG43" s="6">
        <f>S43-E43</f>
        <v>0</v>
      </c>
      <c r="AH43" s="6">
        <f>T43-F43</f>
        <v>0</v>
      </c>
      <c r="AI43" s="6">
        <f>U43-G43</f>
        <v>0</v>
      </c>
      <c r="AJ43" s="6">
        <f>V43-H43</f>
        <v>0</v>
      </c>
      <c r="AK43" s="6">
        <f>W43-I43</f>
        <v>0</v>
      </c>
      <c r="AL43" s="6">
        <f>X43-J43</f>
        <v>0</v>
      </c>
      <c r="AM43" s="6">
        <f>Y43-K43</f>
        <v>0</v>
      </c>
      <c r="AN43" s="6">
        <f>Z43-L43</f>
        <v>0</v>
      </c>
      <c r="AO43" s="6">
        <f>AA43-M43</f>
        <v>0</v>
      </c>
      <c r="AP43" s="6">
        <f>AB43-N43</f>
        <v>0</v>
      </c>
      <c r="AQ43" s="6">
        <f>AP43</f>
        <v>0</v>
      </c>
      <c r="AS43" s="6">
        <f>'Cobalt-Adj'!C93</f>
        <v>0</v>
      </c>
      <c r="AT43" s="6">
        <f>'Cobalt-Adj'!D93</f>
        <v>0</v>
      </c>
      <c r="AU43" s="6">
        <f>'Cobalt-Adj'!E93</f>
        <v>0</v>
      </c>
      <c r="AV43" s="6">
        <f>'Cobalt-Adj'!F93</f>
        <v>0</v>
      </c>
      <c r="AW43" s="6">
        <f>'Cobalt-Adj'!G93</f>
        <v>0</v>
      </c>
      <c r="AX43" s="6">
        <f>'Cobalt-Adj'!H93</f>
        <v>0</v>
      </c>
      <c r="AY43" s="6">
        <f>'Cobalt-Adj'!I93</f>
        <v>0</v>
      </c>
      <c r="AZ43" s="6">
        <f>'Cobalt-Adj'!J93</f>
        <v>0</v>
      </c>
      <c r="BA43" s="6">
        <f>'Cobalt-Adj'!K93</f>
        <v>0</v>
      </c>
      <c r="BB43" s="6">
        <f>'Cobalt-Adj'!L93</f>
        <v>0</v>
      </c>
      <c r="BC43" s="6">
        <f>'Cobalt-Adj'!M93</f>
        <v>0</v>
      </c>
      <c r="BD43" s="6">
        <f>'Cobalt-Adj'!N93</f>
        <v>0</v>
      </c>
      <c r="BE43" s="6">
        <f>BD43</f>
        <v>0</v>
      </c>
      <c r="BG43" s="6">
        <f>C43+AE43+AS43</f>
        <v>-4047.9</v>
      </c>
      <c r="BH43" s="6">
        <f>D43+AF43+AT43</f>
        <v>-3925</v>
      </c>
      <c r="BI43" s="6">
        <f>E43+AG43+AU43</f>
        <v>-4214.3999999999996</v>
      </c>
      <c r="BJ43" s="6">
        <f>F43+AH43+AV43</f>
        <v>-4599.1000000000004</v>
      </c>
      <c r="BK43" s="6">
        <f>G43+AI43+AW43</f>
        <v>-4171.7</v>
      </c>
      <c r="BL43" s="6">
        <f>H43+AJ43+AX43</f>
        <v>-4368.3999999999996</v>
      </c>
      <c r="BM43" s="6">
        <f>I43+AK43+AY43</f>
        <v>-4325.8</v>
      </c>
      <c r="BN43" s="6">
        <f>J43+AL43+AZ43</f>
        <v>-4255.1000000000004</v>
      </c>
      <c r="BO43" s="6">
        <f>K43+AM43+BA43</f>
        <v>-4499.5</v>
      </c>
      <c r="BP43" s="6">
        <f>L43+AN43+BB43</f>
        <v>-4789.5</v>
      </c>
      <c r="BQ43" s="6">
        <f>M43+AO43+BC43</f>
        <v>-4427.8999999999996</v>
      </c>
      <c r="BR43" s="6">
        <f>N43+AP43+BD43</f>
        <v>-4724.6000000000004</v>
      </c>
      <c r="BS43" s="6">
        <f>BR43</f>
        <v>-4724.6000000000004</v>
      </c>
    </row>
    <row r="44" spans="2:71">
      <c r="B44" s="5" t="s">
        <v>155</v>
      </c>
      <c r="C44" s="6">
        <v>-130</v>
      </c>
      <c r="D44" s="6">
        <v>-127</v>
      </c>
      <c r="E44" s="6">
        <v>-136.19999999999999</v>
      </c>
      <c r="F44" s="6">
        <v>-148</v>
      </c>
      <c r="G44" s="6">
        <v>-134.69999999999999</v>
      </c>
      <c r="H44" s="6">
        <v>-140.9</v>
      </c>
      <c r="I44" s="6">
        <v>-139</v>
      </c>
      <c r="J44" s="6">
        <v>-137.5</v>
      </c>
      <c r="K44" s="6">
        <v>-136.69999999999999</v>
      </c>
      <c r="L44" s="6">
        <v>-143.9</v>
      </c>
      <c r="M44" s="6">
        <v>-131.6</v>
      </c>
      <c r="N44" s="6">
        <v>-141.30000000000001</v>
      </c>
      <c r="O44" s="6">
        <f>N44</f>
        <v>-141.30000000000001</v>
      </c>
      <c r="Q44" s="6">
        <v>-130</v>
      </c>
      <c r="R44" s="6">
        <v>-127</v>
      </c>
      <c r="S44" s="6">
        <v>-136.19999999999999</v>
      </c>
      <c r="T44" s="6">
        <v>-148</v>
      </c>
      <c r="U44" s="6">
        <v>-134.69999999999999</v>
      </c>
      <c r="V44" s="6">
        <v>-140.9</v>
      </c>
      <c r="W44" s="6">
        <v>-139</v>
      </c>
      <c r="X44" s="6">
        <v>-137.5</v>
      </c>
      <c r="Y44" s="6">
        <v>-136.69999999999999</v>
      </c>
      <c r="Z44" s="6">
        <v>-143.9</v>
      </c>
      <c r="AA44" s="6">
        <v>-131.6</v>
      </c>
      <c r="AB44" s="6">
        <v>-141.30000000000001</v>
      </c>
      <c r="AC44" s="6">
        <f>AB44</f>
        <v>-141.30000000000001</v>
      </c>
      <c r="AE44" s="6">
        <f>Q44-C44</f>
        <v>0</v>
      </c>
      <c r="AF44" s="6">
        <f>R44-D44</f>
        <v>0</v>
      </c>
      <c r="AG44" s="6">
        <f>S44-E44</f>
        <v>0</v>
      </c>
      <c r="AH44" s="6">
        <f>T44-F44</f>
        <v>0</v>
      </c>
      <c r="AI44" s="6">
        <f>U44-G44</f>
        <v>0</v>
      </c>
      <c r="AJ44" s="6">
        <f>V44-H44</f>
        <v>0</v>
      </c>
      <c r="AK44" s="6">
        <f>W44-I44</f>
        <v>0</v>
      </c>
      <c r="AL44" s="6">
        <f>X44-J44</f>
        <v>0</v>
      </c>
      <c r="AM44" s="6">
        <f>Y44-K44</f>
        <v>0</v>
      </c>
      <c r="AN44" s="6">
        <f>Z44-L44</f>
        <v>0</v>
      </c>
      <c r="AO44" s="6">
        <f>AA44-M44</f>
        <v>0</v>
      </c>
      <c r="AP44" s="6">
        <f>AB44-N44</f>
        <v>0</v>
      </c>
      <c r="AQ44" s="6">
        <f>AP44</f>
        <v>0</v>
      </c>
      <c r="AS44" s="6">
        <f>'Cobalt-Adj'!C94</f>
        <v>0</v>
      </c>
      <c r="AT44" s="6">
        <f>'Cobalt-Adj'!D94</f>
        <v>0</v>
      </c>
      <c r="AU44" s="6">
        <f>'Cobalt-Adj'!E94</f>
        <v>0</v>
      </c>
      <c r="AV44" s="6">
        <f>'Cobalt-Adj'!F94</f>
        <v>0</v>
      </c>
      <c r="AW44" s="6">
        <f>'Cobalt-Adj'!G94</f>
        <v>0</v>
      </c>
      <c r="AX44" s="6">
        <f>'Cobalt-Adj'!H94</f>
        <v>0</v>
      </c>
      <c r="AY44" s="6">
        <f>'Cobalt-Adj'!I94</f>
        <v>0</v>
      </c>
      <c r="AZ44" s="6">
        <f>'Cobalt-Adj'!J94</f>
        <v>0</v>
      </c>
      <c r="BA44" s="6">
        <f>'Cobalt-Adj'!K94</f>
        <v>0</v>
      </c>
      <c r="BB44" s="6">
        <f>'Cobalt-Adj'!L94</f>
        <v>0</v>
      </c>
      <c r="BC44" s="6">
        <f>'Cobalt-Adj'!M94</f>
        <v>0</v>
      </c>
      <c r="BD44" s="6">
        <f>'Cobalt-Adj'!N94</f>
        <v>0</v>
      </c>
      <c r="BE44" s="6">
        <f>BD44</f>
        <v>0</v>
      </c>
      <c r="BG44" s="6">
        <f>C44+AE44+AS44</f>
        <v>-130</v>
      </c>
      <c r="BH44" s="6">
        <f>D44+AF44+AT44</f>
        <v>-127</v>
      </c>
      <c r="BI44" s="6">
        <f>E44+AG44+AU44</f>
        <v>-136.19999999999999</v>
      </c>
      <c r="BJ44" s="6">
        <f>F44+AH44+AV44</f>
        <v>-148</v>
      </c>
      <c r="BK44" s="6">
        <f>G44+AI44+AW44</f>
        <v>-134.69999999999999</v>
      </c>
      <c r="BL44" s="6">
        <f>H44+AJ44+AX44</f>
        <v>-140.9</v>
      </c>
      <c r="BM44" s="6">
        <f>I44+AK44+AY44</f>
        <v>-139</v>
      </c>
      <c r="BN44" s="6">
        <f>J44+AL44+AZ44</f>
        <v>-137.5</v>
      </c>
      <c r="BO44" s="6">
        <f>K44+AM44+BA44</f>
        <v>-136.69999999999999</v>
      </c>
      <c r="BP44" s="6">
        <f>L44+AN44+BB44</f>
        <v>-143.9</v>
      </c>
      <c r="BQ44" s="6">
        <f>M44+AO44+BC44</f>
        <v>-131.6</v>
      </c>
      <c r="BR44" s="6">
        <f>N44+AP44+BD44</f>
        <v>-141.30000000000001</v>
      </c>
      <c r="BS44" s="6">
        <f>BR44</f>
        <v>-141.30000000000001</v>
      </c>
    </row>
    <row r="45" spans="2:71">
      <c r="B45" s="2" t="s">
        <v>170</v>
      </c>
      <c r="C45" s="6">
        <f>SUM(C40:C44)</f>
        <v>9553.3000000000011</v>
      </c>
      <c r="D45" s="6">
        <f>SUM(D40:D44)</f>
        <v>9402.2999999999993</v>
      </c>
      <c r="E45" s="6">
        <f>SUM(E40:E44)</f>
        <v>9952.6</v>
      </c>
      <c r="F45" s="6">
        <f>SUM(F40:F44)</f>
        <v>11021.9</v>
      </c>
      <c r="G45" s="6">
        <f>SUM(G40:G44)</f>
        <v>9777.5999999999985</v>
      </c>
      <c r="H45" s="6">
        <f>SUM(H40:H44)</f>
        <v>9845.7000000000007</v>
      </c>
      <c r="I45" s="6">
        <f>SUM(I40:I44)</f>
        <v>9716.9000000000015</v>
      </c>
      <c r="J45" s="6">
        <f>SUM(J40:J44)</f>
        <v>9153.9</v>
      </c>
      <c r="K45" s="6">
        <f>SUM(K40:K44)</f>
        <v>9189.1999999999971</v>
      </c>
      <c r="L45" s="6">
        <f>SUM(L40:L44)</f>
        <v>9690.7999999999993</v>
      </c>
      <c r="M45" s="6">
        <f>SUM(M40:M44)</f>
        <v>8900.3999999999978</v>
      </c>
      <c r="N45" s="6">
        <f>SUM(N40:N44)</f>
        <v>9745.4</v>
      </c>
      <c r="O45" s="6">
        <f>N45</f>
        <v>9745.4</v>
      </c>
      <c r="Q45" s="6">
        <f>SUM(Q40:Q44)</f>
        <v>9553.3000000000011</v>
      </c>
      <c r="R45" s="6">
        <f>SUM(R40:R44)</f>
        <v>9402.2999999999993</v>
      </c>
      <c r="S45" s="6">
        <f>SUM(S40:S44)</f>
        <v>9952.6</v>
      </c>
      <c r="T45" s="6">
        <f>SUM(T40:T44)</f>
        <v>11021.9</v>
      </c>
      <c r="U45" s="6">
        <f>SUM(U40:U44)</f>
        <v>9777.5999999999985</v>
      </c>
      <c r="V45" s="6">
        <f>SUM(V40:V44)</f>
        <v>9845.7000000000007</v>
      </c>
      <c r="W45" s="6">
        <f>SUM(W40:W44)</f>
        <v>9716.9000000000015</v>
      </c>
      <c r="X45" s="6">
        <f>SUM(X40:X44)</f>
        <v>9153.9</v>
      </c>
      <c r="Y45" s="6">
        <f>SUM(Y40:Y44)</f>
        <v>9189.1999999999971</v>
      </c>
      <c r="Z45" s="6">
        <f>SUM(Z40:Z44)</f>
        <v>9690.7999999999993</v>
      </c>
      <c r="AA45" s="6">
        <f>SUM(AA40:AA44)</f>
        <v>8900.3999999999978</v>
      </c>
      <c r="AB45" s="6">
        <f>SUM(AB40:AB44)</f>
        <v>9745.4</v>
      </c>
      <c r="AC45" s="6">
        <f>AB45</f>
        <v>9745.4</v>
      </c>
      <c r="AE45" s="6">
        <f>SUM(AE40:AE44)</f>
        <v>0</v>
      </c>
      <c r="AF45" s="6">
        <f>SUM(AF40:AF44)</f>
        <v>0</v>
      </c>
      <c r="AG45" s="6">
        <f>SUM(AG40:AG44)</f>
        <v>0</v>
      </c>
      <c r="AH45" s="6">
        <f>SUM(AH40:AH44)</f>
        <v>0</v>
      </c>
      <c r="AI45" s="6">
        <f>SUM(AI40:AI44)</f>
        <v>0</v>
      </c>
      <c r="AJ45" s="6">
        <f>SUM(AJ40:AJ44)</f>
        <v>0</v>
      </c>
      <c r="AK45" s="6">
        <f>SUM(AK40:AK44)</f>
        <v>0</v>
      </c>
      <c r="AL45" s="6">
        <f>SUM(AL40:AL44)</f>
        <v>0</v>
      </c>
      <c r="AM45" s="6">
        <f>SUM(AM40:AM44)</f>
        <v>0</v>
      </c>
      <c r="AN45" s="6">
        <f>SUM(AN40:AN44)</f>
        <v>0</v>
      </c>
      <c r="AO45" s="6">
        <f>SUM(AO40:AO44)</f>
        <v>0</v>
      </c>
      <c r="AP45" s="6">
        <f>SUM(AP40:AP44)</f>
        <v>0</v>
      </c>
      <c r="AQ45" s="6">
        <f>AP45</f>
        <v>0</v>
      </c>
      <c r="AS45" s="6">
        <f>SUM(AS40:AS44)</f>
        <v>0</v>
      </c>
      <c r="AT45" s="6">
        <f>SUM(AT40:AT44)</f>
        <v>0</v>
      </c>
      <c r="AU45" s="6">
        <f>SUM(AU40:AU44)</f>
        <v>0</v>
      </c>
      <c r="AV45" s="6">
        <f>SUM(AV40:AV44)</f>
        <v>0</v>
      </c>
      <c r="AW45" s="6">
        <f>SUM(AW40:AW44)</f>
        <v>0</v>
      </c>
      <c r="AX45" s="6">
        <f>SUM(AX40:AX44)</f>
        <v>0</v>
      </c>
      <c r="AY45" s="6">
        <f>SUM(AY40:AY44)</f>
        <v>0</v>
      </c>
      <c r="AZ45" s="6">
        <f>SUM(AZ40:AZ44)</f>
        <v>0</v>
      </c>
      <c r="BA45" s="6">
        <f>SUM(BA40:BA44)</f>
        <v>0</v>
      </c>
      <c r="BB45" s="6">
        <f>SUM(BB40:BB44)</f>
        <v>0</v>
      </c>
      <c r="BC45" s="6">
        <f>SUM(BC40:BC44)</f>
        <v>0</v>
      </c>
      <c r="BD45" s="6">
        <f>SUM(BD40:BD44)</f>
        <v>0</v>
      </c>
      <c r="BE45" s="6">
        <f>BD45</f>
        <v>0</v>
      </c>
      <c r="BG45" s="6">
        <f>SUM(BG40:BG44)</f>
        <v>9553.3000000000011</v>
      </c>
      <c r="BH45" s="6">
        <f>SUM(BH40:BH44)</f>
        <v>9402.2999999999993</v>
      </c>
      <c r="BI45" s="6">
        <f>SUM(BI40:BI44)</f>
        <v>9952.6</v>
      </c>
      <c r="BJ45" s="6">
        <f>SUM(BJ40:BJ44)</f>
        <v>11021.9</v>
      </c>
      <c r="BK45" s="6">
        <f>SUM(BK40:BK44)</f>
        <v>9777.5999999999985</v>
      </c>
      <c r="BL45" s="6">
        <f>SUM(BL40:BL44)</f>
        <v>9845.7000000000007</v>
      </c>
      <c r="BM45" s="6">
        <f>SUM(BM40:BM44)</f>
        <v>9716.9000000000015</v>
      </c>
      <c r="BN45" s="6">
        <f>SUM(BN40:BN44)</f>
        <v>9153.9</v>
      </c>
      <c r="BO45" s="6">
        <f>SUM(BO40:BO44)</f>
        <v>9189.1999999999971</v>
      </c>
      <c r="BP45" s="6">
        <f>SUM(BP40:BP44)</f>
        <v>9690.7999999999993</v>
      </c>
      <c r="BQ45" s="6">
        <f>SUM(BQ40:BQ44)</f>
        <v>8900.3999999999978</v>
      </c>
      <c r="BR45" s="6">
        <f>SUM(BR40:BR44)</f>
        <v>9745.4</v>
      </c>
      <c r="BS45" s="6">
        <f>BR45</f>
        <v>9745.4</v>
      </c>
    </row>
    <row r="46" spans="2:71">
      <c r="B46" s="5" t="s">
        <v>171</v>
      </c>
      <c r="C46" s="12">
        <f>IFERROR(C45/(C28*12),0)</f>
        <v>0.18372720069542206</v>
      </c>
      <c r="D46" s="12">
        <f>IFERROR(D45/(D28*12),0)</f>
        <v>0.18513420915835735</v>
      </c>
      <c r="E46" s="12">
        <f>IFERROR(E45/(E28*12),0)</f>
        <v>0.18273990511023958</v>
      </c>
      <c r="F46" s="12">
        <f>IFERROR(F45/(F28*12),0)</f>
        <v>0.18622352432315534</v>
      </c>
      <c r="G46" s="12">
        <f>IFERROR(G45/(G28*12),0)</f>
        <v>0.18142952571810284</v>
      </c>
      <c r="H46" s="12">
        <f>IFERROR(H45/(H28*12),0)</f>
        <v>0.17466577255503046</v>
      </c>
      <c r="I46" s="12">
        <f>IFERROR(I45/(I28*12),0)</f>
        <v>0.17475810222653865</v>
      </c>
      <c r="J46" s="12">
        <f>IFERROR(J45/(J28*12),0)</f>
        <v>0.16642123175600498</v>
      </c>
      <c r="K46" s="12">
        <f>IFERROR(K45/(K28*12),0)</f>
        <v>0.16919281190160548</v>
      </c>
      <c r="L46" s="12">
        <f>IFERROR(L45/(L28*12),0)</f>
        <v>0.16982097545246808</v>
      </c>
      <c r="M46" s="12">
        <f>IFERROR(M45/(M28*12),0)</f>
        <v>0.17064304612906933</v>
      </c>
      <c r="N46" s="12">
        <f>IFERROR(N45/(N28*12),0)</f>
        <v>0.1738598331584994</v>
      </c>
      <c r="Q46" s="12">
        <f>IFERROR(Q45/(Q28*12),0)</f>
        <v>0.18372720069542206</v>
      </c>
      <c r="R46" s="12">
        <f>IFERROR(R45/(R28*12),0)</f>
        <v>0.18513420915835735</v>
      </c>
      <c r="S46" s="12">
        <f>IFERROR(S45/(S28*12),0)</f>
        <v>0.18273990511023958</v>
      </c>
      <c r="T46" s="12">
        <f>IFERROR(T45/(T28*12),0)</f>
        <v>0.18622352432315534</v>
      </c>
      <c r="U46" s="12">
        <f>IFERROR(U45/(U28*12),0)</f>
        <v>0.18142952571810284</v>
      </c>
      <c r="V46" s="12">
        <f>IFERROR(V45/(V28*12),0)</f>
        <v>0.17466577255503046</v>
      </c>
      <c r="W46" s="12">
        <f>IFERROR(W45/(W28*12),0)</f>
        <v>0.17475810222653865</v>
      </c>
      <c r="X46" s="12">
        <f>IFERROR(X45/(X28*12),0)</f>
        <v>0.16642123175600498</v>
      </c>
      <c r="Y46" s="12">
        <f>IFERROR(Y45/(Y28*12),0)</f>
        <v>0.16919281190160548</v>
      </c>
      <c r="Z46" s="12">
        <f>IFERROR(Z45/(Z28*12),0)</f>
        <v>0.16982097545246808</v>
      </c>
      <c r="AA46" s="12">
        <f>IFERROR(AA45/(AA28*12),0)</f>
        <v>0.17064304612906933</v>
      </c>
      <c r="AB46" s="12">
        <f>IFERROR(AB45/(AB28*12),0)</f>
        <v>0.1738598331584994</v>
      </c>
      <c r="AE46" s="12">
        <f>IFERROR(AE45/(AE28*12),0)</f>
        <v>0</v>
      </c>
      <c r="AF46" s="12">
        <f>IFERROR(AF45/(AF28*12),0)</f>
        <v>0</v>
      </c>
      <c r="AG46" s="12">
        <f>IFERROR(AG45/(AG28*12),0)</f>
        <v>0</v>
      </c>
      <c r="AH46" s="12">
        <f>IFERROR(AH45/(AH28*12),0)</f>
        <v>0</v>
      </c>
      <c r="AI46" s="12">
        <f>IFERROR(AI45/(AI28*12),0)</f>
        <v>0</v>
      </c>
      <c r="AJ46" s="12">
        <f>IFERROR(AJ45/(AJ28*12),0)</f>
        <v>0</v>
      </c>
      <c r="AK46" s="12">
        <f>IFERROR(AK45/(AK28*12),0)</f>
        <v>0</v>
      </c>
      <c r="AL46" s="12">
        <f>IFERROR(AL45/(AL28*12),0)</f>
        <v>0</v>
      </c>
      <c r="AM46" s="12">
        <f>IFERROR(AM45/(AM28*12),0)</f>
        <v>0</v>
      </c>
      <c r="AN46" s="12">
        <f>IFERROR(AN45/(AN28*12),0)</f>
        <v>0</v>
      </c>
      <c r="AO46" s="12">
        <f>IFERROR(AO45/(AO28*12),0)</f>
        <v>0</v>
      </c>
      <c r="AP46" s="12">
        <f>IFERROR(AP45/(AP28*12),0)</f>
        <v>0</v>
      </c>
      <c r="AS46" s="12">
        <f>IFERROR(AS45/(AS28*12),0)</f>
        <v>0</v>
      </c>
      <c r="AT46" s="12">
        <f>IFERROR(AT45/(AT28*12),0)</f>
        <v>0</v>
      </c>
      <c r="AU46" s="12">
        <f>IFERROR(AU45/(AU28*12),0)</f>
        <v>0</v>
      </c>
      <c r="AV46" s="12">
        <f>IFERROR(AV45/(AV28*12),0)</f>
        <v>0</v>
      </c>
      <c r="AW46" s="12">
        <f>IFERROR(AW45/(AW28*12),0)</f>
        <v>0</v>
      </c>
      <c r="AX46" s="12">
        <f>IFERROR(AX45/(AX28*12),0)</f>
        <v>0</v>
      </c>
      <c r="AY46" s="12">
        <f>IFERROR(AY45/(AY28*12),0)</f>
        <v>0</v>
      </c>
      <c r="AZ46" s="12">
        <f>IFERROR(AZ45/(AZ28*12),0)</f>
        <v>0</v>
      </c>
      <c r="BA46" s="12">
        <f>IFERROR(BA45/(BA28*12),0)</f>
        <v>0</v>
      </c>
      <c r="BB46" s="12">
        <f>IFERROR(BB45/(BB28*12),0)</f>
        <v>0</v>
      </c>
      <c r="BC46" s="12">
        <f>IFERROR(BC45/(BC28*12),0)</f>
        <v>0</v>
      </c>
      <c r="BD46" s="12">
        <f>IFERROR(BD45/(BD28*12),0)</f>
        <v>0</v>
      </c>
      <c r="BG46" s="12">
        <f>IFERROR(BG45/(BG28*12),0)</f>
        <v>0.18372720069542206</v>
      </c>
      <c r="BH46" s="12">
        <f>IFERROR(BH45/(BH28*12),0)</f>
        <v>0.18513420915835735</v>
      </c>
      <c r="BI46" s="12">
        <f>IFERROR(BI45/(BI28*12),0)</f>
        <v>0.18273990511023958</v>
      </c>
      <c r="BJ46" s="12">
        <f>IFERROR(BJ45/(BJ28*12),0)</f>
        <v>0.18622352432315534</v>
      </c>
      <c r="BK46" s="12">
        <f>IFERROR(BK45/(BK28*12),0)</f>
        <v>0.18142952571810284</v>
      </c>
      <c r="BL46" s="12">
        <f>IFERROR(BL45/(BL28*12),0)</f>
        <v>0.17466577255503046</v>
      </c>
      <c r="BM46" s="12">
        <f>IFERROR(BM45/(BM28*12),0)</f>
        <v>0.17475810222653865</v>
      </c>
      <c r="BN46" s="12">
        <f>IFERROR(BN45/(BN28*12),0)</f>
        <v>0.16642123175600498</v>
      </c>
      <c r="BO46" s="12">
        <f>IFERROR(BO45/(BO28*12),0)</f>
        <v>0.16807872402692414</v>
      </c>
      <c r="BP46" s="12">
        <f>IFERROR(BP45/(BP28*12),0)</f>
        <v>0.16840444314690467</v>
      </c>
      <c r="BQ46" s="12">
        <f>IFERROR(BQ45/(BQ28*12),0)</f>
        <v>0.16908697138949044</v>
      </c>
      <c r="BR46" s="12">
        <f>IFERROR(BR45/(BR28*12),0)</f>
        <v>0.17238366128221999</v>
      </c>
    </row>
    <row r="49" spans="2:15">
      <c r="B49" s="8" t="s">
        <v>172</v>
      </c>
    </row>
    <row r="50" spans="2:15">
      <c r="C50" s="19" t="s">
        <v>70</v>
      </c>
      <c r="D50" s="19" t="s">
        <v>71</v>
      </c>
      <c r="E50" s="19" t="s">
        <v>72</v>
      </c>
      <c r="F50" s="19" t="s">
        <v>73</v>
      </c>
      <c r="G50" s="19" t="s">
        <v>50</v>
      </c>
      <c r="H50" s="19" t="s">
        <v>74</v>
      </c>
      <c r="I50" s="19" t="s">
        <v>75</v>
      </c>
      <c r="J50" s="19" t="s">
        <v>76</v>
      </c>
      <c r="K50" s="19" t="s">
        <v>77</v>
      </c>
      <c r="L50" s="19" t="s">
        <v>78</v>
      </c>
      <c r="M50" s="19" t="s">
        <v>79</v>
      </c>
      <c r="N50" s="19" t="s">
        <v>80</v>
      </c>
      <c r="O50" s="2" t="s">
        <v>165</v>
      </c>
    </row>
    <row r="51" spans="2:15">
      <c r="B51" t="s">
        <v>100</v>
      </c>
      <c r="C51" s="6">
        <v>4354.1000000000004</v>
      </c>
      <c r="D51" s="6">
        <v>4262.3999999999996</v>
      </c>
      <c r="E51" s="6">
        <v>4583.3</v>
      </c>
      <c r="F51" s="6">
        <v>4950.1000000000004</v>
      </c>
      <c r="G51" s="6">
        <v>4491.7</v>
      </c>
      <c r="H51" s="6">
        <v>4720.7</v>
      </c>
      <c r="I51" s="6">
        <v>4675</v>
      </c>
      <c r="J51" s="6">
        <v>4583.5</v>
      </c>
      <c r="K51" s="6">
        <v>4491.5</v>
      </c>
      <c r="L51" s="6">
        <v>4812.6000000000004</v>
      </c>
      <c r="M51" s="6">
        <v>4354.2</v>
      </c>
      <c r="N51" s="6">
        <v>4720.7</v>
      </c>
      <c r="O51" s="6">
        <f>SUM(C51:N51)</f>
        <v>54999.799999999996</v>
      </c>
    </row>
    <row r="52" spans="2:15">
      <c r="B52" t="s">
        <v>111</v>
      </c>
      <c r="C52" s="6">
        <v>1567.5</v>
      </c>
      <c r="D52" s="6">
        <v>1534.4</v>
      </c>
      <c r="E52" s="6">
        <v>1650</v>
      </c>
      <c r="F52" s="6">
        <v>1782.1</v>
      </c>
      <c r="G52" s="6">
        <v>1617.1</v>
      </c>
      <c r="H52" s="6">
        <v>1699.4</v>
      </c>
      <c r="I52" s="6">
        <v>1682.9</v>
      </c>
      <c r="J52" s="6">
        <v>1650.2</v>
      </c>
      <c r="K52" s="6">
        <v>1616.9</v>
      </c>
      <c r="L52" s="6">
        <v>1732.6</v>
      </c>
      <c r="M52" s="6">
        <v>1567.6</v>
      </c>
      <c r="N52" s="6">
        <v>1699.4</v>
      </c>
      <c r="O52" s="6">
        <f>SUM(C52:N52)</f>
        <v>19800.099999999999</v>
      </c>
    </row>
    <row r="53" spans="2:15">
      <c r="B53" t="s">
        <v>112</v>
      </c>
      <c r="C53" s="6">
        <v>-966.4</v>
      </c>
      <c r="D53" s="6">
        <v>-946.3</v>
      </c>
      <c r="E53" s="6">
        <v>-1017.1</v>
      </c>
      <c r="F53" s="6">
        <v>-1098.9000000000001</v>
      </c>
      <c r="G53" s="6">
        <v>-997.2</v>
      </c>
      <c r="H53" s="6">
        <v>-1047.9000000000001</v>
      </c>
      <c r="I53" s="6">
        <v>-1038</v>
      </c>
      <c r="J53" s="6">
        <v>-1017.1</v>
      </c>
      <c r="K53" s="6">
        <v>-997.2</v>
      </c>
      <c r="L53" s="6">
        <v>-1068.2</v>
      </c>
      <c r="M53" s="6">
        <v>-966.4</v>
      </c>
      <c r="N53" s="6">
        <v>-1047.9000000000001</v>
      </c>
      <c r="O53" s="6">
        <f>SUM(C53:N53)</f>
        <v>-12208.6</v>
      </c>
    </row>
    <row r="54" spans="2:15">
      <c r="B54" t="s">
        <v>113</v>
      </c>
      <c r="C54" s="6">
        <f>C52+C53</f>
        <v>601.1</v>
      </c>
      <c r="D54" s="6">
        <f>D52+D53</f>
        <v>588.10000000000014</v>
      </c>
      <c r="E54" s="6">
        <f>E52+E53</f>
        <v>632.9</v>
      </c>
      <c r="F54" s="6">
        <f>F52+F53</f>
        <v>683.19999999999982</v>
      </c>
      <c r="G54" s="6">
        <f>G52+G53</f>
        <v>619.89999999999986</v>
      </c>
      <c r="H54" s="6">
        <f>H52+H53</f>
        <v>651.5</v>
      </c>
      <c r="I54" s="6">
        <f>I52+I53</f>
        <v>644.90000000000009</v>
      </c>
      <c r="J54" s="6">
        <f>J52+J53</f>
        <v>633.1</v>
      </c>
      <c r="K54" s="6">
        <f>K52+K53</f>
        <v>619.70000000000005</v>
      </c>
      <c r="L54" s="6">
        <f>L52+L53</f>
        <v>664.39999999999986</v>
      </c>
      <c r="M54" s="6">
        <f>M52+M53</f>
        <v>601.19999999999993</v>
      </c>
      <c r="N54" s="6">
        <f>N52+N53</f>
        <v>651.5</v>
      </c>
      <c r="O54" s="6">
        <f>SUM(C54:N54)</f>
        <v>7591.5</v>
      </c>
    </row>
    <row r="55" spans="2:15">
      <c r="B55" t="s">
        <v>151</v>
      </c>
      <c r="C55" s="6">
        <v>6936</v>
      </c>
      <c r="D55" s="6">
        <v>6905.2</v>
      </c>
      <c r="E55" s="6">
        <v>7528.7</v>
      </c>
      <c r="F55" s="6">
        <v>8003.3</v>
      </c>
      <c r="G55" s="6">
        <v>7149.3</v>
      </c>
      <c r="H55" s="6">
        <v>7523</v>
      </c>
      <c r="I55" s="6">
        <v>7706.4</v>
      </c>
      <c r="J55" s="6">
        <v>7535</v>
      </c>
      <c r="K55" s="6">
        <v>7210.9</v>
      </c>
      <c r="L55" s="6">
        <v>7742.1</v>
      </c>
      <c r="M55" s="6">
        <v>6959.6</v>
      </c>
      <c r="N55" s="6">
        <v>7532.9</v>
      </c>
      <c r="O55" s="6">
        <f>N55</f>
        <v>7532.9</v>
      </c>
    </row>
    <row r="56" spans="2:15">
      <c r="B56" t="s">
        <v>152</v>
      </c>
      <c r="C56" s="6">
        <v>6531.2</v>
      </c>
      <c r="D56" s="6">
        <v>6393.6</v>
      </c>
      <c r="E56" s="6">
        <v>6874.9</v>
      </c>
      <c r="F56" s="6">
        <v>7425.2</v>
      </c>
      <c r="G56" s="6">
        <v>6737.6</v>
      </c>
      <c r="H56" s="6">
        <v>7081.1</v>
      </c>
      <c r="I56" s="6">
        <v>7012.5</v>
      </c>
      <c r="J56" s="6">
        <v>6875.2</v>
      </c>
      <c r="K56" s="6">
        <v>6737.2</v>
      </c>
      <c r="L56" s="6">
        <v>7218.9</v>
      </c>
      <c r="M56" s="6">
        <v>6531.3</v>
      </c>
      <c r="N56" s="6">
        <v>7081.1</v>
      </c>
      <c r="O56" s="6">
        <f>N56</f>
        <v>7081.1</v>
      </c>
    </row>
    <row r="57" spans="2:15">
      <c r="B57" t="s">
        <v>153</v>
      </c>
      <c r="C57" s="6">
        <v>65.3</v>
      </c>
      <c r="D57" s="6">
        <v>63.9</v>
      </c>
      <c r="E57" s="6">
        <v>68.7</v>
      </c>
      <c r="F57" s="6">
        <v>74.3</v>
      </c>
      <c r="G57" s="6">
        <v>67.400000000000006</v>
      </c>
      <c r="H57" s="6">
        <v>70.8</v>
      </c>
      <c r="I57" s="6">
        <v>70.099999999999994</v>
      </c>
      <c r="J57" s="6">
        <v>68.8</v>
      </c>
      <c r="K57" s="6">
        <v>67.400000000000006</v>
      </c>
      <c r="L57" s="6">
        <v>72.2</v>
      </c>
      <c r="M57" s="6">
        <v>65.3</v>
      </c>
      <c r="N57" s="6">
        <v>70.8</v>
      </c>
      <c r="O57" s="6">
        <f>N57</f>
        <v>70.8</v>
      </c>
    </row>
    <row r="58" spans="2:15">
      <c r="B58" t="s">
        <v>154</v>
      </c>
      <c r="C58" s="6">
        <v>-3901.2</v>
      </c>
      <c r="D58" s="6">
        <v>-3819.2</v>
      </c>
      <c r="E58" s="6">
        <v>-4106.6000000000004</v>
      </c>
      <c r="F58" s="6">
        <v>-4435.2</v>
      </c>
      <c r="G58" s="6">
        <v>-4024.4</v>
      </c>
      <c r="H58" s="6">
        <v>-4229.8</v>
      </c>
      <c r="I58" s="6">
        <v>-4188.8999999999996</v>
      </c>
      <c r="J58" s="6">
        <v>-4106.6000000000004</v>
      </c>
      <c r="K58" s="6">
        <v>-4024.4</v>
      </c>
      <c r="L58" s="6">
        <v>-4312</v>
      </c>
      <c r="M58" s="6">
        <v>-3901.2</v>
      </c>
      <c r="N58" s="6">
        <v>-4229.8</v>
      </c>
      <c r="O58" s="6">
        <f>N58</f>
        <v>-4229.8</v>
      </c>
    </row>
    <row r="59" spans="2:15">
      <c r="B59" t="s">
        <v>155</v>
      </c>
      <c r="C59" s="6">
        <v>-130.6</v>
      </c>
      <c r="D59" s="6">
        <v>-127.9</v>
      </c>
      <c r="E59" s="6">
        <v>-137.5</v>
      </c>
      <c r="F59" s="6">
        <v>-148.5</v>
      </c>
      <c r="G59" s="6">
        <v>-134.80000000000001</v>
      </c>
      <c r="H59" s="6">
        <v>-141.6</v>
      </c>
      <c r="I59" s="6">
        <v>-140.19999999999999</v>
      </c>
      <c r="J59" s="6">
        <v>-137.5</v>
      </c>
      <c r="K59" s="6">
        <v>-134.69999999999999</v>
      </c>
      <c r="L59" s="6">
        <v>-144.4</v>
      </c>
      <c r="M59" s="6">
        <v>-130.6</v>
      </c>
      <c r="N59" s="6">
        <v>-141.6</v>
      </c>
      <c r="O59" s="6">
        <f>N59</f>
        <v>-141.6</v>
      </c>
    </row>
    <row r="60" spans="2:15">
      <c r="B60" t="s">
        <v>170</v>
      </c>
      <c r="C60" s="6">
        <f>SUM(C55:C59)</f>
        <v>9500.6999999999989</v>
      </c>
      <c r="D60" s="6">
        <f>SUM(D55:D59)</f>
        <v>9415.6</v>
      </c>
      <c r="E60" s="6">
        <f>SUM(E55:E59)</f>
        <v>10228.199999999999</v>
      </c>
      <c r="F60" s="6">
        <f>SUM(F55:F59)</f>
        <v>10919.099999999999</v>
      </c>
      <c r="G60" s="6">
        <f>SUM(G55:G59)</f>
        <v>9795.1000000000022</v>
      </c>
      <c r="H60" s="6">
        <f>SUM(H55:H59)</f>
        <v>10303.499999999998</v>
      </c>
      <c r="I60" s="6">
        <f>SUM(I55:I59)</f>
        <v>10459.9</v>
      </c>
      <c r="J60" s="6">
        <f>SUM(J55:J59)</f>
        <v>10234.9</v>
      </c>
      <c r="K60" s="6">
        <f>SUM(K55:K59)</f>
        <v>9856.3999999999978</v>
      </c>
      <c r="L60" s="6">
        <f>SUM(L55:L59)</f>
        <v>10576.800000000001</v>
      </c>
      <c r="M60" s="6">
        <f>SUM(M55:M59)</f>
        <v>9524.4</v>
      </c>
      <c r="N60" s="6">
        <f>SUM(N55:N59)</f>
        <v>10313.4</v>
      </c>
      <c r="O60" s="6">
        <f>N60</f>
        <v>10313.4</v>
      </c>
    </row>
    <row r="62" spans="2:15">
      <c r="B62" s="8" t="s">
        <v>173</v>
      </c>
    </row>
    <row r="63" spans="2:15">
      <c r="C63" s="19" t="s">
        <v>70</v>
      </c>
      <c r="D63" s="19" t="s">
        <v>71</v>
      </c>
      <c r="E63" s="19" t="s">
        <v>72</v>
      </c>
      <c r="F63" s="19" t="s">
        <v>73</v>
      </c>
      <c r="G63" s="19" t="s">
        <v>50</v>
      </c>
      <c r="H63" s="19" t="s">
        <v>74</v>
      </c>
      <c r="I63" s="19" t="s">
        <v>75</v>
      </c>
      <c r="J63" s="19" t="s">
        <v>76</v>
      </c>
      <c r="K63" s="19" t="s">
        <v>77</v>
      </c>
      <c r="L63" s="19" t="s">
        <v>78</v>
      </c>
      <c r="M63" s="19" t="s">
        <v>79</v>
      </c>
      <c r="N63" s="19" t="s">
        <v>80</v>
      </c>
      <c r="O63" s="2" t="s">
        <v>165</v>
      </c>
    </row>
    <row r="64" spans="2:15">
      <c r="B64" t="s">
        <v>100</v>
      </c>
      <c r="C64" s="6">
        <v>4131.1000000000004</v>
      </c>
      <c r="D64" s="6">
        <v>4153.7</v>
      </c>
      <c r="E64" s="6">
        <v>4407.3999999999996</v>
      </c>
      <c r="F64" s="6">
        <v>4690.5</v>
      </c>
      <c r="G64" s="6">
        <v>4318.6000000000004</v>
      </c>
      <c r="H64" s="6">
        <v>4497.7</v>
      </c>
      <c r="I64" s="6">
        <v>4544.8999999999996</v>
      </c>
      <c r="J64" s="6">
        <v>4350.3</v>
      </c>
      <c r="K64" s="6">
        <v>4347.3</v>
      </c>
      <c r="L64" s="6">
        <v>4572.3</v>
      </c>
      <c r="M64" s="6">
        <v>4172.2</v>
      </c>
      <c r="N64" s="6">
        <v>4549.7</v>
      </c>
      <c r="O64" s="6">
        <f>SUM(C64:N64)</f>
        <v>52735.7</v>
      </c>
    </row>
    <row r="65" spans="2:15">
      <c r="B65" t="s">
        <v>111</v>
      </c>
      <c r="C65" s="6">
        <v>1456.7</v>
      </c>
      <c r="D65" s="6">
        <v>1462.7</v>
      </c>
      <c r="E65" s="6">
        <v>1561.9</v>
      </c>
      <c r="F65" s="6">
        <v>1660.8</v>
      </c>
      <c r="G65" s="6">
        <v>1523.3</v>
      </c>
      <c r="H65" s="6">
        <v>1601.6</v>
      </c>
      <c r="I65" s="6">
        <v>1616.9</v>
      </c>
      <c r="J65" s="6">
        <v>1531.4</v>
      </c>
      <c r="K65" s="6">
        <v>1533.2</v>
      </c>
      <c r="L65" s="6">
        <v>1628.7</v>
      </c>
      <c r="M65" s="6">
        <v>1500.8</v>
      </c>
      <c r="N65" s="6">
        <v>1612</v>
      </c>
      <c r="O65" s="6">
        <f>SUM(C65:N65)</f>
        <v>18690</v>
      </c>
    </row>
    <row r="66" spans="2:15">
      <c r="B66" t="s">
        <v>112</v>
      </c>
      <c r="C66" s="6">
        <v>-943.8</v>
      </c>
      <c r="D66" s="6">
        <v>-921.7</v>
      </c>
      <c r="E66" s="6">
        <v>-992.8</v>
      </c>
      <c r="F66" s="6">
        <v>-1079</v>
      </c>
      <c r="G66" s="6">
        <v>-972.1</v>
      </c>
      <c r="H66" s="6">
        <v>-1023.6</v>
      </c>
      <c r="I66" s="6">
        <v>-1018.6</v>
      </c>
      <c r="J66" s="6">
        <v>-1000.2</v>
      </c>
      <c r="K66" s="6">
        <v>-974.6</v>
      </c>
      <c r="L66" s="6">
        <v>-1036.5</v>
      </c>
      <c r="M66" s="6">
        <v>-946.3</v>
      </c>
      <c r="N66" s="6">
        <v>-1028.2</v>
      </c>
      <c r="O66" s="6">
        <f>SUM(C66:N66)</f>
        <v>-11937.400000000001</v>
      </c>
    </row>
    <row r="67" spans="2:15">
      <c r="B67" t="s">
        <v>113</v>
      </c>
      <c r="C67" s="6">
        <f>C65+C66</f>
        <v>512.90000000000009</v>
      </c>
      <c r="D67" s="6">
        <f>D65+D66</f>
        <v>541</v>
      </c>
      <c r="E67" s="6">
        <f>E65+E66</f>
        <v>569.10000000000014</v>
      </c>
      <c r="F67" s="6">
        <f>F65+F66</f>
        <v>581.79999999999995</v>
      </c>
      <c r="G67" s="6">
        <f>G65+G66</f>
        <v>551.19999999999993</v>
      </c>
      <c r="H67" s="6">
        <f>H65+H66</f>
        <v>577.99999999999989</v>
      </c>
      <c r="I67" s="6">
        <f>I65+I66</f>
        <v>598.30000000000007</v>
      </c>
      <c r="J67" s="6">
        <f>J65+J66</f>
        <v>531.20000000000005</v>
      </c>
      <c r="K67" s="6">
        <f>K65+K66</f>
        <v>558.6</v>
      </c>
      <c r="L67" s="6">
        <f>L65+L66</f>
        <v>592.20000000000005</v>
      </c>
      <c r="M67" s="6">
        <f>M65+M66</f>
        <v>554.5</v>
      </c>
      <c r="N67" s="6">
        <f>N65+N66</f>
        <v>583.79999999999995</v>
      </c>
      <c r="O67" s="6">
        <f>SUM(C67:N67)</f>
        <v>6752.6</v>
      </c>
    </row>
    <row r="68" spans="2:15">
      <c r="B68" t="s">
        <v>151</v>
      </c>
      <c r="C68" s="6">
        <v>7610.3</v>
      </c>
      <c r="D68" s="6">
        <v>7509.1</v>
      </c>
      <c r="E68" s="6">
        <v>8069.3</v>
      </c>
      <c r="F68" s="6">
        <v>8489</v>
      </c>
      <c r="G68" s="6">
        <v>7879.4</v>
      </c>
      <c r="H68" s="6">
        <v>8168</v>
      </c>
      <c r="I68" s="6">
        <v>8229.7000000000007</v>
      </c>
      <c r="J68" s="6">
        <v>7923.1</v>
      </c>
      <c r="K68" s="6">
        <v>7812.2</v>
      </c>
      <c r="L68" s="6">
        <v>8310.7000000000007</v>
      </c>
      <c r="M68" s="6">
        <v>7389</v>
      </c>
      <c r="N68" s="6">
        <v>8186.3</v>
      </c>
      <c r="O68" s="6">
        <f>N68</f>
        <v>8186.3</v>
      </c>
    </row>
    <row r="69" spans="2:15">
      <c r="B69" t="s">
        <v>152</v>
      </c>
      <c r="C69" s="6">
        <v>6334.4</v>
      </c>
      <c r="D69" s="6">
        <v>6369</v>
      </c>
      <c r="E69" s="6">
        <v>6758</v>
      </c>
      <c r="F69" s="6">
        <v>7192.1</v>
      </c>
      <c r="G69" s="6">
        <v>6621.9</v>
      </c>
      <c r="H69" s="6">
        <v>6896.5</v>
      </c>
      <c r="I69" s="6">
        <v>6968.8</v>
      </c>
      <c r="J69" s="6">
        <v>6670.5</v>
      </c>
      <c r="K69" s="6">
        <v>6665.9</v>
      </c>
      <c r="L69" s="6">
        <v>7010.9</v>
      </c>
      <c r="M69" s="6">
        <v>6397.4</v>
      </c>
      <c r="N69" s="6">
        <v>6976.2</v>
      </c>
      <c r="O69" s="6">
        <f>N69</f>
        <v>6976.2</v>
      </c>
    </row>
    <row r="70" spans="2:15">
      <c r="B70" t="s">
        <v>153</v>
      </c>
      <c r="C70" s="6">
        <v>62</v>
      </c>
      <c r="D70" s="6">
        <v>62.3</v>
      </c>
      <c r="E70" s="6">
        <v>66.099999999999994</v>
      </c>
      <c r="F70" s="6">
        <v>70.400000000000006</v>
      </c>
      <c r="G70" s="6">
        <v>64.8</v>
      </c>
      <c r="H70" s="6">
        <v>67.5</v>
      </c>
      <c r="I70" s="6">
        <v>68.2</v>
      </c>
      <c r="J70" s="6">
        <v>65.3</v>
      </c>
      <c r="K70" s="6">
        <v>65.2</v>
      </c>
      <c r="L70" s="6">
        <v>68.599999999999994</v>
      </c>
      <c r="M70" s="6">
        <v>62.6</v>
      </c>
      <c r="N70" s="6">
        <v>68.2</v>
      </c>
      <c r="O70" s="6">
        <f>N70</f>
        <v>68.2</v>
      </c>
    </row>
    <row r="71" spans="2:15">
      <c r="B71" t="s">
        <v>154</v>
      </c>
      <c r="C71" s="6">
        <v>-3655</v>
      </c>
      <c r="D71" s="6">
        <v>-3677.7</v>
      </c>
      <c r="E71" s="6">
        <v>-3888.8</v>
      </c>
      <c r="F71" s="6">
        <v>-4140.6000000000004</v>
      </c>
      <c r="G71" s="6">
        <v>-3820.2</v>
      </c>
      <c r="H71" s="6">
        <v>-3958</v>
      </c>
      <c r="I71" s="6">
        <v>-4001.6</v>
      </c>
      <c r="J71" s="6">
        <v>-3852.5</v>
      </c>
      <c r="K71" s="6">
        <v>-3845.9</v>
      </c>
      <c r="L71" s="6">
        <v>-4022.9</v>
      </c>
      <c r="M71" s="6">
        <v>-3650.9</v>
      </c>
      <c r="N71" s="6">
        <v>-4014.9</v>
      </c>
      <c r="O71" s="6">
        <f>N71</f>
        <v>-4014.9</v>
      </c>
    </row>
    <row r="72" spans="2:15">
      <c r="B72" t="s">
        <v>155</v>
      </c>
      <c r="C72" s="6">
        <v>-123.9</v>
      </c>
      <c r="D72" s="6">
        <v>-124.6</v>
      </c>
      <c r="E72" s="6">
        <v>-132.19999999999999</v>
      </c>
      <c r="F72" s="6">
        <v>-140.69999999999999</v>
      </c>
      <c r="G72" s="6">
        <v>-129.6</v>
      </c>
      <c r="H72" s="6">
        <v>-134.9</v>
      </c>
      <c r="I72" s="6">
        <v>-136.30000000000001</v>
      </c>
      <c r="J72" s="6">
        <v>-130.5</v>
      </c>
      <c r="K72" s="6">
        <v>-130.4</v>
      </c>
      <c r="L72" s="6">
        <v>-137.19999999999999</v>
      </c>
      <c r="M72" s="6">
        <v>-125.2</v>
      </c>
      <c r="N72" s="6">
        <v>-136.5</v>
      </c>
      <c r="O72" s="6">
        <f>N72</f>
        <v>-136.5</v>
      </c>
    </row>
    <row r="73" spans="2:15">
      <c r="B73" t="s">
        <v>170</v>
      </c>
      <c r="C73" s="6">
        <f>SUM(C68:C72)</f>
        <v>10227.800000000001</v>
      </c>
      <c r="D73" s="6">
        <f>SUM(D68:D72)</f>
        <v>10138.1</v>
      </c>
      <c r="E73" s="6">
        <f>SUM(E68:E72)</f>
        <v>10872.399999999998</v>
      </c>
      <c r="F73" s="6">
        <f>SUM(F68:F72)</f>
        <v>11470.199999999999</v>
      </c>
      <c r="G73" s="6">
        <f>SUM(G68:G72)</f>
        <v>10616.299999999997</v>
      </c>
      <c r="H73" s="6">
        <f>SUM(H68:H72)</f>
        <v>11039.1</v>
      </c>
      <c r="I73" s="6">
        <f>SUM(I68:I72)</f>
        <v>11128.800000000001</v>
      </c>
      <c r="J73" s="6">
        <f>SUM(J68:J72)</f>
        <v>10675.9</v>
      </c>
      <c r="K73" s="6">
        <f>SUM(K68:K72)</f>
        <v>10567</v>
      </c>
      <c r="L73" s="6">
        <f>SUM(L68:L72)</f>
        <v>11230.1</v>
      </c>
      <c r="M73" s="6">
        <f>SUM(M68:M72)</f>
        <v>10072.9</v>
      </c>
      <c r="N73" s="6">
        <f>SUM(N68:N72)</f>
        <v>11079.300000000001</v>
      </c>
      <c r="O73" s="6">
        <f>N73</f>
        <v>11079.300000000001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3"/>
  <sheetViews>
    <sheetView showGridLines="0" workbookViewId="0"/>
  </sheetViews>
  <sheetFormatPr defaultRowHeight="15"/>
  <cols>
    <col min="2" max="2" width="28" customWidth="1"/>
    <col min="3" max="11" width="14" customWidth="1"/>
  </cols>
  <sheetData>
    <row r="1" spans="1:11">
      <c r="A1" t="s">
        <v>27</v>
      </c>
      <c r="B1" t="s">
        <v>32</v>
      </c>
      <c r="D1" s="3" t="s">
        <v>104</v>
      </c>
    </row>
    <row r="2" spans="1:11">
      <c r="A2" t="s">
        <v>28</v>
      </c>
      <c r="B2" t="s">
        <v>37</v>
      </c>
      <c r="D2" s="1" t="s">
        <v>24</v>
      </c>
    </row>
    <row r="4" spans="1:11">
      <c r="C4" s="8" t="s">
        <v>52</v>
      </c>
    </row>
    <row r="5" spans="1:11">
      <c r="C5" s="2" t="s">
        <v>91</v>
      </c>
      <c r="F5" s="2" t="s">
        <v>92</v>
      </c>
      <c r="I5" s="2" t="s">
        <v>81</v>
      </c>
    </row>
    <row r="6" spans="1:11" ht="30" customHeight="1">
      <c r="B6" s="2" t="s">
        <v>93</v>
      </c>
      <c r="C6" s="4" t="s">
        <v>94</v>
      </c>
      <c r="D6" s="4" t="s">
        <v>95</v>
      </c>
      <c r="E6" s="4" t="s">
        <v>96</v>
      </c>
      <c r="F6" s="4" t="s">
        <v>97</v>
      </c>
      <c r="G6" s="4" t="s">
        <v>98</v>
      </c>
      <c r="H6" s="4" t="s">
        <v>99</v>
      </c>
      <c r="I6" s="4" t="s">
        <v>97</v>
      </c>
      <c r="J6" s="4" t="s">
        <v>98</v>
      </c>
      <c r="K6" s="4" t="s">
        <v>99</v>
      </c>
    </row>
    <row r="8" spans="1:11">
      <c r="B8" s="2" t="s">
        <v>100</v>
      </c>
      <c r="C8" s="6">
        <f>Delta!BU28</f>
        <v>0</v>
      </c>
      <c r="D8" s="6">
        <f>Delta!BV28</f>
        <v>-664</v>
      </c>
      <c r="E8" s="6">
        <f>Delta!BW28</f>
        <v>386.80000000000291</v>
      </c>
      <c r="F8" s="6">
        <f>Delta!BY28</f>
        <v>0</v>
      </c>
      <c r="G8" s="6">
        <f>Delta!BZ28</f>
        <v>-260.60000000000036</v>
      </c>
      <c r="H8" s="6">
        <f>Delta!CA28</f>
        <v>8.3999999999996362</v>
      </c>
      <c r="I8" s="6">
        <f>Delta!CC28</f>
        <v>0</v>
      </c>
      <c r="J8" s="6">
        <f>Delta!CD28</f>
        <v>-924.59999999999854</v>
      </c>
      <c r="K8" s="6">
        <f>Delta!CE28</f>
        <v>395.20000000000437</v>
      </c>
    </row>
    <row r="10" spans="1:11">
      <c r="B10" s="2" t="s">
        <v>111</v>
      </c>
      <c r="C10" s="6">
        <f>Delta!BU29</f>
        <v>0</v>
      </c>
      <c r="D10" s="6">
        <f>Delta!BV29</f>
        <v>-209.70000000000255</v>
      </c>
      <c r="E10" s="6">
        <f>Delta!BW29</f>
        <v>72.199999999998909</v>
      </c>
      <c r="F10" s="6">
        <f>Delta!BY29</f>
        <v>0</v>
      </c>
      <c r="G10" s="6">
        <f>Delta!BZ29</f>
        <v>-94.699999999999818</v>
      </c>
      <c r="H10" s="6">
        <f>Delta!CA29</f>
        <v>-5.1999999999998181</v>
      </c>
      <c r="I10" s="6">
        <f>Delta!CC29</f>
        <v>0</v>
      </c>
      <c r="J10" s="6">
        <f>Delta!CD29</f>
        <v>-304.40000000000327</v>
      </c>
      <c r="K10" s="6">
        <f>Delta!CE29</f>
        <v>66.999999999998181</v>
      </c>
    </row>
    <row r="12" spans="1:11">
      <c r="B12" s="2" t="s">
        <v>112</v>
      </c>
      <c r="C12" s="6">
        <f>Delta!BU30</f>
        <v>0</v>
      </c>
      <c r="D12" s="6">
        <f>Delta!BV30</f>
        <v>78.5</v>
      </c>
      <c r="E12" s="6">
        <f>Delta!BW30</f>
        <v>-53.799999999999272</v>
      </c>
      <c r="F12" s="6">
        <f>Delta!BY30</f>
        <v>0</v>
      </c>
      <c r="G12" s="6">
        <f>Delta!BZ30</f>
        <v>33.100000000000364</v>
      </c>
      <c r="H12" s="6">
        <f>Delta!CA30</f>
        <v>-9.7999999999992724</v>
      </c>
      <c r="I12" s="6">
        <f>Delta!CC30</f>
        <v>0</v>
      </c>
      <c r="J12" s="6">
        <f>Delta!CD30</f>
        <v>111.60000000000036</v>
      </c>
      <c r="K12" s="6">
        <f>Delta!CE30</f>
        <v>-63.599999999998545</v>
      </c>
    </row>
    <row r="14" spans="1:11">
      <c r="B14" s="2" t="s">
        <v>113</v>
      </c>
      <c r="C14" s="6">
        <f>Delta!BU31</f>
        <v>0</v>
      </c>
      <c r="D14" s="6">
        <f>Delta!BV31</f>
        <v>-131.19999999999936</v>
      </c>
      <c r="E14" s="6">
        <f>Delta!BW31</f>
        <v>18.399999999999636</v>
      </c>
      <c r="F14" s="6">
        <f>Delta!BY31</f>
        <v>0</v>
      </c>
      <c r="G14" s="6">
        <f>Delta!BZ31</f>
        <v>-61.599999999999682</v>
      </c>
      <c r="H14" s="6">
        <f>Delta!CA31</f>
        <v>-15</v>
      </c>
      <c r="I14" s="6">
        <f>Delta!CC31</f>
        <v>0</v>
      </c>
      <c r="J14" s="6">
        <f>Delta!CD31</f>
        <v>-192.79999999999927</v>
      </c>
      <c r="K14" s="6">
        <f>Delta!CE31</f>
        <v>3.3999999999996362</v>
      </c>
    </row>
    <row r="17" spans="2:11">
      <c r="B17" s="8" t="s">
        <v>126</v>
      </c>
    </row>
    <row r="18" spans="2:11">
      <c r="B18" s="24"/>
      <c r="C18" s="25"/>
      <c r="D18" s="25"/>
      <c r="E18" s="25"/>
      <c r="F18" s="25"/>
      <c r="G18" s="25"/>
      <c r="H18" s="25"/>
      <c r="I18" s="25"/>
      <c r="J18" s="25"/>
      <c r="K18" s="25"/>
    </row>
    <row r="19" spans="2:11">
      <c r="B19" s="24"/>
      <c r="C19" s="25"/>
      <c r="D19" s="25"/>
      <c r="E19" s="25"/>
      <c r="F19" s="25"/>
      <c r="G19" s="25"/>
      <c r="H19" s="25"/>
      <c r="I19" s="25"/>
      <c r="J19" s="25"/>
      <c r="K19" s="25"/>
    </row>
    <row r="20" spans="2:11">
      <c r="B20" s="24"/>
      <c r="C20" s="25"/>
      <c r="D20" s="25"/>
      <c r="E20" s="25"/>
      <c r="F20" s="25"/>
      <c r="G20" s="25"/>
      <c r="H20" s="25"/>
      <c r="I20" s="25"/>
      <c r="J20" s="25"/>
      <c r="K20" s="25"/>
    </row>
    <row r="21" spans="2:11">
      <c r="B21" s="24"/>
      <c r="C21" s="25"/>
      <c r="D21" s="25"/>
      <c r="E21" s="25"/>
      <c r="F21" s="25"/>
      <c r="G21" s="25"/>
      <c r="H21" s="25"/>
      <c r="I21" s="25"/>
      <c r="J21" s="25"/>
      <c r="K21" s="25"/>
    </row>
    <row r="22" spans="2:11">
      <c r="B22" s="24"/>
      <c r="C22" s="25"/>
      <c r="D22" s="25"/>
      <c r="E22" s="25"/>
      <c r="F22" s="25"/>
      <c r="G22" s="25"/>
      <c r="H22" s="25"/>
      <c r="I22" s="25"/>
      <c r="J22" s="25"/>
      <c r="K22" s="25"/>
    </row>
    <row r="23" spans="2:11">
      <c r="B23" s="24"/>
      <c r="C23" s="25"/>
      <c r="D23" s="25"/>
      <c r="E23" s="25"/>
      <c r="F23" s="25"/>
      <c r="G23" s="25"/>
      <c r="H23" s="25"/>
      <c r="I23" s="25"/>
      <c r="J23" s="25"/>
      <c r="K23" s="25"/>
    </row>
  </sheetData>
  <mergeCells count="6">
    <mergeCell ref="B23:K23"/>
    <mergeCell ref="B22:K22"/>
    <mergeCell ref="B18:K18"/>
    <mergeCell ref="B21:K21"/>
    <mergeCell ref="B20:K20"/>
    <mergeCell ref="B19:K1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97"/>
  <sheetViews>
    <sheetView showGridLines="0" workbookViewId="0">
      <pane xSplit="2" ySplit="4" topLeftCell="C5" activePane="bottomRight" state="frozen"/>
      <selection pane="bottomRight"/>
      <selection pane="bottomLeft"/>
      <selection pane="topRight"/>
    </sheetView>
  </sheetViews>
  <sheetFormatPr defaultRowHeight="15"/>
  <cols>
    <col min="1" max="1" width="7" customWidth="1"/>
    <col min="2" max="2" width="52" customWidth="1"/>
    <col min="3" max="15" width="11" customWidth="1"/>
  </cols>
  <sheetData>
    <row r="1" spans="1:15">
      <c r="A1" t="s">
        <v>114</v>
      </c>
      <c r="C1">
        <v>21</v>
      </c>
      <c r="D1">
        <v>20</v>
      </c>
      <c r="E1">
        <v>22</v>
      </c>
      <c r="F1">
        <v>22</v>
      </c>
      <c r="G1">
        <v>20</v>
      </c>
      <c r="H1">
        <v>22</v>
      </c>
      <c r="I1">
        <v>22</v>
      </c>
      <c r="J1">
        <v>21</v>
      </c>
      <c r="K1">
        <v>21</v>
      </c>
      <c r="L1">
        <v>22</v>
      </c>
      <c r="M1">
        <v>19</v>
      </c>
      <c r="N1">
        <v>22</v>
      </c>
      <c r="O1">
        <f>SUM(C1:N1)</f>
        <v>254</v>
      </c>
    </row>
    <row r="2" spans="1:15">
      <c r="B2" s="8" t="s">
        <v>127</v>
      </c>
    </row>
    <row r="3" spans="1:15">
      <c r="B3" s="1" t="s">
        <v>24</v>
      </c>
    </row>
    <row r="4" spans="1:15">
      <c r="C4" s="4" t="s">
        <v>70</v>
      </c>
      <c r="D4" s="4" t="s">
        <v>71</v>
      </c>
      <c r="E4" s="4" t="s">
        <v>72</v>
      </c>
      <c r="F4" s="4" t="s">
        <v>73</v>
      </c>
      <c r="G4" s="4" t="s">
        <v>50</v>
      </c>
      <c r="H4" s="4" t="s">
        <v>74</v>
      </c>
      <c r="I4" s="4" t="s">
        <v>75</v>
      </c>
      <c r="J4" s="4" t="s">
        <v>76</v>
      </c>
      <c r="K4" s="4" t="s">
        <v>77</v>
      </c>
      <c r="L4" s="4" t="s">
        <v>78</v>
      </c>
      <c r="M4" s="4" t="s">
        <v>79</v>
      </c>
      <c r="N4" s="4" t="s">
        <v>80</v>
      </c>
      <c r="O4" s="4" t="s">
        <v>174</v>
      </c>
    </row>
    <row r="5" spans="1:15">
      <c r="B5" s="2" t="s">
        <v>100</v>
      </c>
    </row>
    <row r="6" spans="1:15">
      <c r="B6" t="s">
        <v>175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20">
        <v>0</v>
      </c>
      <c r="L6" s="20">
        <v>0</v>
      </c>
      <c r="M6" s="20">
        <v>0</v>
      </c>
      <c r="N6" s="20">
        <v>0</v>
      </c>
      <c r="O6" s="6">
        <f>SUM(C6:N6)</f>
        <v>0</v>
      </c>
    </row>
    <row r="7" spans="1:15">
      <c r="B7" t="s">
        <v>176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20">
        <v>0</v>
      </c>
      <c r="L7" s="20">
        <v>0</v>
      </c>
      <c r="M7" s="20">
        <v>0</v>
      </c>
      <c r="N7" s="20">
        <v>0</v>
      </c>
      <c r="O7" s="6">
        <f>SUM(C7:N7)</f>
        <v>0</v>
      </c>
    </row>
    <row r="8" spans="1:15">
      <c r="B8" t="s">
        <v>177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20">
        <v>0</v>
      </c>
      <c r="L8" s="20">
        <v>0</v>
      </c>
      <c r="M8" s="20">
        <v>0</v>
      </c>
      <c r="N8" s="20">
        <v>0</v>
      </c>
      <c r="O8" s="6">
        <f>SUM(C8:N8)</f>
        <v>0</v>
      </c>
    </row>
    <row r="9" spans="1:15">
      <c r="B9" t="s">
        <v>178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20">
        <v>0</v>
      </c>
      <c r="L9" s="20">
        <v>0</v>
      </c>
      <c r="M9" s="20">
        <v>0</v>
      </c>
      <c r="N9" s="20">
        <v>0</v>
      </c>
      <c r="O9" s="6">
        <f>SUM(C9:N9)</f>
        <v>0</v>
      </c>
    </row>
    <row r="10" spans="1:15">
      <c r="B10" t="s">
        <v>179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20">
        <v>0</v>
      </c>
      <c r="L10" s="20">
        <v>0</v>
      </c>
      <c r="M10" s="20">
        <v>0</v>
      </c>
      <c r="N10" s="20">
        <v>0</v>
      </c>
      <c r="O10" s="6">
        <f>SUM(C10:N10)</f>
        <v>0</v>
      </c>
    </row>
    <row r="11" spans="1:15">
      <c r="B11" t="s">
        <v>180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20">
        <v>0</v>
      </c>
      <c r="L11" s="20">
        <v>0</v>
      </c>
      <c r="M11" s="20">
        <v>0</v>
      </c>
      <c r="N11" s="20">
        <v>0</v>
      </c>
      <c r="O11" s="6">
        <f>SUM(C11:N11)</f>
        <v>0</v>
      </c>
    </row>
    <row r="12" spans="1:15">
      <c r="B12" t="s">
        <v>181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20">
        <v>0</v>
      </c>
      <c r="L12" s="20">
        <v>0</v>
      </c>
      <c r="M12" s="20">
        <v>0</v>
      </c>
      <c r="N12" s="20">
        <v>0</v>
      </c>
      <c r="O12" s="6">
        <f>SUM(C12:N12)</f>
        <v>0</v>
      </c>
    </row>
    <row r="13" spans="1:15">
      <c r="B13" t="s">
        <v>182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20">
        <v>0</v>
      </c>
      <c r="L13" s="20">
        <v>0</v>
      </c>
      <c r="M13" s="20">
        <v>0</v>
      </c>
      <c r="N13" s="20">
        <v>0</v>
      </c>
      <c r="O13" s="6">
        <f>SUM(C13:N13)</f>
        <v>0</v>
      </c>
    </row>
    <row r="14" spans="1:15">
      <c r="B14" s="2" t="s">
        <v>131</v>
      </c>
      <c r="C14" s="9">
        <f>SUM(C6:C13)</f>
        <v>0</v>
      </c>
      <c r="D14" s="9">
        <f>SUM(D6:D13)</f>
        <v>0</v>
      </c>
      <c r="E14" s="9">
        <f>SUM(E6:E13)</f>
        <v>0</v>
      </c>
      <c r="F14" s="9">
        <f>SUM(F6:F13)</f>
        <v>0</v>
      </c>
      <c r="G14" s="9">
        <f>SUM(G6:G13)</f>
        <v>0</v>
      </c>
      <c r="H14" s="9">
        <f>SUM(H6:H13)</f>
        <v>0</v>
      </c>
      <c r="I14" s="9">
        <f>SUM(I6:I13)</f>
        <v>0</v>
      </c>
      <c r="J14" s="9">
        <f>SUM(J6:J13)</f>
        <v>0</v>
      </c>
      <c r="K14" s="9">
        <f>SUM(K6:K13)</f>
        <v>0</v>
      </c>
      <c r="L14" s="9">
        <f>SUM(L6:L13)</f>
        <v>0</v>
      </c>
      <c r="M14" s="9">
        <f>SUM(M6:M13)</f>
        <v>0</v>
      </c>
      <c r="N14" s="9">
        <f>SUM(N6:N13)</f>
        <v>0</v>
      </c>
      <c r="O14" s="9">
        <f>SUM(O6:O13)</f>
        <v>0</v>
      </c>
    </row>
    <row r="16" spans="1:15">
      <c r="B16" s="2" t="s">
        <v>132</v>
      </c>
    </row>
    <row r="17" spans="2:15">
      <c r="B17" t="str">
        <f>B6</f>
        <v>Insert Adj. 1</v>
      </c>
      <c r="C17" s="12">
        <f>IFERROR(C28/C6,0)</f>
        <v>0</v>
      </c>
      <c r="D17" s="12">
        <f>IFERROR(D28/D6,0)</f>
        <v>0</v>
      </c>
      <c r="E17" s="12">
        <f>IFERROR(E28/E6,0)</f>
        <v>0</v>
      </c>
      <c r="F17" s="12">
        <f>IFERROR(F28/F6,0)</f>
        <v>0</v>
      </c>
      <c r="G17" s="12">
        <f>IFERROR(G28/G6,0)</f>
        <v>0</v>
      </c>
      <c r="H17" s="12">
        <f>IFERROR(H28/H6,0)</f>
        <v>0</v>
      </c>
      <c r="I17" s="12">
        <f>IFERROR(I28/I6,0)</f>
        <v>0</v>
      </c>
      <c r="J17" s="12">
        <f>IFERROR(J28/J6,0)</f>
        <v>0</v>
      </c>
      <c r="K17" s="12">
        <f>IFERROR(K28/K6,0)</f>
        <v>0</v>
      </c>
      <c r="L17" s="12">
        <f>IFERROR(L28/L6,0)</f>
        <v>0</v>
      </c>
      <c r="M17" s="12">
        <f>IFERROR(M28/M6,0)</f>
        <v>0</v>
      </c>
      <c r="N17" s="12">
        <f>IFERROR(N28/N6,0)</f>
        <v>0</v>
      </c>
      <c r="O17" s="12">
        <f>IFERROR(O28/O6,0)</f>
        <v>0</v>
      </c>
    </row>
    <row r="18" spans="2:15">
      <c r="B18" t="str">
        <f>B7</f>
        <v>Insert Adj. 2</v>
      </c>
      <c r="C18" s="12">
        <f>IFERROR(C29/C7,0)</f>
        <v>0</v>
      </c>
      <c r="D18" s="12">
        <f>IFERROR(D29/D7,0)</f>
        <v>0</v>
      </c>
      <c r="E18" s="12">
        <f>IFERROR(E29/E7,0)</f>
        <v>0</v>
      </c>
      <c r="F18" s="12">
        <f>IFERROR(F29/F7,0)</f>
        <v>0</v>
      </c>
      <c r="G18" s="12">
        <f>IFERROR(G29/G7,0)</f>
        <v>0</v>
      </c>
      <c r="H18" s="12">
        <f>IFERROR(H29/H7,0)</f>
        <v>0</v>
      </c>
      <c r="I18" s="12">
        <f>IFERROR(I29/I7,0)</f>
        <v>0</v>
      </c>
      <c r="J18" s="12">
        <f>IFERROR(J29/J7,0)</f>
        <v>0</v>
      </c>
      <c r="K18" s="12">
        <f>IFERROR(K29/K7,0)</f>
        <v>0</v>
      </c>
      <c r="L18" s="12">
        <f>IFERROR(L29/L7,0)</f>
        <v>0</v>
      </c>
      <c r="M18" s="12">
        <f>IFERROR(M29/M7,0)</f>
        <v>0</v>
      </c>
      <c r="N18" s="12">
        <f>IFERROR(N29/N7,0)</f>
        <v>0</v>
      </c>
      <c r="O18" s="12">
        <f>IFERROR(O29/O7,0)</f>
        <v>0</v>
      </c>
    </row>
    <row r="19" spans="2:15">
      <c r="B19" t="str">
        <f>B8</f>
        <v>Insert Adj. 3</v>
      </c>
      <c r="C19" s="12">
        <f>IFERROR(C30/C8,0)</f>
        <v>0</v>
      </c>
      <c r="D19" s="12">
        <f>IFERROR(D30/D8,0)</f>
        <v>0</v>
      </c>
      <c r="E19" s="12">
        <f>IFERROR(E30/E8,0)</f>
        <v>0</v>
      </c>
      <c r="F19" s="12">
        <f>IFERROR(F30/F8,0)</f>
        <v>0</v>
      </c>
      <c r="G19" s="12">
        <f>IFERROR(G30/G8,0)</f>
        <v>0</v>
      </c>
      <c r="H19" s="12">
        <f>IFERROR(H30/H8,0)</f>
        <v>0</v>
      </c>
      <c r="I19" s="12">
        <f>IFERROR(I30/I8,0)</f>
        <v>0</v>
      </c>
      <c r="J19" s="12">
        <f>IFERROR(J30/J8,0)</f>
        <v>0</v>
      </c>
      <c r="K19" s="12">
        <f>IFERROR(K30/K8,0)</f>
        <v>0</v>
      </c>
      <c r="L19" s="12">
        <f>IFERROR(L30/L8,0)</f>
        <v>0</v>
      </c>
      <c r="M19" s="12">
        <f>IFERROR(M30/M8,0)</f>
        <v>0</v>
      </c>
      <c r="N19" s="12">
        <f>IFERROR(N30/N8,0)</f>
        <v>0</v>
      </c>
      <c r="O19" s="12">
        <f>IFERROR(O30/O8,0)</f>
        <v>0</v>
      </c>
    </row>
    <row r="20" spans="2:15">
      <c r="B20" t="str">
        <f>B9</f>
        <v>Insert Adj. 4</v>
      </c>
      <c r="C20" s="12">
        <f>IFERROR(C31/C9,0)</f>
        <v>0</v>
      </c>
      <c r="D20" s="12">
        <f>IFERROR(D31/D9,0)</f>
        <v>0</v>
      </c>
      <c r="E20" s="12">
        <f>IFERROR(E31/E9,0)</f>
        <v>0</v>
      </c>
      <c r="F20" s="12">
        <f>IFERROR(F31/F9,0)</f>
        <v>0</v>
      </c>
      <c r="G20" s="12">
        <f>IFERROR(G31/G9,0)</f>
        <v>0</v>
      </c>
      <c r="H20" s="12">
        <f>IFERROR(H31/H9,0)</f>
        <v>0</v>
      </c>
      <c r="I20" s="12">
        <f>IFERROR(I31/I9,0)</f>
        <v>0</v>
      </c>
      <c r="J20" s="12">
        <f>IFERROR(J31/J9,0)</f>
        <v>0</v>
      </c>
      <c r="K20" s="12">
        <f>IFERROR(K31/K9,0)</f>
        <v>0</v>
      </c>
      <c r="L20" s="12">
        <f>IFERROR(L31/L9,0)</f>
        <v>0</v>
      </c>
      <c r="M20" s="12">
        <f>IFERROR(M31/M9,0)</f>
        <v>0</v>
      </c>
      <c r="N20" s="12">
        <f>IFERROR(N31/N9,0)</f>
        <v>0</v>
      </c>
      <c r="O20" s="12">
        <f>IFERROR(O31/O9,0)</f>
        <v>0</v>
      </c>
    </row>
    <row r="21" spans="2:15">
      <c r="B21" t="str">
        <f>B10</f>
        <v>Insert Adj. 5</v>
      </c>
      <c r="C21" s="12">
        <f>IFERROR(C32/C10,0)</f>
        <v>0</v>
      </c>
      <c r="D21" s="12">
        <f>IFERROR(D32/D10,0)</f>
        <v>0</v>
      </c>
      <c r="E21" s="12">
        <f>IFERROR(E32/E10,0)</f>
        <v>0</v>
      </c>
      <c r="F21" s="12">
        <f>IFERROR(F32/F10,0)</f>
        <v>0</v>
      </c>
      <c r="G21" s="12">
        <f>IFERROR(G32/G10,0)</f>
        <v>0</v>
      </c>
      <c r="H21" s="12">
        <f>IFERROR(H32/H10,0)</f>
        <v>0</v>
      </c>
      <c r="I21" s="12">
        <f>IFERROR(I32/I10,0)</f>
        <v>0</v>
      </c>
      <c r="J21" s="12">
        <f>IFERROR(J32/J10,0)</f>
        <v>0</v>
      </c>
      <c r="K21" s="12">
        <f>IFERROR(K32/K10,0)</f>
        <v>0</v>
      </c>
      <c r="L21" s="12">
        <f>IFERROR(L32/L10,0)</f>
        <v>0</v>
      </c>
      <c r="M21" s="12">
        <f>IFERROR(M32/M10,0)</f>
        <v>0</v>
      </c>
      <c r="N21" s="12">
        <f>IFERROR(N32/N10,0)</f>
        <v>0</v>
      </c>
      <c r="O21" s="12">
        <f>IFERROR(O32/O10,0)</f>
        <v>0</v>
      </c>
    </row>
    <row r="22" spans="2:15">
      <c r="B22" t="str">
        <f>B11</f>
        <v>Insert Adj. 6</v>
      </c>
      <c r="C22" s="12">
        <f>IFERROR(C33/C11,0)</f>
        <v>0</v>
      </c>
      <c r="D22" s="12">
        <f>IFERROR(D33/D11,0)</f>
        <v>0</v>
      </c>
      <c r="E22" s="12">
        <f>IFERROR(E33/E11,0)</f>
        <v>0</v>
      </c>
      <c r="F22" s="12">
        <f>IFERROR(F33/F11,0)</f>
        <v>0</v>
      </c>
      <c r="G22" s="12">
        <f>IFERROR(G33/G11,0)</f>
        <v>0</v>
      </c>
      <c r="H22" s="12">
        <f>IFERROR(H33/H11,0)</f>
        <v>0</v>
      </c>
      <c r="I22" s="12">
        <f>IFERROR(I33/I11,0)</f>
        <v>0</v>
      </c>
      <c r="J22" s="12">
        <f>IFERROR(J33/J11,0)</f>
        <v>0</v>
      </c>
      <c r="K22" s="12">
        <f>IFERROR(K33/K11,0)</f>
        <v>0</v>
      </c>
      <c r="L22" s="12">
        <f>IFERROR(L33/L11,0)</f>
        <v>0</v>
      </c>
      <c r="M22" s="12">
        <f>IFERROR(M33/M11,0)</f>
        <v>0</v>
      </c>
      <c r="N22" s="12">
        <f>IFERROR(N33/N11,0)</f>
        <v>0</v>
      </c>
      <c r="O22" s="12">
        <f>IFERROR(O33/O11,0)</f>
        <v>0</v>
      </c>
    </row>
    <row r="23" spans="2:15">
      <c r="B23" t="str">
        <f>B12</f>
        <v>Insert Adj. 7</v>
      </c>
      <c r="C23" s="12">
        <f>IFERROR(C34/C12,0)</f>
        <v>0</v>
      </c>
      <c r="D23" s="12">
        <f>IFERROR(D34/D12,0)</f>
        <v>0</v>
      </c>
      <c r="E23" s="12">
        <f>IFERROR(E34/E12,0)</f>
        <v>0</v>
      </c>
      <c r="F23" s="12">
        <f>IFERROR(F34/F12,0)</f>
        <v>0</v>
      </c>
      <c r="G23" s="12">
        <f>IFERROR(G34/G12,0)</f>
        <v>0</v>
      </c>
      <c r="H23" s="12">
        <f>IFERROR(H34/H12,0)</f>
        <v>0</v>
      </c>
      <c r="I23" s="12">
        <f>IFERROR(I34/I12,0)</f>
        <v>0</v>
      </c>
      <c r="J23" s="12">
        <f>IFERROR(J34/J12,0)</f>
        <v>0</v>
      </c>
      <c r="K23" s="12">
        <f>IFERROR(K34/K12,0)</f>
        <v>0</v>
      </c>
      <c r="L23" s="12">
        <f>IFERROR(L34/L12,0)</f>
        <v>0</v>
      </c>
      <c r="M23" s="12">
        <f>IFERROR(M34/M12,0)</f>
        <v>0</v>
      </c>
      <c r="N23" s="12">
        <f>IFERROR(N34/N12,0)</f>
        <v>0</v>
      </c>
      <c r="O23" s="12">
        <f>IFERROR(O34/O12,0)</f>
        <v>0</v>
      </c>
    </row>
    <row r="24" spans="2:15">
      <c r="B24" t="str">
        <f>B13</f>
        <v>Insert Adj. 8</v>
      </c>
      <c r="C24" s="12">
        <f>IFERROR(C35/C13,0)</f>
        <v>0</v>
      </c>
      <c r="D24" s="12">
        <f>IFERROR(D35/D13,0)</f>
        <v>0</v>
      </c>
      <c r="E24" s="12">
        <f>IFERROR(E35/E13,0)</f>
        <v>0</v>
      </c>
      <c r="F24" s="12">
        <f>IFERROR(F35/F13,0)</f>
        <v>0</v>
      </c>
      <c r="G24" s="12">
        <f>IFERROR(G35/G13,0)</f>
        <v>0</v>
      </c>
      <c r="H24" s="12">
        <f>IFERROR(H35/H13,0)</f>
        <v>0</v>
      </c>
      <c r="I24" s="12">
        <f>IFERROR(I35/I13,0)</f>
        <v>0</v>
      </c>
      <c r="J24" s="12">
        <f>IFERROR(J35/J13,0)</f>
        <v>0</v>
      </c>
      <c r="K24" s="12">
        <f>IFERROR(K35/K13,0)</f>
        <v>0</v>
      </c>
      <c r="L24" s="12">
        <f>IFERROR(L35/L13,0)</f>
        <v>0</v>
      </c>
      <c r="M24" s="12">
        <f>IFERROR(M35/M13,0)</f>
        <v>0</v>
      </c>
      <c r="N24" s="12">
        <f>IFERROR(N35/N13,0)</f>
        <v>0</v>
      </c>
      <c r="O24" s="12">
        <f>IFERROR(O35/O13,0)</f>
        <v>0</v>
      </c>
    </row>
    <row r="25" spans="2:15">
      <c r="B25" s="2" t="s">
        <v>133</v>
      </c>
      <c r="C25" s="14">
        <f>IFERROR(C36/C14,0)</f>
        <v>0</v>
      </c>
      <c r="D25" s="14">
        <f>IFERROR(D36/D14,0)</f>
        <v>0</v>
      </c>
      <c r="E25" s="14">
        <f>IFERROR(E36/E14,0)</f>
        <v>0</v>
      </c>
      <c r="F25" s="14">
        <f>IFERROR(F36/F14,0)</f>
        <v>0</v>
      </c>
      <c r="G25" s="14">
        <f>IFERROR(G36/G14,0)</f>
        <v>0</v>
      </c>
      <c r="H25" s="14">
        <f>IFERROR(H36/H14,0)</f>
        <v>0</v>
      </c>
      <c r="I25" s="14">
        <f>IFERROR(I36/I14,0)</f>
        <v>0</v>
      </c>
      <c r="J25" s="14">
        <f>IFERROR(J36/J14,0)</f>
        <v>0</v>
      </c>
      <c r="K25" s="14">
        <f>IFERROR(K36/K14,0)</f>
        <v>0</v>
      </c>
      <c r="L25" s="14">
        <f>IFERROR(L36/L14,0)</f>
        <v>0</v>
      </c>
      <c r="M25" s="14">
        <f>IFERROR(M36/M14,0)</f>
        <v>0</v>
      </c>
      <c r="N25" s="14">
        <f>IFERROR(N36/N14,0)</f>
        <v>0</v>
      </c>
      <c r="O25" s="14">
        <f>IFERROR(O36/O14,0)</f>
        <v>0</v>
      </c>
    </row>
    <row r="27" spans="2:15">
      <c r="B27" s="2" t="s">
        <v>134</v>
      </c>
    </row>
    <row r="28" spans="2:15">
      <c r="B28" t="s">
        <v>175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20">
        <v>0</v>
      </c>
      <c r="L28" s="20">
        <v>0</v>
      </c>
      <c r="M28" s="20">
        <v>0</v>
      </c>
      <c r="N28" s="20">
        <v>0</v>
      </c>
      <c r="O28" s="6">
        <f>SUM(C28:N28)</f>
        <v>0</v>
      </c>
    </row>
    <row r="29" spans="2:15">
      <c r="B29" t="s">
        <v>176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20">
        <v>0</v>
      </c>
      <c r="L29" s="20">
        <v>0</v>
      </c>
      <c r="M29" s="20">
        <v>0</v>
      </c>
      <c r="N29" s="20">
        <v>0</v>
      </c>
      <c r="O29" s="6">
        <f>SUM(C29:N29)</f>
        <v>0</v>
      </c>
    </row>
    <row r="30" spans="2:15">
      <c r="B30" t="s">
        <v>177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20">
        <v>0</v>
      </c>
      <c r="L30" s="20">
        <v>0</v>
      </c>
      <c r="M30" s="20">
        <v>0</v>
      </c>
      <c r="N30" s="20">
        <v>0</v>
      </c>
      <c r="O30" s="6">
        <f>SUM(C30:N30)</f>
        <v>0</v>
      </c>
    </row>
    <row r="31" spans="2:15">
      <c r="B31" t="s">
        <v>178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20">
        <v>0</v>
      </c>
      <c r="L31" s="20">
        <v>0</v>
      </c>
      <c r="M31" s="20">
        <v>0</v>
      </c>
      <c r="N31" s="20">
        <v>0</v>
      </c>
      <c r="O31" s="6">
        <f>SUM(C31:N31)</f>
        <v>0</v>
      </c>
    </row>
    <row r="32" spans="2:15">
      <c r="B32" t="s">
        <v>179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20">
        <v>0</v>
      </c>
      <c r="L32" s="20">
        <v>0</v>
      </c>
      <c r="M32" s="20">
        <v>0</v>
      </c>
      <c r="N32" s="20">
        <v>0</v>
      </c>
      <c r="O32" s="6">
        <f>SUM(C32:N32)</f>
        <v>0</v>
      </c>
    </row>
    <row r="33" spans="2:15">
      <c r="B33" t="s">
        <v>180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20">
        <v>0</v>
      </c>
      <c r="L33" s="20">
        <v>0</v>
      </c>
      <c r="M33" s="20">
        <v>0</v>
      </c>
      <c r="N33" s="20">
        <v>0</v>
      </c>
      <c r="O33" s="6">
        <f>SUM(C33:N33)</f>
        <v>0</v>
      </c>
    </row>
    <row r="34" spans="2:15">
      <c r="B34" t="s">
        <v>181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20">
        <v>0</v>
      </c>
      <c r="L34" s="20">
        <v>0</v>
      </c>
      <c r="M34" s="20">
        <v>0</v>
      </c>
      <c r="N34" s="20">
        <v>0</v>
      </c>
      <c r="O34" s="6">
        <f>SUM(C34:N34)</f>
        <v>0</v>
      </c>
    </row>
    <row r="35" spans="2:15">
      <c r="B35" t="s">
        <v>182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20">
        <v>0</v>
      </c>
      <c r="L35" s="20">
        <v>0</v>
      </c>
      <c r="M35" s="20">
        <v>0</v>
      </c>
      <c r="N35" s="20">
        <v>0</v>
      </c>
      <c r="O35" s="6">
        <f>SUM(C35:N35)</f>
        <v>0</v>
      </c>
    </row>
    <row r="36" spans="2:15">
      <c r="B36" s="2" t="s">
        <v>135</v>
      </c>
      <c r="C36" s="9">
        <f>SUM(C28:C35)</f>
        <v>0</v>
      </c>
      <c r="D36" s="9">
        <f>SUM(D28:D35)</f>
        <v>0</v>
      </c>
      <c r="E36" s="9">
        <f>SUM(E28:E35)</f>
        <v>0</v>
      </c>
      <c r="F36" s="9">
        <f>SUM(F28:F35)</f>
        <v>0</v>
      </c>
      <c r="G36" s="9">
        <f>SUM(G28:G35)</f>
        <v>0</v>
      </c>
      <c r="H36" s="9">
        <f>SUM(H28:H35)</f>
        <v>0</v>
      </c>
      <c r="I36" s="9">
        <f>SUM(I28:I35)</f>
        <v>0</v>
      </c>
      <c r="J36" s="9">
        <f>SUM(J28:J35)</f>
        <v>0</v>
      </c>
      <c r="K36" s="9">
        <f>SUM(K28:K35)</f>
        <v>0</v>
      </c>
      <c r="L36" s="9">
        <f>SUM(L28:L35)</f>
        <v>0</v>
      </c>
      <c r="M36" s="9">
        <f>SUM(M28:M35)</f>
        <v>0</v>
      </c>
      <c r="N36" s="9">
        <f>SUM(N28:N35)</f>
        <v>0</v>
      </c>
      <c r="O36" s="9">
        <f>SUM(O28:O35)</f>
        <v>0</v>
      </c>
    </row>
    <row r="38" spans="2:15">
      <c r="B38" s="2" t="s">
        <v>136</v>
      </c>
    </row>
    <row r="39" spans="2:15">
      <c r="B39" t="str">
        <f>B6</f>
        <v>Insert Adj. 1</v>
      </c>
      <c r="C39" s="12">
        <f>IFERROR(C50/C6,0)</f>
        <v>0</v>
      </c>
      <c r="D39" s="12">
        <f>IFERROR(D50/D6,0)</f>
        <v>0</v>
      </c>
      <c r="E39" s="12">
        <f>IFERROR(E50/E6,0)</f>
        <v>0</v>
      </c>
      <c r="F39" s="12">
        <f>IFERROR(F50/F6,0)</f>
        <v>0</v>
      </c>
      <c r="G39" s="12">
        <f>IFERROR(G50/G6,0)</f>
        <v>0</v>
      </c>
      <c r="H39" s="12">
        <f>IFERROR(H50/H6,0)</f>
        <v>0</v>
      </c>
      <c r="I39" s="12">
        <f>IFERROR(I50/I6,0)</f>
        <v>0</v>
      </c>
      <c r="J39" s="12">
        <f>IFERROR(J50/J6,0)</f>
        <v>0</v>
      </c>
      <c r="K39" s="12">
        <f>IFERROR(K50/K6,0)</f>
        <v>0</v>
      </c>
      <c r="L39" s="12">
        <f>IFERROR(L50/L6,0)</f>
        <v>0</v>
      </c>
      <c r="M39" s="12">
        <f>IFERROR(M50/M6,0)</f>
        <v>0</v>
      </c>
      <c r="N39" s="12">
        <f>IFERROR(N50/N6,0)</f>
        <v>0</v>
      </c>
      <c r="O39" s="12">
        <f>IFERROR(O50/O6,0)</f>
        <v>0</v>
      </c>
    </row>
    <row r="40" spans="2:15">
      <c r="B40" t="str">
        <f>B7</f>
        <v>Insert Adj. 2</v>
      </c>
      <c r="C40" s="12">
        <f>IFERROR(C51/C7,0)</f>
        <v>0</v>
      </c>
      <c r="D40" s="12">
        <f>IFERROR(D51/D7,0)</f>
        <v>0</v>
      </c>
      <c r="E40" s="12">
        <f>IFERROR(E51/E7,0)</f>
        <v>0</v>
      </c>
      <c r="F40" s="12">
        <f>IFERROR(F51/F7,0)</f>
        <v>0</v>
      </c>
      <c r="G40" s="12">
        <f>IFERROR(G51/G7,0)</f>
        <v>0</v>
      </c>
      <c r="H40" s="12">
        <f>IFERROR(H51/H7,0)</f>
        <v>0</v>
      </c>
      <c r="I40" s="12">
        <f>IFERROR(I51/I7,0)</f>
        <v>0</v>
      </c>
      <c r="J40" s="12">
        <f>IFERROR(J51/J7,0)</f>
        <v>0</v>
      </c>
      <c r="K40" s="12">
        <f>IFERROR(K51/K7,0)</f>
        <v>0</v>
      </c>
      <c r="L40" s="12">
        <f>IFERROR(L51/L7,0)</f>
        <v>0</v>
      </c>
      <c r="M40" s="12">
        <f>IFERROR(M51/M7,0)</f>
        <v>0</v>
      </c>
      <c r="N40" s="12">
        <f>IFERROR(N51/N7,0)</f>
        <v>0</v>
      </c>
      <c r="O40" s="12">
        <f>IFERROR(O51/O7,0)</f>
        <v>0</v>
      </c>
    </row>
    <row r="41" spans="2:15">
      <c r="B41" t="str">
        <f>B8</f>
        <v>Insert Adj. 3</v>
      </c>
      <c r="C41" s="12">
        <f>IFERROR(C52/C8,0)</f>
        <v>0</v>
      </c>
      <c r="D41" s="12">
        <f>IFERROR(D52/D8,0)</f>
        <v>0</v>
      </c>
      <c r="E41" s="12">
        <f>IFERROR(E52/E8,0)</f>
        <v>0</v>
      </c>
      <c r="F41" s="12">
        <f>IFERROR(F52/F8,0)</f>
        <v>0</v>
      </c>
      <c r="G41" s="12">
        <f>IFERROR(G52/G8,0)</f>
        <v>0</v>
      </c>
      <c r="H41" s="12">
        <f>IFERROR(H52/H8,0)</f>
        <v>0</v>
      </c>
      <c r="I41" s="12">
        <f>IFERROR(I52/I8,0)</f>
        <v>0</v>
      </c>
      <c r="J41" s="12">
        <f>IFERROR(J52/J8,0)</f>
        <v>0</v>
      </c>
      <c r="K41" s="12">
        <f>IFERROR(K52/K8,0)</f>
        <v>0</v>
      </c>
      <c r="L41" s="12">
        <f>IFERROR(L52/L8,0)</f>
        <v>0</v>
      </c>
      <c r="M41" s="12">
        <f>IFERROR(M52/M8,0)</f>
        <v>0</v>
      </c>
      <c r="N41" s="12">
        <f>IFERROR(N52/N8,0)</f>
        <v>0</v>
      </c>
      <c r="O41" s="12">
        <f>IFERROR(O52/O8,0)</f>
        <v>0</v>
      </c>
    </row>
    <row r="42" spans="2:15">
      <c r="B42" t="str">
        <f>B9</f>
        <v>Insert Adj. 4</v>
      </c>
      <c r="C42" s="12">
        <f>IFERROR(C53/C9,0)</f>
        <v>0</v>
      </c>
      <c r="D42" s="12">
        <f>IFERROR(D53/D9,0)</f>
        <v>0</v>
      </c>
      <c r="E42" s="12">
        <f>IFERROR(E53/E9,0)</f>
        <v>0</v>
      </c>
      <c r="F42" s="12">
        <f>IFERROR(F53/F9,0)</f>
        <v>0</v>
      </c>
      <c r="G42" s="12">
        <f>IFERROR(G53/G9,0)</f>
        <v>0</v>
      </c>
      <c r="H42" s="12">
        <f>IFERROR(H53/H9,0)</f>
        <v>0</v>
      </c>
      <c r="I42" s="12">
        <f>IFERROR(I53/I9,0)</f>
        <v>0</v>
      </c>
      <c r="J42" s="12">
        <f>IFERROR(J53/J9,0)</f>
        <v>0</v>
      </c>
      <c r="K42" s="12">
        <f>IFERROR(K53/K9,0)</f>
        <v>0</v>
      </c>
      <c r="L42" s="12">
        <f>IFERROR(L53/L9,0)</f>
        <v>0</v>
      </c>
      <c r="M42" s="12">
        <f>IFERROR(M53/M9,0)</f>
        <v>0</v>
      </c>
      <c r="N42" s="12">
        <f>IFERROR(N53/N9,0)</f>
        <v>0</v>
      </c>
      <c r="O42" s="12">
        <f>IFERROR(O53/O9,0)</f>
        <v>0</v>
      </c>
    </row>
    <row r="43" spans="2:15">
      <c r="B43" t="str">
        <f>B10</f>
        <v>Insert Adj. 5</v>
      </c>
      <c r="C43" s="12">
        <f>IFERROR(C54/C10,0)</f>
        <v>0</v>
      </c>
      <c r="D43" s="12">
        <f>IFERROR(D54/D10,0)</f>
        <v>0</v>
      </c>
      <c r="E43" s="12">
        <f>IFERROR(E54/E10,0)</f>
        <v>0</v>
      </c>
      <c r="F43" s="12">
        <f>IFERROR(F54/F10,0)</f>
        <v>0</v>
      </c>
      <c r="G43" s="12">
        <f>IFERROR(G54/G10,0)</f>
        <v>0</v>
      </c>
      <c r="H43" s="12">
        <f>IFERROR(H54/H10,0)</f>
        <v>0</v>
      </c>
      <c r="I43" s="12">
        <f>IFERROR(I54/I10,0)</f>
        <v>0</v>
      </c>
      <c r="J43" s="12">
        <f>IFERROR(J54/J10,0)</f>
        <v>0</v>
      </c>
      <c r="K43" s="12">
        <f>IFERROR(K54/K10,0)</f>
        <v>0</v>
      </c>
      <c r="L43" s="12">
        <f>IFERROR(L54/L10,0)</f>
        <v>0</v>
      </c>
      <c r="M43" s="12">
        <f>IFERROR(M54/M10,0)</f>
        <v>0</v>
      </c>
      <c r="N43" s="12">
        <f>IFERROR(N54/N10,0)</f>
        <v>0</v>
      </c>
      <c r="O43" s="12">
        <f>IFERROR(O54/O10,0)</f>
        <v>0</v>
      </c>
    </row>
    <row r="44" spans="2:15">
      <c r="B44" t="str">
        <f>B11</f>
        <v>Insert Adj. 6</v>
      </c>
      <c r="C44" s="12">
        <f>IFERROR(C55/C11,0)</f>
        <v>0</v>
      </c>
      <c r="D44" s="12">
        <f>IFERROR(D55/D11,0)</f>
        <v>0</v>
      </c>
      <c r="E44" s="12">
        <f>IFERROR(E55/E11,0)</f>
        <v>0</v>
      </c>
      <c r="F44" s="12">
        <f>IFERROR(F55/F11,0)</f>
        <v>0</v>
      </c>
      <c r="G44" s="12">
        <f>IFERROR(G55/G11,0)</f>
        <v>0</v>
      </c>
      <c r="H44" s="12">
        <f>IFERROR(H55/H11,0)</f>
        <v>0</v>
      </c>
      <c r="I44" s="12">
        <f>IFERROR(I55/I11,0)</f>
        <v>0</v>
      </c>
      <c r="J44" s="12">
        <f>IFERROR(J55/J11,0)</f>
        <v>0</v>
      </c>
      <c r="K44" s="12">
        <f>IFERROR(K55/K11,0)</f>
        <v>0</v>
      </c>
      <c r="L44" s="12">
        <f>IFERROR(L55/L11,0)</f>
        <v>0</v>
      </c>
      <c r="M44" s="12">
        <f>IFERROR(M55/M11,0)</f>
        <v>0</v>
      </c>
      <c r="N44" s="12">
        <f>IFERROR(N55/N11,0)</f>
        <v>0</v>
      </c>
      <c r="O44" s="12">
        <f>IFERROR(O55/O11,0)</f>
        <v>0</v>
      </c>
    </row>
    <row r="45" spans="2:15">
      <c r="B45" t="str">
        <f>B12</f>
        <v>Insert Adj. 7</v>
      </c>
      <c r="C45" s="12">
        <f>IFERROR(C56/C12,0)</f>
        <v>0</v>
      </c>
      <c r="D45" s="12">
        <f>IFERROR(D56/D12,0)</f>
        <v>0</v>
      </c>
      <c r="E45" s="12">
        <f>IFERROR(E56/E12,0)</f>
        <v>0</v>
      </c>
      <c r="F45" s="12">
        <f>IFERROR(F56/F12,0)</f>
        <v>0</v>
      </c>
      <c r="G45" s="12">
        <f>IFERROR(G56/G12,0)</f>
        <v>0</v>
      </c>
      <c r="H45" s="12">
        <f>IFERROR(H56/H12,0)</f>
        <v>0</v>
      </c>
      <c r="I45" s="12">
        <f>IFERROR(I56/I12,0)</f>
        <v>0</v>
      </c>
      <c r="J45" s="12">
        <f>IFERROR(J56/J12,0)</f>
        <v>0</v>
      </c>
      <c r="K45" s="12">
        <f>IFERROR(K56/K12,0)</f>
        <v>0</v>
      </c>
      <c r="L45" s="12">
        <f>IFERROR(L56/L12,0)</f>
        <v>0</v>
      </c>
      <c r="M45" s="12">
        <f>IFERROR(M56/M12,0)</f>
        <v>0</v>
      </c>
      <c r="N45" s="12">
        <f>IFERROR(N56/N12,0)</f>
        <v>0</v>
      </c>
      <c r="O45" s="12">
        <f>IFERROR(O56/O12,0)</f>
        <v>0</v>
      </c>
    </row>
    <row r="46" spans="2:15">
      <c r="B46" t="str">
        <f>B13</f>
        <v>Insert Adj. 8</v>
      </c>
      <c r="C46" s="12">
        <f>IFERROR(C57/C13,0)</f>
        <v>0</v>
      </c>
      <c r="D46" s="12">
        <f>IFERROR(D57/D13,0)</f>
        <v>0</v>
      </c>
      <c r="E46" s="12">
        <f>IFERROR(E57/E13,0)</f>
        <v>0</v>
      </c>
      <c r="F46" s="12">
        <f>IFERROR(F57/F13,0)</f>
        <v>0</v>
      </c>
      <c r="G46" s="12">
        <f>IFERROR(G57/G13,0)</f>
        <v>0</v>
      </c>
      <c r="H46" s="12">
        <f>IFERROR(H57/H13,0)</f>
        <v>0</v>
      </c>
      <c r="I46" s="12">
        <f>IFERROR(I57/I13,0)</f>
        <v>0</v>
      </c>
      <c r="J46" s="12">
        <f>IFERROR(J57/J13,0)</f>
        <v>0</v>
      </c>
      <c r="K46" s="12">
        <f>IFERROR(K57/K13,0)</f>
        <v>0</v>
      </c>
      <c r="L46" s="12">
        <f>IFERROR(L57/L13,0)</f>
        <v>0</v>
      </c>
      <c r="M46" s="12">
        <f>IFERROR(M57/M13,0)</f>
        <v>0</v>
      </c>
      <c r="N46" s="12">
        <f>IFERROR(N57/N13,0)</f>
        <v>0</v>
      </c>
      <c r="O46" s="12">
        <f>IFERROR(O57/O13,0)</f>
        <v>0</v>
      </c>
    </row>
    <row r="47" spans="2:15">
      <c r="B47" s="2" t="s">
        <v>137</v>
      </c>
      <c r="C47" s="14">
        <f>IFERROR(C58/C14,0)</f>
        <v>0</v>
      </c>
      <c r="D47" s="14">
        <f>IFERROR(D58/D14,0)</f>
        <v>0</v>
      </c>
      <c r="E47" s="14">
        <f>IFERROR(E58/E14,0)</f>
        <v>0</v>
      </c>
      <c r="F47" s="14">
        <f>IFERROR(F58/F14,0)</f>
        <v>0</v>
      </c>
      <c r="G47" s="14">
        <f>IFERROR(G58/G14,0)</f>
        <v>0</v>
      </c>
      <c r="H47" s="14">
        <f>IFERROR(H58/H14,0)</f>
        <v>0</v>
      </c>
      <c r="I47" s="14">
        <f>IFERROR(I58/I14,0)</f>
        <v>0</v>
      </c>
      <c r="J47" s="14">
        <f>IFERROR(J58/J14,0)</f>
        <v>0</v>
      </c>
      <c r="K47" s="14">
        <f>IFERROR(K58/K14,0)</f>
        <v>0</v>
      </c>
      <c r="L47" s="14">
        <f>IFERROR(L58/L14,0)</f>
        <v>0</v>
      </c>
      <c r="M47" s="14">
        <f>IFERROR(M58/M14,0)</f>
        <v>0</v>
      </c>
      <c r="N47" s="14">
        <f>IFERROR(N58/N14,0)</f>
        <v>0</v>
      </c>
      <c r="O47" s="14">
        <f>IFERROR(O58/O14,0)</f>
        <v>0</v>
      </c>
    </row>
    <row r="49" spans="2:15">
      <c r="B49" s="2" t="s">
        <v>138</v>
      </c>
    </row>
    <row r="50" spans="2:15">
      <c r="B50" t="s">
        <v>175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20">
        <v>0</v>
      </c>
      <c r="L50" s="20">
        <v>0</v>
      </c>
      <c r="M50" s="20">
        <v>0</v>
      </c>
      <c r="N50" s="20">
        <v>0</v>
      </c>
      <c r="O50" s="6">
        <f>SUM(C50:N50)</f>
        <v>0</v>
      </c>
    </row>
    <row r="51" spans="2:15">
      <c r="B51" t="s">
        <v>176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20">
        <v>0</v>
      </c>
      <c r="L51" s="20">
        <v>0</v>
      </c>
      <c r="M51" s="20">
        <v>0</v>
      </c>
      <c r="N51" s="20">
        <v>0</v>
      </c>
      <c r="O51" s="6">
        <f>SUM(C51:N51)</f>
        <v>0</v>
      </c>
    </row>
    <row r="52" spans="2:15">
      <c r="B52" t="s">
        <v>177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20">
        <v>0</v>
      </c>
      <c r="L52" s="20">
        <v>0</v>
      </c>
      <c r="M52" s="20">
        <v>0</v>
      </c>
      <c r="N52" s="20">
        <v>0</v>
      </c>
      <c r="O52" s="6">
        <f>SUM(C52:N52)</f>
        <v>0</v>
      </c>
    </row>
    <row r="53" spans="2:15">
      <c r="B53" t="s">
        <v>178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20">
        <v>0</v>
      </c>
      <c r="L53" s="20">
        <v>0</v>
      </c>
      <c r="M53" s="20">
        <v>0</v>
      </c>
      <c r="N53" s="20">
        <v>0</v>
      </c>
      <c r="O53" s="6">
        <f>SUM(C53:N53)</f>
        <v>0</v>
      </c>
    </row>
    <row r="54" spans="2:15">
      <c r="B54" t="s">
        <v>179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20">
        <v>0</v>
      </c>
      <c r="L54" s="20">
        <v>0</v>
      </c>
      <c r="M54" s="20">
        <v>0</v>
      </c>
      <c r="N54" s="20">
        <v>0</v>
      </c>
      <c r="O54" s="6">
        <f>SUM(C54:N54)</f>
        <v>0</v>
      </c>
    </row>
    <row r="55" spans="2:15">
      <c r="B55" t="s">
        <v>180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20">
        <v>0</v>
      </c>
      <c r="L55" s="20">
        <v>0</v>
      </c>
      <c r="M55" s="20">
        <v>0</v>
      </c>
      <c r="N55" s="20">
        <v>0</v>
      </c>
      <c r="O55" s="6">
        <f>SUM(C55:N55)</f>
        <v>0</v>
      </c>
    </row>
    <row r="56" spans="2:15">
      <c r="B56" t="s">
        <v>181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20">
        <v>0</v>
      </c>
      <c r="L56" s="20">
        <v>0</v>
      </c>
      <c r="M56" s="20">
        <v>0</v>
      </c>
      <c r="N56" s="20">
        <v>0</v>
      </c>
      <c r="O56" s="6">
        <f>SUM(C56:N56)</f>
        <v>0</v>
      </c>
    </row>
    <row r="57" spans="2:15">
      <c r="B57" t="s">
        <v>182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20">
        <v>0</v>
      </c>
      <c r="L57" s="20">
        <v>0</v>
      </c>
      <c r="M57" s="20">
        <v>0</v>
      </c>
      <c r="N57" s="20">
        <v>0</v>
      </c>
      <c r="O57" s="6">
        <f>SUM(C57:N57)</f>
        <v>0</v>
      </c>
    </row>
    <row r="58" spans="2:15">
      <c r="B58" s="2" t="s">
        <v>139</v>
      </c>
      <c r="C58" s="9">
        <f>SUM(C50:C57)</f>
        <v>0</v>
      </c>
      <c r="D58" s="9">
        <f>SUM(D50:D57)</f>
        <v>0</v>
      </c>
      <c r="E58" s="9">
        <f>SUM(E50:E57)</f>
        <v>0</v>
      </c>
      <c r="F58" s="9">
        <f>SUM(F50:F57)</f>
        <v>0</v>
      </c>
      <c r="G58" s="9">
        <f>SUM(G50:G57)</f>
        <v>0</v>
      </c>
      <c r="H58" s="9">
        <f>SUM(H50:H57)</f>
        <v>0</v>
      </c>
      <c r="I58" s="9">
        <f>SUM(I50:I57)</f>
        <v>0</v>
      </c>
      <c r="J58" s="9">
        <f>SUM(J50:J57)</f>
        <v>0</v>
      </c>
      <c r="K58" s="9">
        <f>SUM(K50:K57)</f>
        <v>0</v>
      </c>
      <c r="L58" s="9">
        <f>SUM(L50:L57)</f>
        <v>0</v>
      </c>
      <c r="M58" s="9">
        <f>SUM(M50:M57)</f>
        <v>0</v>
      </c>
      <c r="N58" s="9">
        <f>SUM(N50:N57)</f>
        <v>0</v>
      </c>
      <c r="O58" s="9">
        <f>SUM(O50:O57)</f>
        <v>0</v>
      </c>
    </row>
    <row r="60" spans="2:15">
      <c r="B60" s="2" t="s">
        <v>113</v>
      </c>
    </row>
    <row r="61" spans="2:15">
      <c r="B61" t="str">
        <f>B6</f>
        <v>Insert Adj. 1</v>
      </c>
      <c r="C61" s="6">
        <f>C28-C50</f>
        <v>0</v>
      </c>
      <c r="D61" s="6">
        <f>D28-D50</f>
        <v>0</v>
      </c>
      <c r="E61" s="6">
        <f>E28-E50</f>
        <v>0</v>
      </c>
      <c r="F61" s="6">
        <f>F28-F50</f>
        <v>0</v>
      </c>
      <c r="G61" s="6">
        <f>G28-G50</f>
        <v>0</v>
      </c>
      <c r="H61" s="6">
        <f>H28-H50</f>
        <v>0</v>
      </c>
      <c r="I61" s="6">
        <f>I28-I50</f>
        <v>0</v>
      </c>
      <c r="J61" s="6">
        <f>J28-J50</f>
        <v>0</v>
      </c>
      <c r="K61" s="6">
        <f>K28-K50</f>
        <v>0</v>
      </c>
      <c r="L61" s="6">
        <f>L28-L50</f>
        <v>0</v>
      </c>
      <c r="M61" s="6">
        <f>M28-M50</f>
        <v>0</v>
      </c>
      <c r="N61" s="6">
        <f>N28-N50</f>
        <v>0</v>
      </c>
      <c r="O61" s="6">
        <f>SUM(C61:N61)</f>
        <v>0</v>
      </c>
    </row>
    <row r="62" spans="2:15">
      <c r="B62" t="str">
        <f>B7</f>
        <v>Insert Adj. 2</v>
      </c>
      <c r="C62" s="6">
        <f>C29-C51</f>
        <v>0</v>
      </c>
      <c r="D62" s="6">
        <f>D29-D51</f>
        <v>0</v>
      </c>
      <c r="E62" s="6">
        <f>E29-E51</f>
        <v>0</v>
      </c>
      <c r="F62" s="6">
        <f>F29-F51</f>
        <v>0</v>
      </c>
      <c r="G62" s="6">
        <f>G29-G51</f>
        <v>0</v>
      </c>
      <c r="H62" s="6">
        <f>H29-H51</f>
        <v>0</v>
      </c>
      <c r="I62" s="6">
        <f>I29-I51</f>
        <v>0</v>
      </c>
      <c r="J62" s="6">
        <f>J29-J51</f>
        <v>0</v>
      </c>
      <c r="K62" s="6">
        <f>K29-K51</f>
        <v>0</v>
      </c>
      <c r="L62" s="6">
        <f>L29-L51</f>
        <v>0</v>
      </c>
      <c r="M62" s="6">
        <f>M29-M51</f>
        <v>0</v>
      </c>
      <c r="N62" s="6">
        <f>N29-N51</f>
        <v>0</v>
      </c>
      <c r="O62" s="6">
        <f>SUM(C62:N62)</f>
        <v>0</v>
      </c>
    </row>
    <row r="63" spans="2:15">
      <c r="B63" t="str">
        <f>B8</f>
        <v>Insert Adj. 3</v>
      </c>
      <c r="C63" s="6">
        <f>C30-C52</f>
        <v>0</v>
      </c>
      <c r="D63" s="6">
        <f>D30-D52</f>
        <v>0</v>
      </c>
      <c r="E63" s="6">
        <f>E30-E52</f>
        <v>0</v>
      </c>
      <c r="F63" s="6">
        <f>F30-F52</f>
        <v>0</v>
      </c>
      <c r="G63" s="6">
        <f>G30-G52</f>
        <v>0</v>
      </c>
      <c r="H63" s="6">
        <f>H30-H52</f>
        <v>0</v>
      </c>
      <c r="I63" s="6">
        <f>I30-I52</f>
        <v>0</v>
      </c>
      <c r="J63" s="6">
        <f>J30-J52</f>
        <v>0</v>
      </c>
      <c r="K63" s="6">
        <f>K30-K52</f>
        <v>0</v>
      </c>
      <c r="L63" s="6">
        <f>L30-L52</f>
        <v>0</v>
      </c>
      <c r="M63" s="6">
        <f>M30-M52</f>
        <v>0</v>
      </c>
      <c r="N63" s="6">
        <f>N30-N52</f>
        <v>0</v>
      </c>
      <c r="O63" s="6">
        <f>SUM(C63:N63)</f>
        <v>0</v>
      </c>
    </row>
    <row r="64" spans="2:15">
      <c r="B64" t="str">
        <f>B9</f>
        <v>Insert Adj. 4</v>
      </c>
      <c r="C64" s="6">
        <f>C31-C53</f>
        <v>0</v>
      </c>
      <c r="D64" s="6">
        <f>D31-D53</f>
        <v>0</v>
      </c>
      <c r="E64" s="6">
        <f>E31-E53</f>
        <v>0</v>
      </c>
      <c r="F64" s="6">
        <f>F31-F53</f>
        <v>0</v>
      </c>
      <c r="G64" s="6">
        <f>G31-G53</f>
        <v>0</v>
      </c>
      <c r="H64" s="6">
        <f>H31-H53</f>
        <v>0</v>
      </c>
      <c r="I64" s="6">
        <f>I31-I53</f>
        <v>0</v>
      </c>
      <c r="J64" s="6">
        <f>J31-J53</f>
        <v>0</v>
      </c>
      <c r="K64" s="6">
        <f>K31-K53</f>
        <v>0</v>
      </c>
      <c r="L64" s="6">
        <f>L31-L53</f>
        <v>0</v>
      </c>
      <c r="M64" s="6">
        <f>M31-M53</f>
        <v>0</v>
      </c>
      <c r="N64" s="6">
        <f>N31-N53</f>
        <v>0</v>
      </c>
      <c r="O64" s="6">
        <f>SUM(C64:N64)</f>
        <v>0</v>
      </c>
    </row>
    <row r="65" spans="2:15">
      <c r="B65" t="str">
        <f>B10</f>
        <v>Insert Adj. 5</v>
      </c>
      <c r="C65" s="6">
        <f>C32-C54</f>
        <v>0</v>
      </c>
      <c r="D65" s="6">
        <f>D32-D54</f>
        <v>0</v>
      </c>
      <c r="E65" s="6">
        <f>E32-E54</f>
        <v>0</v>
      </c>
      <c r="F65" s="6">
        <f>F32-F54</f>
        <v>0</v>
      </c>
      <c r="G65" s="6">
        <f>G32-G54</f>
        <v>0</v>
      </c>
      <c r="H65" s="6">
        <f>H32-H54</f>
        <v>0</v>
      </c>
      <c r="I65" s="6">
        <f>I32-I54</f>
        <v>0</v>
      </c>
      <c r="J65" s="6">
        <f>J32-J54</f>
        <v>0</v>
      </c>
      <c r="K65" s="6">
        <f>K32-K54</f>
        <v>0</v>
      </c>
      <c r="L65" s="6">
        <f>L32-L54</f>
        <v>0</v>
      </c>
      <c r="M65" s="6">
        <f>M32-M54</f>
        <v>0</v>
      </c>
      <c r="N65" s="6">
        <f>N32-N54</f>
        <v>0</v>
      </c>
      <c r="O65" s="6">
        <f>SUM(C65:N65)</f>
        <v>0</v>
      </c>
    </row>
    <row r="66" spans="2:15">
      <c r="B66" t="str">
        <f>B11</f>
        <v>Insert Adj. 6</v>
      </c>
      <c r="C66" s="6">
        <f>C33-C55</f>
        <v>0</v>
      </c>
      <c r="D66" s="6">
        <f>D33-D55</f>
        <v>0</v>
      </c>
      <c r="E66" s="6">
        <f>E33-E55</f>
        <v>0</v>
      </c>
      <c r="F66" s="6">
        <f>F33-F55</f>
        <v>0</v>
      </c>
      <c r="G66" s="6">
        <f>G33-G55</f>
        <v>0</v>
      </c>
      <c r="H66" s="6">
        <f>H33-H55</f>
        <v>0</v>
      </c>
      <c r="I66" s="6">
        <f>I33-I55</f>
        <v>0</v>
      </c>
      <c r="J66" s="6">
        <f>J33-J55</f>
        <v>0</v>
      </c>
      <c r="K66" s="6">
        <f>K33-K55</f>
        <v>0</v>
      </c>
      <c r="L66" s="6">
        <f>L33-L55</f>
        <v>0</v>
      </c>
      <c r="M66" s="6">
        <f>M33-M55</f>
        <v>0</v>
      </c>
      <c r="N66" s="6">
        <f>N33-N55</f>
        <v>0</v>
      </c>
      <c r="O66" s="6">
        <f>SUM(C66:N66)</f>
        <v>0</v>
      </c>
    </row>
    <row r="67" spans="2:15">
      <c r="B67" t="str">
        <f>B12</f>
        <v>Insert Adj. 7</v>
      </c>
      <c r="C67" s="6">
        <f>C34-C56</f>
        <v>0</v>
      </c>
      <c r="D67" s="6">
        <f>D34-D56</f>
        <v>0</v>
      </c>
      <c r="E67" s="6">
        <f>E34-E56</f>
        <v>0</v>
      </c>
      <c r="F67" s="6">
        <f>F34-F56</f>
        <v>0</v>
      </c>
      <c r="G67" s="6">
        <f>G34-G56</f>
        <v>0</v>
      </c>
      <c r="H67" s="6">
        <f>H34-H56</f>
        <v>0</v>
      </c>
      <c r="I67" s="6">
        <f>I34-I56</f>
        <v>0</v>
      </c>
      <c r="J67" s="6">
        <f>J34-J56</f>
        <v>0</v>
      </c>
      <c r="K67" s="6">
        <f>K34-K56</f>
        <v>0</v>
      </c>
      <c r="L67" s="6">
        <f>L34-L56</f>
        <v>0</v>
      </c>
      <c r="M67" s="6">
        <f>M34-M56</f>
        <v>0</v>
      </c>
      <c r="N67" s="6">
        <f>N34-N56</f>
        <v>0</v>
      </c>
      <c r="O67" s="6">
        <f>SUM(C67:N67)</f>
        <v>0</v>
      </c>
    </row>
    <row r="68" spans="2:15">
      <c r="B68" t="str">
        <f>B13</f>
        <v>Insert Adj. 8</v>
      </c>
      <c r="C68" s="6">
        <f>C35-C57</f>
        <v>0</v>
      </c>
      <c r="D68" s="6">
        <f>D35-D57</f>
        <v>0</v>
      </c>
      <c r="E68" s="6">
        <f>E35-E57</f>
        <v>0</v>
      </c>
      <c r="F68" s="6">
        <f>F35-F57</f>
        <v>0</v>
      </c>
      <c r="G68" s="6">
        <f>G35-G57</f>
        <v>0</v>
      </c>
      <c r="H68" s="6">
        <f>H35-H57</f>
        <v>0</v>
      </c>
      <c r="I68" s="6">
        <f>I35-I57</f>
        <v>0</v>
      </c>
      <c r="J68" s="6">
        <f>J35-J57</f>
        <v>0</v>
      </c>
      <c r="K68" s="6">
        <f>K35-K57</f>
        <v>0</v>
      </c>
      <c r="L68" s="6">
        <f>L35-L57</f>
        <v>0</v>
      </c>
      <c r="M68" s="6">
        <f>M35-M57</f>
        <v>0</v>
      </c>
      <c r="N68" s="6">
        <f>N35-N57</f>
        <v>0</v>
      </c>
      <c r="O68" s="6">
        <f>SUM(C68:N68)</f>
        <v>0</v>
      </c>
    </row>
    <row r="69" spans="2:15">
      <c r="B69" s="2" t="s">
        <v>140</v>
      </c>
      <c r="C69" s="9">
        <f>SUM(C61:C68)</f>
        <v>0</v>
      </c>
      <c r="D69" s="9">
        <f>SUM(D61:D68)</f>
        <v>0</v>
      </c>
      <c r="E69" s="9">
        <f>SUM(E61:E68)</f>
        <v>0</v>
      </c>
      <c r="F69" s="9">
        <f>SUM(F61:F68)</f>
        <v>0</v>
      </c>
      <c r="G69" s="9">
        <f>SUM(G61:G68)</f>
        <v>0</v>
      </c>
      <c r="H69" s="9">
        <f>SUM(H61:H68)</f>
        <v>0</v>
      </c>
      <c r="I69" s="9">
        <f>SUM(I61:I68)</f>
        <v>0</v>
      </c>
      <c r="J69" s="9">
        <f>SUM(J61:J68)</f>
        <v>0</v>
      </c>
      <c r="K69" s="9">
        <f>SUM(K61:K68)</f>
        <v>0</v>
      </c>
      <c r="L69" s="9">
        <f>SUM(L61:L68)</f>
        <v>0</v>
      </c>
      <c r="M69" s="9">
        <f>SUM(M61:M68)</f>
        <v>0</v>
      </c>
      <c r="N69" s="9">
        <f>SUM(N61:N68)</f>
        <v>0</v>
      </c>
      <c r="O69" s="9">
        <f>SUM(O61:O68)</f>
        <v>0</v>
      </c>
    </row>
    <row r="71" spans="2:15">
      <c r="B71" s="8" t="s">
        <v>141</v>
      </c>
    </row>
    <row r="73" spans="2:15">
      <c r="C73" s="4" t="s">
        <v>70</v>
      </c>
      <c r="D73" s="4" t="s">
        <v>71</v>
      </c>
      <c r="E73" s="4" t="s">
        <v>72</v>
      </c>
      <c r="F73" s="4" t="s">
        <v>73</v>
      </c>
      <c r="G73" s="4" t="s">
        <v>50</v>
      </c>
      <c r="H73" s="4" t="s">
        <v>74</v>
      </c>
      <c r="I73" s="4" t="s">
        <v>75</v>
      </c>
      <c r="J73" s="4" t="s">
        <v>76</v>
      </c>
      <c r="K73" s="4" t="s">
        <v>77</v>
      </c>
      <c r="L73" s="4" t="s">
        <v>78</v>
      </c>
      <c r="M73" s="4" t="s">
        <v>79</v>
      </c>
      <c r="N73" s="4" t="s">
        <v>80</v>
      </c>
      <c r="O73" s="4" t="s">
        <v>174</v>
      </c>
    </row>
    <row r="74" spans="2:15">
      <c r="B74" s="2" t="s">
        <v>111</v>
      </c>
    </row>
    <row r="75" spans="2:15">
      <c r="B75" t="s">
        <v>143</v>
      </c>
      <c r="C75" s="12">
        <f>Delta!C35</f>
        <v>0.33272943441091551</v>
      </c>
      <c r="D75" s="12">
        <f>Delta!D35</f>
        <v>0.32731602622526679</v>
      </c>
      <c r="E75" s="12">
        <f>Delta!E35</f>
        <v>0.33109462167578396</v>
      </c>
      <c r="F75" s="12">
        <f>Delta!F35</f>
        <v>0.33022593222033392</v>
      </c>
      <c r="G75" s="12">
        <f>Delta!G35</f>
        <v>0.33124704442404518</v>
      </c>
      <c r="H75" s="12">
        <f>Delta!H35</f>
        <v>0.32815336964648084</v>
      </c>
      <c r="I75" s="12">
        <f>Delta!I35</f>
        <v>0.33140001069118513</v>
      </c>
      <c r="J75" s="12">
        <f>Delta!J35</f>
        <v>0.32876787527790735</v>
      </c>
      <c r="K75" s="12">
        <f>Delta!K35</f>
        <v>0.33152894387980558</v>
      </c>
      <c r="L75" s="12">
        <f>Delta!L35</f>
        <v>0.33075083194675542</v>
      </c>
      <c r="M75" s="12">
        <f>Delta!M35</f>
        <v>0.32990102398813426</v>
      </c>
      <c r="N75" s="12">
        <f>Delta!N35</f>
        <v>0.32707488798805207</v>
      </c>
      <c r="O75" t="s">
        <v>183</v>
      </c>
    </row>
    <row r="76" spans="2:15">
      <c r="B76" t="s">
        <v>144</v>
      </c>
      <c r="C76" t="s">
        <v>145</v>
      </c>
      <c r="D76" t="s">
        <v>145</v>
      </c>
      <c r="E76" t="s">
        <v>145</v>
      </c>
      <c r="F76" t="s">
        <v>145</v>
      </c>
      <c r="G76" t="s">
        <v>145</v>
      </c>
      <c r="H76" t="s">
        <v>145</v>
      </c>
      <c r="I76" t="s">
        <v>145</v>
      </c>
      <c r="J76" t="s">
        <v>145</v>
      </c>
      <c r="K76" t="s">
        <v>145</v>
      </c>
      <c r="L76" t="s">
        <v>145</v>
      </c>
      <c r="M76" t="s">
        <v>145</v>
      </c>
      <c r="N76" t="s">
        <v>145</v>
      </c>
    </row>
    <row r="77" spans="2:15">
      <c r="B77" t="s">
        <v>146</v>
      </c>
      <c r="C77" s="6">
        <f>IF(C76="None",0,(((Delta!C28*(C75+C76))-Delta!C29)))</f>
        <v>0</v>
      </c>
      <c r="D77" s="6">
        <f>IF(D76="None",0,(((Delta!D28*(D75+D76))-Delta!D29)))</f>
        <v>0</v>
      </c>
      <c r="E77" s="6">
        <f>IF(E76="None",0,(((Delta!E28*(E75+E76))-Delta!E29)))</f>
        <v>0</v>
      </c>
      <c r="F77" s="6">
        <f>IF(F76="None",0,(((Delta!F28*(F75+F76))-Delta!F29)))</f>
        <v>0</v>
      </c>
      <c r="G77" s="6">
        <f>IF(G76="None",0,(((Delta!G28*(G75+G76))-Delta!G29)))</f>
        <v>0</v>
      </c>
      <c r="H77" s="6">
        <f>IF(H76="None",0,(((Delta!H28*(H75+H76))-Delta!H29)))</f>
        <v>0</v>
      </c>
      <c r="I77" s="6">
        <f>IF(I76="None",0,(((Delta!I28*(I75+I76))-Delta!I29)))</f>
        <v>0</v>
      </c>
      <c r="J77" s="6">
        <f>IF(J76="None",0,(((Delta!J28*(J75+J76))-Delta!J29)))</f>
        <v>0</v>
      </c>
      <c r="K77" s="6">
        <f>IF(K76="None",0,(((Delta!K28*(K75+K76))-Delta!K29)))</f>
        <v>0</v>
      </c>
      <c r="L77" s="6">
        <f>IF(L76="None",0,(((Delta!L28*(L75+L76))-Delta!L29)))</f>
        <v>0</v>
      </c>
      <c r="M77" s="6">
        <f>IF(M76="None",0,(((Delta!M28*(M75+M76))-Delta!M29)))</f>
        <v>0</v>
      </c>
      <c r="N77" s="6">
        <f>IF(N76="None",0,(((Delta!N28*(N75+N76))-Delta!N29)))</f>
        <v>0</v>
      </c>
      <c r="O77" s="6">
        <f>SUM(C77:N77)</f>
        <v>0</v>
      </c>
    </row>
    <row r="78" spans="2:15">
      <c r="B78" t="s">
        <v>147</v>
      </c>
      <c r="C78" s="12">
        <f>SUM(C75:C76)</f>
        <v>0.33272943441091551</v>
      </c>
      <c r="D78" s="12">
        <f>SUM(D75:D76)</f>
        <v>0.32731602622526679</v>
      </c>
      <c r="E78" s="12">
        <f>SUM(E75:E76)</f>
        <v>0.33109462167578396</v>
      </c>
      <c r="F78" s="12">
        <f>SUM(F75:F76)</f>
        <v>0.33022593222033392</v>
      </c>
      <c r="G78" s="12">
        <f>SUM(G75:G76)</f>
        <v>0.33124704442404518</v>
      </c>
      <c r="H78" s="12">
        <f>SUM(H75:H76)</f>
        <v>0.32815336964648084</v>
      </c>
      <c r="I78" s="12">
        <f>SUM(I75:I76)</f>
        <v>0.33140001069118513</v>
      </c>
      <c r="J78" s="12">
        <f>SUM(J75:J76)</f>
        <v>0.32876787527790735</v>
      </c>
      <c r="K78" s="12">
        <f>SUM(K75:K76)</f>
        <v>0.33152894387980558</v>
      </c>
      <c r="L78" s="12">
        <f>SUM(L75:L76)</f>
        <v>0.33075083194675542</v>
      </c>
      <c r="M78" s="12">
        <f>SUM(M75:M76)</f>
        <v>0.32990102398813426</v>
      </c>
      <c r="N78" s="12">
        <f>SUM(N75:N76)</f>
        <v>0.32707488798805207</v>
      </c>
      <c r="O78" t="s">
        <v>183</v>
      </c>
    </row>
    <row r="81" spans="1:15">
      <c r="B81" s="2" t="s">
        <v>112</v>
      </c>
    </row>
    <row r="82" spans="1:15">
      <c r="B82" t="s">
        <v>148</v>
      </c>
      <c r="C82" s="12">
        <f>Delta!C36</f>
        <v>-0.22637717262073262</v>
      </c>
      <c r="D82" s="12">
        <f>Delta!D36</f>
        <v>-0.23073530708846615</v>
      </c>
      <c r="E82" s="12">
        <f>Delta!E36</f>
        <v>-0.22842983263824948</v>
      </c>
      <c r="F82" s="12">
        <f>Delta!F36</f>
        <v>-0.22938118564430671</v>
      </c>
      <c r="G82" s="12">
        <f>Delta!G36</f>
        <v>-0.22899107068346825</v>
      </c>
      <c r="H82" s="12">
        <f>Delta!H36</f>
        <v>-0.23253764818968281</v>
      </c>
      <c r="I82" s="12">
        <f>Delta!I36</f>
        <v>-0.22788261078740579</v>
      </c>
      <c r="J82" s="12">
        <f>Delta!J36</f>
        <v>-0.23077978755523837</v>
      </c>
      <c r="K82" s="12">
        <f>Delta!K36</f>
        <v>-0.22782258064516128</v>
      </c>
      <c r="L82" s="12">
        <f>Delta!L36</f>
        <v>-0.23042325291181362</v>
      </c>
      <c r="M82" s="12">
        <f>Delta!M36</f>
        <v>-0.22730254713482984</v>
      </c>
      <c r="N82" s="12">
        <f>Delta!N36</f>
        <v>-0.23021122253040327</v>
      </c>
      <c r="O82" t="s">
        <v>183</v>
      </c>
    </row>
    <row r="83" spans="1:15">
      <c r="B83" t="s">
        <v>144</v>
      </c>
      <c r="C83" t="s">
        <v>145</v>
      </c>
      <c r="D83" t="s">
        <v>145</v>
      </c>
      <c r="E83" t="s">
        <v>145</v>
      </c>
      <c r="F83" t="s">
        <v>145</v>
      </c>
      <c r="G83" t="s">
        <v>145</v>
      </c>
      <c r="H83" t="s">
        <v>145</v>
      </c>
      <c r="I83" t="s">
        <v>145</v>
      </c>
      <c r="J83" t="s">
        <v>145</v>
      </c>
      <c r="K83" t="s">
        <v>145</v>
      </c>
      <c r="L83" t="s">
        <v>145</v>
      </c>
      <c r="M83" t="s">
        <v>145</v>
      </c>
      <c r="N83" t="s">
        <v>145</v>
      </c>
    </row>
    <row r="84" spans="1:15">
      <c r="B84" t="s">
        <v>146</v>
      </c>
      <c r="C84" s="6">
        <f>-IF(C83="None",0,(((Delta!C28*-(C82+C83))-Delta!C30)))</f>
        <v>0</v>
      </c>
      <c r="D84" s="6">
        <f>-IF(D83="None",0,(((Delta!D28*-(D82+D83))-Delta!D30)))</f>
        <v>0</v>
      </c>
      <c r="E84" s="6">
        <f>-IF(E83="None",0,(((Delta!E28*-(E82+E83))-Delta!E30)))</f>
        <v>0</v>
      </c>
      <c r="F84" s="6">
        <f>-IF(F83="None",0,(((Delta!F28*-(F82+F83))-Delta!F30)))</f>
        <v>0</v>
      </c>
      <c r="G84" s="6">
        <f>-IF(G83="None",0,(((Delta!G28*-(G82+G83))-Delta!G30)))</f>
        <v>0</v>
      </c>
      <c r="H84" s="6">
        <f>-IF(H83="None",0,(((Delta!H28*-(H82+H83))-Delta!H30)))</f>
        <v>0</v>
      </c>
      <c r="I84" s="6">
        <f>-IF(I83="None",0,(((Delta!I28*-(I82+I83))-Delta!I30)))</f>
        <v>0</v>
      </c>
      <c r="J84" s="6">
        <f>-IF(J83="None",0,(((Delta!J28*-(J82+J83))-Delta!J30)))</f>
        <v>0</v>
      </c>
      <c r="K84" s="6">
        <f>-IF(K83="None",0,(((Delta!K28*-(K82+K83))-Delta!K30)))</f>
        <v>0</v>
      </c>
      <c r="L84" s="6">
        <f>-IF(L83="None",0,(((Delta!L28*-(L82+L83))-Delta!L30)))</f>
        <v>0</v>
      </c>
      <c r="M84" s="6">
        <f>-IF(M83="None",0,(((Delta!M28*-(M82+M83))-Delta!M30)))</f>
        <v>0</v>
      </c>
      <c r="N84" s="6">
        <f>-IF(N83="None",0,(((Delta!N28*-(N82+N83))-Delta!N30)))</f>
        <v>0</v>
      </c>
      <c r="O84" s="6">
        <f>SUM(C84:N84)</f>
        <v>0</v>
      </c>
    </row>
    <row r="85" spans="1:15">
      <c r="B85" t="s">
        <v>149</v>
      </c>
      <c r="C85" s="12">
        <f>SUM(C82:C83)</f>
        <v>-0.22637717262073262</v>
      </c>
      <c r="D85" s="12">
        <f>SUM(D82:D83)</f>
        <v>-0.23073530708846615</v>
      </c>
      <c r="E85" s="12">
        <f>SUM(E82:E83)</f>
        <v>-0.22842983263824948</v>
      </c>
      <c r="F85" s="12">
        <f>SUM(F82:F83)</f>
        <v>-0.22938118564430671</v>
      </c>
      <c r="G85" s="12">
        <f>SUM(G82:G83)</f>
        <v>-0.22899107068346825</v>
      </c>
      <c r="H85" s="12">
        <f>SUM(H82:H83)</f>
        <v>-0.23253764818968281</v>
      </c>
      <c r="I85" s="12">
        <f>SUM(I82:I83)</f>
        <v>-0.22788261078740579</v>
      </c>
      <c r="J85" s="12">
        <f>SUM(J82:J83)</f>
        <v>-0.23077978755523837</v>
      </c>
      <c r="K85" s="12">
        <f>SUM(K82:K83)</f>
        <v>-0.22782258064516128</v>
      </c>
      <c r="L85" s="12">
        <f>SUM(L82:L83)</f>
        <v>-0.23042325291181362</v>
      </c>
      <c r="M85" s="12">
        <f>SUM(M82:M83)</f>
        <v>-0.22730254713482984</v>
      </c>
      <c r="N85" s="12">
        <f>SUM(N82:N83)</f>
        <v>-0.23021122253040327</v>
      </c>
      <c r="O85" t="s">
        <v>183</v>
      </c>
    </row>
    <row r="87" spans="1:15">
      <c r="B87" s="8" t="s">
        <v>150</v>
      </c>
    </row>
    <row r="89" spans="1:15">
      <c r="C89" s="4" t="s">
        <v>70</v>
      </c>
      <c r="D89" s="4" t="s">
        <v>71</v>
      </c>
      <c r="E89" s="4" t="s">
        <v>72</v>
      </c>
      <c r="F89" s="4" t="s">
        <v>73</v>
      </c>
      <c r="G89" s="4" t="s">
        <v>50</v>
      </c>
      <c r="H89" s="4" t="s">
        <v>74</v>
      </c>
      <c r="I89" s="4" t="s">
        <v>75</v>
      </c>
      <c r="J89" s="4" t="s">
        <v>76</v>
      </c>
      <c r="K89" s="4" t="s">
        <v>77</v>
      </c>
      <c r="L89" s="4" t="s">
        <v>78</v>
      </c>
      <c r="M89" s="4" t="s">
        <v>79</v>
      </c>
      <c r="N89" s="4" t="s">
        <v>80</v>
      </c>
      <c r="O89" s="4" t="s">
        <v>174</v>
      </c>
    </row>
    <row r="90" spans="1:15">
      <c r="A90">
        <v>2090</v>
      </c>
      <c r="B90" t="s">
        <v>151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20">
        <v>0</v>
      </c>
      <c r="L90" s="20">
        <v>0</v>
      </c>
      <c r="M90" s="20">
        <v>0</v>
      </c>
      <c r="N90" s="20">
        <v>0</v>
      </c>
    </row>
    <row r="91" spans="1:15">
      <c r="A91">
        <v>2135</v>
      </c>
      <c r="B91" t="s">
        <v>152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20">
        <v>0</v>
      </c>
      <c r="L91" s="20">
        <v>0</v>
      </c>
      <c r="M91" s="20">
        <v>0</v>
      </c>
      <c r="N91" s="20">
        <v>0</v>
      </c>
    </row>
    <row r="92" spans="1:15">
      <c r="A92">
        <v>2175</v>
      </c>
      <c r="B92" t="s">
        <v>153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20">
        <v>0</v>
      </c>
      <c r="L92" s="20">
        <v>0</v>
      </c>
      <c r="M92" s="20">
        <v>0</v>
      </c>
      <c r="N92" s="20">
        <v>0</v>
      </c>
    </row>
    <row r="93" spans="1:15">
      <c r="A93">
        <v>2140</v>
      </c>
      <c r="B93" t="s">
        <v>154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20">
        <v>0</v>
      </c>
      <c r="L93" s="20">
        <v>0</v>
      </c>
      <c r="M93" s="20">
        <v>0</v>
      </c>
      <c r="N93" s="20">
        <v>0</v>
      </c>
    </row>
    <row r="94" spans="1:15">
      <c r="A94">
        <v>2180</v>
      </c>
      <c r="B94" t="s">
        <v>155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20">
        <v>0</v>
      </c>
      <c r="L94" s="20">
        <v>0</v>
      </c>
      <c r="M94" s="20">
        <v>0</v>
      </c>
      <c r="N94" s="20">
        <v>0</v>
      </c>
    </row>
    <row r="95" spans="1:15">
      <c r="A95">
        <v>2185</v>
      </c>
      <c r="B95" s="2" t="s">
        <v>156</v>
      </c>
      <c r="C95" s="6">
        <f>SUM(C90:C94)</f>
        <v>0</v>
      </c>
      <c r="D95" s="6">
        <f>SUM(D90:D94)</f>
        <v>0</v>
      </c>
      <c r="E95" s="6">
        <f>SUM(E90:E94)</f>
        <v>0</v>
      </c>
      <c r="F95" s="6">
        <f>SUM(F90:F94)</f>
        <v>0</v>
      </c>
      <c r="G95" s="6">
        <f>SUM(G90:G94)</f>
        <v>0</v>
      </c>
      <c r="H95" s="6">
        <f>SUM(H90:H94)</f>
        <v>0</v>
      </c>
      <c r="I95" s="6">
        <f>SUM(I90:I94)</f>
        <v>0</v>
      </c>
      <c r="J95" s="6">
        <f>SUM(J90:J94)</f>
        <v>0</v>
      </c>
      <c r="K95" s="6">
        <f>SUM(K90:K94)</f>
        <v>0</v>
      </c>
      <c r="L95" s="6">
        <f>SUM(L90:L94)</f>
        <v>0</v>
      </c>
      <c r="M95" s="6">
        <f>SUM(M90:M94)</f>
        <v>0</v>
      </c>
      <c r="N95" s="6">
        <f>SUM(N90:N94)</f>
        <v>0</v>
      </c>
    </row>
    <row r="97" spans="2:2">
      <c r="B97" s="21" t="s">
        <v>184</v>
      </c>
    </row>
  </sheetData>
  <dataValidations count="1">
    <dataValidation type="list" allowBlank="1" sqref="C76:N76 C83:N83" xr:uid="{00000000-0002-0000-1100-000000000000}">
      <formula1>"None,-2.0%,-1.5%,-1.0%,-0.5%,0.5%,1.0%,1.5%,2.0%"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70C0"/>
  </sheetPr>
  <dimension ref="B1:CE73"/>
  <sheetViews>
    <sheetView showGridLines="0" workbookViewId="0">
      <pane xSplit="2" ySplit="26" topLeftCell="C27" activePane="bottomRight" state="frozen"/>
      <selection pane="bottomRight"/>
      <selection pane="bottomLeft"/>
      <selection pane="topRight"/>
    </sheetView>
  </sheetViews>
  <sheetFormatPr defaultRowHeight="15" outlineLevelRow="1"/>
  <cols>
    <col min="1" max="1" width="2" customWidth="1"/>
    <col min="2" max="2" width="30" customWidth="1"/>
    <col min="3" max="15" width="11" customWidth="1"/>
    <col min="16" max="16" width="2" customWidth="1"/>
    <col min="17" max="29" width="11" customWidth="1"/>
    <col min="30" max="30" width="2" customWidth="1"/>
    <col min="31" max="43" width="11" customWidth="1"/>
    <col min="44" max="44" width="2" customWidth="1"/>
    <col min="45" max="57" width="11" customWidth="1"/>
    <col min="58" max="58" width="2" customWidth="1"/>
    <col min="59" max="71" width="11" customWidth="1"/>
    <col min="72" max="72" width="2" customWidth="1"/>
    <col min="73" max="75" width="11" customWidth="1"/>
    <col min="76" max="76" width="2" customWidth="1"/>
    <col min="77" max="79" width="11" customWidth="1"/>
    <col min="80" max="80" width="2" customWidth="1"/>
    <col min="81" max="83" width="11" customWidth="1"/>
  </cols>
  <sheetData>
    <row r="1" spans="2:14" outlineLevel="1">
      <c r="C1" s="15" t="s">
        <v>34</v>
      </c>
      <c r="D1" s="15" t="s">
        <v>34</v>
      </c>
      <c r="E1" s="15" t="s">
        <v>34</v>
      </c>
      <c r="F1" s="15" t="s">
        <v>34</v>
      </c>
      <c r="G1" s="15" t="s">
        <v>34</v>
      </c>
      <c r="H1" s="15" t="s">
        <v>34</v>
      </c>
      <c r="I1" s="15" t="s">
        <v>34</v>
      </c>
      <c r="J1" s="15" t="s">
        <v>34</v>
      </c>
      <c r="K1" s="15" t="s">
        <v>45</v>
      </c>
      <c r="L1" s="15" t="s">
        <v>45</v>
      </c>
      <c r="M1" s="15" t="s">
        <v>45</v>
      </c>
      <c r="N1" s="15" t="s">
        <v>45</v>
      </c>
    </row>
    <row r="2" spans="2:14" outlineLevel="1">
      <c r="B2" s="15" t="s">
        <v>2</v>
      </c>
      <c r="C2" s="15" t="s">
        <v>34</v>
      </c>
      <c r="D2" s="15" t="s">
        <v>34</v>
      </c>
      <c r="E2" s="15" t="s">
        <v>34</v>
      </c>
      <c r="F2" s="15" t="s">
        <v>34</v>
      </c>
      <c r="G2" s="15" t="s">
        <v>34</v>
      </c>
      <c r="H2" s="15" t="s">
        <v>34</v>
      </c>
      <c r="I2" s="15" t="s">
        <v>34</v>
      </c>
      <c r="J2" s="15" t="s">
        <v>34</v>
      </c>
      <c r="K2" s="15" t="s">
        <v>34</v>
      </c>
      <c r="L2" s="15" t="s">
        <v>34</v>
      </c>
      <c r="M2" s="15" t="s">
        <v>34</v>
      </c>
      <c r="N2" s="15" t="s">
        <v>34</v>
      </c>
    </row>
    <row r="3" spans="2:14" outlineLevel="1"/>
    <row r="4" spans="2:14" outlineLevel="1"/>
    <row r="5" spans="2:14" outlineLevel="1">
      <c r="B5" s="15" t="s">
        <v>4</v>
      </c>
      <c r="C5" s="15">
        <v>2026</v>
      </c>
      <c r="D5" s="15">
        <v>2026</v>
      </c>
      <c r="E5" s="15">
        <v>2026</v>
      </c>
      <c r="F5" s="15">
        <v>2026</v>
      </c>
      <c r="G5" s="15">
        <v>2026</v>
      </c>
      <c r="H5" s="15">
        <v>2026</v>
      </c>
      <c r="I5" s="15">
        <v>2026</v>
      </c>
      <c r="J5" s="15">
        <v>2026</v>
      </c>
      <c r="K5" s="15">
        <v>2026</v>
      </c>
      <c r="L5" s="15">
        <v>2026</v>
      </c>
      <c r="M5" s="15">
        <v>2026</v>
      </c>
      <c r="N5" s="15">
        <v>2026</v>
      </c>
    </row>
    <row r="6" spans="2:14" outlineLevel="1"/>
    <row r="7" spans="2:14" outlineLevel="1"/>
    <row r="8" spans="2:14" outlineLevel="1">
      <c r="B8" s="15" t="s">
        <v>5</v>
      </c>
      <c r="C8" s="15" t="s">
        <v>35</v>
      </c>
      <c r="D8" s="15" t="s">
        <v>39</v>
      </c>
      <c r="E8" s="15" t="s">
        <v>43</v>
      </c>
      <c r="F8" s="15" t="s">
        <v>47</v>
      </c>
      <c r="G8" s="15" t="s">
        <v>51</v>
      </c>
      <c r="H8" s="15" t="s">
        <v>54</v>
      </c>
      <c r="I8" s="15" t="s">
        <v>56</v>
      </c>
      <c r="J8" s="15" t="s">
        <v>58</v>
      </c>
      <c r="K8" s="15" t="s">
        <v>32</v>
      </c>
      <c r="L8" s="15" t="s">
        <v>37</v>
      </c>
      <c r="M8" s="15" t="s">
        <v>66</v>
      </c>
      <c r="N8" s="15" t="s">
        <v>68</v>
      </c>
    </row>
    <row r="9" spans="2:14" outlineLevel="1">
      <c r="B9" s="15" t="s">
        <v>13</v>
      </c>
    </row>
    <row r="10" spans="2:14" outlineLevel="1">
      <c r="B10" s="15" t="s">
        <v>14</v>
      </c>
    </row>
    <row r="11" spans="2:14" outlineLevel="1">
      <c r="B11" s="15" t="s">
        <v>16</v>
      </c>
      <c r="C11" s="15" t="s">
        <v>17</v>
      </c>
      <c r="D11" s="15" t="s">
        <v>17</v>
      </c>
      <c r="E11" s="15" t="s">
        <v>17</v>
      </c>
      <c r="F11" s="15" t="s">
        <v>17</v>
      </c>
      <c r="G11" s="15" t="s">
        <v>17</v>
      </c>
      <c r="H11" s="15" t="s">
        <v>17</v>
      </c>
      <c r="I11" s="15" t="s">
        <v>17</v>
      </c>
      <c r="J11" s="15" t="s">
        <v>17</v>
      </c>
      <c r="K11" s="15" t="s">
        <v>17</v>
      </c>
      <c r="L11" s="15" t="s">
        <v>17</v>
      </c>
      <c r="M11" s="15" t="s">
        <v>17</v>
      </c>
      <c r="N11" s="15" t="s">
        <v>17</v>
      </c>
    </row>
    <row r="12" spans="2:14" outlineLevel="1">
      <c r="B12" s="15" t="s">
        <v>18</v>
      </c>
      <c r="C12" s="15" t="s">
        <v>19</v>
      </c>
      <c r="D12" s="15" t="s">
        <v>19</v>
      </c>
      <c r="E12" s="15" t="s">
        <v>19</v>
      </c>
      <c r="F12" s="15" t="s">
        <v>19</v>
      </c>
      <c r="G12" s="15" t="s">
        <v>19</v>
      </c>
      <c r="H12" s="15" t="s">
        <v>19</v>
      </c>
      <c r="I12" s="15" t="s">
        <v>19</v>
      </c>
      <c r="J12" s="15" t="s">
        <v>19</v>
      </c>
      <c r="K12" s="15" t="s">
        <v>19</v>
      </c>
      <c r="L12" s="15" t="s">
        <v>19</v>
      </c>
      <c r="M12" s="15" t="s">
        <v>19</v>
      </c>
      <c r="N12" s="15" t="s">
        <v>19</v>
      </c>
    </row>
    <row r="13" spans="2:14" outlineLevel="1">
      <c r="B13" s="15" t="s">
        <v>20</v>
      </c>
    </row>
    <row r="14" spans="2:14" outlineLevel="1">
      <c r="B14" s="15" t="s">
        <v>22</v>
      </c>
    </row>
    <row r="15" spans="2:14" outlineLevel="1"/>
    <row r="16" spans="2:14" outlineLevel="1"/>
    <row r="17" spans="2:83" outlineLevel="1"/>
    <row r="18" spans="2:83" outlineLevel="1">
      <c r="B18" s="15" t="s">
        <v>7</v>
      </c>
      <c r="C18" s="15" t="s">
        <v>157</v>
      </c>
      <c r="D18" s="15" t="s">
        <v>157</v>
      </c>
      <c r="E18" s="15" t="s">
        <v>157</v>
      </c>
      <c r="F18" s="15" t="s">
        <v>157</v>
      </c>
      <c r="G18" s="15" t="s">
        <v>157</v>
      </c>
      <c r="H18" s="15" t="s">
        <v>157</v>
      </c>
      <c r="I18" s="15" t="s">
        <v>157</v>
      </c>
      <c r="J18" s="15" t="s">
        <v>157</v>
      </c>
      <c r="K18" s="15" t="s">
        <v>157</v>
      </c>
      <c r="L18" s="15" t="s">
        <v>157</v>
      </c>
      <c r="M18" s="15" t="s">
        <v>157</v>
      </c>
      <c r="N18" s="15" t="s">
        <v>157</v>
      </c>
    </row>
    <row r="19" spans="2:83" outlineLevel="1">
      <c r="B19" s="15" t="s">
        <v>11</v>
      </c>
      <c r="C19" s="15" t="s">
        <v>12</v>
      </c>
      <c r="D19" s="15" t="s">
        <v>12</v>
      </c>
      <c r="E19" s="15" t="s">
        <v>12</v>
      </c>
      <c r="F19" s="15" t="s">
        <v>12</v>
      </c>
      <c r="G19" s="15" t="s">
        <v>12</v>
      </c>
      <c r="H19" s="15" t="s">
        <v>12</v>
      </c>
      <c r="I19" s="15" t="s">
        <v>12</v>
      </c>
      <c r="J19" s="15" t="s">
        <v>12</v>
      </c>
      <c r="K19" s="15" t="s">
        <v>12</v>
      </c>
      <c r="L19" s="15" t="s">
        <v>12</v>
      </c>
      <c r="M19" s="15" t="s">
        <v>12</v>
      </c>
      <c r="N19" s="15" t="s">
        <v>12</v>
      </c>
    </row>
    <row r="21" spans="2:83">
      <c r="B21" s="1" t="s">
        <v>24</v>
      </c>
    </row>
    <row r="22" spans="2:83">
      <c r="B22" s="15" t="s">
        <v>195</v>
      </c>
    </row>
    <row r="23" spans="2:83">
      <c r="B23" s="3" t="s">
        <v>104</v>
      </c>
      <c r="BU23" s="8" t="s">
        <v>158</v>
      </c>
    </row>
    <row r="24" spans="2:83">
      <c r="C24" s="8" t="s">
        <v>159</v>
      </c>
      <c r="Q24" s="8" t="s">
        <v>160</v>
      </c>
      <c r="AE24" s="8" t="s">
        <v>161</v>
      </c>
      <c r="AS24" s="8" t="s">
        <v>162</v>
      </c>
      <c r="BG24" s="8" t="s">
        <v>52</v>
      </c>
      <c r="BU24" s="2" t="s">
        <v>91</v>
      </c>
      <c r="BY24" s="2" t="s">
        <v>92</v>
      </c>
      <c r="CC24" s="2" t="s">
        <v>81</v>
      </c>
    </row>
    <row r="25" spans="2:83"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34</v>
      </c>
      <c r="I25" t="s">
        <v>34</v>
      </c>
      <c r="J25" t="s">
        <v>34</v>
      </c>
      <c r="K25" t="s">
        <v>45</v>
      </c>
      <c r="L25" t="s">
        <v>45</v>
      </c>
      <c r="M25" t="s">
        <v>45</v>
      </c>
      <c r="N25" t="s">
        <v>45</v>
      </c>
      <c r="O25" t="s">
        <v>163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45</v>
      </c>
      <c r="Z25" t="s">
        <v>45</v>
      </c>
      <c r="AA25" t="s">
        <v>45</v>
      </c>
      <c r="AB25" t="s">
        <v>45</v>
      </c>
      <c r="AC25" t="s">
        <v>163</v>
      </c>
      <c r="BG25" t="s">
        <v>34</v>
      </c>
      <c r="BH25" t="s">
        <v>34</v>
      </c>
      <c r="BI25" t="s">
        <v>34</v>
      </c>
      <c r="BJ25" t="s">
        <v>34</v>
      </c>
      <c r="BK25" t="s">
        <v>34</v>
      </c>
      <c r="BL25" t="s">
        <v>34</v>
      </c>
      <c r="BM25" t="s">
        <v>34</v>
      </c>
      <c r="BN25" t="s">
        <v>34</v>
      </c>
      <c r="BO25" t="s">
        <v>34</v>
      </c>
      <c r="BP25" t="s">
        <v>52</v>
      </c>
      <c r="BQ25" t="s">
        <v>52</v>
      </c>
      <c r="BR25" t="s">
        <v>52</v>
      </c>
      <c r="BS25" t="s">
        <v>163</v>
      </c>
    </row>
    <row r="26" spans="2:83" ht="30" customHeight="1">
      <c r="B26" s="2" t="s">
        <v>164</v>
      </c>
      <c r="C26" s="16" t="s">
        <v>70</v>
      </c>
      <c r="D26" s="16" t="s">
        <v>71</v>
      </c>
      <c r="E26" s="16" t="s">
        <v>72</v>
      </c>
      <c r="F26" s="16" t="s">
        <v>73</v>
      </c>
      <c r="G26" s="16" t="s">
        <v>50</v>
      </c>
      <c r="H26" s="16" t="s">
        <v>74</v>
      </c>
      <c r="I26" s="16" t="s">
        <v>75</v>
      </c>
      <c r="J26" s="16" t="s">
        <v>76</v>
      </c>
      <c r="K26" s="16" t="s">
        <v>77</v>
      </c>
      <c r="L26" s="16" t="s">
        <v>78</v>
      </c>
      <c r="M26" s="16" t="s">
        <v>79</v>
      </c>
      <c r="N26" s="16" t="s">
        <v>80</v>
      </c>
      <c r="O26" s="16" t="s">
        <v>165</v>
      </c>
      <c r="Q26" s="16" t="s">
        <v>70</v>
      </c>
      <c r="R26" s="16" t="s">
        <v>71</v>
      </c>
      <c r="S26" s="16" t="s">
        <v>72</v>
      </c>
      <c r="T26" s="16" t="s">
        <v>73</v>
      </c>
      <c r="U26" s="16" t="s">
        <v>50</v>
      </c>
      <c r="V26" s="16" t="s">
        <v>74</v>
      </c>
      <c r="W26" s="16" t="s">
        <v>75</v>
      </c>
      <c r="X26" s="16" t="s">
        <v>76</v>
      </c>
      <c r="Y26" s="16" t="s">
        <v>77</v>
      </c>
      <c r="Z26" s="16" t="s">
        <v>78</v>
      </c>
      <c r="AA26" s="16" t="s">
        <v>79</v>
      </c>
      <c r="AB26" s="16" t="s">
        <v>80</v>
      </c>
      <c r="AC26" s="16" t="s">
        <v>165</v>
      </c>
      <c r="AE26" s="16" t="s">
        <v>70</v>
      </c>
      <c r="AF26" s="16" t="s">
        <v>71</v>
      </c>
      <c r="AG26" s="16" t="s">
        <v>72</v>
      </c>
      <c r="AH26" s="16" t="s">
        <v>73</v>
      </c>
      <c r="AI26" s="16" t="s">
        <v>50</v>
      </c>
      <c r="AJ26" s="16" t="s">
        <v>74</v>
      </c>
      <c r="AK26" s="16" t="s">
        <v>75</v>
      </c>
      <c r="AL26" s="16" t="s">
        <v>76</v>
      </c>
      <c r="AM26" s="16" t="s">
        <v>77</v>
      </c>
      <c r="AN26" s="16" t="s">
        <v>78</v>
      </c>
      <c r="AO26" s="16" t="s">
        <v>79</v>
      </c>
      <c r="AP26" s="16" t="s">
        <v>80</v>
      </c>
      <c r="AQ26" s="16" t="s">
        <v>165</v>
      </c>
      <c r="AS26" s="16" t="s">
        <v>70</v>
      </c>
      <c r="AT26" s="16" t="s">
        <v>71</v>
      </c>
      <c r="AU26" s="16" t="s">
        <v>72</v>
      </c>
      <c r="AV26" s="16" t="s">
        <v>73</v>
      </c>
      <c r="AW26" s="16" t="s">
        <v>50</v>
      </c>
      <c r="AX26" s="16" t="s">
        <v>74</v>
      </c>
      <c r="AY26" s="16" t="s">
        <v>75</v>
      </c>
      <c r="AZ26" s="16" t="s">
        <v>76</v>
      </c>
      <c r="BA26" s="16" t="s">
        <v>77</v>
      </c>
      <c r="BB26" s="16" t="s">
        <v>78</v>
      </c>
      <c r="BC26" s="16" t="s">
        <v>79</v>
      </c>
      <c r="BD26" s="16" t="s">
        <v>80</v>
      </c>
      <c r="BE26" s="16" t="s">
        <v>165</v>
      </c>
      <c r="BG26" s="16" t="s">
        <v>70</v>
      </c>
      <c r="BH26" s="16" t="s">
        <v>71</v>
      </c>
      <c r="BI26" s="16" t="s">
        <v>72</v>
      </c>
      <c r="BJ26" s="16" t="s">
        <v>73</v>
      </c>
      <c r="BK26" s="16" t="s">
        <v>50</v>
      </c>
      <c r="BL26" s="16" t="s">
        <v>74</v>
      </c>
      <c r="BM26" s="16" t="s">
        <v>75</v>
      </c>
      <c r="BN26" s="16" t="s">
        <v>76</v>
      </c>
      <c r="BO26" s="16" t="s">
        <v>77</v>
      </c>
      <c r="BP26" s="16" t="s">
        <v>78</v>
      </c>
      <c r="BQ26" s="16" t="s">
        <v>79</v>
      </c>
      <c r="BR26" s="16" t="s">
        <v>80</v>
      </c>
      <c r="BS26" s="16" t="s">
        <v>165</v>
      </c>
      <c r="BU26" s="17" t="s">
        <v>94</v>
      </c>
      <c r="BV26" s="17" t="s">
        <v>95</v>
      </c>
      <c r="BW26" s="17" t="s">
        <v>96</v>
      </c>
      <c r="BY26" s="17" t="s">
        <v>97</v>
      </c>
      <c r="BZ26" s="17" t="s">
        <v>98</v>
      </c>
      <c r="CA26" s="17" t="s">
        <v>99</v>
      </c>
      <c r="CC26" s="17" t="s">
        <v>97</v>
      </c>
      <c r="CD26" s="17" t="s">
        <v>98</v>
      </c>
      <c r="CE26" s="17" t="s">
        <v>99</v>
      </c>
    </row>
    <row r="28" spans="2:83">
      <c r="B28" s="2" t="s">
        <v>100</v>
      </c>
      <c r="C28" s="6">
        <v>3532.6</v>
      </c>
      <c r="D28" s="6">
        <v>3401.3</v>
      </c>
      <c r="E28" s="6">
        <v>3692.6</v>
      </c>
      <c r="F28" s="6">
        <v>4001.2</v>
      </c>
      <c r="G28" s="6">
        <v>3594.9</v>
      </c>
      <c r="H28" s="6">
        <v>3745.2</v>
      </c>
      <c r="I28" s="6">
        <v>3741.4</v>
      </c>
      <c r="J28" s="6">
        <v>3643.3</v>
      </c>
      <c r="K28" s="6">
        <v>3620.8</v>
      </c>
      <c r="L28" s="6">
        <v>3846.4</v>
      </c>
      <c r="M28" s="6">
        <v>3505.9</v>
      </c>
      <c r="N28" s="6">
        <v>3749.6</v>
      </c>
      <c r="O28" s="18">
        <f>SUM(C28:N28)</f>
        <v>44075.200000000004</v>
      </c>
      <c r="Q28" s="6">
        <v>3532.6</v>
      </c>
      <c r="R28" s="6">
        <v>3401.3</v>
      </c>
      <c r="S28" s="6">
        <v>3692.6</v>
      </c>
      <c r="T28" s="6">
        <v>4001.2</v>
      </c>
      <c r="U28" s="6">
        <v>3594.9</v>
      </c>
      <c r="V28" s="6">
        <v>3745.2</v>
      </c>
      <c r="W28" s="6">
        <v>3741.4</v>
      </c>
      <c r="X28" s="6">
        <v>3643.3</v>
      </c>
      <c r="Y28" s="6">
        <v>3620.8</v>
      </c>
      <c r="Z28" s="6">
        <v>3846.4</v>
      </c>
      <c r="AA28" s="6">
        <v>3505.9</v>
      </c>
      <c r="AB28" s="6">
        <v>3749.6</v>
      </c>
      <c r="AC28" s="18">
        <f>SUM(Q28:AB28)</f>
        <v>44075.200000000004</v>
      </c>
      <c r="AE28" s="6">
        <f>Q28-C28</f>
        <v>0</v>
      </c>
      <c r="AF28" s="6">
        <f>R28-D28</f>
        <v>0</v>
      </c>
      <c r="AG28" s="6">
        <f>S28-E28</f>
        <v>0</v>
      </c>
      <c r="AH28" s="6">
        <f>T28-F28</f>
        <v>0</v>
      </c>
      <c r="AI28" s="6">
        <f>U28-G28</f>
        <v>0</v>
      </c>
      <c r="AJ28" s="6">
        <f>V28-H28</f>
        <v>0</v>
      </c>
      <c r="AK28" s="6">
        <f>W28-I28</f>
        <v>0</v>
      </c>
      <c r="AL28" s="6">
        <f>X28-J28</f>
        <v>0</v>
      </c>
      <c r="AM28" s="6">
        <f>Y28-K28</f>
        <v>0</v>
      </c>
      <c r="AN28" s="6">
        <f>Z28-L28</f>
        <v>0</v>
      </c>
      <c r="AO28" s="6">
        <f>AA28-M28</f>
        <v>0</v>
      </c>
      <c r="AP28" s="6">
        <f>AB28-N28</f>
        <v>0</v>
      </c>
      <c r="AQ28" s="18">
        <f>SUM(AE28:AP28)</f>
        <v>0</v>
      </c>
      <c r="AS28" s="6">
        <f>'Delta-Adj'!C14</f>
        <v>0</v>
      </c>
      <c r="AT28" s="6">
        <f>'Delta-Adj'!D14</f>
        <v>0</v>
      </c>
      <c r="AU28" s="6">
        <f>'Delta-Adj'!E14</f>
        <v>0</v>
      </c>
      <c r="AV28" s="6">
        <f>'Delta-Adj'!F14</f>
        <v>0</v>
      </c>
      <c r="AW28" s="6">
        <f>'Delta-Adj'!G14</f>
        <v>0</v>
      </c>
      <c r="AX28" s="6">
        <f>'Delta-Adj'!H14</f>
        <v>0</v>
      </c>
      <c r="AY28" s="6">
        <f>'Delta-Adj'!I14</f>
        <v>0</v>
      </c>
      <c r="AZ28" s="6">
        <f>'Delta-Adj'!J14</f>
        <v>0</v>
      </c>
      <c r="BA28" s="6">
        <f>'Delta-Adj'!K14</f>
        <v>0</v>
      </c>
      <c r="BB28" s="6">
        <f>'Delta-Adj'!L14</f>
        <v>0</v>
      </c>
      <c r="BC28" s="6">
        <f>'Delta-Adj'!M14</f>
        <v>0</v>
      </c>
      <c r="BD28" s="6">
        <f>'Delta-Adj'!N14</f>
        <v>0</v>
      </c>
      <c r="BE28" s="18">
        <f>SUM(AS28:BD28)</f>
        <v>0</v>
      </c>
      <c r="BG28" s="6">
        <f>C28+AE28+AS28</f>
        <v>3532.6</v>
      </c>
      <c r="BH28" s="6">
        <f>D28+AF28+AT28</f>
        <v>3401.3</v>
      </c>
      <c r="BI28" s="6">
        <f>E28+AG28+AU28</f>
        <v>3692.6</v>
      </c>
      <c r="BJ28" s="6">
        <f>F28+AH28+AV28</f>
        <v>4001.2</v>
      </c>
      <c r="BK28" s="6">
        <f>G28+AI28+AW28</f>
        <v>3594.9</v>
      </c>
      <c r="BL28" s="6">
        <f>H28+AJ28+AX28</f>
        <v>3745.2</v>
      </c>
      <c r="BM28" s="6">
        <f>I28+AK28+AY28</f>
        <v>3741.4</v>
      </c>
      <c r="BN28" s="6">
        <f>J28+AL28+AZ28</f>
        <v>3643.3</v>
      </c>
      <c r="BO28" s="6">
        <f>K28+AM28+BA28</f>
        <v>3620.8</v>
      </c>
      <c r="BP28" s="6">
        <f>L28+AN28+BB28</f>
        <v>3846.4</v>
      </c>
      <c r="BQ28" s="6">
        <f>M28+AO28+BC28</f>
        <v>3505.9</v>
      </c>
      <c r="BR28" s="6">
        <f>N28+AP28+BD28</f>
        <v>3749.6</v>
      </c>
      <c r="BS28" s="18">
        <f>SUM(BG28:BR28)</f>
        <v>44075.200000000004</v>
      </c>
      <c r="BU28" s="6">
        <f>SUM(BG28:BO28)-SUM(C28:K28)</f>
        <v>0</v>
      </c>
      <c r="BV28" s="6">
        <f>SUM(BG28:BO28)-SUM(C51:K51)</f>
        <v>-664</v>
      </c>
      <c r="BW28" s="6">
        <f>SUM(BG28:BO28)-SUM(C64:K64)</f>
        <v>386.80000000000291</v>
      </c>
      <c r="BY28" s="6">
        <f>SUM(BP28:BR28)-SUM(L28:N28)</f>
        <v>0</v>
      </c>
      <c r="BZ28" s="6">
        <f>SUM(BP28:BR28)-SUM(L51:N51)</f>
        <v>-260.60000000000036</v>
      </c>
      <c r="CA28" s="6">
        <f>SUM(BP28:BR28)-SUM(L64:N64)</f>
        <v>8.3999999999996362</v>
      </c>
      <c r="CC28" s="6">
        <f>BS28-O28</f>
        <v>0</v>
      </c>
      <c r="CD28" s="6">
        <f>BS28-O51</f>
        <v>-924.59999999999854</v>
      </c>
      <c r="CE28" s="6">
        <f>BS28-O64</f>
        <v>395.20000000000437</v>
      </c>
    </row>
    <row r="29" spans="2:83">
      <c r="B29" s="5" t="s">
        <v>111</v>
      </c>
      <c r="C29" s="6">
        <v>1175.4000000000001</v>
      </c>
      <c r="D29" s="6">
        <v>1113.3</v>
      </c>
      <c r="E29" s="6">
        <v>1222.5999999999999</v>
      </c>
      <c r="F29" s="6">
        <v>1321.3</v>
      </c>
      <c r="G29" s="6">
        <v>1190.8</v>
      </c>
      <c r="H29" s="6">
        <v>1229</v>
      </c>
      <c r="I29" s="6">
        <v>1239.9000000000001</v>
      </c>
      <c r="J29" s="6">
        <v>1197.8</v>
      </c>
      <c r="K29" s="6">
        <v>1200.4000000000001</v>
      </c>
      <c r="L29" s="6">
        <v>1272.2</v>
      </c>
      <c r="M29" s="6">
        <v>1156.5999999999999</v>
      </c>
      <c r="N29" s="6">
        <v>1226.4000000000001</v>
      </c>
      <c r="O29" s="18">
        <f>SUM(C29:N29)</f>
        <v>14545.699999999999</v>
      </c>
      <c r="Q29" s="6">
        <v>1175.4000000000001</v>
      </c>
      <c r="R29" s="6">
        <v>1113.3</v>
      </c>
      <c r="S29" s="6">
        <v>1222.5999999999999</v>
      </c>
      <c r="T29" s="6">
        <v>1321.3</v>
      </c>
      <c r="U29" s="6">
        <v>1190.8</v>
      </c>
      <c r="V29" s="6">
        <v>1229</v>
      </c>
      <c r="W29" s="6">
        <v>1239.9000000000001</v>
      </c>
      <c r="X29" s="6">
        <v>1197.8</v>
      </c>
      <c r="Y29" s="6">
        <v>1200.4000000000001</v>
      </c>
      <c r="Z29" s="6">
        <v>1272.2</v>
      </c>
      <c r="AA29" s="6">
        <v>1156.5999999999999</v>
      </c>
      <c r="AB29" s="6">
        <v>1226.4000000000001</v>
      </c>
      <c r="AC29" s="18">
        <f>SUM(Q29:AB29)</f>
        <v>14545.699999999999</v>
      </c>
      <c r="AE29" s="6">
        <f>Q29-C29</f>
        <v>0</v>
      </c>
      <c r="AF29" s="6">
        <f>R29-D29</f>
        <v>0</v>
      </c>
      <c r="AG29" s="6">
        <f>S29-E29</f>
        <v>0</v>
      </c>
      <c r="AH29" s="6">
        <f>T29-F29</f>
        <v>0</v>
      </c>
      <c r="AI29" s="6">
        <f>U29-G29</f>
        <v>0</v>
      </c>
      <c r="AJ29" s="6">
        <f>V29-H29</f>
        <v>0</v>
      </c>
      <c r="AK29" s="6">
        <f>W29-I29</f>
        <v>0</v>
      </c>
      <c r="AL29" s="6">
        <f>X29-J29</f>
        <v>0</v>
      </c>
      <c r="AM29" s="6">
        <f>Y29-K29</f>
        <v>0</v>
      </c>
      <c r="AN29" s="6">
        <f>Z29-L29</f>
        <v>0</v>
      </c>
      <c r="AO29" s="6">
        <f>AA29-M29</f>
        <v>0</v>
      </c>
      <c r="AP29" s="6">
        <f>AB29-N29</f>
        <v>0</v>
      </c>
      <c r="AQ29" s="18">
        <f>SUM(AE29:AP29)</f>
        <v>0</v>
      </c>
      <c r="AS29" s="6">
        <f>'Delta-Adj'!C36+'Delta-Adj'!C77</f>
        <v>0</v>
      </c>
      <c r="AT29" s="6">
        <f>'Delta-Adj'!D36+'Delta-Adj'!D77</f>
        <v>0</v>
      </c>
      <c r="AU29" s="6">
        <f>'Delta-Adj'!E36+'Delta-Adj'!E77</f>
        <v>0</v>
      </c>
      <c r="AV29" s="6">
        <f>'Delta-Adj'!F36+'Delta-Adj'!F77</f>
        <v>0</v>
      </c>
      <c r="AW29" s="6">
        <f>'Delta-Adj'!G36+'Delta-Adj'!G77</f>
        <v>0</v>
      </c>
      <c r="AX29" s="6">
        <f>'Delta-Adj'!H36+'Delta-Adj'!H77</f>
        <v>0</v>
      </c>
      <c r="AY29" s="6">
        <f>'Delta-Adj'!I36+'Delta-Adj'!I77</f>
        <v>0</v>
      </c>
      <c r="AZ29" s="6">
        <f>'Delta-Adj'!J36+'Delta-Adj'!J77</f>
        <v>0</v>
      </c>
      <c r="BA29" s="6">
        <f>'Delta-Adj'!K36+'Delta-Adj'!K77</f>
        <v>0</v>
      </c>
      <c r="BB29" s="6">
        <f>'Delta-Adj'!L36+'Delta-Adj'!L77</f>
        <v>0</v>
      </c>
      <c r="BC29" s="6">
        <f>'Delta-Adj'!M36+'Delta-Adj'!M77</f>
        <v>0</v>
      </c>
      <c r="BD29" s="6">
        <f>'Delta-Adj'!N36+'Delta-Adj'!N77</f>
        <v>0</v>
      </c>
      <c r="BE29" s="18">
        <f>SUM(AS29:BD29)</f>
        <v>0</v>
      </c>
      <c r="BG29" s="6">
        <f>C29+AE29+AS29</f>
        <v>1175.4000000000001</v>
      </c>
      <c r="BH29" s="6">
        <f>D29+AF29+AT29</f>
        <v>1113.3</v>
      </c>
      <c r="BI29" s="6">
        <f>E29+AG29+AU29</f>
        <v>1222.5999999999999</v>
      </c>
      <c r="BJ29" s="6">
        <f>F29+AH29+AV29</f>
        <v>1321.3</v>
      </c>
      <c r="BK29" s="6">
        <f>G29+AI29+AW29</f>
        <v>1190.8</v>
      </c>
      <c r="BL29" s="6">
        <f>H29+AJ29+AX29</f>
        <v>1229</v>
      </c>
      <c r="BM29" s="6">
        <f>I29+AK29+AY29</f>
        <v>1239.9000000000001</v>
      </c>
      <c r="BN29" s="6">
        <f>J29+AL29+AZ29</f>
        <v>1197.8</v>
      </c>
      <c r="BO29" s="6">
        <f>K29+AM29+BA29</f>
        <v>1200.4000000000001</v>
      </c>
      <c r="BP29" s="6">
        <f>L29+AN29+BB29</f>
        <v>1272.2</v>
      </c>
      <c r="BQ29" s="6">
        <f>M29+AO29+BC29</f>
        <v>1156.5999999999999</v>
      </c>
      <c r="BR29" s="6">
        <f>N29+AP29+BD29</f>
        <v>1226.4000000000001</v>
      </c>
      <c r="BS29" s="18">
        <f>SUM(BG29:BR29)</f>
        <v>14545.699999999999</v>
      </c>
      <c r="BU29" s="6">
        <f>SUM(BG29:BO29)-SUM(C29:K29)</f>
        <v>0</v>
      </c>
      <c r="BV29" s="6">
        <f>SUM(BG29:BO29)-SUM(C52:K52)</f>
        <v>-209.70000000000255</v>
      </c>
      <c r="BW29" s="6">
        <f>SUM(BG29:BO29)-SUM(C65:K65)</f>
        <v>72.199999999998909</v>
      </c>
      <c r="BY29" s="6">
        <f>SUM(BP29:BR29)-SUM(L29:N29)</f>
        <v>0</v>
      </c>
      <c r="BZ29" s="6">
        <f>SUM(BP29:BR29)-SUM(L52:N52)</f>
        <v>-94.699999999999818</v>
      </c>
      <c r="CA29" s="6">
        <f>SUM(BP29:BR29)-SUM(L65:N65)</f>
        <v>-5.1999999999998181</v>
      </c>
      <c r="CC29" s="6">
        <f>BS29-O29</f>
        <v>0</v>
      </c>
      <c r="CD29" s="6">
        <f>BS29-O52</f>
        <v>-304.40000000000327</v>
      </c>
      <c r="CE29" s="6">
        <f>BS29-O65</f>
        <v>66.999999999998181</v>
      </c>
    </row>
    <row r="30" spans="2:83">
      <c r="B30" s="5" t="s">
        <v>112</v>
      </c>
      <c r="C30" s="6">
        <v>-799.7</v>
      </c>
      <c r="D30" s="6">
        <v>-784.8</v>
      </c>
      <c r="E30" s="6">
        <v>-843.5</v>
      </c>
      <c r="F30" s="6">
        <v>-917.8</v>
      </c>
      <c r="G30" s="6">
        <v>-823.2</v>
      </c>
      <c r="H30" s="6">
        <v>-870.9</v>
      </c>
      <c r="I30" s="6">
        <v>-852.6</v>
      </c>
      <c r="J30" s="6">
        <v>-840.8</v>
      </c>
      <c r="K30" s="6">
        <v>-824.9</v>
      </c>
      <c r="L30" s="6">
        <v>-886.3</v>
      </c>
      <c r="M30" s="6">
        <v>-796.9</v>
      </c>
      <c r="N30" s="6">
        <v>-863.2</v>
      </c>
      <c r="O30" s="18">
        <f>SUM(C30:N30)</f>
        <v>-10104.6</v>
      </c>
      <c r="Q30" s="6">
        <v>-799.7</v>
      </c>
      <c r="R30" s="6">
        <v>-784.8</v>
      </c>
      <c r="S30" s="6">
        <v>-843.5</v>
      </c>
      <c r="T30" s="6">
        <v>-917.8</v>
      </c>
      <c r="U30" s="6">
        <v>-823.2</v>
      </c>
      <c r="V30" s="6">
        <v>-870.9</v>
      </c>
      <c r="W30" s="6">
        <v>-852.6</v>
      </c>
      <c r="X30" s="6">
        <v>-840.8</v>
      </c>
      <c r="Y30" s="6">
        <v>-824.9</v>
      </c>
      <c r="Z30" s="6">
        <v>-886.3</v>
      </c>
      <c r="AA30" s="6">
        <v>-796.9</v>
      </c>
      <c r="AB30" s="6">
        <v>-863.2</v>
      </c>
      <c r="AC30" s="18">
        <f>SUM(Q30:AB30)</f>
        <v>-10104.6</v>
      </c>
      <c r="AE30" s="6">
        <f>Q30-C30</f>
        <v>0</v>
      </c>
      <c r="AF30" s="6">
        <f>R30-D30</f>
        <v>0</v>
      </c>
      <c r="AG30" s="6">
        <f>S30-E30</f>
        <v>0</v>
      </c>
      <c r="AH30" s="6">
        <f>T30-F30</f>
        <v>0</v>
      </c>
      <c r="AI30" s="6">
        <f>U30-G30</f>
        <v>0</v>
      </c>
      <c r="AJ30" s="6">
        <f>V30-H30</f>
        <v>0</v>
      </c>
      <c r="AK30" s="6">
        <f>W30-I30</f>
        <v>0</v>
      </c>
      <c r="AL30" s="6">
        <f>X30-J30</f>
        <v>0</v>
      </c>
      <c r="AM30" s="6">
        <f>Y30-K30</f>
        <v>0</v>
      </c>
      <c r="AN30" s="6">
        <f>Z30-L30</f>
        <v>0</v>
      </c>
      <c r="AO30" s="6">
        <f>AA30-M30</f>
        <v>0</v>
      </c>
      <c r="AP30" s="6">
        <f>AB30-N30</f>
        <v>0</v>
      </c>
      <c r="AQ30" s="18">
        <f>SUM(AE30:AP30)</f>
        <v>0</v>
      </c>
      <c r="AS30" s="6">
        <f>-'Delta-Adj'!C58-'Delta-Adj'!C84</f>
        <v>0</v>
      </c>
      <c r="AT30" s="6">
        <f>-'Delta-Adj'!D58-'Delta-Adj'!D84</f>
        <v>0</v>
      </c>
      <c r="AU30" s="6">
        <f>-'Delta-Adj'!E58-'Delta-Adj'!E84</f>
        <v>0</v>
      </c>
      <c r="AV30" s="6">
        <f>-'Delta-Adj'!F58-'Delta-Adj'!F84</f>
        <v>0</v>
      </c>
      <c r="AW30" s="6">
        <f>-'Delta-Adj'!G58-'Delta-Adj'!G84</f>
        <v>0</v>
      </c>
      <c r="AX30" s="6">
        <f>-'Delta-Adj'!H58-'Delta-Adj'!H84</f>
        <v>0</v>
      </c>
      <c r="AY30" s="6">
        <f>-'Delta-Adj'!I58-'Delta-Adj'!I84</f>
        <v>0</v>
      </c>
      <c r="AZ30" s="6">
        <f>-'Delta-Adj'!J58-'Delta-Adj'!J84</f>
        <v>0</v>
      </c>
      <c r="BA30" s="6">
        <f>-'Delta-Adj'!K58-'Delta-Adj'!K84</f>
        <v>0</v>
      </c>
      <c r="BB30" s="6">
        <f>-'Delta-Adj'!L58-'Delta-Adj'!L84</f>
        <v>0</v>
      </c>
      <c r="BC30" s="6">
        <f>-'Delta-Adj'!M58-'Delta-Adj'!M84</f>
        <v>0</v>
      </c>
      <c r="BD30" s="6">
        <f>-'Delta-Adj'!N58-'Delta-Adj'!N84</f>
        <v>0</v>
      </c>
      <c r="BE30" s="18">
        <f>SUM(AS30:BD30)</f>
        <v>0</v>
      </c>
      <c r="BG30" s="6">
        <f>C30+AE30+AS30</f>
        <v>-799.7</v>
      </c>
      <c r="BH30" s="6">
        <f>D30+AF30+AT30</f>
        <v>-784.8</v>
      </c>
      <c r="BI30" s="6">
        <f>E30+AG30+AU30</f>
        <v>-843.5</v>
      </c>
      <c r="BJ30" s="6">
        <f>F30+AH30+AV30</f>
        <v>-917.8</v>
      </c>
      <c r="BK30" s="6">
        <f>G30+AI30+AW30</f>
        <v>-823.2</v>
      </c>
      <c r="BL30" s="6">
        <f>H30+AJ30+AX30</f>
        <v>-870.9</v>
      </c>
      <c r="BM30" s="6">
        <f>I30+AK30+AY30</f>
        <v>-852.6</v>
      </c>
      <c r="BN30" s="6">
        <f>J30+AL30+AZ30</f>
        <v>-840.8</v>
      </c>
      <c r="BO30" s="6">
        <f>K30+AM30+BA30</f>
        <v>-824.9</v>
      </c>
      <c r="BP30" s="6">
        <f>L30+AN30+BB30</f>
        <v>-886.3</v>
      </c>
      <c r="BQ30" s="6">
        <f>M30+AO30+BC30</f>
        <v>-796.9</v>
      </c>
      <c r="BR30" s="6">
        <f>N30+AP30+BD30</f>
        <v>-863.2</v>
      </c>
      <c r="BS30" s="18">
        <f>SUM(BG30:BR30)</f>
        <v>-10104.6</v>
      </c>
      <c r="BU30" s="6">
        <f>SUM(BG30:BO30)-SUM(C30:K30)</f>
        <v>0</v>
      </c>
      <c r="BV30" s="6">
        <f>SUM(BG30:BO30)-SUM(C53:K53)</f>
        <v>78.5</v>
      </c>
      <c r="BW30" s="6">
        <f>SUM(BG30:BO30)-SUM(C66:K66)</f>
        <v>-53.799999999999272</v>
      </c>
      <c r="BY30" s="6">
        <f>SUM(BP30:BR30)-SUM(L30:N30)</f>
        <v>0</v>
      </c>
      <c r="BZ30" s="6">
        <f>SUM(BP30:BR30)-SUM(L53:N53)</f>
        <v>33.100000000000364</v>
      </c>
      <c r="CA30" s="6">
        <f>SUM(BP30:BR30)-SUM(L66:N66)</f>
        <v>-9.7999999999992724</v>
      </c>
      <c r="CC30" s="6">
        <f>BS30-O30</f>
        <v>0</v>
      </c>
      <c r="CD30" s="6">
        <f>BS30-O53</f>
        <v>111.60000000000036</v>
      </c>
      <c r="CE30" s="6">
        <f>BS30-O66</f>
        <v>-63.599999999998545</v>
      </c>
    </row>
    <row r="31" spans="2:83">
      <c r="B31" s="2" t="s">
        <v>113</v>
      </c>
      <c r="C31" s="6">
        <f>C29+C30</f>
        <v>375.70000000000005</v>
      </c>
      <c r="D31" s="6">
        <f>D29+D30</f>
        <v>328.5</v>
      </c>
      <c r="E31" s="6">
        <f>E29+E30</f>
        <v>379.09999999999991</v>
      </c>
      <c r="F31" s="6">
        <f>F29+F30</f>
        <v>403.5</v>
      </c>
      <c r="G31" s="6">
        <f>G29+G30</f>
        <v>367.59999999999991</v>
      </c>
      <c r="H31" s="6">
        <f>H29+H30</f>
        <v>358.1</v>
      </c>
      <c r="I31" s="6">
        <f>I29+I30</f>
        <v>387.30000000000007</v>
      </c>
      <c r="J31" s="6">
        <f>J29+J30</f>
        <v>357</v>
      </c>
      <c r="K31" s="6">
        <f>K29+K30</f>
        <v>375.50000000000011</v>
      </c>
      <c r="L31" s="6">
        <f>L29+L30</f>
        <v>385.90000000000009</v>
      </c>
      <c r="M31" s="6">
        <f>M29+M30</f>
        <v>359.69999999999993</v>
      </c>
      <c r="N31" s="6">
        <f>N29+N30</f>
        <v>363.20000000000005</v>
      </c>
      <c r="O31" s="18">
        <f>SUM(C31:N31)</f>
        <v>4441.1000000000004</v>
      </c>
      <c r="Q31" s="6">
        <f>Q29+Q30</f>
        <v>375.70000000000005</v>
      </c>
      <c r="R31" s="6">
        <f>R29+R30</f>
        <v>328.5</v>
      </c>
      <c r="S31" s="6">
        <f>S29+S30</f>
        <v>379.09999999999991</v>
      </c>
      <c r="T31" s="6">
        <f>T29+T30</f>
        <v>403.5</v>
      </c>
      <c r="U31" s="6">
        <f>U29+U30</f>
        <v>367.59999999999991</v>
      </c>
      <c r="V31" s="6">
        <f>V29+V30</f>
        <v>358.1</v>
      </c>
      <c r="W31" s="6">
        <f>W29+W30</f>
        <v>387.30000000000007</v>
      </c>
      <c r="X31" s="6">
        <f>X29+X30</f>
        <v>357</v>
      </c>
      <c r="Y31" s="6">
        <f>Y29+Y30</f>
        <v>375.50000000000011</v>
      </c>
      <c r="Z31" s="6">
        <f>Z29+Z30</f>
        <v>385.90000000000009</v>
      </c>
      <c r="AA31" s="6">
        <f>AA29+AA30</f>
        <v>359.69999999999993</v>
      </c>
      <c r="AB31" s="6">
        <f>AB29+AB30</f>
        <v>363.20000000000005</v>
      </c>
      <c r="AC31" s="18">
        <f>SUM(Q31:AB31)</f>
        <v>4441.1000000000004</v>
      </c>
      <c r="AE31" s="6">
        <f>AE29+AE30</f>
        <v>0</v>
      </c>
      <c r="AF31" s="6">
        <f>AF29+AF30</f>
        <v>0</v>
      </c>
      <c r="AG31" s="6">
        <f>AG29+AG30</f>
        <v>0</v>
      </c>
      <c r="AH31" s="6">
        <f>AH29+AH30</f>
        <v>0</v>
      </c>
      <c r="AI31" s="6">
        <f>AI29+AI30</f>
        <v>0</v>
      </c>
      <c r="AJ31" s="6">
        <f>AJ29+AJ30</f>
        <v>0</v>
      </c>
      <c r="AK31" s="6">
        <f>AK29+AK30</f>
        <v>0</v>
      </c>
      <c r="AL31" s="6">
        <f>AL29+AL30</f>
        <v>0</v>
      </c>
      <c r="AM31" s="6">
        <f>AM29+AM30</f>
        <v>0</v>
      </c>
      <c r="AN31" s="6">
        <f>AN29+AN30</f>
        <v>0</v>
      </c>
      <c r="AO31" s="6">
        <f>AO29+AO30</f>
        <v>0</v>
      </c>
      <c r="AP31" s="6">
        <f>AP29+AP30</f>
        <v>0</v>
      </c>
      <c r="AQ31" s="18">
        <f>SUM(AE31:AP31)</f>
        <v>0</v>
      </c>
      <c r="AS31" s="6">
        <f>AS29+AS30</f>
        <v>0</v>
      </c>
      <c r="AT31" s="6">
        <f>AT29+AT30</f>
        <v>0</v>
      </c>
      <c r="AU31" s="6">
        <f>AU29+AU30</f>
        <v>0</v>
      </c>
      <c r="AV31" s="6">
        <f>AV29+AV30</f>
        <v>0</v>
      </c>
      <c r="AW31" s="6">
        <f>AW29+AW30</f>
        <v>0</v>
      </c>
      <c r="AX31" s="6">
        <f>AX29+AX30</f>
        <v>0</v>
      </c>
      <c r="AY31" s="6">
        <f>AY29+AY30</f>
        <v>0</v>
      </c>
      <c r="AZ31" s="6">
        <f>AZ29+AZ30</f>
        <v>0</v>
      </c>
      <c r="BA31" s="6">
        <f>BA29+BA30</f>
        <v>0</v>
      </c>
      <c r="BB31" s="6">
        <f>BB29+BB30</f>
        <v>0</v>
      </c>
      <c r="BC31" s="6">
        <f>BC29+BC30</f>
        <v>0</v>
      </c>
      <c r="BD31" s="6">
        <f>BD29+BD30</f>
        <v>0</v>
      </c>
      <c r="BE31" s="18">
        <f>SUM(AS31:BD31)</f>
        <v>0</v>
      </c>
      <c r="BG31" s="6">
        <f>BG29+BG30</f>
        <v>375.70000000000005</v>
      </c>
      <c r="BH31" s="6">
        <f>BH29+BH30</f>
        <v>328.5</v>
      </c>
      <c r="BI31" s="6">
        <f>BI29+BI30</f>
        <v>379.09999999999991</v>
      </c>
      <c r="BJ31" s="6">
        <f>BJ29+BJ30</f>
        <v>403.5</v>
      </c>
      <c r="BK31" s="6">
        <f>BK29+BK30</f>
        <v>367.59999999999991</v>
      </c>
      <c r="BL31" s="6">
        <f>BL29+BL30</f>
        <v>358.1</v>
      </c>
      <c r="BM31" s="6">
        <f>BM29+BM30</f>
        <v>387.30000000000007</v>
      </c>
      <c r="BN31" s="6">
        <f>BN29+BN30</f>
        <v>357</v>
      </c>
      <c r="BO31" s="6">
        <f>BO29+BO30</f>
        <v>375.50000000000011</v>
      </c>
      <c r="BP31" s="6">
        <f>BP29+BP30</f>
        <v>385.90000000000009</v>
      </c>
      <c r="BQ31" s="6">
        <f>BQ29+BQ30</f>
        <v>359.69999999999993</v>
      </c>
      <c r="BR31" s="6">
        <f>BR29+BR30</f>
        <v>363.20000000000005</v>
      </c>
      <c r="BS31" s="18">
        <f>SUM(BG31:BR31)</f>
        <v>4441.1000000000004</v>
      </c>
      <c r="BU31" s="6">
        <f>SUM(BG31:BO31)-SUM(C31:K31)</f>
        <v>0</v>
      </c>
      <c r="BV31" s="6">
        <f>SUM(BG31:BO31)-SUM(C54:K54)</f>
        <v>-131.19999999999936</v>
      </c>
      <c r="BW31" s="6">
        <f>SUM(BG31:BO31)-SUM(C67:K67)</f>
        <v>18.399999999999636</v>
      </c>
      <c r="BY31" s="6">
        <f>SUM(BP31:BR31)-SUM(L31:N31)</f>
        <v>0</v>
      </c>
      <c r="BZ31" s="6">
        <f>SUM(BP31:BR31)-SUM(L54:N54)</f>
        <v>-61.599999999999682</v>
      </c>
      <c r="CA31" s="6">
        <f>SUM(BP31:BR31)-SUM(L67:N67)</f>
        <v>-15</v>
      </c>
      <c r="CC31" s="6">
        <f>BS31-O31</f>
        <v>0</v>
      </c>
      <c r="CD31" s="6">
        <f>BS31-O54</f>
        <v>-192.79999999999927</v>
      </c>
      <c r="CE31" s="6">
        <f>BS31-O67</f>
        <v>3.3999999999996362</v>
      </c>
    </row>
    <row r="35" spans="2:71">
      <c r="B35" s="5" t="s">
        <v>166</v>
      </c>
      <c r="C35" s="12">
        <f>IFERROR(C29/C28,0)</f>
        <v>0.33272943441091551</v>
      </c>
      <c r="D35" s="12">
        <f>IFERROR(D29/D28,0)</f>
        <v>0.32731602622526679</v>
      </c>
      <c r="E35" s="12">
        <f>IFERROR(E29/E28,0)</f>
        <v>0.33109462167578396</v>
      </c>
      <c r="F35" s="12">
        <f>IFERROR(F29/F28,0)</f>
        <v>0.33022593222033392</v>
      </c>
      <c r="G35" s="12">
        <f>IFERROR(G29/G28,0)</f>
        <v>0.33124704442404518</v>
      </c>
      <c r="H35" s="12">
        <f>IFERROR(H29/H28,0)</f>
        <v>0.32815336964648084</v>
      </c>
      <c r="I35" s="12">
        <f>IFERROR(I29/I28,0)</f>
        <v>0.33140001069118513</v>
      </c>
      <c r="J35" s="12">
        <f>IFERROR(J29/J28,0)</f>
        <v>0.32876787527790735</v>
      </c>
      <c r="K35" s="12">
        <f>IFERROR(K29/K28,0)</f>
        <v>0.33152894387980558</v>
      </c>
      <c r="L35" s="12">
        <f>IFERROR(L29/L28,0)</f>
        <v>0.33075083194675542</v>
      </c>
      <c r="M35" s="12">
        <f>IFERROR(M29/M28,0)</f>
        <v>0.32990102398813426</v>
      </c>
      <c r="N35" s="12">
        <f>IFERROR(N29/N28,0)</f>
        <v>0.32707488798805207</v>
      </c>
      <c r="O35" s="12">
        <f>IFERROR(O29/O28,0)</f>
        <v>0.330020056630486</v>
      </c>
      <c r="Q35" s="12">
        <f>IFERROR(Q29/Q28,0)</f>
        <v>0.33272943441091551</v>
      </c>
      <c r="R35" s="12">
        <f>IFERROR(R29/R28,0)</f>
        <v>0.32731602622526679</v>
      </c>
      <c r="S35" s="12">
        <f>IFERROR(S29/S28,0)</f>
        <v>0.33109462167578396</v>
      </c>
      <c r="T35" s="12">
        <f>IFERROR(T29/T28,0)</f>
        <v>0.33022593222033392</v>
      </c>
      <c r="U35" s="12">
        <f>IFERROR(U29/U28,0)</f>
        <v>0.33124704442404518</v>
      </c>
      <c r="V35" s="12">
        <f>IFERROR(V29/V28,0)</f>
        <v>0.32815336964648084</v>
      </c>
      <c r="W35" s="12">
        <f>IFERROR(W29/W28,0)</f>
        <v>0.33140001069118513</v>
      </c>
      <c r="X35" s="12">
        <f>IFERROR(X29/X28,0)</f>
        <v>0.32876787527790735</v>
      </c>
      <c r="Y35" s="12">
        <f>IFERROR(Y29/Y28,0)</f>
        <v>0.33152894387980558</v>
      </c>
      <c r="Z35" s="12">
        <f>IFERROR(Z29/Z28,0)</f>
        <v>0.33075083194675542</v>
      </c>
      <c r="AA35" s="12">
        <f>IFERROR(AA29/AA28,0)</f>
        <v>0.32990102398813426</v>
      </c>
      <c r="AB35" s="12">
        <f>IFERROR(AB29/AB28,0)</f>
        <v>0.32707488798805207</v>
      </c>
      <c r="AC35" s="12">
        <f>IFERROR(AC29/AC28,0)</f>
        <v>0.330020056630486</v>
      </c>
      <c r="AE35" s="12">
        <f>IFERROR(AE29/AE28,0)</f>
        <v>0</v>
      </c>
      <c r="AF35" s="12">
        <f>IFERROR(AF29/AF28,0)</f>
        <v>0</v>
      </c>
      <c r="AG35" s="12">
        <f>IFERROR(AG29/AG28,0)</f>
        <v>0</v>
      </c>
      <c r="AH35" s="12">
        <f>IFERROR(AH29/AH28,0)</f>
        <v>0</v>
      </c>
      <c r="AI35" s="12">
        <f>IFERROR(AI29/AI28,0)</f>
        <v>0</v>
      </c>
      <c r="AJ35" s="12">
        <f>IFERROR(AJ29/AJ28,0)</f>
        <v>0</v>
      </c>
      <c r="AK35" s="12">
        <f>IFERROR(AK29/AK28,0)</f>
        <v>0</v>
      </c>
      <c r="AL35" s="12">
        <f>IFERROR(AL29/AL28,0)</f>
        <v>0</v>
      </c>
      <c r="AM35" s="12">
        <f>IFERROR(AM29/AM28,0)</f>
        <v>0</v>
      </c>
      <c r="AN35" s="12">
        <f>IFERROR(AN29/AN28,0)</f>
        <v>0</v>
      </c>
      <c r="AO35" s="12">
        <f>IFERROR(AO29/AO28,0)</f>
        <v>0</v>
      </c>
      <c r="AP35" s="12">
        <f>IFERROR(AP29/AP28,0)</f>
        <v>0</v>
      </c>
      <c r="AQ35" s="12">
        <f>IFERROR(AQ29/AQ28,0)</f>
        <v>0</v>
      </c>
      <c r="AS35" s="12">
        <f>IFERROR(AS29/AS28,0)</f>
        <v>0</v>
      </c>
      <c r="AT35" s="12">
        <f>IFERROR(AT29/AT28,0)</f>
        <v>0</v>
      </c>
      <c r="AU35" s="12">
        <f>IFERROR(AU29/AU28,0)</f>
        <v>0</v>
      </c>
      <c r="AV35" s="12">
        <f>IFERROR(AV29/AV28,0)</f>
        <v>0</v>
      </c>
      <c r="AW35" s="12">
        <f>IFERROR(AW29/AW28,0)</f>
        <v>0</v>
      </c>
      <c r="AX35" s="12">
        <f>IFERROR(AX29/AX28,0)</f>
        <v>0</v>
      </c>
      <c r="AY35" s="12">
        <f>IFERROR(AY29/AY28,0)</f>
        <v>0</v>
      </c>
      <c r="AZ35" s="12">
        <f>IFERROR(AZ29/AZ28,0)</f>
        <v>0</v>
      </c>
      <c r="BA35" s="12">
        <f>IFERROR(BA29/BA28,0)</f>
        <v>0</v>
      </c>
      <c r="BB35" s="12">
        <f>IFERROR(BB29/BB28,0)</f>
        <v>0</v>
      </c>
      <c r="BC35" s="12">
        <f>IFERROR(BC29/BC28,0)</f>
        <v>0</v>
      </c>
      <c r="BD35" s="12">
        <f>IFERROR(BD29/BD28,0)</f>
        <v>0</v>
      </c>
      <c r="BE35" s="12">
        <f>IFERROR(BE29/BE28,0)</f>
        <v>0</v>
      </c>
      <c r="BG35" s="12">
        <f>IFERROR(BG29/BG28,0)</f>
        <v>0.33272943441091551</v>
      </c>
      <c r="BH35" s="12">
        <f>IFERROR(BH29/BH28,0)</f>
        <v>0.32731602622526679</v>
      </c>
      <c r="BI35" s="12">
        <f>IFERROR(BI29/BI28,0)</f>
        <v>0.33109462167578396</v>
      </c>
      <c r="BJ35" s="12">
        <f>IFERROR(BJ29/BJ28,0)</f>
        <v>0.33022593222033392</v>
      </c>
      <c r="BK35" s="12">
        <f>IFERROR(BK29/BK28,0)</f>
        <v>0.33124704442404518</v>
      </c>
      <c r="BL35" s="12">
        <f>IFERROR(BL29/BL28,0)</f>
        <v>0.32815336964648084</v>
      </c>
      <c r="BM35" s="12">
        <f>IFERROR(BM29/BM28,0)</f>
        <v>0.33140001069118513</v>
      </c>
      <c r="BN35" s="12">
        <f>IFERROR(BN29/BN28,0)</f>
        <v>0.32876787527790735</v>
      </c>
      <c r="BO35" s="12">
        <f>IFERROR(BO29/BO28,0)</f>
        <v>0.33152894387980558</v>
      </c>
      <c r="BP35" s="12">
        <f>IFERROR(BP29/BP28,0)</f>
        <v>0.33075083194675542</v>
      </c>
      <c r="BQ35" s="12">
        <f>IFERROR(BQ29/BQ28,0)</f>
        <v>0.32990102398813426</v>
      </c>
      <c r="BR35" s="12">
        <f>IFERROR(BR29/BR28,0)</f>
        <v>0.32707488798805207</v>
      </c>
      <c r="BS35" s="12">
        <f>IFERROR(BS29/BS28,0)</f>
        <v>0.330020056630486</v>
      </c>
    </row>
    <row r="36" spans="2:71">
      <c r="B36" s="5" t="s">
        <v>167</v>
      </c>
      <c r="C36" s="12">
        <f>IFERROR(C30/C28,0)</f>
        <v>-0.22637717262073262</v>
      </c>
      <c r="D36" s="12">
        <f>IFERROR(D30/D28,0)</f>
        <v>-0.23073530708846615</v>
      </c>
      <c r="E36" s="12">
        <f>IFERROR(E30/E28,0)</f>
        <v>-0.22842983263824948</v>
      </c>
      <c r="F36" s="12">
        <f>IFERROR(F30/F28,0)</f>
        <v>-0.22938118564430671</v>
      </c>
      <c r="G36" s="12">
        <f>IFERROR(G30/G28,0)</f>
        <v>-0.22899107068346825</v>
      </c>
      <c r="H36" s="12">
        <f>IFERROR(H30/H28,0)</f>
        <v>-0.23253764818968281</v>
      </c>
      <c r="I36" s="12">
        <f>IFERROR(I30/I28,0)</f>
        <v>-0.22788261078740579</v>
      </c>
      <c r="J36" s="12">
        <f>IFERROR(J30/J28,0)</f>
        <v>-0.23077978755523837</v>
      </c>
      <c r="K36" s="12">
        <f>IFERROR(K30/K28,0)</f>
        <v>-0.22782258064516128</v>
      </c>
      <c r="L36" s="12">
        <f>IFERROR(L30/L28,0)</f>
        <v>-0.23042325291181362</v>
      </c>
      <c r="M36" s="12">
        <f>IFERROR(M30/M28,0)</f>
        <v>-0.22730254713482984</v>
      </c>
      <c r="N36" s="12">
        <f>IFERROR(N30/N28,0)</f>
        <v>-0.23021122253040327</v>
      </c>
      <c r="O36" s="12">
        <f>IFERROR(O30/O28,0)</f>
        <v>-0.22925817693396738</v>
      </c>
      <c r="Q36" s="12">
        <f>IFERROR(Q30/Q28,0)</f>
        <v>-0.22637717262073262</v>
      </c>
      <c r="R36" s="12">
        <f>IFERROR(R30/R28,0)</f>
        <v>-0.23073530708846615</v>
      </c>
      <c r="S36" s="12">
        <f>IFERROR(S30/S28,0)</f>
        <v>-0.22842983263824948</v>
      </c>
      <c r="T36" s="12">
        <f>IFERROR(T30/T28,0)</f>
        <v>-0.22938118564430671</v>
      </c>
      <c r="U36" s="12">
        <f>IFERROR(U30/U28,0)</f>
        <v>-0.22899107068346825</v>
      </c>
      <c r="V36" s="12">
        <f>IFERROR(V30/V28,0)</f>
        <v>-0.23253764818968281</v>
      </c>
      <c r="W36" s="12">
        <f>IFERROR(W30/W28,0)</f>
        <v>-0.22788261078740579</v>
      </c>
      <c r="X36" s="12">
        <f>IFERROR(X30/X28,0)</f>
        <v>-0.23077978755523837</v>
      </c>
      <c r="Y36" s="12">
        <f>IFERROR(Y30/Y28,0)</f>
        <v>-0.22782258064516128</v>
      </c>
      <c r="Z36" s="12">
        <f>IFERROR(Z30/Z28,0)</f>
        <v>-0.23042325291181362</v>
      </c>
      <c r="AA36" s="12">
        <f>IFERROR(AA30/AA28,0)</f>
        <v>-0.22730254713482984</v>
      </c>
      <c r="AB36" s="12">
        <f>IFERROR(AB30/AB28,0)</f>
        <v>-0.23021122253040327</v>
      </c>
      <c r="AC36" s="12">
        <f>IFERROR(AC30/AC28,0)</f>
        <v>-0.22925817693396738</v>
      </c>
      <c r="AE36" s="12">
        <f>IFERROR(AE30/AE28,0)</f>
        <v>0</v>
      </c>
      <c r="AF36" s="12">
        <f>IFERROR(AF30/AF28,0)</f>
        <v>0</v>
      </c>
      <c r="AG36" s="12">
        <f>IFERROR(AG30/AG28,0)</f>
        <v>0</v>
      </c>
      <c r="AH36" s="12">
        <f>IFERROR(AH30/AH28,0)</f>
        <v>0</v>
      </c>
      <c r="AI36" s="12">
        <f>IFERROR(AI30/AI28,0)</f>
        <v>0</v>
      </c>
      <c r="AJ36" s="12">
        <f>IFERROR(AJ30/AJ28,0)</f>
        <v>0</v>
      </c>
      <c r="AK36" s="12">
        <f>IFERROR(AK30/AK28,0)</f>
        <v>0</v>
      </c>
      <c r="AL36" s="12">
        <f>IFERROR(AL30/AL28,0)</f>
        <v>0</v>
      </c>
      <c r="AM36" s="12">
        <f>IFERROR(AM30/AM28,0)</f>
        <v>0</v>
      </c>
      <c r="AN36" s="12">
        <f>IFERROR(AN30/AN28,0)</f>
        <v>0</v>
      </c>
      <c r="AO36" s="12">
        <f>IFERROR(AO30/AO28,0)</f>
        <v>0</v>
      </c>
      <c r="AP36" s="12">
        <f>IFERROR(AP30/AP28,0)</f>
        <v>0</v>
      </c>
      <c r="AQ36" s="12">
        <f>IFERROR(AQ30/AQ28,0)</f>
        <v>0</v>
      </c>
      <c r="AS36" s="12">
        <f>IFERROR(AS30/AS28,0)</f>
        <v>0</v>
      </c>
      <c r="AT36" s="12">
        <f>IFERROR(AT30/AT28,0)</f>
        <v>0</v>
      </c>
      <c r="AU36" s="12">
        <f>IFERROR(AU30/AU28,0)</f>
        <v>0</v>
      </c>
      <c r="AV36" s="12">
        <f>IFERROR(AV30/AV28,0)</f>
        <v>0</v>
      </c>
      <c r="AW36" s="12">
        <f>IFERROR(AW30/AW28,0)</f>
        <v>0</v>
      </c>
      <c r="AX36" s="12">
        <f>IFERROR(AX30/AX28,0)</f>
        <v>0</v>
      </c>
      <c r="AY36" s="12">
        <f>IFERROR(AY30/AY28,0)</f>
        <v>0</v>
      </c>
      <c r="AZ36" s="12">
        <f>IFERROR(AZ30/AZ28,0)</f>
        <v>0</v>
      </c>
      <c r="BA36" s="12">
        <f>IFERROR(BA30/BA28,0)</f>
        <v>0</v>
      </c>
      <c r="BB36" s="12">
        <f>IFERROR(BB30/BB28,0)</f>
        <v>0</v>
      </c>
      <c r="BC36" s="12">
        <f>IFERROR(BC30/BC28,0)</f>
        <v>0</v>
      </c>
      <c r="BD36" s="12">
        <f>IFERROR(BD30/BD28,0)</f>
        <v>0</v>
      </c>
      <c r="BE36" s="12">
        <f>IFERROR(BE30/BE28,0)</f>
        <v>0</v>
      </c>
      <c r="BG36" s="12">
        <f>IFERROR(BG30/BG28,0)</f>
        <v>-0.22637717262073262</v>
      </c>
      <c r="BH36" s="12">
        <f>IFERROR(BH30/BH28,0)</f>
        <v>-0.23073530708846615</v>
      </c>
      <c r="BI36" s="12">
        <f>IFERROR(BI30/BI28,0)</f>
        <v>-0.22842983263824948</v>
      </c>
      <c r="BJ36" s="12">
        <f>IFERROR(BJ30/BJ28,0)</f>
        <v>-0.22938118564430671</v>
      </c>
      <c r="BK36" s="12">
        <f>IFERROR(BK30/BK28,0)</f>
        <v>-0.22899107068346825</v>
      </c>
      <c r="BL36" s="12">
        <f>IFERROR(BL30/BL28,0)</f>
        <v>-0.23253764818968281</v>
      </c>
      <c r="BM36" s="12">
        <f>IFERROR(BM30/BM28,0)</f>
        <v>-0.22788261078740579</v>
      </c>
      <c r="BN36" s="12">
        <f>IFERROR(BN30/BN28,0)</f>
        <v>-0.23077978755523837</v>
      </c>
      <c r="BO36" s="12">
        <f>IFERROR(BO30/BO28,0)</f>
        <v>-0.22782258064516128</v>
      </c>
      <c r="BP36" s="12">
        <f>IFERROR(BP30/BP28,0)</f>
        <v>-0.23042325291181362</v>
      </c>
      <c r="BQ36" s="12">
        <f>IFERROR(BQ30/BQ28,0)</f>
        <v>-0.22730254713482984</v>
      </c>
      <c r="BR36" s="12">
        <f>IFERROR(BR30/BR28,0)</f>
        <v>-0.23021122253040327</v>
      </c>
      <c r="BS36" s="12">
        <f>IFERROR(BS30/BS28,0)</f>
        <v>-0.22925817693396738</v>
      </c>
    </row>
    <row r="37" spans="2:71">
      <c r="B37" s="5" t="s">
        <v>168</v>
      </c>
      <c r="C37" s="12">
        <f>IFERROR(C31/C28,0)</f>
        <v>0.10635226179018288</v>
      </c>
      <c r="D37" s="12">
        <f>IFERROR(D31/D28,0)</f>
        <v>9.6580719136800636E-2</v>
      </c>
      <c r="E37" s="12">
        <f>IFERROR(E31/E28,0)</f>
        <v>0.10266478903753451</v>
      </c>
      <c r="F37" s="12">
        <f>IFERROR(F31/F28,0)</f>
        <v>0.1008447465760272</v>
      </c>
      <c r="G37" s="12">
        <f>IFERROR(G31/G28,0)</f>
        <v>0.10225597374057691</v>
      </c>
      <c r="H37" s="12">
        <f>IFERROR(H31/H28,0)</f>
        <v>9.5615721456798045E-2</v>
      </c>
      <c r="I37" s="12">
        <f>IFERROR(I31/I28,0)</f>
        <v>0.10351739990377935</v>
      </c>
      <c r="J37" s="12">
        <f>IFERROR(J31/J28,0)</f>
        <v>9.7988087722669009E-2</v>
      </c>
      <c r="K37" s="12">
        <f>IFERROR(K31/K28,0)</f>
        <v>0.1037063632346443</v>
      </c>
      <c r="L37" s="12">
        <f>IFERROR(L31/L28,0)</f>
        <v>0.10032757903494179</v>
      </c>
      <c r="M37" s="12">
        <f>IFERROR(M31/M28,0)</f>
        <v>0.10259847685330441</v>
      </c>
      <c r="N37" s="12">
        <f>IFERROR(N31/N28,0)</f>
        <v>9.6863665457648837E-2</v>
      </c>
      <c r="O37" s="12">
        <f>IFERROR(O31/O28,0)</f>
        <v>0.10076187969651867</v>
      </c>
      <c r="Q37" s="12">
        <f>IFERROR(Q31/Q28,0)</f>
        <v>0.10635226179018288</v>
      </c>
      <c r="R37" s="12">
        <f>IFERROR(R31/R28,0)</f>
        <v>9.6580719136800636E-2</v>
      </c>
      <c r="S37" s="12">
        <f>IFERROR(S31/S28,0)</f>
        <v>0.10266478903753451</v>
      </c>
      <c r="T37" s="12">
        <f>IFERROR(T31/T28,0)</f>
        <v>0.1008447465760272</v>
      </c>
      <c r="U37" s="12">
        <f>IFERROR(U31/U28,0)</f>
        <v>0.10225597374057691</v>
      </c>
      <c r="V37" s="12">
        <f>IFERROR(V31/V28,0)</f>
        <v>9.5615721456798045E-2</v>
      </c>
      <c r="W37" s="12">
        <f>IFERROR(W31/W28,0)</f>
        <v>0.10351739990377935</v>
      </c>
      <c r="X37" s="12">
        <f>IFERROR(X31/X28,0)</f>
        <v>9.7988087722669009E-2</v>
      </c>
      <c r="Y37" s="12">
        <f>IFERROR(Y31/Y28,0)</f>
        <v>0.1037063632346443</v>
      </c>
      <c r="Z37" s="12">
        <f>IFERROR(Z31/Z28,0)</f>
        <v>0.10032757903494179</v>
      </c>
      <c r="AA37" s="12">
        <f>IFERROR(AA31/AA28,0)</f>
        <v>0.10259847685330441</v>
      </c>
      <c r="AB37" s="12">
        <f>IFERROR(AB31/AB28,0)</f>
        <v>9.6863665457648837E-2</v>
      </c>
      <c r="AC37" s="12">
        <f>IFERROR(AC31/AC28,0)</f>
        <v>0.10076187969651867</v>
      </c>
      <c r="AE37" s="12">
        <f>IFERROR(AE31/AE28,0)</f>
        <v>0</v>
      </c>
      <c r="AF37" s="12">
        <f>IFERROR(AF31/AF28,0)</f>
        <v>0</v>
      </c>
      <c r="AG37" s="12">
        <f>IFERROR(AG31/AG28,0)</f>
        <v>0</v>
      </c>
      <c r="AH37" s="12">
        <f>IFERROR(AH31/AH28,0)</f>
        <v>0</v>
      </c>
      <c r="AI37" s="12">
        <f>IFERROR(AI31/AI28,0)</f>
        <v>0</v>
      </c>
      <c r="AJ37" s="12">
        <f>IFERROR(AJ31/AJ28,0)</f>
        <v>0</v>
      </c>
      <c r="AK37" s="12">
        <f>IFERROR(AK31/AK28,0)</f>
        <v>0</v>
      </c>
      <c r="AL37" s="12">
        <f>IFERROR(AL31/AL28,0)</f>
        <v>0</v>
      </c>
      <c r="AM37" s="12">
        <f>IFERROR(AM31/AM28,0)</f>
        <v>0</v>
      </c>
      <c r="AN37" s="12">
        <f>IFERROR(AN31/AN28,0)</f>
        <v>0</v>
      </c>
      <c r="AO37" s="12">
        <f>IFERROR(AO31/AO28,0)</f>
        <v>0</v>
      </c>
      <c r="AP37" s="12">
        <f>IFERROR(AP31/AP28,0)</f>
        <v>0</v>
      </c>
      <c r="AQ37" s="12">
        <f>IFERROR(AQ31/AQ28,0)</f>
        <v>0</v>
      </c>
      <c r="AS37" s="12">
        <f>IFERROR(AS31/AS28,0)</f>
        <v>0</v>
      </c>
      <c r="AT37" s="12">
        <f>IFERROR(AT31/AT28,0)</f>
        <v>0</v>
      </c>
      <c r="AU37" s="12">
        <f>IFERROR(AU31/AU28,0)</f>
        <v>0</v>
      </c>
      <c r="AV37" s="12">
        <f>IFERROR(AV31/AV28,0)</f>
        <v>0</v>
      </c>
      <c r="AW37" s="12">
        <f>IFERROR(AW31/AW28,0)</f>
        <v>0</v>
      </c>
      <c r="AX37" s="12">
        <f>IFERROR(AX31/AX28,0)</f>
        <v>0</v>
      </c>
      <c r="AY37" s="12">
        <f>IFERROR(AY31/AY28,0)</f>
        <v>0</v>
      </c>
      <c r="AZ37" s="12">
        <f>IFERROR(AZ31/AZ28,0)</f>
        <v>0</v>
      </c>
      <c r="BA37" s="12">
        <f>IFERROR(BA31/BA28,0)</f>
        <v>0</v>
      </c>
      <c r="BB37" s="12">
        <f>IFERROR(BB31/BB28,0)</f>
        <v>0</v>
      </c>
      <c r="BC37" s="12">
        <f>IFERROR(BC31/BC28,0)</f>
        <v>0</v>
      </c>
      <c r="BD37" s="12">
        <f>IFERROR(BD31/BD28,0)</f>
        <v>0</v>
      </c>
      <c r="BE37" s="12">
        <f>IFERROR(BE31/BE28,0)</f>
        <v>0</v>
      </c>
      <c r="BG37" s="12">
        <f>IFERROR(BG31/BG28,0)</f>
        <v>0.10635226179018288</v>
      </c>
      <c r="BH37" s="12">
        <f>IFERROR(BH31/BH28,0)</f>
        <v>9.6580719136800636E-2</v>
      </c>
      <c r="BI37" s="12">
        <f>IFERROR(BI31/BI28,0)</f>
        <v>0.10266478903753451</v>
      </c>
      <c r="BJ37" s="12">
        <f>IFERROR(BJ31/BJ28,0)</f>
        <v>0.1008447465760272</v>
      </c>
      <c r="BK37" s="12">
        <f>IFERROR(BK31/BK28,0)</f>
        <v>0.10225597374057691</v>
      </c>
      <c r="BL37" s="12">
        <f>IFERROR(BL31/BL28,0)</f>
        <v>9.5615721456798045E-2</v>
      </c>
      <c r="BM37" s="12">
        <f>IFERROR(BM31/BM28,0)</f>
        <v>0.10351739990377935</v>
      </c>
      <c r="BN37" s="12">
        <f>IFERROR(BN31/BN28,0)</f>
        <v>9.7988087722669009E-2</v>
      </c>
      <c r="BO37" s="12">
        <f>IFERROR(BO31/BO28,0)</f>
        <v>0.1037063632346443</v>
      </c>
      <c r="BP37" s="12">
        <f>IFERROR(BP31/BP28,0)</f>
        <v>0.10032757903494179</v>
      </c>
      <c r="BQ37" s="12">
        <f>IFERROR(BQ31/BQ28,0)</f>
        <v>0.10259847685330441</v>
      </c>
      <c r="BR37" s="12">
        <f>IFERROR(BR31/BR28,0)</f>
        <v>9.6863665457648837E-2</v>
      </c>
      <c r="BS37" s="12">
        <f>IFERROR(BS31/BS28,0)</f>
        <v>0.10076187969651867</v>
      </c>
    </row>
    <row r="38" spans="2:71">
      <c r="B38" s="5" t="s">
        <v>169</v>
      </c>
      <c r="C38" s="6">
        <f>IFERROR(C28/21,0)</f>
        <v>168.21904761904761</v>
      </c>
      <c r="D38" s="6">
        <f>IFERROR(D28/20,0)</f>
        <v>170.065</v>
      </c>
      <c r="E38" s="6">
        <f>IFERROR(E28/22,0)</f>
        <v>167.84545454545454</v>
      </c>
      <c r="F38" s="6">
        <f>IFERROR(F28/22,0)</f>
        <v>181.87272727272727</v>
      </c>
      <c r="G38" s="6">
        <f>IFERROR(G28/20,0)</f>
        <v>179.745</v>
      </c>
      <c r="H38" s="6">
        <f>IFERROR(H28/22,0)</f>
        <v>170.23636363636362</v>
      </c>
      <c r="I38" s="6">
        <f>IFERROR(I28/22,0)</f>
        <v>170.06363636363636</v>
      </c>
      <c r="J38" s="6">
        <f>IFERROR(J28/21,0)</f>
        <v>173.49047619047619</v>
      </c>
      <c r="K38" s="6">
        <f>IFERROR(K28/21,0)</f>
        <v>172.41904761904763</v>
      </c>
      <c r="L38" s="6">
        <f>IFERROR(L28/22,0)</f>
        <v>174.83636363636364</v>
      </c>
      <c r="M38" s="6">
        <f>IFERROR(M28/19,0)</f>
        <v>184.52105263157895</v>
      </c>
      <c r="N38" s="6">
        <f>IFERROR(N28/22,0)</f>
        <v>170.43636363636364</v>
      </c>
      <c r="O38" s="6">
        <f>IFERROR(O28/254,0)</f>
        <v>173.52440944881891</v>
      </c>
      <c r="Q38" s="6">
        <f>IFERROR(Q28/21,0)</f>
        <v>168.21904761904761</v>
      </c>
      <c r="R38" s="6">
        <f>IFERROR(R28/20,0)</f>
        <v>170.065</v>
      </c>
      <c r="S38" s="6">
        <f>IFERROR(S28/22,0)</f>
        <v>167.84545454545454</v>
      </c>
      <c r="T38" s="6">
        <f>IFERROR(T28/22,0)</f>
        <v>181.87272727272727</v>
      </c>
      <c r="U38" s="6">
        <f>IFERROR(U28/20,0)</f>
        <v>179.745</v>
      </c>
      <c r="V38" s="6">
        <f>IFERROR(V28/22,0)</f>
        <v>170.23636363636362</v>
      </c>
      <c r="W38" s="6">
        <f>IFERROR(W28/22,0)</f>
        <v>170.06363636363636</v>
      </c>
      <c r="X38" s="6">
        <f>IFERROR(X28/21,0)</f>
        <v>173.49047619047619</v>
      </c>
      <c r="Y38" s="6">
        <f>IFERROR(Y28/21,0)</f>
        <v>172.41904761904763</v>
      </c>
      <c r="Z38" s="6">
        <f>IFERROR(Z28/22,0)</f>
        <v>174.83636363636364</v>
      </c>
      <c r="AA38" s="6">
        <f>IFERROR(AA28/19,0)</f>
        <v>184.52105263157895</v>
      </c>
      <c r="AB38" s="6">
        <f>IFERROR(AB28/22,0)</f>
        <v>170.43636363636364</v>
      </c>
      <c r="AC38" s="6">
        <f>IFERROR(AC28/254,0)</f>
        <v>173.52440944881891</v>
      </c>
      <c r="AE38" s="6">
        <f>IFERROR(AE28/21,0)</f>
        <v>0</v>
      </c>
      <c r="AF38" s="6">
        <f>IFERROR(AF28/20,0)</f>
        <v>0</v>
      </c>
      <c r="AG38" s="6">
        <f>IFERROR(AG28/22,0)</f>
        <v>0</v>
      </c>
      <c r="AH38" s="6">
        <f>IFERROR(AH28/22,0)</f>
        <v>0</v>
      </c>
      <c r="AI38" s="6">
        <f>IFERROR(AI28/20,0)</f>
        <v>0</v>
      </c>
      <c r="AJ38" s="6">
        <f>IFERROR(AJ28/22,0)</f>
        <v>0</v>
      </c>
      <c r="AK38" s="6">
        <f>IFERROR(AK28/22,0)</f>
        <v>0</v>
      </c>
      <c r="AL38" s="6">
        <f>IFERROR(AL28/21,0)</f>
        <v>0</v>
      </c>
      <c r="AM38" s="6">
        <f>IFERROR(AM28/21,0)</f>
        <v>0</v>
      </c>
      <c r="AN38" s="6">
        <f>IFERROR(AN28/22,0)</f>
        <v>0</v>
      </c>
      <c r="AO38" s="6">
        <f>IFERROR(AO28/19,0)</f>
        <v>0</v>
      </c>
      <c r="AP38" s="6">
        <f>IFERROR(AP28/22,0)</f>
        <v>0</v>
      </c>
      <c r="AQ38" s="6">
        <f>IFERROR(AQ28/254,0)</f>
        <v>0</v>
      </c>
      <c r="AS38" s="6">
        <f>IFERROR(AS28/21,0)</f>
        <v>0</v>
      </c>
      <c r="AT38" s="6">
        <f>IFERROR(AT28/20,0)</f>
        <v>0</v>
      </c>
      <c r="AU38" s="6">
        <f>IFERROR(AU28/22,0)</f>
        <v>0</v>
      </c>
      <c r="AV38" s="6">
        <f>IFERROR(AV28/22,0)</f>
        <v>0</v>
      </c>
      <c r="AW38" s="6">
        <f>IFERROR(AW28/20,0)</f>
        <v>0</v>
      </c>
      <c r="AX38" s="6">
        <f>IFERROR(AX28/22,0)</f>
        <v>0</v>
      </c>
      <c r="AY38" s="6">
        <f>IFERROR(AY28/22,0)</f>
        <v>0</v>
      </c>
      <c r="AZ38" s="6">
        <f>IFERROR(AZ28/21,0)</f>
        <v>0</v>
      </c>
      <c r="BA38" s="6">
        <f>IFERROR(BA28/21,0)</f>
        <v>0</v>
      </c>
      <c r="BB38" s="6">
        <f>IFERROR(BB28/22,0)</f>
        <v>0</v>
      </c>
      <c r="BC38" s="6">
        <f>IFERROR(BC28/19,0)</f>
        <v>0</v>
      </c>
      <c r="BD38" s="6">
        <f>IFERROR(BD28/22,0)</f>
        <v>0</v>
      </c>
      <c r="BE38" s="6">
        <f>IFERROR(BE28/254,0)</f>
        <v>0</v>
      </c>
      <c r="BG38" s="6">
        <f>IFERROR(BG28/21,0)</f>
        <v>168.21904761904761</v>
      </c>
      <c r="BH38" s="6">
        <f>IFERROR(BH28/20,0)</f>
        <v>170.065</v>
      </c>
      <c r="BI38" s="6">
        <f>IFERROR(BI28/22,0)</f>
        <v>167.84545454545454</v>
      </c>
      <c r="BJ38" s="6">
        <f>IFERROR(BJ28/22,0)</f>
        <v>181.87272727272727</v>
      </c>
      <c r="BK38" s="6">
        <f>IFERROR(BK28/20,0)</f>
        <v>179.745</v>
      </c>
      <c r="BL38" s="6">
        <f>IFERROR(BL28/22,0)</f>
        <v>170.23636363636362</v>
      </c>
      <c r="BM38" s="6">
        <f>IFERROR(BM28/22,0)</f>
        <v>170.06363636363636</v>
      </c>
      <c r="BN38" s="6">
        <f>IFERROR(BN28/21,0)</f>
        <v>173.49047619047619</v>
      </c>
      <c r="BO38" s="6">
        <f>IFERROR(BO28/21,0)</f>
        <v>172.41904761904763</v>
      </c>
      <c r="BP38" s="6">
        <f>IFERROR(BP28/22,0)</f>
        <v>174.83636363636364</v>
      </c>
      <c r="BQ38" s="6">
        <f>IFERROR(BQ28/19,0)</f>
        <v>184.52105263157895</v>
      </c>
      <c r="BR38" s="6">
        <f>IFERROR(BR28/22,0)</f>
        <v>170.43636363636364</v>
      </c>
      <c r="BS38" s="6">
        <f>IFERROR(BS28/254,0)</f>
        <v>173.52440944881891</v>
      </c>
    </row>
    <row r="40" spans="2:71">
      <c r="B40" s="5" t="s">
        <v>151</v>
      </c>
      <c r="C40" s="6">
        <v>6044.6</v>
      </c>
      <c r="D40" s="6">
        <v>5849.3</v>
      </c>
      <c r="E40" s="6">
        <v>6209.3</v>
      </c>
      <c r="F40" s="6">
        <v>6844.9</v>
      </c>
      <c r="G40" s="6">
        <v>6018.1</v>
      </c>
      <c r="H40" s="6">
        <v>6019.1</v>
      </c>
      <c r="I40" s="6">
        <v>5717.6</v>
      </c>
      <c r="J40" s="6">
        <v>5491.9</v>
      </c>
      <c r="K40" s="6">
        <v>5242.8</v>
      </c>
      <c r="L40" s="6">
        <v>5564</v>
      </c>
      <c r="M40" s="6">
        <v>5096.6000000000004</v>
      </c>
      <c r="N40" s="6">
        <v>5491.2</v>
      </c>
      <c r="O40" s="6">
        <f>N40</f>
        <v>5491.2</v>
      </c>
      <c r="Q40" s="6">
        <v>6044.6</v>
      </c>
      <c r="R40" s="6">
        <v>5849.3</v>
      </c>
      <c r="S40" s="6">
        <v>6209.3</v>
      </c>
      <c r="T40" s="6">
        <v>6844.9</v>
      </c>
      <c r="U40" s="6">
        <v>6018.1</v>
      </c>
      <c r="V40" s="6">
        <v>6019.1</v>
      </c>
      <c r="W40" s="6">
        <v>5717.6</v>
      </c>
      <c r="X40" s="6">
        <v>5491.9</v>
      </c>
      <c r="Y40" s="6">
        <v>5242.8</v>
      </c>
      <c r="Z40" s="6">
        <v>5564</v>
      </c>
      <c r="AA40" s="6">
        <v>5096.6000000000004</v>
      </c>
      <c r="AB40" s="6">
        <v>5491.2</v>
      </c>
      <c r="AC40" s="6">
        <f>AB40</f>
        <v>5491.2</v>
      </c>
      <c r="AE40" s="6">
        <f>Q40-C40</f>
        <v>0</v>
      </c>
      <c r="AF40" s="6">
        <f>R40-D40</f>
        <v>0</v>
      </c>
      <c r="AG40" s="6">
        <f>S40-E40</f>
        <v>0</v>
      </c>
      <c r="AH40" s="6">
        <f>T40-F40</f>
        <v>0</v>
      </c>
      <c r="AI40" s="6">
        <f>U40-G40</f>
        <v>0</v>
      </c>
      <c r="AJ40" s="6">
        <f>V40-H40</f>
        <v>0</v>
      </c>
      <c r="AK40" s="6">
        <f>W40-I40</f>
        <v>0</v>
      </c>
      <c r="AL40" s="6">
        <f>X40-J40</f>
        <v>0</v>
      </c>
      <c r="AM40" s="6">
        <f>Y40-K40</f>
        <v>0</v>
      </c>
      <c r="AN40" s="6">
        <f>Z40-L40</f>
        <v>0</v>
      </c>
      <c r="AO40" s="6">
        <f>AA40-M40</f>
        <v>0</v>
      </c>
      <c r="AP40" s="6">
        <f>AB40-N40</f>
        <v>0</v>
      </c>
      <c r="AQ40" s="6">
        <f>AP40</f>
        <v>0</v>
      </c>
      <c r="AS40" s="6">
        <f>'Delta-Adj'!C90</f>
        <v>0</v>
      </c>
      <c r="AT40" s="6">
        <f>'Delta-Adj'!D90</f>
        <v>0</v>
      </c>
      <c r="AU40" s="6">
        <f>'Delta-Adj'!E90</f>
        <v>0</v>
      </c>
      <c r="AV40" s="6">
        <f>'Delta-Adj'!F90</f>
        <v>0</v>
      </c>
      <c r="AW40" s="6">
        <f>'Delta-Adj'!G90</f>
        <v>0</v>
      </c>
      <c r="AX40" s="6">
        <f>'Delta-Adj'!H90</f>
        <v>0</v>
      </c>
      <c r="AY40" s="6">
        <f>'Delta-Adj'!I90</f>
        <v>0</v>
      </c>
      <c r="AZ40" s="6">
        <f>'Delta-Adj'!J90</f>
        <v>0</v>
      </c>
      <c r="BA40" s="6">
        <f>'Delta-Adj'!K90</f>
        <v>0</v>
      </c>
      <c r="BB40" s="6">
        <f>'Delta-Adj'!L90</f>
        <v>0</v>
      </c>
      <c r="BC40" s="6">
        <f>'Delta-Adj'!M90</f>
        <v>0</v>
      </c>
      <c r="BD40" s="6">
        <f>'Delta-Adj'!N90</f>
        <v>0</v>
      </c>
      <c r="BE40" s="6">
        <f>BD40</f>
        <v>0</v>
      </c>
      <c r="BG40" s="6">
        <f>C40+AE40+AS40</f>
        <v>6044.6</v>
      </c>
      <c r="BH40" s="6">
        <f>D40+AF40+AT40</f>
        <v>5849.3</v>
      </c>
      <c r="BI40" s="6">
        <f>E40+AG40+AU40</f>
        <v>6209.3</v>
      </c>
      <c r="BJ40" s="6">
        <f>F40+AH40+AV40</f>
        <v>6844.9</v>
      </c>
      <c r="BK40" s="6">
        <f>G40+AI40+AW40</f>
        <v>6018.1</v>
      </c>
      <c r="BL40" s="6">
        <f>H40+AJ40+AX40</f>
        <v>6019.1</v>
      </c>
      <c r="BM40" s="6">
        <f>I40+AK40+AY40</f>
        <v>5717.6</v>
      </c>
      <c r="BN40" s="6">
        <f>J40+AL40+AZ40</f>
        <v>5491.9</v>
      </c>
      <c r="BO40" s="6">
        <f>K40+AM40+BA40</f>
        <v>5242.8</v>
      </c>
      <c r="BP40" s="6">
        <f>L40+AN40+BB40</f>
        <v>5564</v>
      </c>
      <c r="BQ40" s="6">
        <f>M40+AO40+BC40</f>
        <v>5096.6000000000004</v>
      </c>
      <c r="BR40" s="6">
        <f>N40+AP40+BD40</f>
        <v>5491.2</v>
      </c>
      <c r="BS40" s="6">
        <f>BR40</f>
        <v>5491.2</v>
      </c>
    </row>
    <row r="41" spans="2:71">
      <c r="B41" s="5" t="s">
        <v>152</v>
      </c>
      <c r="C41" s="6">
        <v>5357.8</v>
      </c>
      <c r="D41" s="6">
        <v>5158.6000000000004</v>
      </c>
      <c r="E41" s="6">
        <v>5600.4</v>
      </c>
      <c r="F41" s="6">
        <v>6068.5</v>
      </c>
      <c r="G41" s="6">
        <v>5452.3</v>
      </c>
      <c r="H41" s="6">
        <v>5680.2</v>
      </c>
      <c r="I41" s="6">
        <v>5674.5</v>
      </c>
      <c r="J41" s="6">
        <v>5525.7</v>
      </c>
      <c r="K41" s="6">
        <v>5491.5</v>
      </c>
      <c r="L41" s="6">
        <v>5833.7</v>
      </c>
      <c r="M41" s="6">
        <v>5317.3</v>
      </c>
      <c r="N41" s="6">
        <v>5686.9</v>
      </c>
      <c r="O41" s="6">
        <f>N41</f>
        <v>5686.9</v>
      </c>
      <c r="Q41" s="6">
        <v>5357.8</v>
      </c>
      <c r="R41" s="6">
        <v>5158.6000000000004</v>
      </c>
      <c r="S41" s="6">
        <v>5600.4</v>
      </c>
      <c r="T41" s="6">
        <v>6068.5</v>
      </c>
      <c r="U41" s="6">
        <v>5452.3</v>
      </c>
      <c r="V41" s="6">
        <v>5680.2</v>
      </c>
      <c r="W41" s="6">
        <v>5674.5</v>
      </c>
      <c r="X41" s="6">
        <v>5525.7</v>
      </c>
      <c r="Y41" s="6">
        <v>5491.5</v>
      </c>
      <c r="Z41" s="6">
        <v>5833.7</v>
      </c>
      <c r="AA41" s="6">
        <v>5317.3</v>
      </c>
      <c r="AB41" s="6">
        <v>5686.9</v>
      </c>
      <c r="AC41" s="6">
        <f>AB41</f>
        <v>5686.9</v>
      </c>
      <c r="AE41" s="6">
        <f>Q41-C41</f>
        <v>0</v>
      </c>
      <c r="AF41" s="6">
        <f>R41-D41</f>
        <v>0</v>
      </c>
      <c r="AG41" s="6">
        <f>S41-E41</f>
        <v>0</v>
      </c>
      <c r="AH41" s="6">
        <f>T41-F41</f>
        <v>0</v>
      </c>
      <c r="AI41" s="6">
        <f>U41-G41</f>
        <v>0</v>
      </c>
      <c r="AJ41" s="6">
        <f>V41-H41</f>
        <v>0</v>
      </c>
      <c r="AK41" s="6">
        <f>W41-I41</f>
        <v>0</v>
      </c>
      <c r="AL41" s="6">
        <f>X41-J41</f>
        <v>0</v>
      </c>
      <c r="AM41" s="6">
        <f>Y41-K41</f>
        <v>0</v>
      </c>
      <c r="AN41" s="6">
        <f>Z41-L41</f>
        <v>0</v>
      </c>
      <c r="AO41" s="6">
        <f>AA41-M41</f>
        <v>0</v>
      </c>
      <c r="AP41" s="6">
        <f>AB41-N41</f>
        <v>0</v>
      </c>
      <c r="AQ41" s="6">
        <f>AP41</f>
        <v>0</v>
      </c>
      <c r="AS41" s="6">
        <f>'Delta-Adj'!C91</f>
        <v>0</v>
      </c>
      <c r="AT41" s="6">
        <f>'Delta-Adj'!D91</f>
        <v>0</v>
      </c>
      <c r="AU41" s="6">
        <f>'Delta-Adj'!E91</f>
        <v>0</v>
      </c>
      <c r="AV41" s="6">
        <f>'Delta-Adj'!F91</f>
        <v>0</v>
      </c>
      <c r="AW41" s="6">
        <f>'Delta-Adj'!G91</f>
        <v>0</v>
      </c>
      <c r="AX41" s="6">
        <f>'Delta-Adj'!H91</f>
        <v>0</v>
      </c>
      <c r="AY41" s="6">
        <f>'Delta-Adj'!I91</f>
        <v>0</v>
      </c>
      <c r="AZ41" s="6">
        <f>'Delta-Adj'!J91</f>
        <v>0</v>
      </c>
      <c r="BA41" s="6">
        <f>'Delta-Adj'!K91</f>
        <v>0</v>
      </c>
      <c r="BB41" s="6">
        <f>'Delta-Adj'!L91</f>
        <v>0</v>
      </c>
      <c r="BC41" s="6">
        <f>'Delta-Adj'!M91</f>
        <v>0</v>
      </c>
      <c r="BD41" s="6">
        <f>'Delta-Adj'!N91</f>
        <v>0</v>
      </c>
      <c r="BE41" s="6">
        <f>BD41</f>
        <v>0</v>
      </c>
      <c r="BG41" s="6">
        <f>C41+AE41+AS41</f>
        <v>5357.8</v>
      </c>
      <c r="BH41" s="6">
        <f>D41+AF41+AT41</f>
        <v>5158.6000000000004</v>
      </c>
      <c r="BI41" s="6">
        <f>E41+AG41+AU41</f>
        <v>5600.4</v>
      </c>
      <c r="BJ41" s="6">
        <f>F41+AH41+AV41</f>
        <v>6068.5</v>
      </c>
      <c r="BK41" s="6">
        <f>G41+AI41+AW41</f>
        <v>5452.3</v>
      </c>
      <c r="BL41" s="6">
        <f>H41+AJ41+AX41</f>
        <v>5680.2</v>
      </c>
      <c r="BM41" s="6">
        <f>I41+AK41+AY41</f>
        <v>5674.5</v>
      </c>
      <c r="BN41" s="6">
        <f>J41+AL41+AZ41</f>
        <v>5525.7</v>
      </c>
      <c r="BO41" s="6">
        <f>K41+AM41+BA41</f>
        <v>5491.5</v>
      </c>
      <c r="BP41" s="6">
        <f>L41+AN41+BB41</f>
        <v>5833.7</v>
      </c>
      <c r="BQ41" s="6">
        <f>M41+AO41+BC41</f>
        <v>5317.3</v>
      </c>
      <c r="BR41" s="6">
        <f>N41+AP41+BD41</f>
        <v>5686.9</v>
      </c>
      <c r="BS41" s="6">
        <f>BR41</f>
        <v>5686.9</v>
      </c>
    </row>
    <row r="42" spans="2:71">
      <c r="B42" s="5" t="s">
        <v>153</v>
      </c>
      <c r="C42" s="6">
        <v>53</v>
      </c>
      <c r="D42" s="6">
        <v>51</v>
      </c>
      <c r="E42" s="6">
        <v>55.4</v>
      </c>
      <c r="F42" s="6">
        <v>60</v>
      </c>
      <c r="G42" s="6">
        <v>53.9</v>
      </c>
      <c r="H42" s="6">
        <v>56.2</v>
      </c>
      <c r="I42" s="6">
        <v>56.1</v>
      </c>
      <c r="J42" s="6">
        <v>54.6</v>
      </c>
      <c r="K42" s="6">
        <v>54.3</v>
      </c>
      <c r="L42" s="6">
        <v>57.7</v>
      </c>
      <c r="M42" s="6">
        <v>52.6</v>
      </c>
      <c r="N42" s="6">
        <v>56.2</v>
      </c>
      <c r="O42" s="6">
        <f>N42</f>
        <v>56.2</v>
      </c>
      <c r="Q42" s="6">
        <v>53</v>
      </c>
      <c r="R42" s="6">
        <v>51</v>
      </c>
      <c r="S42" s="6">
        <v>55.4</v>
      </c>
      <c r="T42" s="6">
        <v>60</v>
      </c>
      <c r="U42" s="6">
        <v>53.9</v>
      </c>
      <c r="V42" s="6">
        <v>56.2</v>
      </c>
      <c r="W42" s="6">
        <v>56.1</v>
      </c>
      <c r="X42" s="6">
        <v>54.6</v>
      </c>
      <c r="Y42" s="6">
        <v>54.3</v>
      </c>
      <c r="Z42" s="6">
        <v>57.7</v>
      </c>
      <c r="AA42" s="6">
        <v>52.6</v>
      </c>
      <c r="AB42" s="6">
        <v>56.2</v>
      </c>
      <c r="AC42" s="6">
        <f>AB42</f>
        <v>56.2</v>
      </c>
      <c r="AE42" s="6">
        <f>Q42-C42</f>
        <v>0</v>
      </c>
      <c r="AF42" s="6">
        <f>R42-D42</f>
        <v>0</v>
      </c>
      <c r="AG42" s="6">
        <f>S42-E42</f>
        <v>0</v>
      </c>
      <c r="AH42" s="6">
        <f>T42-F42</f>
        <v>0</v>
      </c>
      <c r="AI42" s="6">
        <f>U42-G42</f>
        <v>0</v>
      </c>
      <c r="AJ42" s="6">
        <f>V42-H42</f>
        <v>0</v>
      </c>
      <c r="AK42" s="6">
        <f>W42-I42</f>
        <v>0</v>
      </c>
      <c r="AL42" s="6">
        <f>X42-J42</f>
        <v>0</v>
      </c>
      <c r="AM42" s="6">
        <f>Y42-K42</f>
        <v>0</v>
      </c>
      <c r="AN42" s="6">
        <f>Z42-L42</f>
        <v>0</v>
      </c>
      <c r="AO42" s="6">
        <f>AA42-M42</f>
        <v>0</v>
      </c>
      <c r="AP42" s="6">
        <f>AB42-N42</f>
        <v>0</v>
      </c>
      <c r="AQ42" s="6">
        <f>AP42</f>
        <v>0</v>
      </c>
      <c r="AS42" s="6">
        <f>'Delta-Adj'!C92</f>
        <v>0</v>
      </c>
      <c r="AT42" s="6">
        <f>'Delta-Adj'!D92</f>
        <v>0</v>
      </c>
      <c r="AU42" s="6">
        <f>'Delta-Adj'!E92</f>
        <v>0</v>
      </c>
      <c r="AV42" s="6">
        <f>'Delta-Adj'!F92</f>
        <v>0</v>
      </c>
      <c r="AW42" s="6">
        <f>'Delta-Adj'!G92</f>
        <v>0</v>
      </c>
      <c r="AX42" s="6">
        <f>'Delta-Adj'!H92</f>
        <v>0</v>
      </c>
      <c r="AY42" s="6">
        <f>'Delta-Adj'!I92</f>
        <v>0</v>
      </c>
      <c r="AZ42" s="6">
        <f>'Delta-Adj'!J92</f>
        <v>0</v>
      </c>
      <c r="BA42" s="6">
        <f>'Delta-Adj'!K92</f>
        <v>0</v>
      </c>
      <c r="BB42" s="6">
        <f>'Delta-Adj'!L92</f>
        <v>0</v>
      </c>
      <c r="BC42" s="6">
        <f>'Delta-Adj'!M92</f>
        <v>0</v>
      </c>
      <c r="BD42" s="6">
        <f>'Delta-Adj'!N92</f>
        <v>0</v>
      </c>
      <c r="BE42" s="6">
        <f>BD42</f>
        <v>0</v>
      </c>
      <c r="BG42" s="6">
        <f>C42+AE42+AS42</f>
        <v>53</v>
      </c>
      <c r="BH42" s="6">
        <f>D42+AF42+AT42</f>
        <v>51</v>
      </c>
      <c r="BI42" s="6">
        <f>E42+AG42+AU42</f>
        <v>55.4</v>
      </c>
      <c r="BJ42" s="6">
        <f>F42+AH42+AV42</f>
        <v>60</v>
      </c>
      <c r="BK42" s="6">
        <f>G42+AI42+AW42</f>
        <v>53.9</v>
      </c>
      <c r="BL42" s="6">
        <f>H42+AJ42+AX42</f>
        <v>56.2</v>
      </c>
      <c r="BM42" s="6">
        <f>I42+AK42+AY42</f>
        <v>56.1</v>
      </c>
      <c r="BN42" s="6">
        <f>J42+AL42+AZ42</f>
        <v>54.6</v>
      </c>
      <c r="BO42" s="6">
        <f>K42+AM42+BA42</f>
        <v>54.3</v>
      </c>
      <c r="BP42" s="6">
        <f>L42+AN42+BB42</f>
        <v>57.7</v>
      </c>
      <c r="BQ42" s="6">
        <f>M42+AO42+BC42</f>
        <v>52.6</v>
      </c>
      <c r="BR42" s="6">
        <f>N42+AP42+BD42</f>
        <v>56.2</v>
      </c>
      <c r="BS42" s="6">
        <f>BR42</f>
        <v>56.2</v>
      </c>
    </row>
    <row r="43" spans="2:71">
      <c r="B43" s="5" t="s">
        <v>154</v>
      </c>
      <c r="C43" s="6">
        <v>-3378.7</v>
      </c>
      <c r="D43" s="6">
        <v>-3279.5</v>
      </c>
      <c r="E43" s="6">
        <v>-3540.3</v>
      </c>
      <c r="F43" s="6">
        <v>-3841.2</v>
      </c>
      <c r="G43" s="6">
        <v>-3445.9</v>
      </c>
      <c r="H43" s="6">
        <v>-3606.6</v>
      </c>
      <c r="I43" s="6">
        <v>-3585.5</v>
      </c>
      <c r="J43" s="6">
        <v>-3505.2</v>
      </c>
      <c r="K43" s="6">
        <v>-3469.2</v>
      </c>
      <c r="L43" s="6">
        <v>-3689.7</v>
      </c>
      <c r="M43" s="6">
        <v>-3367.3</v>
      </c>
      <c r="N43" s="6">
        <v>-3616.6</v>
      </c>
      <c r="O43" s="6">
        <f>N43</f>
        <v>-3616.6</v>
      </c>
      <c r="Q43" s="6">
        <v>-3378.7</v>
      </c>
      <c r="R43" s="6">
        <v>-3279.5</v>
      </c>
      <c r="S43" s="6">
        <v>-3540.3</v>
      </c>
      <c r="T43" s="6">
        <v>-3841.2</v>
      </c>
      <c r="U43" s="6">
        <v>-3445.9</v>
      </c>
      <c r="V43" s="6">
        <v>-3606.6</v>
      </c>
      <c r="W43" s="6">
        <v>-3585.5</v>
      </c>
      <c r="X43" s="6">
        <v>-3505.2</v>
      </c>
      <c r="Y43" s="6">
        <v>-3469.2</v>
      </c>
      <c r="Z43" s="6">
        <v>-3689.7</v>
      </c>
      <c r="AA43" s="6">
        <v>-3367.3</v>
      </c>
      <c r="AB43" s="6">
        <v>-3616.6</v>
      </c>
      <c r="AC43" s="6">
        <f>AB43</f>
        <v>-3616.6</v>
      </c>
      <c r="AE43" s="6">
        <f>Q43-C43</f>
        <v>0</v>
      </c>
      <c r="AF43" s="6">
        <f>R43-D43</f>
        <v>0</v>
      </c>
      <c r="AG43" s="6">
        <f>S43-E43</f>
        <v>0</v>
      </c>
      <c r="AH43" s="6">
        <f>T43-F43</f>
        <v>0</v>
      </c>
      <c r="AI43" s="6">
        <f>U43-G43</f>
        <v>0</v>
      </c>
      <c r="AJ43" s="6">
        <f>V43-H43</f>
        <v>0</v>
      </c>
      <c r="AK43" s="6">
        <f>W43-I43</f>
        <v>0</v>
      </c>
      <c r="AL43" s="6">
        <f>X43-J43</f>
        <v>0</v>
      </c>
      <c r="AM43" s="6">
        <f>Y43-K43</f>
        <v>0</v>
      </c>
      <c r="AN43" s="6">
        <f>Z43-L43</f>
        <v>0</v>
      </c>
      <c r="AO43" s="6">
        <f>AA43-M43</f>
        <v>0</v>
      </c>
      <c r="AP43" s="6">
        <f>AB43-N43</f>
        <v>0</v>
      </c>
      <c r="AQ43" s="6">
        <f>AP43</f>
        <v>0</v>
      </c>
      <c r="AS43" s="6">
        <f>'Delta-Adj'!C93</f>
        <v>0</v>
      </c>
      <c r="AT43" s="6">
        <f>'Delta-Adj'!D93</f>
        <v>0</v>
      </c>
      <c r="AU43" s="6">
        <f>'Delta-Adj'!E93</f>
        <v>0</v>
      </c>
      <c r="AV43" s="6">
        <f>'Delta-Adj'!F93</f>
        <v>0</v>
      </c>
      <c r="AW43" s="6">
        <f>'Delta-Adj'!G93</f>
        <v>0</v>
      </c>
      <c r="AX43" s="6">
        <f>'Delta-Adj'!H93</f>
        <v>0</v>
      </c>
      <c r="AY43" s="6">
        <f>'Delta-Adj'!I93</f>
        <v>0</v>
      </c>
      <c r="AZ43" s="6">
        <f>'Delta-Adj'!J93</f>
        <v>0</v>
      </c>
      <c r="BA43" s="6">
        <f>'Delta-Adj'!K93</f>
        <v>0</v>
      </c>
      <c r="BB43" s="6">
        <f>'Delta-Adj'!L93</f>
        <v>0</v>
      </c>
      <c r="BC43" s="6">
        <f>'Delta-Adj'!M93</f>
        <v>0</v>
      </c>
      <c r="BD43" s="6">
        <f>'Delta-Adj'!N93</f>
        <v>0</v>
      </c>
      <c r="BE43" s="6">
        <f>BD43</f>
        <v>0</v>
      </c>
      <c r="BG43" s="6">
        <f>C43+AE43+AS43</f>
        <v>-3378.7</v>
      </c>
      <c r="BH43" s="6">
        <f>D43+AF43+AT43</f>
        <v>-3279.5</v>
      </c>
      <c r="BI43" s="6">
        <f>E43+AG43+AU43</f>
        <v>-3540.3</v>
      </c>
      <c r="BJ43" s="6">
        <f>F43+AH43+AV43</f>
        <v>-3841.2</v>
      </c>
      <c r="BK43" s="6">
        <f>G43+AI43+AW43</f>
        <v>-3445.9</v>
      </c>
      <c r="BL43" s="6">
        <f>H43+AJ43+AX43</f>
        <v>-3606.6</v>
      </c>
      <c r="BM43" s="6">
        <f>I43+AK43+AY43</f>
        <v>-3585.5</v>
      </c>
      <c r="BN43" s="6">
        <f>J43+AL43+AZ43</f>
        <v>-3505.2</v>
      </c>
      <c r="BO43" s="6">
        <f>K43+AM43+BA43</f>
        <v>-3469.2</v>
      </c>
      <c r="BP43" s="6">
        <f>L43+AN43+BB43</f>
        <v>-3689.7</v>
      </c>
      <c r="BQ43" s="6">
        <f>M43+AO43+BC43</f>
        <v>-3367.3</v>
      </c>
      <c r="BR43" s="6">
        <f>N43+AP43+BD43</f>
        <v>-3616.6</v>
      </c>
      <c r="BS43" s="6">
        <f>BR43</f>
        <v>-3616.6</v>
      </c>
    </row>
    <row r="44" spans="2:71">
      <c r="B44" s="5" t="s">
        <v>155</v>
      </c>
      <c r="C44" s="6">
        <v>-106</v>
      </c>
      <c r="D44" s="6">
        <v>-102</v>
      </c>
      <c r="E44" s="6">
        <v>-110.8</v>
      </c>
      <c r="F44" s="6">
        <v>-120</v>
      </c>
      <c r="G44" s="6">
        <v>-107.8</v>
      </c>
      <c r="H44" s="6">
        <v>-112.4</v>
      </c>
      <c r="I44" s="6">
        <v>-112.2</v>
      </c>
      <c r="J44" s="6">
        <v>-109.3</v>
      </c>
      <c r="K44" s="6">
        <v>-108.6</v>
      </c>
      <c r="L44" s="6">
        <v>-115.4</v>
      </c>
      <c r="M44" s="6">
        <v>-105.2</v>
      </c>
      <c r="N44" s="6">
        <v>-112.5</v>
      </c>
      <c r="O44" s="6">
        <f>N44</f>
        <v>-112.5</v>
      </c>
      <c r="Q44" s="6">
        <v>-106</v>
      </c>
      <c r="R44" s="6">
        <v>-102</v>
      </c>
      <c r="S44" s="6">
        <v>-110.8</v>
      </c>
      <c r="T44" s="6">
        <v>-120</v>
      </c>
      <c r="U44" s="6">
        <v>-107.8</v>
      </c>
      <c r="V44" s="6">
        <v>-112.4</v>
      </c>
      <c r="W44" s="6">
        <v>-112.2</v>
      </c>
      <c r="X44" s="6">
        <v>-109.3</v>
      </c>
      <c r="Y44" s="6">
        <v>-108.6</v>
      </c>
      <c r="Z44" s="6">
        <v>-115.4</v>
      </c>
      <c r="AA44" s="6">
        <v>-105.2</v>
      </c>
      <c r="AB44" s="6">
        <v>-112.5</v>
      </c>
      <c r="AC44" s="6">
        <f>AB44</f>
        <v>-112.5</v>
      </c>
      <c r="AE44" s="6">
        <f>Q44-C44</f>
        <v>0</v>
      </c>
      <c r="AF44" s="6">
        <f>R44-D44</f>
        <v>0</v>
      </c>
      <c r="AG44" s="6">
        <f>S44-E44</f>
        <v>0</v>
      </c>
      <c r="AH44" s="6">
        <f>T44-F44</f>
        <v>0</v>
      </c>
      <c r="AI44" s="6">
        <f>U44-G44</f>
        <v>0</v>
      </c>
      <c r="AJ44" s="6">
        <f>V44-H44</f>
        <v>0</v>
      </c>
      <c r="AK44" s="6">
        <f>W44-I44</f>
        <v>0</v>
      </c>
      <c r="AL44" s="6">
        <f>X44-J44</f>
        <v>0</v>
      </c>
      <c r="AM44" s="6">
        <f>Y44-K44</f>
        <v>0</v>
      </c>
      <c r="AN44" s="6">
        <f>Z44-L44</f>
        <v>0</v>
      </c>
      <c r="AO44" s="6">
        <f>AA44-M44</f>
        <v>0</v>
      </c>
      <c r="AP44" s="6">
        <f>AB44-N44</f>
        <v>0</v>
      </c>
      <c r="AQ44" s="6">
        <f>AP44</f>
        <v>0</v>
      </c>
      <c r="AS44" s="6">
        <f>'Delta-Adj'!C94</f>
        <v>0</v>
      </c>
      <c r="AT44" s="6">
        <f>'Delta-Adj'!D94</f>
        <v>0</v>
      </c>
      <c r="AU44" s="6">
        <f>'Delta-Adj'!E94</f>
        <v>0</v>
      </c>
      <c r="AV44" s="6">
        <f>'Delta-Adj'!F94</f>
        <v>0</v>
      </c>
      <c r="AW44" s="6">
        <f>'Delta-Adj'!G94</f>
        <v>0</v>
      </c>
      <c r="AX44" s="6">
        <f>'Delta-Adj'!H94</f>
        <v>0</v>
      </c>
      <c r="AY44" s="6">
        <f>'Delta-Adj'!I94</f>
        <v>0</v>
      </c>
      <c r="AZ44" s="6">
        <f>'Delta-Adj'!J94</f>
        <v>0</v>
      </c>
      <c r="BA44" s="6">
        <f>'Delta-Adj'!K94</f>
        <v>0</v>
      </c>
      <c r="BB44" s="6">
        <f>'Delta-Adj'!L94</f>
        <v>0</v>
      </c>
      <c r="BC44" s="6">
        <f>'Delta-Adj'!M94</f>
        <v>0</v>
      </c>
      <c r="BD44" s="6">
        <f>'Delta-Adj'!N94</f>
        <v>0</v>
      </c>
      <c r="BE44" s="6">
        <f>BD44</f>
        <v>0</v>
      </c>
      <c r="BG44" s="6">
        <f>C44+AE44+AS44</f>
        <v>-106</v>
      </c>
      <c r="BH44" s="6">
        <f>D44+AF44+AT44</f>
        <v>-102</v>
      </c>
      <c r="BI44" s="6">
        <f>E44+AG44+AU44</f>
        <v>-110.8</v>
      </c>
      <c r="BJ44" s="6">
        <f>F44+AH44+AV44</f>
        <v>-120</v>
      </c>
      <c r="BK44" s="6">
        <f>G44+AI44+AW44</f>
        <v>-107.8</v>
      </c>
      <c r="BL44" s="6">
        <f>H44+AJ44+AX44</f>
        <v>-112.4</v>
      </c>
      <c r="BM44" s="6">
        <f>I44+AK44+AY44</f>
        <v>-112.2</v>
      </c>
      <c r="BN44" s="6">
        <f>J44+AL44+AZ44</f>
        <v>-109.3</v>
      </c>
      <c r="BO44" s="6">
        <f>K44+AM44+BA44</f>
        <v>-108.6</v>
      </c>
      <c r="BP44" s="6">
        <f>L44+AN44+BB44</f>
        <v>-115.4</v>
      </c>
      <c r="BQ44" s="6">
        <f>M44+AO44+BC44</f>
        <v>-105.2</v>
      </c>
      <c r="BR44" s="6">
        <f>N44+AP44+BD44</f>
        <v>-112.5</v>
      </c>
      <c r="BS44" s="6">
        <f>BR44</f>
        <v>-112.5</v>
      </c>
    </row>
    <row r="45" spans="2:71">
      <c r="B45" s="2" t="s">
        <v>170</v>
      </c>
      <c r="C45" s="6">
        <f>SUM(C40:C44)</f>
        <v>7970.7000000000016</v>
      </c>
      <c r="D45" s="6">
        <f>SUM(D40:D44)</f>
        <v>7677.4000000000015</v>
      </c>
      <c r="E45" s="6">
        <f>SUM(E40:E44)</f>
        <v>8214</v>
      </c>
      <c r="F45" s="6">
        <f>SUM(F40:F44)</f>
        <v>9012.2000000000007</v>
      </c>
      <c r="G45" s="6">
        <f>SUM(G40:G44)</f>
        <v>7970.6000000000013</v>
      </c>
      <c r="H45" s="6">
        <f>SUM(H40:H44)</f>
        <v>8036.5</v>
      </c>
      <c r="I45" s="6">
        <f>SUM(I40:I44)</f>
        <v>7750.5000000000009</v>
      </c>
      <c r="J45" s="6">
        <f>SUM(J40:J44)</f>
        <v>7457.6999999999989</v>
      </c>
      <c r="K45" s="6">
        <f>SUM(K40:K44)</f>
        <v>7210.7999999999984</v>
      </c>
      <c r="L45" s="6">
        <f>SUM(L40:L44)</f>
        <v>7650.300000000002</v>
      </c>
      <c r="M45" s="6">
        <f>SUM(M40:M44)</f>
        <v>6994.0000000000018</v>
      </c>
      <c r="N45" s="6">
        <f>SUM(N40:N44)</f>
        <v>7505.1999999999989</v>
      </c>
      <c r="O45" s="6">
        <f>N45</f>
        <v>7505.1999999999989</v>
      </c>
      <c r="Q45" s="6">
        <f>SUM(Q40:Q44)</f>
        <v>7970.7000000000016</v>
      </c>
      <c r="R45" s="6">
        <f>SUM(R40:R44)</f>
        <v>7677.4000000000015</v>
      </c>
      <c r="S45" s="6">
        <f>SUM(S40:S44)</f>
        <v>8214</v>
      </c>
      <c r="T45" s="6">
        <f>SUM(T40:T44)</f>
        <v>9012.2000000000007</v>
      </c>
      <c r="U45" s="6">
        <f>SUM(U40:U44)</f>
        <v>7970.6000000000013</v>
      </c>
      <c r="V45" s="6">
        <f>SUM(V40:V44)</f>
        <v>8036.5</v>
      </c>
      <c r="W45" s="6">
        <f>SUM(W40:W44)</f>
        <v>7750.5000000000009</v>
      </c>
      <c r="X45" s="6">
        <f>SUM(X40:X44)</f>
        <v>7457.6999999999989</v>
      </c>
      <c r="Y45" s="6">
        <f>SUM(Y40:Y44)</f>
        <v>7210.7999999999984</v>
      </c>
      <c r="Z45" s="6">
        <f>SUM(Z40:Z44)</f>
        <v>7650.300000000002</v>
      </c>
      <c r="AA45" s="6">
        <f>SUM(AA40:AA44)</f>
        <v>6994.0000000000018</v>
      </c>
      <c r="AB45" s="6">
        <f>SUM(AB40:AB44)</f>
        <v>7505.1999999999989</v>
      </c>
      <c r="AC45" s="6">
        <f>AB45</f>
        <v>7505.1999999999989</v>
      </c>
      <c r="AE45" s="6">
        <f>SUM(AE40:AE44)</f>
        <v>0</v>
      </c>
      <c r="AF45" s="6">
        <f>SUM(AF40:AF44)</f>
        <v>0</v>
      </c>
      <c r="AG45" s="6">
        <f>SUM(AG40:AG44)</f>
        <v>0</v>
      </c>
      <c r="AH45" s="6">
        <f>SUM(AH40:AH44)</f>
        <v>0</v>
      </c>
      <c r="AI45" s="6">
        <f>SUM(AI40:AI44)</f>
        <v>0</v>
      </c>
      <c r="AJ45" s="6">
        <f>SUM(AJ40:AJ44)</f>
        <v>0</v>
      </c>
      <c r="AK45" s="6">
        <f>SUM(AK40:AK44)</f>
        <v>0</v>
      </c>
      <c r="AL45" s="6">
        <f>SUM(AL40:AL44)</f>
        <v>0</v>
      </c>
      <c r="AM45" s="6">
        <f>SUM(AM40:AM44)</f>
        <v>0</v>
      </c>
      <c r="AN45" s="6">
        <f>SUM(AN40:AN44)</f>
        <v>0</v>
      </c>
      <c r="AO45" s="6">
        <f>SUM(AO40:AO44)</f>
        <v>0</v>
      </c>
      <c r="AP45" s="6">
        <f>SUM(AP40:AP44)</f>
        <v>0</v>
      </c>
      <c r="AQ45" s="6">
        <f>AP45</f>
        <v>0</v>
      </c>
      <c r="AS45" s="6">
        <f>SUM(AS40:AS44)</f>
        <v>0</v>
      </c>
      <c r="AT45" s="6">
        <f>SUM(AT40:AT44)</f>
        <v>0</v>
      </c>
      <c r="AU45" s="6">
        <f>SUM(AU40:AU44)</f>
        <v>0</v>
      </c>
      <c r="AV45" s="6">
        <f>SUM(AV40:AV44)</f>
        <v>0</v>
      </c>
      <c r="AW45" s="6">
        <f>SUM(AW40:AW44)</f>
        <v>0</v>
      </c>
      <c r="AX45" s="6">
        <f>SUM(AX40:AX44)</f>
        <v>0</v>
      </c>
      <c r="AY45" s="6">
        <f>SUM(AY40:AY44)</f>
        <v>0</v>
      </c>
      <c r="AZ45" s="6">
        <f>SUM(AZ40:AZ44)</f>
        <v>0</v>
      </c>
      <c r="BA45" s="6">
        <f>SUM(BA40:BA44)</f>
        <v>0</v>
      </c>
      <c r="BB45" s="6">
        <f>SUM(BB40:BB44)</f>
        <v>0</v>
      </c>
      <c r="BC45" s="6">
        <f>SUM(BC40:BC44)</f>
        <v>0</v>
      </c>
      <c r="BD45" s="6">
        <f>SUM(BD40:BD44)</f>
        <v>0</v>
      </c>
      <c r="BE45" s="6">
        <f>BD45</f>
        <v>0</v>
      </c>
      <c r="BG45" s="6">
        <f>SUM(BG40:BG44)</f>
        <v>7970.7000000000016</v>
      </c>
      <c r="BH45" s="6">
        <f>SUM(BH40:BH44)</f>
        <v>7677.4000000000015</v>
      </c>
      <c r="BI45" s="6">
        <f>SUM(BI40:BI44)</f>
        <v>8214</v>
      </c>
      <c r="BJ45" s="6">
        <f>SUM(BJ40:BJ44)</f>
        <v>9012.2000000000007</v>
      </c>
      <c r="BK45" s="6">
        <f>SUM(BK40:BK44)</f>
        <v>7970.6000000000013</v>
      </c>
      <c r="BL45" s="6">
        <f>SUM(BL40:BL44)</f>
        <v>8036.5</v>
      </c>
      <c r="BM45" s="6">
        <f>SUM(BM40:BM44)</f>
        <v>7750.5000000000009</v>
      </c>
      <c r="BN45" s="6">
        <f>SUM(BN40:BN44)</f>
        <v>7457.6999999999989</v>
      </c>
      <c r="BO45" s="6">
        <f>SUM(BO40:BO44)</f>
        <v>7210.7999999999984</v>
      </c>
      <c r="BP45" s="6">
        <f>SUM(BP40:BP44)</f>
        <v>7650.300000000002</v>
      </c>
      <c r="BQ45" s="6">
        <f>SUM(BQ40:BQ44)</f>
        <v>6994.0000000000018</v>
      </c>
      <c r="BR45" s="6">
        <f>SUM(BR40:BR44)</f>
        <v>7505.1999999999989</v>
      </c>
      <c r="BS45" s="6">
        <f>BR45</f>
        <v>7505.1999999999989</v>
      </c>
    </row>
    <row r="46" spans="2:71">
      <c r="B46" s="5" t="s">
        <v>171</v>
      </c>
      <c r="C46" s="12">
        <f>IFERROR(C45/(C28*12),0)</f>
        <v>0.18802723206703284</v>
      </c>
      <c r="D46" s="12">
        <f>IFERROR(D45/(D28*12),0)</f>
        <v>0.1880996481737375</v>
      </c>
      <c r="E46" s="12">
        <f>IFERROR(E45/(E28*12),0)</f>
        <v>0.18537074148296595</v>
      </c>
      <c r="F46" s="12">
        <f>IFERROR(F45/(F28*12),0)</f>
        <v>0.18769785730947386</v>
      </c>
      <c r="G46" s="12">
        <f>IFERROR(G45/(G28*12),0)</f>
        <v>0.1847663820041355</v>
      </c>
      <c r="H46" s="12">
        <f>IFERROR(H45/(H28*12),0)</f>
        <v>0.17881777564171031</v>
      </c>
      <c r="I46" s="12">
        <f>IFERROR(I45/(I28*12),0)</f>
        <v>0.17262922970011227</v>
      </c>
      <c r="J46" s="12">
        <f>IFERROR(J45/(J28*12),0)</f>
        <v>0.17058024318612242</v>
      </c>
      <c r="K46" s="12">
        <f>IFERROR(K45/(K28*12),0)</f>
        <v>0.16595779938135213</v>
      </c>
      <c r="L46" s="12">
        <f>IFERROR(L45/(L28*12),0)</f>
        <v>0.16574589226289521</v>
      </c>
      <c r="M46" s="12">
        <f>IFERROR(M45/(M28*12),0)</f>
        <v>0.16624357036234161</v>
      </c>
      <c r="N46" s="12">
        <f>IFERROR(N45/(N28*12),0)</f>
        <v>0.16680001422373941</v>
      </c>
      <c r="Q46" s="12">
        <f>IFERROR(Q45/(Q28*12),0)</f>
        <v>0.18802723206703284</v>
      </c>
      <c r="R46" s="12">
        <f>IFERROR(R45/(R28*12),0)</f>
        <v>0.1880996481737375</v>
      </c>
      <c r="S46" s="12">
        <f>IFERROR(S45/(S28*12),0)</f>
        <v>0.18537074148296595</v>
      </c>
      <c r="T46" s="12">
        <f>IFERROR(T45/(T28*12),0)</f>
        <v>0.18769785730947386</v>
      </c>
      <c r="U46" s="12">
        <f>IFERROR(U45/(U28*12),0)</f>
        <v>0.1847663820041355</v>
      </c>
      <c r="V46" s="12">
        <f>IFERROR(V45/(V28*12),0)</f>
        <v>0.17881777564171031</v>
      </c>
      <c r="W46" s="12">
        <f>IFERROR(W45/(W28*12),0)</f>
        <v>0.17262922970011227</v>
      </c>
      <c r="X46" s="12">
        <f>IFERROR(X45/(X28*12),0)</f>
        <v>0.17058024318612242</v>
      </c>
      <c r="Y46" s="12">
        <f>IFERROR(Y45/(Y28*12),0)</f>
        <v>0.16595779938135213</v>
      </c>
      <c r="Z46" s="12">
        <f>IFERROR(Z45/(Z28*12),0)</f>
        <v>0.16574589226289521</v>
      </c>
      <c r="AA46" s="12">
        <f>IFERROR(AA45/(AA28*12),0)</f>
        <v>0.16624357036234161</v>
      </c>
      <c r="AB46" s="12">
        <f>IFERROR(AB45/(AB28*12),0)</f>
        <v>0.16680001422373941</v>
      </c>
      <c r="AE46" s="12">
        <f>IFERROR(AE45/(AE28*12),0)</f>
        <v>0</v>
      </c>
      <c r="AF46" s="12">
        <f>IFERROR(AF45/(AF28*12),0)</f>
        <v>0</v>
      </c>
      <c r="AG46" s="12">
        <f>IFERROR(AG45/(AG28*12),0)</f>
        <v>0</v>
      </c>
      <c r="AH46" s="12">
        <f>IFERROR(AH45/(AH28*12),0)</f>
        <v>0</v>
      </c>
      <c r="AI46" s="12">
        <f>IFERROR(AI45/(AI28*12),0)</f>
        <v>0</v>
      </c>
      <c r="AJ46" s="12">
        <f>IFERROR(AJ45/(AJ28*12),0)</f>
        <v>0</v>
      </c>
      <c r="AK46" s="12">
        <f>IFERROR(AK45/(AK28*12),0)</f>
        <v>0</v>
      </c>
      <c r="AL46" s="12">
        <f>IFERROR(AL45/(AL28*12),0)</f>
        <v>0</v>
      </c>
      <c r="AM46" s="12">
        <f>IFERROR(AM45/(AM28*12),0)</f>
        <v>0</v>
      </c>
      <c r="AN46" s="12">
        <f>IFERROR(AN45/(AN28*12),0)</f>
        <v>0</v>
      </c>
      <c r="AO46" s="12">
        <f>IFERROR(AO45/(AO28*12),0)</f>
        <v>0</v>
      </c>
      <c r="AP46" s="12">
        <f>IFERROR(AP45/(AP28*12),0)</f>
        <v>0</v>
      </c>
      <c r="AS46" s="12">
        <f>IFERROR(AS45/(AS28*12),0)</f>
        <v>0</v>
      </c>
      <c r="AT46" s="12">
        <f>IFERROR(AT45/(AT28*12),0)</f>
        <v>0</v>
      </c>
      <c r="AU46" s="12">
        <f>IFERROR(AU45/(AU28*12),0)</f>
        <v>0</v>
      </c>
      <c r="AV46" s="12">
        <f>IFERROR(AV45/(AV28*12),0)</f>
        <v>0</v>
      </c>
      <c r="AW46" s="12">
        <f>IFERROR(AW45/(AW28*12),0)</f>
        <v>0</v>
      </c>
      <c r="AX46" s="12">
        <f>IFERROR(AX45/(AX28*12),0)</f>
        <v>0</v>
      </c>
      <c r="AY46" s="12">
        <f>IFERROR(AY45/(AY28*12),0)</f>
        <v>0</v>
      </c>
      <c r="AZ46" s="12">
        <f>IFERROR(AZ45/(AZ28*12),0)</f>
        <v>0</v>
      </c>
      <c r="BA46" s="12">
        <f>IFERROR(BA45/(BA28*12),0)</f>
        <v>0</v>
      </c>
      <c r="BB46" s="12">
        <f>IFERROR(BB45/(BB28*12),0)</f>
        <v>0</v>
      </c>
      <c r="BC46" s="12">
        <f>IFERROR(BC45/(BC28*12),0)</f>
        <v>0</v>
      </c>
      <c r="BD46" s="12">
        <f>IFERROR(BD45/(BD28*12),0)</f>
        <v>0</v>
      </c>
      <c r="BG46" s="12">
        <f>IFERROR(BG45/(BG28*12),0)</f>
        <v>0.18802723206703284</v>
      </c>
      <c r="BH46" s="12">
        <f>IFERROR(BH45/(BH28*12),0)</f>
        <v>0.1880996481737375</v>
      </c>
      <c r="BI46" s="12">
        <f>IFERROR(BI45/(BI28*12),0)</f>
        <v>0.18537074148296595</v>
      </c>
      <c r="BJ46" s="12">
        <f>IFERROR(BJ45/(BJ28*12),0)</f>
        <v>0.18769785730947386</v>
      </c>
      <c r="BK46" s="12">
        <f>IFERROR(BK45/(BK28*12),0)</f>
        <v>0.1847663820041355</v>
      </c>
      <c r="BL46" s="12">
        <f>IFERROR(BL45/(BL28*12),0)</f>
        <v>0.17881777564171031</v>
      </c>
      <c r="BM46" s="12">
        <f>IFERROR(BM45/(BM28*12),0)</f>
        <v>0.17262922970011227</v>
      </c>
      <c r="BN46" s="12">
        <f>IFERROR(BN45/(BN28*12),0)</f>
        <v>0.17058024318612242</v>
      </c>
      <c r="BO46" s="12">
        <f>IFERROR(BO45/(BO28*12),0)</f>
        <v>0.16595779938135213</v>
      </c>
      <c r="BP46" s="12">
        <f>IFERROR(BP45/(BP28*12),0)</f>
        <v>0.16574589226289521</v>
      </c>
      <c r="BQ46" s="12">
        <f>IFERROR(BQ45/(BQ28*12),0)</f>
        <v>0.16624357036234161</v>
      </c>
      <c r="BR46" s="12">
        <f>IFERROR(BR45/(BR28*12),0)</f>
        <v>0.16680001422373941</v>
      </c>
    </row>
    <row r="49" spans="2:15">
      <c r="B49" s="8" t="s">
        <v>172</v>
      </c>
    </row>
    <row r="50" spans="2:15">
      <c r="C50" s="19" t="s">
        <v>70</v>
      </c>
      <c r="D50" s="19" t="s">
        <v>71</v>
      </c>
      <c r="E50" s="19" t="s">
        <v>72</v>
      </c>
      <c r="F50" s="19" t="s">
        <v>73</v>
      </c>
      <c r="G50" s="19" t="s">
        <v>50</v>
      </c>
      <c r="H50" s="19" t="s">
        <v>74</v>
      </c>
      <c r="I50" s="19" t="s">
        <v>75</v>
      </c>
      <c r="J50" s="19" t="s">
        <v>76</v>
      </c>
      <c r="K50" s="19" t="s">
        <v>77</v>
      </c>
      <c r="L50" s="19" t="s">
        <v>78</v>
      </c>
      <c r="M50" s="19" t="s">
        <v>79</v>
      </c>
      <c r="N50" s="19" t="s">
        <v>80</v>
      </c>
      <c r="O50" s="2" t="s">
        <v>165</v>
      </c>
    </row>
    <row r="51" spans="2:15">
      <c r="B51" t="s">
        <v>100</v>
      </c>
      <c r="C51" s="6">
        <v>3562.5</v>
      </c>
      <c r="D51" s="6">
        <v>3487.4</v>
      </c>
      <c r="E51" s="6">
        <v>3749.9</v>
      </c>
      <c r="F51" s="6">
        <v>4050</v>
      </c>
      <c r="G51" s="6">
        <v>3674.9</v>
      </c>
      <c r="H51" s="6">
        <v>3862.5</v>
      </c>
      <c r="I51" s="6">
        <v>3825</v>
      </c>
      <c r="J51" s="6">
        <v>3750</v>
      </c>
      <c r="K51" s="6">
        <v>3675.1</v>
      </c>
      <c r="L51" s="6">
        <v>3937.6</v>
      </c>
      <c r="M51" s="6">
        <v>3562.5</v>
      </c>
      <c r="N51" s="6">
        <v>3862.4</v>
      </c>
      <c r="O51" s="6">
        <f>SUM(C51:N51)</f>
        <v>44999.8</v>
      </c>
    </row>
    <row r="52" spans="2:15">
      <c r="B52" t="s">
        <v>111</v>
      </c>
      <c r="C52" s="6">
        <v>1175.7</v>
      </c>
      <c r="D52" s="6">
        <v>1150.8</v>
      </c>
      <c r="E52" s="6">
        <v>1237.3</v>
      </c>
      <c r="F52" s="6">
        <v>1336.4</v>
      </c>
      <c r="G52" s="6">
        <v>1212.8</v>
      </c>
      <c r="H52" s="6">
        <v>1274.5999999999999</v>
      </c>
      <c r="I52" s="6">
        <v>1262.2</v>
      </c>
      <c r="J52" s="6">
        <v>1237.5</v>
      </c>
      <c r="K52" s="6">
        <v>1212.9000000000001</v>
      </c>
      <c r="L52" s="6">
        <v>1299.5999999999999</v>
      </c>
      <c r="M52" s="6">
        <v>1175.7</v>
      </c>
      <c r="N52" s="6">
        <v>1274.5999999999999</v>
      </c>
      <c r="O52" s="6">
        <f>SUM(C52:N52)</f>
        <v>14850.100000000002</v>
      </c>
    </row>
    <row r="53" spans="2:15">
      <c r="B53" t="s">
        <v>112</v>
      </c>
      <c r="C53" s="6">
        <v>-808.7</v>
      </c>
      <c r="D53" s="6">
        <v>-791.9</v>
      </c>
      <c r="E53" s="6">
        <v>-851.3</v>
      </c>
      <c r="F53" s="6">
        <v>-919.5</v>
      </c>
      <c r="G53" s="6">
        <v>-834.5</v>
      </c>
      <c r="H53" s="6">
        <v>-877</v>
      </c>
      <c r="I53" s="6">
        <v>-868</v>
      </c>
      <c r="J53" s="6">
        <v>-851.3</v>
      </c>
      <c r="K53" s="6">
        <v>-834.5</v>
      </c>
      <c r="L53" s="6">
        <v>-893.8</v>
      </c>
      <c r="M53" s="6">
        <v>-808.7</v>
      </c>
      <c r="N53" s="6">
        <v>-877</v>
      </c>
      <c r="O53" s="6">
        <f>SUM(C53:N53)</f>
        <v>-10216.200000000001</v>
      </c>
    </row>
    <row r="54" spans="2:15">
      <c r="B54" t="s">
        <v>113</v>
      </c>
      <c r="C54" s="6">
        <f>C52+C53</f>
        <v>367</v>
      </c>
      <c r="D54" s="6">
        <f>D52+D53</f>
        <v>358.9</v>
      </c>
      <c r="E54" s="6">
        <f>E52+E53</f>
        <v>386</v>
      </c>
      <c r="F54" s="6">
        <f>F52+F53</f>
        <v>416.90000000000009</v>
      </c>
      <c r="G54" s="6">
        <f>G52+G53</f>
        <v>378.29999999999995</v>
      </c>
      <c r="H54" s="6">
        <f>H52+H53</f>
        <v>397.59999999999991</v>
      </c>
      <c r="I54" s="6">
        <f>I52+I53</f>
        <v>394.20000000000005</v>
      </c>
      <c r="J54" s="6">
        <f>J52+J53</f>
        <v>386.20000000000005</v>
      </c>
      <c r="K54" s="6">
        <f>K52+K53</f>
        <v>378.40000000000009</v>
      </c>
      <c r="L54" s="6">
        <f>L52+L53</f>
        <v>405.79999999999995</v>
      </c>
      <c r="M54" s="6">
        <f>M52+M53</f>
        <v>367</v>
      </c>
      <c r="N54" s="6">
        <f>N52+N53</f>
        <v>397.59999999999991</v>
      </c>
      <c r="O54" s="6">
        <f>SUM(C54:N54)</f>
        <v>4633.8999999999996</v>
      </c>
    </row>
    <row r="55" spans="2:15">
      <c r="B55" t="s">
        <v>151</v>
      </c>
      <c r="C55" s="6">
        <v>5988.3</v>
      </c>
      <c r="D55" s="6">
        <v>5855.1</v>
      </c>
      <c r="E55" s="6">
        <v>6281.4</v>
      </c>
      <c r="F55" s="6">
        <v>6781.6</v>
      </c>
      <c r="G55" s="6">
        <v>6268.7</v>
      </c>
      <c r="H55" s="6">
        <v>6588.7</v>
      </c>
      <c r="I55" s="6">
        <v>6383</v>
      </c>
      <c r="J55" s="6">
        <v>6335.6</v>
      </c>
      <c r="K55" s="6">
        <v>6216.6</v>
      </c>
      <c r="L55" s="6">
        <v>6595.9</v>
      </c>
      <c r="M55" s="6">
        <v>6150.3</v>
      </c>
      <c r="N55" s="6">
        <v>6575.4</v>
      </c>
      <c r="O55" s="6">
        <f>N55</f>
        <v>6575.4</v>
      </c>
    </row>
    <row r="56" spans="2:15">
      <c r="B56" t="s">
        <v>152</v>
      </c>
      <c r="C56" s="6">
        <v>5343.8</v>
      </c>
      <c r="D56" s="6">
        <v>5231.1000000000004</v>
      </c>
      <c r="E56" s="6">
        <v>5624.9</v>
      </c>
      <c r="F56" s="6">
        <v>6075</v>
      </c>
      <c r="G56" s="6">
        <v>5512.4</v>
      </c>
      <c r="H56" s="6">
        <v>5793.8</v>
      </c>
      <c r="I56" s="6">
        <v>5737.5</v>
      </c>
      <c r="J56" s="6">
        <v>5625</v>
      </c>
      <c r="K56" s="6">
        <v>5512.6</v>
      </c>
      <c r="L56" s="6">
        <v>5906.4</v>
      </c>
      <c r="M56" s="6">
        <v>5343.8</v>
      </c>
      <c r="N56" s="6">
        <v>5793.6</v>
      </c>
      <c r="O56" s="6">
        <f>N56</f>
        <v>5793.6</v>
      </c>
    </row>
    <row r="57" spans="2:15">
      <c r="B57" t="s">
        <v>153</v>
      </c>
      <c r="C57" s="6">
        <v>53.4</v>
      </c>
      <c r="D57" s="6">
        <v>52.3</v>
      </c>
      <c r="E57" s="6">
        <v>56.2</v>
      </c>
      <c r="F57" s="6">
        <v>60.8</v>
      </c>
      <c r="G57" s="6">
        <v>55.1</v>
      </c>
      <c r="H57" s="6">
        <v>57.9</v>
      </c>
      <c r="I57" s="6">
        <v>57.4</v>
      </c>
      <c r="J57" s="6">
        <v>56.2</v>
      </c>
      <c r="K57" s="6">
        <v>55.1</v>
      </c>
      <c r="L57" s="6">
        <v>59.1</v>
      </c>
      <c r="M57" s="6">
        <v>53.4</v>
      </c>
      <c r="N57" s="6">
        <v>57.9</v>
      </c>
      <c r="O57" s="6">
        <f>N57</f>
        <v>57.9</v>
      </c>
    </row>
    <row r="58" spans="2:15">
      <c r="B58" t="s">
        <v>154</v>
      </c>
      <c r="C58" s="6">
        <v>-3341.5</v>
      </c>
      <c r="D58" s="6">
        <v>-3271.2</v>
      </c>
      <c r="E58" s="6">
        <v>-3517.6</v>
      </c>
      <c r="F58" s="6">
        <v>-3799</v>
      </c>
      <c r="G58" s="6">
        <v>-3446.9</v>
      </c>
      <c r="H58" s="6">
        <v>-3623.1</v>
      </c>
      <c r="I58" s="6">
        <v>-3587.9</v>
      </c>
      <c r="J58" s="6">
        <v>-3517.5</v>
      </c>
      <c r="K58" s="6">
        <v>-3447.1</v>
      </c>
      <c r="L58" s="6">
        <v>-3693.2</v>
      </c>
      <c r="M58" s="6">
        <v>-3341.5</v>
      </c>
      <c r="N58" s="6">
        <v>-3622.9</v>
      </c>
      <c r="O58" s="6">
        <f>N58</f>
        <v>-3622.9</v>
      </c>
    </row>
    <row r="59" spans="2:15">
      <c r="B59" t="s">
        <v>155</v>
      </c>
      <c r="C59" s="6">
        <v>-106.9</v>
      </c>
      <c r="D59" s="6">
        <v>-104.6</v>
      </c>
      <c r="E59" s="6">
        <v>-112.5</v>
      </c>
      <c r="F59" s="6">
        <v>-121.5</v>
      </c>
      <c r="G59" s="6">
        <v>-110.2</v>
      </c>
      <c r="H59" s="6">
        <v>-115.9</v>
      </c>
      <c r="I59" s="6">
        <v>-114.8</v>
      </c>
      <c r="J59" s="6">
        <v>-112.5</v>
      </c>
      <c r="K59" s="6">
        <v>-110.3</v>
      </c>
      <c r="L59" s="6">
        <v>-118.1</v>
      </c>
      <c r="M59" s="6">
        <v>-106.9</v>
      </c>
      <c r="N59" s="6">
        <v>-115.9</v>
      </c>
      <c r="O59" s="6">
        <f>N59</f>
        <v>-115.9</v>
      </c>
    </row>
    <row r="60" spans="2:15">
      <c r="B60" t="s">
        <v>170</v>
      </c>
      <c r="C60" s="6">
        <f>SUM(C55:C59)</f>
        <v>7937.1</v>
      </c>
      <c r="D60" s="6">
        <f>SUM(D55:D59)</f>
        <v>7762.7</v>
      </c>
      <c r="E60" s="6">
        <f>SUM(E55:E59)</f>
        <v>8332.4</v>
      </c>
      <c r="F60" s="6">
        <f>SUM(F55:F59)</f>
        <v>8996.9</v>
      </c>
      <c r="G60" s="6">
        <f>SUM(G55:G59)</f>
        <v>8279.0999999999985</v>
      </c>
      <c r="H60" s="6">
        <f>SUM(H55:H59)</f>
        <v>8701.4</v>
      </c>
      <c r="I60" s="6">
        <f>SUM(I55:I59)</f>
        <v>8475.2000000000007</v>
      </c>
      <c r="J60" s="6">
        <f>SUM(J55:J59)</f>
        <v>8386.8000000000011</v>
      </c>
      <c r="K60" s="6">
        <f>SUM(K55:K59)</f>
        <v>8226.9000000000015</v>
      </c>
      <c r="L60" s="6">
        <f>SUM(L55:L59)</f>
        <v>8750.1</v>
      </c>
      <c r="M60" s="6">
        <f>SUM(M55:M59)</f>
        <v>8099.1</v>
      </c>
      <c r="N60" s="6">
        <f>SUM(N55:N59)</f>
        <v>8688.1</v>
      </c>
      <c r="O60" s="6">
        <f>N60</f>
        <v>8688.1</v>
      </c>
    </row>
    <row r="62" spans="2:15">
      <c r="B62" s="8" t="s">
        <v>173</v>
      </c>
    </row>
    <row r="63" spans="2:15">
      <c r="C63" s="19" t="s">
        <v>70</v>
      </c>
      <c r="D63" s="19" t="s">
        <v>71</v>
      </c>
      <c r="E63" s="19" t="s">
        <v>72</v>
      </c>
      <c r="F63" s="19" t="s">
        <v>73</v>
      </c>
      <c r="G63" s="19" t="s">
        <v>50</v>
      </c>
      <c r="H63" s="19" t="s">
        <v>74</v>
      </c>
      <c r="I63" s="19" t="s">
        <v>75</v>
      </c>
      <c r="J63" s="19" t="s">
        <v>76</v>
      </c>
      <c r="K63" s="19" t="s">
        <v>77</v>
      </c>
      <c r="L63" s="19" t="s">
        <v>78</v>
      </c>
      <c r="M63" s="19" t="s">
        <v>79</v>
      </c>
      <c r="N63" s="19" t="s">
        <v>80</v>
      </c>
      <c r="O63" s="2" t="s">
        <v>165</v>
      </c>
    </row>
    <row r="64" spans="2:15">
      <c r="B64" t="s">
        <v>100</v>
      </c>
      <c r="C64" s="6">
        <v>3500.5</v>
      </c>
      <c r="D64" s="6">
        <v>3375.8</v>
      </c>
      <c r="E64" s="6">
        <v>3639.8</v>
      </c>
      <c r="F64" s="6">
        <v>3863.5</v>
      </c>
      <c r="G64" s="6">
        <v>3546.4</v>
      </c>
      <c r="H64" s="6">
        <v>3680.5</v>
      </c>
      <c r="I64" s="6">
        <v>3768.6</v>
      </c>
      <c r="J64" s="6">
        <v>3602.5</v>
      </c>
      <c r="K64" s="6">
        <v>3608.9</v>
      </c>
      <c r="L64" s="6">
        <v>3889</v>
      </c>
      <c r="M64" s="6">
        <v>3526.2</v>
      </c>
      <c r="N64" s="6">
        <v>3678.3</v>
      </c>
      <c r="O64" s="6">
        <f>SUM(C64:N64)</f>
        <v>43680</v>
      </c>
    </row>
    <row r="65" spans="2:15">
      <c r="B65" t="s">
        <v>111</v>
      </c>
      <c r="C65" s="6">
        <v>1164</v>
      </c>
      <c r="D65" s="6">
        <v>1109</v>
      </c>
      <c r="E65" s="6">
        <v>1218.4000000000001</v>
      </c>
      <c r="F65" s="6">
        <v>1289.3</v>
      </c>
      <c r="G65" s="6">
        <v>1167.8</v>
      </c>
      <c r="H65" s="6">
        <v>1217.9000000000001</v>
      </c>
      <c r="I65" s="6">
        <v>1259.4000000000001</v>
      </c>
      <c r="J65" s="6">
        <v>1192.9000000000001</v>
      </c>
      <c r="K65" s="6">
        <v>1199.5999999999999</v>
      </c>
      <c r="L65" s="6">
        <v>1272.7</v>
      </c>
      <c r="M65" s="6">
        <v>1170.7</v>
      </c>
      <c r="N65" s="6">
        <v>1217</v>
      </c>
      <c r="O65" s="6">
        <f>SUM(C65:N65)</f>
        <v>14478.7</v>
      </c>
    </row>
    <row r="66" spans="2:15">
      <c r="B66" t="s">
        <v>112</v>
      </c>
      <c r="C66" s="6">
        <v>-798.3</v>
      </c>
      <c r="D66" s="6">
        <v>-776.9</v>
      </c>
      <c r="E66" s="6">
        <v>-839.8</v>
      </c>
      <c r="F66" s="6">
        <v>-897.9</v>
      </c>
      <c r="G66" s="6">
        <v>-822.2</v>
      </c>
      <c r="H66" s="6">
        <v>-865</v>
      </c>
      <c r="I66" s="6">
        <v>-846.8</v>
      </c>
      <c r="J66" s="6">
        <v>-831.6</v>
      </c>
      <c r="K66" s="6">
        <v>-825.9</v>
      </c>
      <c r="L66" s="6">
        <v>-880.3</v>
      </c>
      <c r="M66" s="6">
        <v>-796.1</v>
      </c>
      <c r="N66" s="6">
        <v>-860.2</v>
      </c>
      <c r="O66" s="6">
        <f>SUM(C66:N66)</f>
        <v>-10041.000000000002</v>
      </c>
    </row>
    <row r="67" spans="2:15">
      <c r="B67" t="s">
        <v>113</v>
      </c>
      <c r="C67" s="6">
        <f>C65+C66</f>
        <v>365.70000000000005</v>
      </c>
      <c r="D67" s="6">
        <f>D65+D66</f>
        <v>332.1</v>
      </c>
      <c r="E67" s="6">
        <f>E65+E66</f>
        <v>378.60000000000014</v>
      </c>
      <c r="F67" s="6">
        <f>F65+F66</f>
        <v>391.4</v>
      </c>
      <c r="G67" s="6">
        <f>G65+G66</f>
        <v>345.59999999999991</v>
      </c>
      <c r="H67" s="6">
        <f>H65+H66</f>
        <v>352.90000000000009</v>
      </c>
      <c r="I67" s="6">
        <f>I65+I66</f>
        <v>412.60000000000014</v>
      </c>
      <c r="J67" s="6">
        <f>J65+J66</f>
        <v>361.30000000000007</v>
      </c>
      <c r="K67" s="6">
        <f>K65+K66</f>
        <v>373.69999999999993</v>
      </c>
      <c r="L67" s="6">
        <f>L65+L66</f>
        <v>392.40000000000009</v>
      </c>
      <c r="M67" s="6">
        <f>M65+M66</f>
        <v>374.6</v>
      </c>
      <c r="N67" s="6">
        <f>N65+N66</f>
        <v>356.79999999999995</v>
      </c>
      <c r="O67" s="6">
        <f>SUM(C67:N67)</f>
        <v>4437.7000000000007</v>
      </c>
    </row>
    <row r="68" spans="2:15">
      <c r="B68" t="s">
        <v>151</v>
      </c>
      <c r="C68" s="6">
        <v>6571.8</v>
      </c>
      <c r="D68" s="6">
        <v>6315.1</v>
      </c>
      <c r="E68" s="6">
        <v>6891.4</v>
      </c>
      <c r="F68" s="6">
        <v>7202.2</v>
      </c>
      <c r="G68" s="6">
        <v>6556.7</v>
      </c>
      <c r="H68" s="6">
        <v>6981.8</v>
      </c>
      <c r="I68" s="6">
        <v>7071.3</v>
      </c>
      <c r="J68" s="6">
        <v>6620.2</v>
      </c>
      <c r="K68" s="6">
        <v>6848.3</v>
      </c>
      <c r="L68" s="6">
        <v>7456.4</v>
      </c>
      <c r="M68" s="6">
        <v>6510.5</v>
      </c>
      <c r="N68" s="6">
        <v>6860.4</v>
      </c>
      <c r="O68" s="6">
        <f>N68</f>
        <v>6860.4</v>
      </c>
    </row>
    <row r="69" spans="2:15">
      <c r="B69" t="s">
        <v>152</v>
      </c>
      <c r="C69" s="6">
        <v>5367.4</v>
      </c>
      <c r="D69" s="6">
        <v>5176.2</v>
      </c>
      <c r="E69" s="6">
        <v>5581</v>
      </c>
      <c r="F69" s="6">
        <v>5924</v>
      </c>
      <c r="G69" s="6">
        <v>5437.8</v>
      </c>
      <c r="H69" s="6">
        <v>5643.4</v>
      </c>
      <c r="I69" s="6">
        <v>5778.5</v>
      </c>
      <c r="J69" s="6">
        <v>5523.8</v>
      </c>
      <c r="K69" s="6">
        <v>5533.6</v>
      </c>
      <c r="L69" s="6">
        <v>5963.1</v>
      </c>
      <c r="M69" s="6">
        <v>5406.8</v>
      </c>
      <c r="N69" s="6">
        <v>5640.1</v>
      </c>
      <c r="O69" s="6">
        <f>N69</f>
        <v>5640.1</v>
      </c>
    </row>
    <row r="70" spans="2:15">
      <c r="B70" t="s">
        <v>153</v>
      </c>
      <c r="C70" s="6">
        <v>52.5</v>
      </c>
      <c r="D70" s="6">
        <v>50.6</v>
      </c>
      <c r="E70" s="6">
        <v>54.6</v>
      </c>
      <c r="F70" s="6">
        <v>58</v>
      </c>
      <c r="G70" s="6">
        <v>53.2</v>
      </c>
      <c r="H70" s="6">
        <v>55.2</v>
      </c>
      <c r="I70" s="6">
        <v>56.5</v>
      </c>
      <c r="J70" s="6">
        <v>54</v>
      </c>
      <c r="K70" s="6">
        <v>54.1</v>
      </c>
      <c r="L70" s="6">
        <v>58.3</v>
      </c>
      <c r="M70" s="6">
        <v>52.9</v>
      </c>
      <c r="N70" s="6">
        <v>55.2</v>
      </c>
      <c r="O70" s="6">
        <f>N70</f>
        <v>55.2</v>
      </c>
    </row>
    <row r="71" spans="2:15">
      <c r="B71" t="s">
        <v>154</v>
      </c>
      <c r="C71" s="6">
        <v>-3193.2</v>
      </c>
      <c r="D71" s="6">
        <v>-3098</v>
      </c>
      <c r="E71" s="6">
        <v>-3309.2</v>
      </c>
      <c r="F71" s="6">
        <v>-3518.1</v>
      </c>
      <c r="G71" s="6">
        <v>-3250.8</v>
      </c>
      <c r="H71" s="6">
        <v>-3365.6</v>
      </c>
      <c r="I71" s="6">
        <v>-3429.2</v>
      </c>
      <c r="J71" s="6">
        <v>-3293.1</v>
      </c>
      <c r="K71" s="6">
        <v>-3292.7</v>
      </c>
      <c r="L71" s="6">
        <v>-3575.6</v>
      </c>
      <c r="M71" s="6">
        <v>-3219.2</v>
      </c>
      <c r="N71" s="6">
        <v>-3363.8</v>
      </c>
      <c r="O71" s="6">
        <f>N71</f>
        <v>-3363.8</v>
      </c>
    </row>
    <row r="72" spans="2:15">
      <c r="B72" t="s">
        <v>155</v>
      </c>
      <c r="C72" s="6">
        <v>-105</v>
      </c>
      <c r="D72" s="6">
        <v>-101.3</v>
      </c>
      <c r="E72" s="6">
        <v>-109.2</v>
      </c>
      <c r="F72" s="6">
        <v>-115.9</v>
      </c>
      <c r="G72" s="6">
        <v>-106.4</v>
      </c>
      <c r="H72" s="6">
        <v>-110.4</v>
      </c>
      <c r="I72" s="6">
        <v>-113.1</v>
      </c>
      <c r="J72" s="6">
        <v>-108.1</v>
      </c>
      <c r="K72" s="6">
        <v>-108.3</v>
      </c>
      <c r="L72" s="6">
        <v>-116.7</v>
      </c>
      <c r="M72" s="6">
        <v>-105.8</v>
      </c>
      <c r="N72" s="6">
        <v>-110.3</v>
      </c>
      <c r="O72" s="6">
        <f>N72</f>
        <v>-110.3</v>
      </c>
    </row>
    <row r="73" spans="2:15">
      <c r="B73" t="s">
        <v>170</v>
      </c>
      <c r="C73" s="6">
        <f>SUM(C68:C72)</f>
        <v>8693.5</v>
      </c>
      <c r="D73" s="6">
        <f>SUM(D68:D72)</f>
        <v>8342.6</v>
      </c>
      <c r="E73" s="6">
        <f>SUM(E68:E72)</f>
        <v>9108.5999999999985</v>
      </c>
      <c r="F73" s="6">
        <f>SUM(F68:F72)</f>
        <v>9550.2000000000007</v>
      </c>
      <c r="G73" s="6">
        <f>SUM(G68:G72)</f>
        <v>8690.5000000000018</v>
      </c>
      <c r="H73" s="6">
        <f>SUM(H68:H72)</f>
        <v>9204.4000000000015</v>
      </c>
      <c r="I73" s="6">
        <f>SUM(I68:I72)</f>
        <v>9363.9999999999982</v>
      </c>
      <c r="J73" s="6">
        <f>SUM(J68:J72)</f>
        <v>8796.7999999999993</v>
      </c>
      <c r="K73" s="6">
        <f>SUM(K68:K72)</f>
        <v>9035.0000000000036</v>
      </c>
      <c r="L73" s="6">
        <f>SUM(L68:L72)</f>
        <v>9785.4999999999982</v>
      </c>
      <c r="M73" s="6">
        <f>SUM(M68:M72)</f>
        <v>8645.2000000000007</v>
      </c>
      <c r="N73" s="6">
        <f>SUM(N68:N72)</f>
        <v>9081.6000000000022</v>
      </c>
      <c r="O73" s="6">
        <f>N73</f>
        <v>9081.6000000000022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23"/>
  <sheetViews>
    <sheetView showGridLines="0" workbookViewId="0"/>
  </sheetViews>
  <sheetFormatPr defaultRowHeight="15"/>
  <cols>
    <col min="2" max="2" width="28" customWidth="1"/>
    <col min="3" max="11" width="14" customWidth="1"/>
  </cols>
  <sheetData>
    <row r="1" spans="1:11">
      <c r="A1" t="s">
        <v>27</v>
      </c>
      <c r="B1" t="s">
        <v>32</v>
      </c>
      <c r="D1" s="3" t="s">
        <v>105</v>
      </c>
    </row>
    <row r="2" spans="1:11">
      <c r="A2" t="s">
        <v>28</v>
      </c>
      <c r="B2" t="s">
        <v>37</v>
      </c>
      <c r="D2" s="1" t="s">
        <v>24</v>
      </c>
    </row>
    <row r="4" spans="1:11">
      <c r="C4" s="8" t="s">
        <v>52</v>
      </c>
    </row>
    <row r="5" spans="1:11">
      <c r="C5" s="2" t="s">
        <v>91</v>
      </c>
      <c r="F5" s="2" t="s">
        <v>92</v>
      </c>
      <c r="I5" s="2" t="s">
        <v>81</v>
      </c>
    </row>
    <row r="6" spans="1:11" ht="30" customHeight="1">
      <c r="B6" s="2" t="s">
        <v>93</v>
      </c>
      <c r="C6" s="4" t="s">
        <v>94</v>
      </c>
      <c r="D6" s="4" t="s">
        <v>95</v>
      </c>
      <c r="E6" s="4" t="s">
        <v>96</v>
      </c>
      <c r="F6" s="4" t="s">
        <v>97</v>
      </c>
      <c r="G6" s="4" t="s">
        <v>98</v>
      </c>
      <c r="H6" s="4" t="s">
        <v>99</v>
      </c>
      <c r="I6" s="4" t="s">
        <v>97</v>
      </c>
      <c r="J6" s="4" t="s">
        <v>98</v>
      </c>
      <c r="K6" s="4" t="s">
        <v>99</v>
      </c>
    </row>
    <row r="8" spans="1:11">
      <c r="B8" s="2" t="s">
        <v>100</v>
      </c>
      <c r="C8" s="6">
        <f>Ember!BU28</f>
        <v>-260</v>
      </c>
      <c r="D8" s="6">
        <f>Ember!BV28</f>
        <v>-1538.3000000000029</v>
      </c>
      <c r="E8" s="6">
        <f>Ember!BW28</f>
        <v>-177.00000000000728</v>
      </c>
      <c r="F8" s="6">
        <f>Ember!BY28</f>
        <v>-240</v>
      </c>
      <c r="G8" s="6">
        <f>Ember!BZ28</f>
        <v>-978.39999999999782</v>
      </c>
      <c r="H8" s="6">
        <f>Ember!CA28</f>
        <v>-640.29999999999927</v>
      </c>
      <c r="I8" s="6">
        <f>Ember!CC28</f>
        <v>-500</v>
      </c>
      <c r="J8" s="6">
        <f>Ember!CD28</f>
        <v>-2516.7000000000044</v>
      </c>
      <c r="K8" s="6">
        <f>Ember!CE28</f>
        <v>-817.30000000001019</v>
      </c>
    </row>
    <row r="10" spans="1:11">
      <c r="B10" s="2" t="s">
        <v>111</v>
      </c>
      <c r="C10" s="6">
        <f>Ember!BU29</f>
        <v>-83</v>
      </c>
      <c r="D10" s="6">
        <f>Ember!BV29</f>
        <v>-633</v>
      </c>
      <c r="E10" s="6">
        <f>Ember!BW29</f>
        <v>-140.50000000000182</v>
      </c>
      <c r="F10" s="6">
        <f>Ember!BY29</f>
        <v>-77</v>
      </c>
      <c r="G10" s="6">
        <f>Ember!BZ29</f>
        <v>-363.5</v>
      </c>
      <c r="H10" s="6">
        <f>Ember!CA29</f>
        <v>-238.09999999999991</v>
      </c>
      <c r="I10" s="6">
        <f>Ember!CC29</f>
        <v>-160</v>
      </c>
      <c r="J10" s="6">
        <f>Ember!CD29</f>
        <v>-996.5</v>
      </c>
      <c r="K10" s="6">
        <f>Ember!CE29</f>
        <v>-378.60000000000036</v>
      </c>
    </row>
    <row r="12" spans="1:11">
      <c r="B12" s="2" t="s">
        <v>112</v>
      </c>
      <c r="C12" s="6">
        <f>Ember!BU30</f>
        <v>10</v>
      </c>
      <c r="D12" s="6">
        <f>Ember!BV30</f>
        <v>173.09999999999945</v>
      </c>
      <c r="E12" s="6">
        <f>Ember!BW30</f>
        <v>13.300000000000182</v>
      </c>
      <c r="F12" s="6">
        <f>Ember!BY30</f>
        <v>30</v>
      </c>
      <c r="G12" s="6">
        <f>Ember!BZ30</f>
        <v>105.30000000000018</v>
      </c>
      <c r="H12" s="6">
        <f>Ember!CA30</f>
        <v>48</v>
      </c>
      <c r="I12" s="6">
        <f>Ember!CC30</f>
        <v>40</v>
      </c>
      <c r="J12" s="6">
        <f>Ember!CD30</f>
        <v>278.39999999999964</v>
      </c>
      <c r="K12" s="6">
        <f>Ember!CE30</f>
        <v>61.300000000001091</v>
      </c>
    </row>
    <row r="14" spans="1:11">
      <c r="B14" s="2" t="s">
        <v>113</v>
      </c>
      <c r="C14" s="6">
        <f>Ember!BU31</f>
        <v>-73</v>
      </c>
      <c r="D14" s="6">
        <f>Ember!BV31</f>
        <v>-459.90000000000009</v>
      </c>
      <c r="E14" s="6">
        <f>Ember!BW31</f>
        <v>-127.19999999999982</v>
      </c>
      <c r="F14" s="6">
        <f>Ember!BY31</f>
        <v>-47</v>
      </c>
      <c r="G14" s="6">
        <f>Ember!BZ31</f>
        <v>-258.19999999999993</v>
      </c>
      <c r="H14" s="6">
        <f>Ember!CA31</f>
        <v>-190.10000000000002</v>
      </c>
      <c r="I14" s="6">
        <f>Ember!CC31</f>
        <v>-120</v>
      </c>
      <c r="J14" s="6">
        <f>Ember!CD31</f>
        <v>-718.09999999999991</v>
      </c>
      <c r="K14" s="6">
        <f>Ember!CE31</f>
        <v>-317.29999999999927</v>
      </c>
    </row>
    <row r="17" spans="2:11">
      <c r="B17" s="8" t="s">
        <v>126</v>
      </c>
    </row>
    <row r="18" spans="2:11">
      <c r="B18" s="24"/>
      <c r="C18" s="25"/>
      <c r="D18" s="25"/>
      <c r="E18" s="25"/>
      <c r="F18" s="25"/>
      <c r="G18" s="25"/>
      <c r="H18" s="25"/>
      <c r="I18" s="25"/>
      <c r="J18" s="25"/>
      <c r="K18" s="25"/>
    </row>
    <row r="19" spans="2:11">
      <c r="B19" s="24"/>
      <c r="C19" s="25"/>
      <c r="D19" s="25"/>
      <c r="E19" s="25"/>
      <c r="F19" s="25"/>
      <c r="G19" s="25"/>
      <c r="H19" s="25"/>
      <c r="I19" s="25"/>
      <c r="J19" s="25"/>
      <c r="K19" s="25"/>
    </row>
    <row r="20" spans="2:11">
      <c r="B20" s="24"/>
      <c r="C20" s="25"/>
      <c r="D20" s="25"/>
      <c r="E20" s="25"/>
      <c r="F20" s="25"/>
      <c r="G20" s="25"/>
      <c r="H20" s="25"/>
      <c r="I20" s="25"/>
      <c r="J20" s="25"/>
      <c r="K20" s="25"/>
    </row>
    <row r="21" spans="2:11">
      <c r="B21" s="24"/>
      <c r="C21" s="25"/>
      <c r="D21" s="25"/>
      <c r="E21" s="25"/>
      <c r="F21" s="25"/>
      <c r="G21" s="25"/>
      <c r="H21" s="25"/>
      <c r="I21" s="25"/>
      <c r="J21" s="25"/>
      <c r="K21" s="25"/>
    </row>
    <row r="22" spans="2:11">
      <c r="B22" s="24"/>
      <c r="C22" s="25"/>
      <c r="D22" s="25"/>
      <c r="E22" s="25"/>
      <c r="F22" s="25"/>
      <c r="G22" s="25"/>
      <c r="H22" s="25"/>
      <c r="I22" s="25"/>
      <c r="J22" s="25"/>
      <c r="K22" s="25"/>
    </row>
    <row r="23" spans="2:11">
      <c r="B23" s="24"/>
      <c r="C23" s="25"/>
      <c r="D23" s="25"/>
      <c r="E23" s="25"/>
      <c r="F23" s="25"/>
      <c r="G23" s="25"/>
      <c r="H23" s="25"/>
      <c r="I23" s="25"/>
      <c r="J23" s="25"/>
      <c r="K23" s="25"/>
    </row>
  </sheetData>
  <mergeCells count="6">
    <mergeCell ref="B23:K23"/>
    <mergeCell ref="B22:K22"/>
    <mergeCell ref="B18:K18"/>
    <mergeCell ref="B21:K21"/>
    <mergeCell ref="B20:K20"/>
    <mergeCell ref="B19:K19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97"/>
  <sheetViews>
    <sheetView showGridLines="0" workbookViewId="0">
      <pane xSplit="2" ySplit="4" topLeftCell="C5" activePane="bottomRight" state="frozen"/>
      <selection pane="bottomRight"/>
      <selection pane="bottomLeft"/>
      <selection pane="topRight"/>
    </sheetView>
  </sheetViews>
  <sheetFormatPr defaultRowHeight="15"/>
  <cols>
    <col min="1" max="1" width="7" customWidth="1"/>
    <col min="2" max="2" width="52" customWidth="1"/>
    <col min="3" max="15" width="11" customWidth="1"/>
  </cols>
  <sheetData>
    <row r="1" spans="1:15">
      <c r="A1" t="s">
        <v>114</v>
      </c>
      <c r="C1">
        <v>21</v>
      </c>
      <c r="D1">
        <v>20</v>
      </c>
      <c r="E1">
        <v>22</v>
      </c>
      <c r="F1">
        <v>22</v>
      </c>
      <c r="G1">
        <v>20</v>
      </c>
      <c r="H1">
        <v>22</v>
      </c>
      <c r="I1">
        <v>22</v>
      </c>
      <c r="J1">
        <v>21</v>
      </c>
      <c r="K1">
        <v>21</v>
      </c>
      <c r="L1">
        <v>22</v>
      </c>
      <c r="M1">
        <v>19</v>
      </c>
      <c r="N1">
        <v>22</v>
      </c>
      <c r="O1">
        <f>SUM(C1:N1)</f>
        <v>254</v>
      </c>
    </row>
    <row r="2" spans="1:15">
      <c r="B2" s="8" t="s">
        <v>127</v>
      </c>
    </row>
    <row r="3" spans="1:15">
      <c r="B3" s="1" t="s">
        <v>24</v>
      </c>
    </row>
    <row r="4" spans="1:15">
      <c r="C4" s="4" t="s">
        <v>70</v>
      </c>
      <c r="D4" s="4" t="s">
        <v>71</v>
      </c>
      <c r="E4" s="4" t="s">
        <v>72</v>
      </c>
      <c r="F4" s="4" t="s">
        <v>73</v>
      </c>
      <c r="G4" s="4" t="s">
        <v>50</v>
      </c>
      <c r="H4" s="4" t="s">
        <v>74</v>
      </c>
      <c r="I4" s="4" t="s">
        <v>75</v>
      </c>
      <c r="J4" s="4" t="s">
        <v>76</v>
      </c>
      <c r="K4" s="4" t="s">
        <v>77</v>
      </c>
      <c r="L4" s="4" t="s">
        <v>78</v>
      </c>
      <c r="M4" s="4" t="s">
        <v>79</v>
      </c>
      <c r="N4" s="4" t="s">
        <v>80</v>
      </c>
      <c r="O4" s="4" t="s">
        <v>174</v>
      </c>
    </row>
    <row r="5" spans="1:15">
      <c r="B5" s="2" t="s">
        <v>100</v>
      </c>
    </row>
    <row r="6" spans="1:15">
      <c r="B6" t="s">
        <v>196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20">
        <v>-260</v>
      </c>
      <c r="L6" s="20">
        <v>-180</v>
      </c>
      <c r="M6" s="20">
        <v>-60</v>
      </c>
      <c r="N6" s="20">
        <v>0</v>
      </c>
      <c r="O6" s="6">
        <f>SUM(C6:N6)</f>
        <v>-500</v>
      </c>
    </row>
    <row r="7" spans="1:15">
      <c r="B7" t="s">
        <v>176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20">
        <v>0</v>
      </c>
      <c r="L7" s="20">
        <v>0</v>
      </c>
      <c r="M7" s="20">
        <v>0</v>
      </c>
      <c r="N7" s="20">
        <v>0</v>
      </c>
      <c r="O7" s="6">
        <f>SUM(C7:N7)</f>
        <v>0</v>
      </c>
    </row>
    <row r="8" spans="1:15">
      <c r="B8" t="s">
        <v>177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20">
        <v>0</v>
      </c>
      <c r="L8" s="20">
        <v>0</v>
      </c>
      <c r="M8" s="20">
        <v>0</v>
      </c>
      <c r="N8" s="20">
        <v>0</v>
      </c>
      <c r="O8" s="6">
        <f>SUM(C8:N8)</f>
        <v>0</v>
      </c>
    </row>
    <row r="9" spans="1:15">
      <c r="B9" t="s">
        <v>178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20">
        <v>0</v>
      </c>
      <c r="L9" s="20">
        <v>0</v>
      </c>
      <c r="M9" s="20">
        <v>0</v>
      </c>
      <c r="N9" s="20">
        <v>0</v>
      </c>
      <c r="O9" s="6">
        <f>SUM(C9:N9)</f>
        <v>0</v>
      </c>
    </row>
    <row r="10" spans="1:15">
      <c r="B10" t="s">
        <v>179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20">
        <v>0</v>
      </c>
      <c r="L10" s="20">
        <v>0</v>
      </c>
      <c r="M10" s="20">
        <v>0</v>
      </c>
      <c r="N10" s="20">
        <v>0</v>
      </c>
      <c r="O10" s="6">
        <f>SUM(C10:N10)</f>
        <v>0</v>
      </c>
    </row>
    <row r="11" spans="1:15">
      <c r="B11" t="s">
        <v>180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20">
        <v>0</v>
      </c>
      <c r="L11" s="20">
        <v>0</v>
      </c>
      <c r="M11" s="20">
        <v>0</v>
      </c>
      <c r="N11" s="20">
        <v>0</v>
      </c>
      <c r="O11" s="6">
        <f>SUM(C11:N11)</f>
        <v>0</v>
      </c>
    </row>
    <row r="12" spans="1:15">
      <c r="B12" t="s">
        <v>181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20">
        <v>0</v>
      </c>
      <c r="L12" s="20">
        <v>0</v>
      </c>
      <c r="M12" s="20">
        <v>0</v>
      </c>
      <c r="N12" s="20">
        <v>0</v>
      </c>
      <c r="O12" s="6">
        <f>SUM(C12:N12)</f>
        <v>0</v>
      </c>
    </row>
    <row r="13" spans="1:15">
      <c r="B13" t="s">
        <v>182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20">
        <v>0</v>
      </c>
      <c r="L13" s="20">
        <v>0</v>
      </c>
      <c r="M13" s="20">
        <v>0</v>
      </c>
      <c r="N13" s="20">
        <v>0</v>
      </c>
      <c r="O13" s="6">
        <f>SUM(C13:N13)</f>
        <v>0</v>
      </c>
    </row>
    <row r="14" spans="1:15">
      <c r="B14" s="2" t="s">
        <v>131</v>
      </c>
      <c r="C14" s="9">
        <f>SUM(C6:C13)</f>
        <v>0</v>
      </c>
      <c r="D14" s="9">
        <f>SUM(D6:D13)</f>
        <v>0</v>
      </c>
      <c r="E14" s="9">
        <f>SUM(E6:E13)</f>
        <v>0</v>
      </c>
      <c r="F14" s="9">
        <f>SUM(F6:F13)</f>
        <v>0</v>
      </c>
      <c r="G14" s="9">
        <f>SUM(G6:G13)</f>
        <v>0</v>
      </c>
      <c r="H14" s="9">
        <f>SUM(H6:H13)</f>
        <v>0</v>
      </c>
      <c r="I14" s="9">
        <f>SUM(I6:I13)</f>
        <v>0</v>
      </c>
      <c r="J14" s="9">
        <f>SUM(J6:J13)</f>
        <v>0</v>
      </c>
      <c r="K14" s="9">
        <f>SUM(K6:K13)</f>
        <v>-260</v>
      </c>
      <c r="L14" s="9">
        <f>SUM(L6:L13)</f>
        <v>-180</v>
      </c>
      <c r="M14" s="9">
        <f>SUM(M6:M13)</f>
        <v>-60</v>
      </c>
      <c r="N14" s="9">
        <f>SUM(N6:N13)</f>
        <v>0</v>
      </c>
      <c r="O14" s="9">
        <f>SUM(O6:O13)</f>
        <v>-500</v>
      </c>
    </row>
    <row r="16" spans="1:15">
      <c r="B16" s="2" t="s">
        <v>132</v>
      </c>
    </row>
    <row r="17" spans="2:15">
      <c r="B17" t="str">
        <f>B6</f>
        <v>Backorders - flame-resistant shirts</v>
      </c>
      <c r="C17" s="12">
        <f>IFERROR(C28/C6,0)</f>
        <v>0</v>
      </c>
      <c r="D17" s="12">
        <f>IFERROR(D28/D6,0)</f>
        <v>0</v>
      </c>
      <c r="E17" s="12">
        <f>IFERROR(E28/E6,0)</f>
        <v>0</v>
      </c>
      <c r="F17" s="12">
        <f>IFERROR(F28/F6,0)</f>
        <v>0</v>
      </c>
      <c r="G17" s="12">
        <f>IFERROR(G28/G6,0)</f>
        <v>0</v>
      </c>
      <c r="H17" s="12">
        <f>IFERROR(H28/H6,0)</f>
        <v>0</v>
      </c>
      <c r="I17" s="12">
        <f>IFERROR(I28/I6,0)</f>
        <v>0</v>
      </c>
      <c r="J17" s="12">
        <f>IFERROR(J28/J6,0)</f>
        <v>0</v>
      </c>
      <c r="K17" s="12">
        <f>IFERROR(K28/K6,0)</f>
        <v>0.31923076923076921</v>
      </c>
      <c r="L17" s="12">
        <f>IFERROR(L28/L6,0)</f>
        <v>0.32222222222222224</v>
      </c>
      <c r="M17" s="12">
        <f>IFERROR(M28/M6,0)</f>
        <v>0.31666666666666665</v>
      </c>
      <c r="N17" s="12">
        <f>IFERROR(N28/N6,0)</f>
        <v>0</v>
      </c>
      <c r="O17" s="12">
        <f>IFERROR(O28/O6,0)</f>
        <v>0.32</v>
      </c>
    </row>
    <row r="18" spans="2:15">
      <c r="B18" t="str">
        <f>B7</f>
        <v>Insert Adj. 2</v>
      </c>
      <c r="C18" s="12">
        <f>IFERROR(C29/C7,0)</f>
        <v>0</v>
      </c>
      <c r="D18" s="12">
        <f>IFERROR(D29/D7,0)</f>
        <v>0</v>
      </c>
      <c r="E18" s="12">
        <f>IFERROR(E29/E7,0)</f>
        <v>0</v>
      </c>
      <c r="F18" s="12">
        <f>IFERROR(F29/F7,0)</f>
        <v>0</v>
      </c>
      <c r="G18" s="12">
        <f>IFERROR(G29/G7,0)</f>
        <v>0</v>
      </c>
      <c r="H18" s="12">
        <f>IFERROR(H29/H7,0)</f>
        <v>0</v>
      </c>
      <c r="I18" s="12">
        <f>IFERROR(I29/I7,0)</f>
        <v>0</v>
      </c>
      <c r="J18" s="12">
        <f>IFERROR(J29/J7,0)</f>
        <v>0</v>
      </c>
      <c r="K18" s="12">
        <f>IFERROR(K29/K7,0)</f>
        <v>0</v>
      </c>
      <c r="L18" s="12">
        <f>IFERROR(L29/L7,0)</f>
        <v>0</v>
      </c>
      <c r="M18" s="12">
        <f>IFERROR(M29/M7,0)</f>
        <v>0</v>
      </c>
      <c r="N18" s="12">
        <f>IFERROR(N29/N7,0)</f>
        <v>0</v>
      </c>
      <c r="O18" s="12">
        <f>IFERROR(O29/O7,0)</f>
        <v>0</v>
      </c>
    </row>
    <row r="19" spans="2:15">
      <c r="B19" t="str">
        <f>B8</f>
        <v>Insert Adj. 3</v>
      </c>
      <c r="C19" s="12">
        <f>IFERROR(C30/C8,0)</f>
        <v>0</v>
      </c>
      <c r="D19" s="12">
        <f>IFERROR(D30/D8,0)</f>
        <v>0</v>
      </c>
      <c r="E19" s="12">
        <f>IFERROR(E30/E8,0)</f>
        <v>0</v>
      </c>
      <c r="F19" s="12">
        <f>IFERROR(F30/F8,0)</f>
        <v>0</v>
      </c>
      <c r="G19" s="12">
        <f>IFERROR(G30/G8,0)</f>
        <v>0</v>
      </c>
      <c r="H19" s="12">
        <f>IFERROR(H30/H8,0)</f>
        <v>0</v>
      </c>
      <c r="I19" s="12">
        <f>IFERROR(I30/I8,0)</f>
        <v>0</v>
      </c>
      <c r="J19" s="12">
        <f>IFERROR(J30/J8,0)</f>
        <v>0</v>
      </c>
      <c r="K19" s="12">
        <f>IFERROR(K30/K8,0)</f>
        <v>0</v>
      </c>
      <c r="L19" s="12">
        <f>IFERROR(L30/L8,0)</f>
        <v>0</v>
      </c>
      <c r="M19" s="12">
        <f>IFERROR(M30/M8,0)</f>
        <v>0</v>
      </c>
      <c r="N19" s="12">
        <f>IFERROR(N30/N8,0)</f>
        <v>0</v>
      </c>
      <c r="O19" s="12">
        <f>IFERROR(O30/O8,0)</f>
        <v>0</v>
      </c>
    </row>
    <row r="20" spans="2:15">
      <c r="B20" t="str">
        <f>B9</f>
        <v>Insert Adj. 4</v>
      </c>
      <c r="C20" s="12">
        <f>IFERROR(C31/C9,0)</f>
        <v>0</v>
      </c>
      <c r="D20" s="12">
        <f>IFERROR(D31/D9,0)</f>
        <v>0</v>
      </c>
      <c r="E20" s="12">
        <f>IFERROR(E31/E9,0)</f>
        <v>0</v>
      </c>
      <c r="F20" s="12">
        <f>IFERROR(F31/F9,0)</f>
        <v>0</v>
      </c>
      <c r="G20" s="12">
        <f>IFERROR(G31/G9,0)</f>
        <v>0</v>
      </c>
      <c r="H20" s="12">
        <f>IFERROR(H31/H9,0)</f>
        <v>0</v>
      </c>
      <c r="I20" s="12">
        <f>IFERROR(I31/I9,0)</f>
        <v>0</v>
      </c>
      <c r="J20" s="12">
        <f>IFERROR(J31/J9,0)</f>
        <v>0</v>
      </c>
      <c r="K20" s="12">
        <f>IFERROR(K31/K9,0)</f>
        <v>0</v>
      </c>
      <c r="L20" s="12">
        <f>IFERROR(L31/L9,0)</f>
        <v>0</v>
      </c>
      <c r="M20" s="12">
        <f>IFERROR(M31/M9,0)</f>
        <v>0</v>
      </c>
      <c r="N20" s="12">
        <f>IFERROR(N31/N9,0)</f>
        <v>0</v>
      </c>
      <c r="O20" s="12">
        <f>IFERROR(O31/O9,0)</f>
        <v>0</v>
      </c>
    </row>
    <row r="21" spans="2:15">
      <c r="B21" t="str">
        <f>B10</f>
        <v>Insert Adj. 5</v>
      </c>
      <c r="C21" s="12">
        <f>IFERROR(C32/C10,0)</f>
        <v>0</v>
      </c>
      <c r="D21" s="12">
        <f>IFERROR(D32/D10,0)</f>
        <v>0</v>
      </c>
      <c r="E21" s="12">
        <f>IFERROR(E32/E10,0)</f>
        <v>0</v>
      </c>
      <c r="F21" s="12">
        <f>IFERROR(F32/F10,0)</f>
        <v>0</v>
      </c>
      <c r="G21" s="12">
        <f>IFERROR(G32/G10,0)</f>
        <v>0</v>
      </c>
      <c r="H21" s="12">
        <f>IFERROR(H32/H10,0)</f>
        <v>0</v>
      </c>
      <c r="I21" s="12">
        <f>IFERROR(I32/I10,0)</f>
        <v>0</v>
      </c>
      <c r="J21" s="12">
        <f>IFERROR(J32/J10,0)</f>
        <v>0</v>
      </c>
      <c r="K21" s="12">
        <f>IFERROR(K32/K10,0)</f>
        <v>0</v>
      </c>
      <c r="L21" s="12">
        <f>IFERROR(L32/L10,0)</f>
        <v>0</v>
      </c>
      <c r="M21" s="12">
        <f>IFERROR(M32/M10,0)</f>
        <v>0</v>
      </c>
      <c r="N21" s="12">
        <f>IFERROR(N32/N10,0)</f>
        <v>0</v>
      </c>
      <c r="O21" s="12">
        <f>IFERROR(O32/O10,0)</f>
        <v>0</v>
      </c>
    </row>
    <row r="22" spans="2:15">
      <c r="B22" t="str">
        <f>B11</f>
        <v>Insert Adj. 6</v>
      </c>
      <c r="C22" s="12">
        <f>IFERROR(C33/C11,0)</f>
        <v>0</v>
      </c>
      <c r="D22" s="12">
        <f>IFERROR(D33/D11,0)</f>
        <v>0</v>
      </c>
      <c r="E22" s="12">
        <f>IFERROR(E33/E11,0)</f>
        <v>0</v>
      </c>
      <c r="F22" s="12">
        <f>IFERROR(F33/F11,0)</f>
        <v>0</v>
      </c>
      <c r="G22" s="12">
        <f>IFERROR(G33/G11,0)</f>
        <v>0</v>
      </c>
      <c r="H22" s="12">
        <f>IFERROR(H33/H11,0)</f>
        <v>0</v>
      </c>
      <c r="I22" s="12">
        <f>IFERROR(I33/I11,0)</f>
        <v>0</v>
      </c>
      <c r="J22" s="12">
        <f>IFERROR(J33/J11,0)</f>
        <v>0</v>
      </c>
      <c r="K22" s="12">
        <f>IFERROR(K33/K11,0)</f>
        <v>0</v>
      </c>
      <c r="L22" s="12">
        <f>IFERROR(L33/L11,0)</f>
        <v>0</v>
      </c>
      <c r="M22" s="12">
        <f>IFERROR(M33/M11,0)</f>
        <v>0</v>
      </c>
      <c r="N22" s="12">
        <f>IFERROR(N33/N11,0)</f>
        <v>0</v>
      </c>
      <c r="O22" s="12">
        <f>IFERROR(O33/O11,0)</f>
        <v>0</v>
      </c>
    </row>
    <row r="23" spans="2:15">
      <c r="B23" t="str">
        <f>B12</f>
        <v>Insert Adj. 7</v>
      </c>
      <c r="C23" s="12">
        <f>IFERROR(C34/C12,0)</f>
        <v>0</v>
      </c>
      <c r="D23" s="12">
        <f>IFERROR(D34/D12,0)</f>
        <v>0</v>
      </c>
      <c r="E23" s="12">
        <f>IFERROR(E34/E12,0)</f>
        <v>0</v>
      </c>
      <c r="F23" s="12">
        <f>IFERROR(F34/F12,0)</f>
        <v>0</v>
      </c>
      <c r="G23" s="12">
        <f>IFERROR(G34/G12,0)</f>
        <v>0</v>
      </c>
      <c r="H23" s="12">
        <f>IFERROR(H34/H12,0)</f>
        <v>0</v>
      </c>
      <c r="I23" s="12">
        <f>IFERROR(I34/I12,0)</f>
        <v>0</v>
      </c>
      <c r="J23" s="12">
        <f>IFERROR(J34/J12,0)</f>
        <v>0</v>
      </c>
      <c r="K23" s="12">
        <f>IFERROR(K34/K12,0)</f>
        <v>0</v>
      </c>
      <c r="L23" s="12">
        <f>IFERROR(L34/L12,0)</f>
        <v>0</v>
      </c>
      <c r="M23" s="12">
        <f>IFERROR(M34/M12,0)</f>
        <v>0</v>
      </c>
      <c r="N23" s="12">
        <f>IFERROR(N34/N12,0)</f>
        <v>0</v>
      </c>
      <c r="O23" s="12">
        <f>IFERROR(O34/O12,0)</f>
        <v>0</v>
      </c>
    </row>
    <row r="24" spans="2:15">
      <c r="B24" t="str">
        <f>B13</f>
        <v>Insert Adj. 8</v>
      </c>
      <c r="C24" s="12">
        <f>IFERROR(C35/C13,0)</f>
        <v>0</v>
      </c>
      <c r="D24" s="12">
        <f>IFERROR(D35/D13,0)</f>
        <v>0</v>
      </c>
      <c r="E24" s="12">
        <f>IFERROR(E35/E13,0)</f>
        <v>0</v>
      </c>
      <c r="F24" s="12">
        <f>IFERROR(F35/F13,0)</f>
        <v>0</v>
      </c>
      <c r="G24" s="12">
        <f>IFERROR(G35/G13,0)</f>
        <v>0</v>
      </c>
      <c r="H24" s="12">
        <f>IFERROR(H35/H13,0)</f>
        <v>0</v>
      </c>
      <c r="I24" s="12">
        <f>IFERROR(I35/I13,0)</f>
        <v>0</v>
      </c>
      <c r="J24" s="12">
        <f>IFERROR(J35/J13,0)</f>
        <v>0</v>
      </c>
      <c r="K24" s="12">
        <f>IFERROR(K35/K13,0)</f>
        <v>0</v>
      </c>
      <c r="L24" s="12">
        <f>IFERROR(L35/L13,0)</f>
        <v>0</v>
      </c>
      <c r="M24" s="12">
        <f>IFERROR(M35/M13,0)</f>
        <v>0</v>
      </c>
      <c r="N24" s="12">
        <f>IFERROR(N35/N13,0)</f>
        <v>0</v>
      </c>
      <c r="O24" s="12">
        <f>IFERROR(O35/O13,0)</f>
        <v>0</v>
      </c>
    </row>
    <row r="25" spans="2:15">
      <c r="B25" s="2" t="s">
        <v>133</v>
      </c>
      <c r="C25" s="14">
        <f>IFERROR(C36/C14,0)</f>
        <v>0</v>
      </c>
      <c r="D25" s="14">
        <f>IFERROR(D36/D14,0)</f>
        <v>0</v>
      </c>
      <c r="E25" s="14">
        <f>IFERROR(E36/E14,0)</f>
        <v>0</v>
      </c>
      <c r="F25" s="14">
        <f>IFERROR(F36/F14,0)</f>
        <v>0</v>
      </c>
      <c r="G25" s="14">
        <f>IFERROR(G36/G14,0)</f>
        <v>0</v>
      </c>
      <c r="H25" s="14">
        <f>IFERROR(H36/H14,0)</f>
        <v>0</v>
      </c>
      <c r="I25" s="14">
        <f>IFERROR(I36/I14,0)</f>
        <v>0</v>
      </c>
      <c r="J25" s="14">
        <f>IFERROR(J36/J14,0)</f>
        <v>0</v>
      </c>
      <c r="K25" s="14">
        <f>IFERROR(K36/K14,0)</f>
        <v>0.31923076923076921</v>
      </c>
      <c r="L25" s="14">
        <f>IFERROR(L36/L14,0)</f>
        <v>0.32222222222222224</v>
      </c>
      <c r="M25" s="14">
        <f>IFERROR(M36/M14,0)</f>
        <v>0.31666666666666665</v>
      </c>
      <c r="N25" s="14">
        <f>IFERROR(N36/N14,0)</f>
        <v>0</v>
      </c>
      <c r="O25" s="14">
        <f>IFERROR(O36/O14,0)</f>
        <v>0.32</v>
      </c>
    </row>
    <row r="27" spans="2:15">
      <c r="B27" s="2" t="s">
        <v>134</v>
      </c>
    </row>
    <row r="28" spans="2:15">
      <c r="B28" t="s">
        <v>196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20">
        <v>-83</v>
      </c>
      <c r="L28" s="20">
        <v>-58</v>
      </c>
      <c r="M28" s="20">
        <v>-19</v>
      </c>
      <c r="N28" s="20">
        <v>0</v>
      </c>
      <c r="O28" s="6">
        <f>SUM(C28:N28)</f>
        <v>-160</v>
      </c>
    </row>
    <row r="29" spans="2:15">
      <c r="B29" t="s">
        <v>176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20">
        <v>0</v>
      </c>
      <c r="L29" s="20">
        <v>0</v>
      </c>
      <c r="M29" s="20">
        <v>0</v>
      </c>
      <c r="N29" s="20">
        <v>0</v>
      </c>
      <c r="O29" s="6">
        <f>SUM(C29:N29)</f>
        <v>0</v>
      </c>
    </row>
    <row r="30" spans="2:15">
      <c r="B30" t="s">
        <v>177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20">
        <v>0</v>
      </c>
      <c r="L30" s="20">
        <v>0</v>
      </c>
      <c r="M30" s="20">
        <v>0</v>
      </c>
      <c r="N30" s="20">
        <v>0</v>
      </c>
      <c r="O30" s="6">
        <f>SUM(C30:N30)</f>
        <v>0</v>
      </c>
    </row>
    <row r="31" spans="2:15">
      <c r="B31" t="s">
        <v>178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20">
        <v>0</v>
      </c>
      <c r="L31" s="20">
        <v>0</v>
      </c>
      <c r="M31" s="20">
        <v>0</v>
      </c>
      <c r="N31" s="20">
        <v>0</v>
      </c>
      <c r="O31" s="6">
        <f>SUM(C31:N31)</f>
        <v>0</v>
      </c>
    </row>
    <row r="32" spans="2:15">
      <c r="B32" t="s">
        <v>179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20">
        <v>0</v>
      </c>
      <c r="L32" s="20">
        <v>0</v>
      </c>
      <c r="M32" s="20">
        <v>0</v>
      </c>
      <c r="N32" s="20">
        <v>0</v>
      </c>
      <c r="O32" s="6">
        <f>SUM(C32:N32)</f>
        <v>0</v>
      </c>
    </row>
    <row r="33" spans="2:15">
      <c r="B33" t="s">
        <v>180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20">
        <v>0</v>
      </c>
      <c r="L33" s="20">
        <v>0</v>
      </c>
      <c r="M33" s="20">
        <v>0</v>
      </c>
      <c r="N33" s="20">
        <v>0</v>
      </c>
      <c r="O33" s="6">
        <f>SUM(C33:N33)</f>
        <v>0</v>
      </c>
    </row>
    <row r="34" spans="2:15">
      <c r="B34" t="s">
        <v>181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20">
        <v>0</v>
      </c>
      <c r="L34" s="20">
        <v>0</v>
      </c>
      <c r="M34" s="20">
        <v>0</v>
      </c>
      <c r="N34" s="20">
        <v>0</v>
      </c>
      <c r="O34" s="6">
        <f>SUM(C34:N34)</f>
        <v>0</v>
      </c>
    </row>
    <row r="35" spans="2:15">
      <c r="B35" t="s">
        <v>182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20">
        <v>0</v>
      </c>
      <c r="L35" s="20">
        <v>0</v>
      </c>
      <c r="M35" s="20">
        <v>0</v>
      </c>
      <c r="N35" s="20">
        <v>0</v>
      </c>
      <c r="O35" s="6">
        <f>SUM(C35:N35)</f>
        <v>0</v>
      </c>
    </row>
    <row r="36" spans="2:15">
      <c r="B36" s="2" t="s">
        <v>135</v>
      </c>
      <c r="C36" s="9">
        <f>SUM(C28:C35)</f>
        <v>0</v>
      </c>
      <c r="D36" s="9">
        <f>SUM(D28:D35)</f>
        <v>0</v>
      </c>
      <c r="E36" s="9">
        <f>SUM(E28:E35)</f>
        <v>0</v>
      </c>
      <c r="F36" s="9">
        <f>SUM(F28:F35)</f>
        <v>0</v>
      </c>
      <c r="G36" s="9">
        <f>SUM(G28:G35)</f>
        <v>0</v>
      </c>
      <c r="H36" s="9">
        <f>SUM(H28:H35)</f>
        <v>0</v>
      </c>
      <c r="I36" s="9">
        <f>SUM(I28:I35)</f>
        <v>0</v>
      </c>
      <c r="J36" s="9">
        <f>SUM(J28:J35)</f>
        <v>0</v>
      </c>
      <c r="K36" s="9">
        <f>SUM(K28:K35)</f>
        <v>-83</v>
      </c>
      <c r="L36" s="9">
        <f>SUM(L28:L35)</f>
        <v>-58</v>
      </c>
      <c r="M36" s="9">
        <f>SUM(M28:M35)</f>
        <v>-19</v>
      </c>
      <c r="N36" s="9">
        <f>SUM(N28:N35)</f>
        <v>0</v>
      </c>
      <c r="O36" s="9">
        <f>SUM(O28:O35)</f>
        <v>-160</v>
      </c>
    </row>
    <row r="38" spans="2:15">
      <c r="B38" s="2" t="s">
        <v>136</v>
      </c>
    </row>
    <row r="39" spans="2:15">
      <c r="B39" t="str">
        <f>B6</f>
        <v>Backorders - flame-resistant shirts</v>
      </c>
      <c r="C39" s="12">
        <f>IFERROR(C50/C6,0)</f>
        <v>0</v>
      </c>
      <c r="D39" s="12">
        <f>IFERROR(D50/D6,0)</f>
        <v>0</v>
      </c>
      <c r="E39" s="12">
        <f>IFERROR(E50/E6,0)</f>
        <v>0</v>
      </c>
      <c r="F39" s="12">
        <f>IFERROR(F50/F6,0)</f>
        <v>0</v>
      </c>
      <c r="G39" s="12">
        <f>IFERROR(G50/G6,0)</f>
        <v>0</v>
      </c>
      <c r="H39" s="12">
        <f>IFERROR(H50/H6,0)</f>
        <v>0</v>
      </c>
      <c r="I39" s="12">
        <f>IFERROR(I50/I6,0)</f>
        <v>0</v>
      </c>
      <c r="J39" s="12">
        <f>IFERROR(J50/J6,0)</f>
        <v>0</v>
      </c>
      <c r="K39" s="12">
        <f>IFERROR(K50/K6,0)</f>
        <v>3.8461538461538464E-2</v>
      </c>
      <c r="L39" s="12">
        <f>IFERROR(L50/L6,0)</f>
        <v>5.5555555555555552E-2</v>
      </c>
      <c r="M39" s="12">
        <f>IFERROR(M50/M6,0)</f>
        <v>0.16666666666666666</v>
      </c>
      <c r="N39" s="12">
        <f>IFERROR(N50/N6,0)</f>
        <v>0</v>
      </c>
      <c r="O39" s="12">
        <f>IFERROR(O50/O6,0)</f>
        <v>0.08</v>
      </c>
    </row>
    <row r="40" spans="2:15">
      <c r="B40" t="str">
        <f>B7</f>
        <v>Insert Adj. 2</v>
      </c>
      <c r="C40" s="12">
        <f>IFERROR(C51/C7,0)</f>
        <v>0</v>
      </c>
      <c r="D40" s="12">
        <f>IFERROR(D51/D7,0)</f>
        <v>0</v>
      </c>
      <c r="E40" s="12">
        <f>IFERROR(E51/E7,0)</f>
        <v>0</v>
      </c>
      <c r="F40" s="12">
        <f>IFERROR(F51/F7,0)</f>
        <v>0</v>
      </c>
      <c r="G40" s="12">
        <f>IFERROR(G51/G7,0)</f>
        <v>0</v>
      </c>
      <c r="H40" s="12">
        <f>IFERROR(H51/H7,0)</f>
        <v>0</v>
      </c>
      <c r="I40" s="12">
        <f>IFERROR(I51/I7,0)</f>
        <v>0</v>
      </c>
      <c r="J40" s="12">
        <f>IFERROR(J51/J7,0)</f>
        <v>0</v>
      </c>
      <c r="K40" s="12">
        <f>IFERROR(K51/K7,0)</f>
        <v>0</v>
      </c>
      <c r="L40" s="12">
        <f>IFERROR(L51/L7,0)</f>
        <v>0</v>
      </c>
      <c r="M40" s="12">
        <f>IFERROR(M51/M7,0)</f>
        <v>0</v>
      </c>
      <c r="N40" s="12">
        <f>IFERROR(N51/N7,0)</f>
        <v>0</v>
      </c>
      <c r="O40" s="12">
        <f>IFERROR(O51/O7,0)</f>
        <v>0</v>
      </c>
    </row>
    <row r="41" spans="2:15">
      <c r="B41" t="str">
        <f>B8</f>
        <v>Insert Adj. 3</v>
      </c>
      <c r="C41" s="12">
        <f>IFERROR(C52/C8,0)</f>
        <v>0</v>
      </c>
      <c r="D41" s="12">
        <f>IFERROR(D52/D8,0)</f>
        <v>0</v>
      </c>
      <c r="E41" s="12">
        <f>IFERROR(E52/E8,0)</f>
        <v>0</v>
      </c>
      <c r="F41" s="12">
        <f>IFERROR(F52/F8,0)</f>
        <v>0</v>
      </c>
      <c r="G41" s="12">
        <f>IFERROR(G52/G8,0)</f>
        <v>0</v>
      </c>
      <c r="H41" s="12">
        <f>IFERROR(H52/H8,0)</f>
        <v>0</v>
      </c>
      <c r="I41" s="12">
        <f>IFERROR(I52/I8,0)</f>
        <v>0</v>
      </c>
      <c r="J41" s="12">
        <f>IFERROR(J52/J8,0)</f>
        <v>0</v>
      </c>
      <c r="K41" s="12">
        <f>IFERROR(K52/K8,0)</f>
        <v>0</v>
      </c>
      <c r="L41" s="12">
        <f>IFERROR(L52/L8,0)</f>
        <v>0</v>
      </c>
      <c r="M41" s="12">
        <f>IFERROR(M52/M8,0)</f>
        <v>0</v>
      </c>
      <c r="N41" s="12">
        <f>IFERROR(N52/N8,0)</f>
        <v>0</v>
      </c>
      <c r="O41" s="12">
        <f>IFERROR(O52/O8,0)</f>
        <v>0</v>
      </c>
    </row>
    <row r="42" spans="2:15">
      <c r="B42" t="str">
        <f>B9</f>
        <v>Insert Adj. 4</v>
      </c>
      <c r="C42" s="12">
        <f>IFERROR(C53/C9,0)</f>
        <v>0</v>
      </c>
      <c r="D42" s="12">
        <f>IFERROR(D53/D9,0)</f>
        <v>0</v>
      </c>
      <c r="E42" s="12">
        <f>IFERROR(E53/E9,0)</f>
        <v>0</v>
      </c>
      <c r="F42" s="12">
        <f>IFERROR(F53/F9,0)</f>
        <v>0</v>
      </c>
      <c r="G42" s="12">
        <f>IFERROR(G53/G9,0)</f>
        <v>0</v>
      </c>
      <c r="H42" s="12">
        <f>IFERROR(H53/H9,0)</f>
        <v>0</v>
      </c>
      <c r="I42" s="12">
        <f>IFERROR(I53/I9,0)</f>
        <v>0</v>
      </c>
      <c r="J42" s="12">
        <f>IFERROR(J53/J9,0)</f>
        <v>0</v>
      </c>
      <c r="K42" s="12">
        <f>IFERROR(K53/K9,0)</f>
        <v>0</v>
      </c>
      <c r="L42" s="12">
        <f>IFERROR(L53/L9,0)</f>
        <v>0</v>
      </c>
      <c r="M42" s="12">
        <f>IFERROR(M53/M9,0)</f>
        <v>0</v>
      </c>
      <c r="N42" s="12">
        <f>IFERROR(N53/N9,0)</f>
        <v>0</v>
      </c>
      <c r="O42" s="12">
        <f>IFERROR(O53/O9,0)</f>
        <v>0</v>
      </c>
    </row>
    <row r="43" spans="2:15">
      <c r="B43" t="str">
        <f>B10</f>
        <v>Insert Adj. 5</v>
      </c>
      <c r="C43" s="12">
        <f>IFERROR(C54/C10,0)</f>
        <v>0</v>
      </c>
      <c r="D43" s="12">
        <f>IFERROR(D54/D10,0)</f>
        <v>0</v>
      </c>
      <c r="E43" s="12">
        <f>IFERROR(E54/E10,0)</f>
        <v>0</v>
      </c>
      <c r="F43" s="12">
        <f>IFERROR(F54/F10,0)</f>
        <v>0</v>
      </c>
      <c r="G43" s="12">
        <f>IFERROR(G54/G10,0)</f>
        <v>0</v>
      </c>
      <c r="H43" s="12">
        <f>IFERROR(H54/H10,0)</f>
        <v>0</v>
      </c>
      <c r="I43" s="12">
        <f>IFERROR(I54/I10,0)</f>
        <v>0</v>
      </c>
      <c r="J43" s="12">
        <f>IFERROR(J54/J10,0)</f>
        <v>0</v>
      </c>
      <c r="K43" s="12">
        <f>IFERROR(K54/K10,0)</f>
        <v>0</v>
      </c>
      <c r="L43" s="12">
        <f>IFERROR(L54/L10,0)</f>
        <v>0</v>
      </c>
      <c r="M43" s="12">
        <f>IFERROR(M54/M10,0)</f>
        <v>0</v>
      </c>
      <c r="N43" s="12">
        <f>IFERROR(N54/N10,0)</f>
        <v>0</v>
      </c>
      <c r="O43" s="12">
        <f>IFERROR(O54/O10,0)</f>
        <v>0</v>
      </c>
    </row>
    <row r="44" spans="2:15">
      <c r="B44" t="str">
        <f>B11</f>
        <v>Insert Adj. 6</v>
      </c>
      <c r="C44" s="12">
        <f>IFERROR(C55/C11,0)</f>
        <v>0</v>
      </c>
      <c r="D44" s="12">
        <f>IFERROR(D55/D11,0)</f>
        <v>0</v>
      </c>
      <c r="E44" s="12">
        <f>IFERROR(E55/E11,0)</f>
        <v>0</v>
      </c>
      <c r="F44" s="12">
        <f>IFERROR(F55/F11,0)</f>
        <v>0</v>
      </c>
      <c r="G44" s="12">
        <f>IFERROR(G55/G11,0)</f>
        <v>0</v>
      </c>
      <c r="H44" s="12">
        <f>IFERROR(H55/H11,0)</f>
        <v>0</v>
      </c>
      <c r="I44" s="12">
        <f>IFERROR(I55/I11,0)</f>
        <v>0</v>
      </c>
      <c r="J44" s="12">
        <f>IFERROR(J55/J11,0)</f>
        <v>0</v>
      </c>
      <c r="K44" s="12">
        <f>IFERROR(K55/K11,0)</f>
        <v>0</v>
      </c>
      <c r="L44" s="12">
        <f>IFERROR(L55/L11,0)</f>
        <v>0</v>
      </c>
      <c r="M44" s="12">
        <f>IFERROR(M55/M11,0)</f>
        <v>0</v>
      </c>
      <c r="N44" s="12">
        <f>IFERROR(N55/N11,0)</f>
        <v>0</v>
      </c>
      <c r="O44" s="12">
        <f>IFERROR(O55/O11,0)</f>
        <v>0</v>
      </c>
    </row>
    <row r="45" spans="2:15">
      <c r="B45" t="str">
        <f>B12</f>
        <v>Insert Adj. 7</v>
      </c>
      <c r="C45" s="12">
        <f>IFERROR(C56/C12,0)</f>
        <v>0</v>
      </c>
      <c r="D45" s="12">
        <f>IFERROR(D56/D12,0)</f>
        <v>0</v>
      </c>
      <c r="E45" s="12">
        <f>IFERROR(E56/E12,0)</f>
        <v>0</v>
      </c>
      <c r="F45" s="12">
        <f>IFERROR(F56/F12,0)</f>
        <v>0</v>
      </c>
      <c r="G45" s="12">
        <f>IFERROR(G56/G12,0)</f>
        <v>0</v>
      </c>
      <c r="H45" s="12">
        <f>IFERROR(H56/H12,0)</f>
        <v>0</v>
      </c>
      <c r="I45" s="12">
        <f>IFERROR(I56/I12,0)</f>
        <v>0</v>
      </c>
      <c r="J45" s="12">
        <f>IFERROR(J56/J12,0)</f>
        <v>0</v>
      </c>
      <c r="K45" s="12">
        <f>IFERROR(K56/K12,0)</f>
        <v>0</v>
      </c>
      <c r="L45" s="12">
        <f>IFERROR(L56/L12,0)</f>
        <v>0</v>
      </c>
      <c r="M45" s="12">
        <f>IFERROR(M56/M12,0)</f>
        <v>0</v>
      </c>
      <c r="N45" s="12">
        <f>IFERROR(N56/N12,0)</f>
        <v>0</v>
      </c>
      <c r="O45" s="12">
        <f>IFERROR(O56/O12,0)</f>
        <v>0</v>
      </c>
    </row>
    <row r="46" spans="2:15">
      <c r="B46" t="str">
        <f>B13</f>
        <v>Insert Adj. 8</v>
      </c>
      <c r="C46" s="12">
        <f>IFERROR(C57/C13,0)</f>
        <v>0</v>
      </c>
      <c r="D46" s="12">
        <f>IFERROR(D57/D13,0)</f>
        <v>0</v>
      </c>
      <c r="E46" s="12">
        <f>IFERROR(E57/E13,0)</f>
        <v>0</v>
      </c>
      <c r="F46" s="12">
        <f>IFERROR(F57/F13,0)</f>
        <v>0</v>
      </c>
      <c r="G46" s="12">
        <f>IFERROR(G57/G13,0)</f>
        <v>0</v>
      </c>
      <c r="H46" s="12">
        <f>IFERROR(H57/H13,0)</f>
        <v>0</v>
      </c>
      <c r="I46" s="12">
        <f>IFERROR(I57/I13,0)</f>
        <v>0</v>
      </c>
      <c r="J46" s="12">
        <f>IFERROR(J57/J13,0)</f>
        <v>0</v>
      </c>
      <c r="K46" s="12">
        <f>IFERROR(K57/K13,0)</f>
        <v>0</v>
      </c>
      <c r="L46" s="12">
        <f>IFERROR(L57/L13,0)</f>
        <v>0</v>
      </c>
      <c r="M46" s="12">
        <f>IFERROR(M57/M13,0)</f>
        <v>0</v>
      </c>
      <c r="N46" s="12">
        <f>IFERROR(N57/N13,0)</f>
        <v>0</v>
      </c>
      <c r="O46" s="12">
        <f>IFERROR(O57/O13,0)</f>
        <v>0</v>
      </c>
    </row>
    <row r="47" spans="2:15">
      <c r="B47" s="2" t="s">
        <v>137</v>
      </c>
      <c r="C47" s="14">
        <f>IFERROR(C58/C14,0)</f>
        <v>0</v>
      </c>
      <c r="D47" s="14">
        <f>IFERROR(D58/D14,0)</f>
        <v>0</v>
      </c>
      <c r="E47" s="14">
        <f>IFERROR(E58/E14,0)</f>
        <v>0</v>
      </c>
      <c r="F47" s="14">
        <f>IFERROR(F58/F14,0)</f>
        <v>0</v>
      </c>
      <c r="G47" s="14">
        <f>IFERROR(G58/G14,0)</f>
        <v>0</v>
      </c>
      <c r="H47" s="14">
        <f>IFERROR(H58/H14,0)</f>
        <v>0</v>
      </c>
      <c r="I47" s="14">
        <f>IFERROR(I58/I14,0)</f>
        <v>0</v>
      </c>
      <c r="J47" s="14">
        <f>IFERROR(J58/J14,0)</f>
        <v>0</v>
      </c>
      <c r="K47" s="14">
        <f>IFERROR(K58/K14,0)</f>
        <v>3.8461538461538464E-2</v>
      </c>
      <c r="L47" s="14">
        <f>IFERROR(L58/L14,0)</f>
        <v>5.5555555555555552E-2</v>
      </c>
      <c r="M47" s="14">
        <f>IFERROR(M58/M14,0)</f>
        <v>0.16666666666666666</v>
      </c>
      <c r="N47" s="14">
        <f>IFERROR(N58/N14,0)</f>
        <v>0</v>
      </c>
      <c r="O47" s="14">
        <f>IFERROR(O58/O14,0)</f>
        <v>0.08</v>
      </c>
    </row>
    <row r="49" spans="2:15">
      <c r="B49" s="2" t="s">
        <v>138</v>
      </c>
    </row>
    <row r="50" spans="2:15">
      <c r="B50" t="s">
        <v>197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20">
        <v>-10</v>
      </c>
      <c r="L50" s="20">
        <v>-10</v>
      </c>
      <c r="M50" s="20">
        <v>-10</v>
      </c>
      <c r="N50" s="20">
        <v>-10</v>
      </c>
      <c r="O50" s="6">
        <f>SUM(C50:N50)</f>
        <v>-40</v>
      </c>
    </row>
    <row r="51" spans="2:15">
      <c r="B51" t="s">
        <v>176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20">
        <v>0</v>
      </c>
      <c r="L51" s="20">
        <v>0</v>
      </c>
      <c r="M51" s="20">
        <v>0</v>
      </c>
      <c r="N51" s="20">
        <v>0</v>
      </c>
      <c r="O51" s="6">
        <f>SUM(C51:N51)</f>
        <v>0</v>
      </c>
    </row>
    <row r="52" spans="2:15">
      <c r="B52" t="s">
        <v>177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20">
        <v>0</v>
      </c>
      <c r="L52" s="20">
        <v>0</v>
      </c>
      <c r="M52" s="20">
        <v>0</v>
      </c>
      <c r="N52" s="20">
        <v>0</v>
      </c>
      <c r="O52" s="6">
        <f>SUM(C52:N52)</f>
        <v>0</v>
      </c>
    </row>
    <row r="53" spans="2:15">
      <c r="B53" t="s">
        <v>178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20">
        <v>0</v>
      </c>
      <c r="L53" s="20">
        <v>0</v>
      </c>
      <c r="M53" s="20">
        <v>0</v>
      </c>
      <c r="N53" s="20">
        <v>0</v>
      </c>
      <c r="O53" s="6">
        <f>SUM(C53:N53)</f>
        <v>0</v>
      </c>
    </row>
    <row r="54" spans="2:15">
      <c r="B54" t="s">
        <v>179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20">
        <v>0</v>
      </c>
      <c r="L54" s="20">
        <v>0</v>
      </c>
      <c r="M54" s="20">
        <v>0</v>
      </c>
      <c r="N54" s="20">
        <v>0</v>
      </c>
      <c r="O54" s="6">
        <f>SUM(C54:N54)</f>
        <v>0</v>
      </c>
    </row>
    <row r="55" spans="2:15">
      <c r="B55" t="s">
        <v>180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20">
        <v>0</v>
      </c>
      <c r="L55" s="20">
        <v>0</v>
      </c>
      <c r="M55" s="20">
        <v>0</v>
      </c>
      <c r="N55" s="20">
        <v>0</v>
      </c>
      <c r="O55" s="6">
        <f>SUM(C55:N55)</f>
        <v>0</v>
      </c>
    </row>
    <row r="56" spans="2:15">
      <c r="B56" t="s">
        <v>181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20">
        <v>0</v>
      </c>
      <c r="L56" s="20">
        <v>0</v>
      </c>
      <c r="M56" s="20">
        <v>0</v>
      </c>
      <c r="N56" s="20">
        <v>0</v>
      </c>
      <c r="O56" s="6">
        <f>SUM(C56:N56)</f>
        <v>0</v>
      </c>
    </row>
    <row r="57" spans="2:15">
      <c r="B57" t="s">
        <v>182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20">
        <v>0</v>
      </c>
      <c r="L57" s="20">
        <v>0</v>
      </c>
      <c r="M57" s="20">
        <v>0</v>
      </c>
      <c r="N57" s="20">
        <v>0</v>
      </c>
      <c r="O57" s="6">
        <f>SUM(C57:N57)</f>
        <v>0</v>
      </c>
    </row>
    <row r="58" spans="2:15">
      <c r="B58" s="2" t="s">
        <v>139</v>
      </c>
      <c r="C58" s="9">
        <f>SUM(C50:C57)</f>
        <v>0</v>
      </c>
      <c r="D58" s="9">
        <f>SUM(D50:D57)</f>
        <v>0</v>
      </c>
      <c r="E58" s="9">
        <f>SUM(E50:E57)</f>
        <v>0</v>
      </c>
      <c r="F58" s="9">
        <f>SUM(F50:F57)</f>
        <v>0</v>
      </c>
      <c r="G58" s="9">
        <f>SUM(G50:G57)</f>
        <v>0</v>
      </c>
      <c r="H58" s="9">
        <f>SUM(H50:H57)</f>
        <v>0</v>
      </c>
      <c r="I58" s="9">
        <f>SUM(I50:I57)</f>
        <v>0</v>
      </c>
      <c r="J58" s="9">
        <f>SUM(J50:J57)</f>
        <v>0</v>
      </c>
      <c r="K58" s="9">
        <f>SUM(K50:K57)</f>
        <v>-10</v>
      </c>
      <c r="L58" s="9">
        <f>SUM(L50:L57)</f>
        <v>-10</v>
      </c>
      <c r="M58" s="9">
        <f>SUM(M50:M57)</f>
        <v>-10</v>
      </c>
      <c r="N58" s="9">
        <f>SUM(N50:N57)</f>
        <v>-10</v>
      </c>
      <c r="O58" s="9">
        <f>SUM(O50:O57)</f>
        <v>-40</v>
      </c>
    </row>
    <row r="60" spans="2:15">
      <c r="B60" s="2" t="s">
        <v>113</v>
      </c>
    </row>
    <row r="61" spans="2:15">
      <c r="B61" t="str">
        <f>B6</f>
        <v>Backorders - flame-resistant shirts</v>
      </c>
      <c r="C61" s="6">
        <f>C28-C50</f>
        <v>0</v>
      </c>
      <c r="D61" s="6">
        <f>D28-D50</f>
        <v>0</v>
      </c>
      <c r="E61" s="6">
        <f>E28-E50</f>
        <v>0</v>
      </c>
      <c r="F61" s="6">
        <f>F28-F50</f>
        <v>0</v>
      </c>
      <c r="G61" s="6">
        <f>G28-G50</f>
        <v>0</v>
      </c>
      <c r="H61" s="6">
        <f>H28-H50</f>
        <v>0</v>
      </c>
      <c r="I61" s="6">
        <f>I28-I50</f>
        <v>0</v>
      </c>
      <c r="J61" s="6">
        <f>J28-J50</f>
        <v>0</v>
      </c>
      <c r="K61" s="6">
        <f>K28-K50</f>
        <v>-73</v>
      </c>
      <c r="L61" s="6">
        <f>L28-L50</f>
        <v>-48</v>
      </c>
      <c r="M61" s="6">
        <f>M28-M50</f>
        <v>-9</v>
      </c>
      <c r="N61" s="6">
        <f>N28-N50</f>
        <v>10</v>
      </c>
      <c r="O61" s="6">
        <f>SUM(C61:N61)</f>
        <v>-120</v>
      </c>
    </row>
    <row r="62" spans="2:15">
      <c r="B62" t="str">
        <f>B7</f>
        <v>Insert Adj. 2</v>
      </c>
      <c r="C62" s="6">
        <f>C29-C51</f>
        <v>0</v>
      </c>
      <c r="D62" s="6">
        <f>D29-D51</f>
        <v>0</v>
      </c>
      <c r="E62" s="6">
        <f>E29-E51</f>
        <v>0</v>
      </c>
      <c r="F62" s="6">
        <f>F29-F51</f>
        <v>0</v>
      </c>
      <c r="G62" s="6">
        <f>G29-G51</f>
        <v>0</v>
      </c>
      <c r="H62" s="6">
        <f>H29-H51</f>
        <v>0</v>
      </c>
      <c r="I62" s="6">
        <f>I29-I51</f>
        <v>0</v>
      </c>
      <c r="J62" s="6">
        <f>J29-J51</f>
        <v>0</v>
      </c>
      <c r="K62" s="6">
        <f>K29-K51</f>
        <v>0</v>
      </c>
      <c r="L62" s="6">
        <f>L29-L51</f>
        <v>0</v>
      </c>
      <c r="M62" s="6">
        <f>M29-M51</f>
        <v>0</v>
      </c>
      <c r="N62" s="6">
        <f>N29-N51</f>
        <v>0</v>
      </c>
      <c r="O62" s="6">
        <f>SUM(C62:N62)</f>
        <v>0</v>
      </c>
    </row>
    <row r="63" spans="2:15">
      <c r="B63" t="str">
        <f>B8</f>
        <v>Insert Adj. 3</v>
      </c>
      <c r="C63" s="6">
        <f>C30-C52</f>
        <v>0</v>
      </c>
      <c r="D63" s="6">
        <f>D30-D52</f>
        <v>0</v>
      </c>
      <c r="E63" s="6">
        <f>E30-E52</f>
        <v>0</v>
      </c>
      <c r="F63" s="6">
        <f>F30-F52</f>
        <v>0</v>
      </c>
      <c r="G63" s="6">
        <f>G30-G52</f>
        <v>0</v>
      </c>
      <c r="H63" s="6">
        <f>H30-H52</f>
        <v>0</v>
      </c>
      <c r="I63" s="6">
        <f>I30-I52</f>
        <v>0</v>
      </c>
      <c r="J63" s="6">
        <f>J30-J52</f>
        <v>0</v>
      </c>
      <c r="K63" s="6">
        <f>K30-K52</f>
        <v>0</v>
      </c>
      <c r="L63" s="6">
        <f>L30-L52</f>
        <v>0</v>
      </c>
      <c r="M63" s="6">
        <f>M30-M52</f>
        <v>0</v>
      </c>
      <c r="N63" s="6">
        <f>N30-N52</f>
        <v>0</v>
      </c>
      <c r="O63" s="6">
        <f>SUM(C63:N63)</f>
        <v>0</v>
      </c>
    </row>
    <row r="64" spans="2:15">
      <c r="B64" t="str">
        <f>B9</f>
        <v>Insert Adj. 4</v>
      </c>
      <c r="C64" s="6">
        <f>C31-C53</f>
        <v>0</v>
      </c>
      <c r="D64" s="6">
        <f>D31-D53</f>
        <v>0</v>
      </c>
      <c r="E64" s="6">
        <f>E31-E53</f>
        <v>0</v>
      </c>
      <c r="F64" s="6">
        <f>F31-F53</f>
        <v>0</v>
      </c>
      <c r="G64" s="6">
        <f>G31-G53</f>
        <v>0</v>
      </c>
      <c r="H64" s="6">
        <f>H31-H53</f>
        <v>0</v>
      </c>
      <c r="I64" s="6">
        <f>I31-I53</f>
        <v>0</v>
      </c>
      <c r="J64" s="6">
        <f>J31-J53</f>
        <v>0</v>
      </c>
      <c r="K64" s="6">
        <f>K31-K53</f>
        <v>0</v>
      </c>
      <c r="L64" s="6">
        <f>L31-L53</f>
        <v>0</v>
      </c>
      <c r="M64" s="6">
        <f>M31-M53</f>
        <v>0</v>
      </c>
      <c r="N64" s="6">
        <f>N31-N53</f>
        <v>0</v>
      </c>
      <c r="O64" s="6">
        <f>SUM(C64:N64)</f>
        <v>0</v>
      </c>
    </row>
    <row r="65" spans="2:15">
      <c r="B65" t="str">
        <f>B10</f>
        <v>Insert Adj. 5</v>
      </c>
      <c r="C65" s="6">
        <f>C32-C54</f>
        <v>0</v>
      </c>
      <c r="D65" s="6">
        <f>D32-D54</f>
        <v>0</v>
      </c>
      <c r="E65" s="6">
        <f>E32-E54</f>
        <v>0</v>
      </c>
      <c r="F65" s="6">
        <f>F32-F54</f>
        <v>0</v>
      </c>
      <c r="G65" s="6">
        <f>G32-G54</f>
        <v>0</v>
      </c>
      <c r="H65" s="6">
        <f>H32-H54</f>
        <v>0</v>
      </c>
      <c r="I65" s="6">
        <f>I32-I54</f>
        <v>0</v>
      </c>
      <c r="J65" s="6">
        <f>J32-J54</f>
        <v>0</v>
      </c>
      <c r="K65" s="6">
        <f>K32-K54</f>
        <v>0</v>
      </c>
      <c r="L65" s="6">
        <f>L32-L54</f>
        <v>0</v>
      </c>
      <c r="M65" s="6">
        <f>M32-M54</f>
        <v>0</v>
      </c>
      <c r="N65" s="6">
        <f>N32-N54</f>
        <v>0</v>
      </c>
      <c r="O65" s="6">
        <f>SUM(C65:N65)</f>
        <v>0</v>
      </c>
    </row>
    <row r="66" spans="2:15">
      <c r="B66" t="str">
        <f>B11</f>
        <v>Insert Adj. 6</v>
      </c>
      <c r="C66" s="6">
        <f>C33-C55</f>
        <v>0</v>
      </c>
      <c r="D66" s="6">
        <f>D33-D55</f>
        <v>0</v>
      </c>
      <c r="E66" s="6">
        <f>E33-E55</f>
        <v>0</v>
      </c>
      <c r="F66" s="6">
        <f>F33-F55</f>
        <v>0</v>
      </c>
      <c r="G66" s="6">
        <f>G33-G55</f>
        <v>0</v>
      </c>
      <c r="H66" s="6">
        <f>H33-H55</f>
        <v>0</v>
      </c>
      <c r="I66" s="6">
        <f>I33-I55</f>
        <v>0</v>
      </c>
      <c r="J66" s="6">
        <f>J33-J55</f>
        <v>0</v>
      </c>
      <c r="K66" s="6">
        <f>K33-K55</f>
        <v>0</v>
      </c>
      <c r="L66" s="6">
        <f>L33-L55</f>
        <v>0</v>
      </c>
      <c r="M66" s="6">
        <f>M33-M55</f>
        <v>0</v>
      </c>
      <c r="N66" s="6">
        <f>N33-N55</f>
        <v>0</v>
      </c>
      <c r="O66" s="6">
        <f>SUM(C66:N66)</f>
        <v>0</v>
      </c>
    </row>
    <row r="67" spans="2:15">
      <c r="B67" t="str">
        <f>B12</f>
        <v>Insert Adj. 7</v>
      </c>
      <c r="C67" s="6">
        <f>C34-C56</f>
        <v>0</v>
      </c>
      <c r="D67" s="6">
        <f>D34-D56</f>
        <v>0</v>
      </c>
      <c r="E67" s="6">
        <f>E34-E56</f>
        <v>0</v>
      </c>
      <c r="F67" s="6">
        <f>F34-F56</f>
        <v>0</v>
      </c>
      <c r="G67" s="6">
        <f>G34-G56</f>
        <v>0</v>
      </c>
      <c r="H67" s="6">
        <f>H34-H56</f>
        <v>0</v>
      </c>
      <c r="I67" s="6">
        <f>I34-I56</f>
        <v>0</v>
      </c>
      <c r="J67" s="6">
        <f>J34-J56</f>
        <v>0</v>
      </c>
      <c r="K67" s="6">
        <f>K34-K56</f>
        <v>0</v>
      </c>
      <c r="L67" s="6">
        <f>L34-L56</f>
        <v>0</v>
      </c>
      <c r="M67" s="6">
        <f>M34-M56</f>
        <v>0</v>
      </c>
      <c r="N67" s="6">
        <f>N34-N56</f>
        <v>0</v>
      </c>
      <c r="O67" s="6">
        <f>SUM(C67:N67)</f>
        <v>0</v>
      </c>
    </row>
    <row r="68" spans="2:15">
      <c r="B68" t="str">
        <f>B13</f>
        <v>Insert Adj. 8</v>
      </c>
      <c r="C68" s="6">
        <f>C35-C57</f>
        <v>0</v>
      </c>
      <c r="D68" s="6">
        <f>D35-D57</f>
        <v>0</v>
      </c>
      <c r="E68" s="6">
        <f>E35-E57</f>
        <v>0</v>
      </c>
      <c r="F68" s="6">
        <f>F35-F57</f>
        <v>0</v>
      </c>
      <c r="G68" s="6">
        <f>G35-G57</f>
        <v>0</v>
      </c>
      <c r="H68" s="6">
        <f>H35-H57</f>
        <v>0</v>
      </c>
      <c r="I68" s="6">
        <f>I35-I57</f>
        <v>0</v>
      </c>
      <c r="J68" s="6">
        <f>J35-J57</f>
        <v>0</v>
      </c>
      <c r="K68" s="6">
        <f>K35-K57</f>
        <v>0</v>
      </c>
      <c r="L68" s="6">
        <f>L35-L57</f>
        <v>0</v>
      </c>
      <c r="M68" s="6">
        <f>M35-M57</f>
        <v>0</v>
      </c>
      <c r="N68" s="6">
        <f>N35-N57</f>
        <v>0</v>
      </c>
      <c r="O68" s="6">
        <f>SUM(C68:N68)</f>
        <v>0</v>
      </c>
    </row>
    <row r="69" spans="2:15">
      <c r="B69" s="2" t="s">
        <v>140</v>
      </c>
      <c r="C69" s="9">
        <f>SUM(C61:C68)</f>
        <v>0</v>
      </c>
      <c r="D69" s="9">
        <f>SUM(D61:D68)</f>
        <v>0</v>
      </c>
      <c r="E69" s="9">
        <f>SUM(E61:E68)</f>
        <v>0</v>
      </c>
      <c r="F69" s="9">
        <f>SUM(F61:F68)</f>
        <v>0</v>
      </c>
      <c r="G69" s="9">
        <f>SUM(G61:G68)</f>
        <v>0</v>
      </c>
      <c r="H69" s="9">
        <f>SUM(H61:H68)</f>
        <v>0</v>
      </c>
      <c r="I69" s="9">
        <f>SUM(I61:I68)</f>
        <v>0</v>
      </c>
      <c r="J69" s="9">
        <f>SUM(J61:J68)</f>
        <v>0</v>
      </c>
      <c r="K69" s="9">
        <f>SUM(K61:K68)</f>
        <v>-73</v>
      </c>
      <c r="L69" s="9">
        <f>SUM(L61:L68)</f>
        <v>-48</v>
      </c>
      <c r="M69" s="9">
        <f>SUM(M61:M68)</f>
        <v>-9</v>
      </c>
      <c r="N69" s="9">
        <f>SUM(N61:N68)</f>
        <v>10</v>
      </c>
      <c r="O69" s="9">
        <f>SUM(O61:O68)</f>
        <v>-120</v>
      </c>
    </row>
    <row r="71" spans="2:15">
      <c r="B71" s="8" t="s">
        <v>141</v>
      </c>
    </row>
    <row r="73" spans="2:15">
      <c r="C73" s="4" t="s">
        <v>70</v>
      </c>
      <c r="D73" s="4" t="s">
        <v>71</v>
      </c>
      <c r="E73" s="4" t="s">
        <v>72</v>
      </c>
      <c r="F73" s="4" t="s">
        <v>73</v>
      </c>
      <c r="G73" s="4" t="s">
        <v>50</v>
      </c>
      <c r="H73" s="4" t="s">
        <v>74</v>
      </c>
      <c r="I73" s="4" t="s">
        <v>75</v>
      </c>
      <c r="J73" s="4" t="s">
        <v>76</v>
      </c>
      <c r="K73" s="4" t="s">
        <v>77</v>
      </c>
      <c r="L73" s="4" t="s">
        <v>78</v>
      </c>
      <c r="M73" s="4" t="s">
        <v>79</v>
      </c>
      <c r="N73" s="4" t="s">
        <v>80</v>
      </c>
      <c r="O73" s="4" t="s">
        <v>174</v>
      </c>
    </row>
    <row r="74" spans="2:15">
      <c r="B74" s="2" t="s">
        <v>111</v>
      </c>
    </row>
    <row r="75" spans="2:15">
      <c r="B75" t="s">
        <v>143</v>
      </c>
      <c r="C75" s="12">
        <f>Ember!C35</f>
        <v>0.31540888772022085</v>
      </c>
      <c r="D75" s="12">
        <f>Ember!D35</f>
        <v>0.31374592395871853</v>
      </c>
      <c r="E75" s="12">
        <f>Ember!E35</f>
        <v>0.31513693560325684</v>
      </c>
      <c r="F75" s="12">
        <f>Ember!F35</f>
        <v>0.31529726118904472</v>
      </c>
      <c r="G75" s="12">
        <f>Ember!G35</f>
        <v>0.31424956507986718</v>
      </c>
      <c r="H75" s="12">
        <f>Ember!H35</f>
        <v>0.31391830559757944</v>
      </c>
      <c r="I75" s="12">
        <f>Ember!I35</f>
        <v>0.31613732329722788</v>
      </c>
      <c r="J75" s="12">
        <f>Ember!J35</f>
        <v>0.31647514484171446</v>
      </c>
      <c r="K75" s="12">
        <f>Ember!K35</f>
        <v>0.31526143790849676</v>
      </c>
      <c r="L75" s="12">
        <f>Ember!L35</f>
        <v>0.31487730061349695</v>
      </c>
      <c r="M75" s="12">
        <f>Ember!M35</f>
        <v>0.31496306476550423</v>
      </c>
      <c r="N75" s="12">
        <f>Ember!N35</f>
        <v>0.31400633089917573</v>
      </c>
      <c r="O75" t="s">
        <v>183</v>
      </c>
    </row>
    <row r="76" spans="2:15">
      <c r="B76" t="s">
        <v>144</v>
      </c>
      <c r="C76" t="s">
        <v>145</v>
      </c>
      <c r="D76" t="s">
        <v>145</v>
      </c>
      <c r="E76" t="s">
        <v>145</v>
      </c>
      <c r="F76" t="s">
        <v>145</v>
      </c>
      <c r="G76" t="s">
        <v>145</v>
      </c>
      <c r="H76" t="s">
        <v>145</v>
      </c>
      <c r="I76" t="s">
        <v>145</v>
      </c>
      <c r="J76" t="s">
        <v>145</v>
      </c>
      <c r="K76" t="s">
        <v>145</v>
      </c>
      <c r="L76" t="s">
        <v>145</v>
      </c>
      <c r="M76" t="s">
        <v>145</v>
      </c>
      <c r="N76" t="s">
        <v>145</v>
      </c>
    </row>
    <row r="77" spans="2:15">
      <c r="B77" t="s">
        <v>146</v>
      </c>
      <c r="C77" s="6">
        <f>IF(C76="None",0,(((Ember!C28*(C75+C76))-Ember!C29)))</f>
        <v>0</v>
      </c>
      <c r="D77" s="6">
        <f>IF(D76="None",0,(((Ember!D28*(D75+D76))-Ember!D29)))</f>
        <v>0</v>
      </c>
      <c r="E77" s="6">
        <f>IF(E76="None",0,(((Ember!E28*(E75+E76))-Ember!E29)))</f>
        <v>0</v>
      </c>
      <c r="F77" s="6">
        <f>IF(F76="None",0,(((Ember!F28*(F75+F76))-Ember!F29)))</f>
        <v>0</v>
      </c>
      <c r="G77" s="6">
        <f>IF(G76="None",0,(((Ember!G28*(G75+G76))-Ember!G29)))</f>
        <v>0</v>
      </c>
      <c r="H77" s="6">
        <f>IF(H76="None",0,(((Ember!H28*(H75+H76))-Ember!H29)))</f>
        <v>0</v>
      </c>
      <c r="I77" s="6">
        <f>IF(I76="None",0,(((Ember!I28*(I75+I76))-Ember!I29)))</f>
        <v>0</v>
      </c>
      <c r="J77" s="6">
        <f>IF(J76="None",0,(((Ember!J28*(J75+J76))-Ember!J29)))</f>
        <v>0</v>
      </c>
      <c r="K77" s="6">
        <f>IF(K76="None",0,(((Ember!K28*(K75+K76))-Ember!K29)))</f>
        <v>0</v>
      </c>
      <c r="L77" s="6">
        <f>IF(L76="None",0,(((Ember!L28*(L75+L76))-Ember!L29)))</f>
        <v>0</v>
      </c>
      <c r="M77" s="6">
        <f>IF(M76="None",0,(((Ember!M28*(M75+M76))-Ember!M29)))</f>
        <v>0</v>
      </c>
      <c r="N77" s="6">
        <f>IF(N76="None",0,(((Ember!N28*(N75+N76))-Ember!N29)))</f>
        <v>0</v>
      </c>
      <c r="O77" s="6">
        <f>SUM(C77:N77)</f>
        <v>0</v>
      </c>
    </row>
    <row r="78" spans="2:15">
      <c r="B78" t="s">
        <v>147</v>
      </c>
      <c r="C78" s="12">
        <f>SUM(C75:C76)</f>
        <v>0.31540888772022085</v>
      </c>
      <c r="D78" s="12">
        <f>SUM(D75:D76)</f>
        <v>0.31374592395871853</v>
      </c>
      <c r="E78" s="12">
        <f>SUM(E75:E76)</f>
        <v>0.31513693560325684</v>
      </c>
      <c r="F78" s="12">
        <f>SUM(F75:F76)</f>
        <v>0.31529726118904472</v>
      </c>
      <c r="G78" s="12">
        <f>SUM(G75:G76)</f>
        <v>0.31424956507986718</v>
      </c>
      <c r="H78" s="12">
        <f>SUM(H75:H76)</f>
        <v>0.31391830559757944</v>
      </c>
      <c r="I78" s="12">
        <f>SUM(I75:I76)</f>
        <v>0.31613732329722788</v>
      </c>
      <c r="J78" s="12">
        <f>SUM(J75:J76)</f>
        <v>0.31647514484171446</v>
      </c>
      <c r="K78" s="12">
        <f>SUM(K75:K76)</f>
        <v>0.31526143790849676</v>
      </c>
      <c r="L78" s="12">
        <f>SUM(L75:L76)</f>
        <v>0.31487730061349695</v>
      </c>
      <c r="M78" s="12">
        <f>SUM(M75:M76)</f>
        <v>0.31496306476550423</v>
      </c>
      <c r="N78" s="12">
        <f>SUM(N75:N76)</f>
        <v>0.31400633089917573</v>
      </c>
      <c r="O78" t="s">
        <v>183</v>
      </c>
    </row>
    <row r="81" spans="1:15">
      <c r="B81" s="2" t="s">
        <v>112</v>
      </c>
    </row>
    <row r="82" spans="1:15">
      <c r="B82" t="s">
        <v>148</v>
      </c>
      <c r="C82" s="12">
        <f>Ember!C36</f>
        <v>-0.23882461214830397</v>
      </c>
      <c r="D82" s="12">
        <f>Ember!D36</f>
        <v>-0.23807442767337886</v>
      </c>
      <c r="E82" s="12">
        <f>Ember!E36</f>
        <v>-0.23655317049099431</v>
      </c>
      <c r="F82" s="12">
        <f>Ember!F36</f>
        <v>-0.24077139786820018</v>
      </c>
      <c r="G82" s="12">
        <f>Ember!G36</f>
        <v>-0.23574252728135378</v>
      </c>
      <c r="H82" s="12">
        <f>Ember!H36</f>
        <v>-0.23830559757942513</v>
      </c>
      <c r="I82" s="12">
        <f>Ember!I36</f>
        <v>-0.24000979132244049</v>
      </c>
      <c r="J82" s="12">
        <f>Ember!J36</f>
        <v>-0.2399090938190199</v>
      </c>
      <c r="K82" s="12">
        <f>Ember!K36</f>
        <v>-0.24068627450980393</v>
      </c>
      <c r="L82" s="12">
        <f>Ember!L36</f>
        <v>-0.24453987730061352</v>
      </c>
      <c r="M82" s="12">
        <f>Ember!M36</f>
        <v>-0.24555918227108745</v>
      </c>
      <c r="N82" s="12">
        <f>Ember!N36</f>
        <v>-0.24323816090513056</v>
      </c>
      <c r="O82" t="s">
        <v>183</v>
      </c>
    </row>
    <row r="83" spans="1:15">
      <c r="B83" t="s">
        <v>144</v>
      </c>
      <c r="C83" t="s">
        <v>145</v>
      </c>
      <c r="D83" t="s">
        <v>145</v>
      </c>
      <c r="E83" t="s">
        <v>145</v>
      </c>
      <c r="F83" t="s">
        <v>145</v>
      </c>
      <c r="G83" t="s">
        <v>145</v>
      </c>
      <c r="H83" t="s">
        <v>145</v>
      </c>
      <c r="I83" t="s">
        <v>145</v>
      </c>
      <c r="J83" t="s">
        <v>145</v>
      </c>
      <c r="K83" t="s">
        <v>145</v>
      </c>
      <c r="L83" t="s">
        <v>145</v>
      </c>
      <c r="M83" t="s">
        <v>145</v>
      </c>
      <c r="N83" t="s">
        <v>145</v>
      </c>
    </row>
    <row r="84" spans="1:15">
      <c r="B84" t="s">
        <v>146</v>
      </c>
      <c r="C84" s="6">
        <f>-IF(C83="None",0,(((Ember!C28*-(C82+C83))-Ember!C30)))</f>
        <v>0</v>
      </c>
      <c r="D84" s="6">
        <f>-IF(D83="None",0,(((Ember!D28*-(D82+D83))-Ember!D30)))</f>
        <v>0</v>
      </c>
      <c r="E84" s="6">
        <f>-IF(E83="None",0,(((Ember!E28*-(E82+E83))-Ember!E30)))</f>
        <v>0</v>
      </c>
      <c r="F84" s="6">
        <f>-IF(F83="None",0,(((Ember!F28*-(F82+F83))-Ember!F30)))</f>
        <v>0</v>
      </c>
      <c r="G84" s="6">
        <f>-IF(G83="None",0,(((Ember!G28*-(G82+G83))-Ember!G30)))</f>
        <v>0</v>
      </c>
      <c r="H84" s="6">
        <f>-IF(H83="None",0,(((Ember!H28*-(H82+H83))-Ember!H30)))</f>
        <v>0</v>
      </c>
      <c r="I84" s="6">
        <f>-IF(I83="None",0,(((Ember!I28*-(I82+I83))-Ember!I30)))</f>
        <v>0</v>
      </c>
      <c r="J84" s="6">
        <f>-IF(J83="None",0,(((Ember!J28*-(J82+J83))-Ember!J30)))</f>
        <v>0</v>
      </c>
      <c r="K84" s="6">
        <f>-IF(K83="None",0,(((Ember!K28*-(K82+K83))-Ember!K30)))</f>
        <v>0</v>
      </c>
      <c r="L84" s="6">
        <f>-IF(L83="None",0,(((Ember!L28*-(L82+L83))-Ember!L30)))</f>
        <v>0</v>
      </c>
      <c r="M84" s="6">
        <f>-IF(M83="None",0,(((Ember!M28*-(M82+M83))-Ember!M30)))</f>
        <v>0</v>
      </c>
      <c r="N84" s="6">
        <f>-IF(N83="None",0,(((Ember!N28*-(N82+N83))-Ember!N30)))</f>
        <v>0</v>
      </c>
      <c r="O84" s="6">
        <f>SUM(C84:N84)</f>
        <v>0</v>
      </c>
    </row>
    <row r="85" spans="1:15">
      <c r="B85" t="s">
        <v>149</v>
      </c>
      <c r="C85" s="12">
        <f>SUM(C82:C83)</f>
        <v>-0.23882461214830397</v>
      </c>
      <c r="D85" s="12">
        <f>SUM(D82:D83)</f>
        <v>-0.23807442767337886</v>
      </c>
      <c r="E85" s="12">
        <f>SUM(E82:E83)</f>
        <v>-0.23655317049099431</v>
      </c>
      <c r="F85" s="12">
        <f>SUM(F82:F83)</f>
        <v>-0.24077139786820018</v>
      </c>
      <c r="G85" s="12">
        <f>SUM(G82:G83)</f>
        <v>-0.23574252728135378</v>
      </c>
      <c r="H85" s="12">
        <f>SUM(H82:H83)</f>
        <v>-0.23830559757942513</v>
      </c>
      <c r="I85" s="12">
        <f>SUM(I82:I83)</f>
        <v>-0.24000979132244049</v>
      </c>
      <c r="J85" s="12">
        <f>SUM(J82:J83)</f>
        <v>-0.2399090938190199</v>
      </c>
      <c r="K85" s="12">
        <f>SUM(K82:K83)</f>
        <v>-0.24068627450980393</v>
      </c>
      <c r="L85" s="12">
        <f>SUM(L82:L83)</f>
        <v>-0.24453987730061352</v>
      </c>
      <c r="M85" s="12">
        <f>SUM(M82:M83)</f>
        <v>-0.24555918227108745</v>
      </c>
      <c r="N85" s="12">
        <f>SUM(N82:N83)</f>
        <v>-0.24323816090513056</v>
      </c>
      <c r="O85" t="s">
        <v>183</v>
      </c>
    </row>
    <row r="87" spans="1:15">
      <c r="B87" s="8" t="s">
        <v>150</v>
      </c>
    </row>
    <row r="89" spans="1:15">
      <c r="C89" s="4" t="s">
        <v>70</v>
      </c>
      <c r="D89" s="4" t="s">
        <v>71</v>
      </c>
      <c r="E89" s="4" t="s">
        <v>72</v>
      </c>
      <c r="F89" s="4" t="s">
        <v>73</v>
      </c>
      <c r="G89" s="4" t="s">
        <v>50</v>
      </c>
      <c r="H89" s="4" t="s">
        <v>74</v>
      </c>
      <c r="I89" s="4" t="s">
        <v>75</v>
      </c>
      <c r="J89" s="4" t="s">
        <v>76</v>
      </c>
      <c r="K89" s="4" t="s">
        <v>77</v>
      </c>
      <c r="L89" s="4" t="s">
        <v>78</v>
      </c>
      <c r="M89" s="4" t="s">
        <v>79</v>
      </c>
      <c r="N89" s="4" t="s">
        <v>80</v>
      </c>
      <c r="O89" s="4" t="s">
        <v>174</v>
      </c>
    </row>
    <row r="90" spans="1:15">
      <c r="A90">
        <v>2090</v>
      </c>
      <c r="B90" t="s">
        <v>151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20">
        <v>0</v>
      </c>
      <c r="L90" s="20">
        <v>0</v>
      </c>
      <c r="M90" s="20">
        <v>0</v>
      </c>
      <c r="N90" s="20">
        <v>0</v>
      </c>
    </row>
    <row r="91" spans="1:15">
      <c r="A91">
        <v>2135</v>
      </c>
      <c r="B91" t="s">
        <v>152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20">
        <v>0</v>
      </c>
      <c r="L91" s="20">
        <v>0</v>
      </c>
      <c r="M91" s="20">
        <v>0</v>
      </c>
      <c r="N91" s="20">
        <v>0</v>
      </c>
    </row>
    <row r="92" spans="1:15">
      <c r="A92">
        <v>2175</v>
      </c>
      <c r="B92" t="s">
        <v>153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20">
        <v>0</v>
      </c>
      <c r="L92" s="20">
        <v>0</v>
      </c>
      <c r="M92" s="20">
        <v>0</v>
      </c>
      <c r="N92" s="20">
        <v>0</v>
      </c>
    </row>
    <row r="93" spans="1:15">
      <c r="A93">
        <v>2140</v>
      </c>
      <c r="B93" t="s">
        <v>154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20">
        <v>0</v>
      </c>
      <c r="L93" s="20">
        <v>0</v>
      </c>
      <c r="M93" s="20">
        <v>0</v>
      </c>
      <c r="N93" s="20">
        <v>0</v>
      </c>
    </row>
    <row r="94" spans="1:15">
      <c r="A94">
        <v>2180</v>
      </c>
      <c r="B94" t="s">
        <v>155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20">
        <v>0</v>
      </c>
      <c r="L94" s="20">
        <v>0</v>
      </c>
      <c r="M94" s="20">
        <v>0</v>
      </c>
      <c r="N94" s="20">
        <v>0</v>
      </c>
    </row>
    <row r="95" spans="1:15">
      <c r="A95">
        <v>2185</v>
      </c>
      <c r="B95" s="2" t="s">
        <v>156</v>
      </c>
      <c r="C95" s="6">
        <f>SUM(C90:C94)</f>
        <v>0</v>
      </c>
      <c r="D95" s="6">
        <f>SUM(D90:D94)</f>
        <v>0</v>
      </c>
      <c r="E95" s="6">
        <f>SUM(E90:E94)</f>
        <v>0</v>
      </c>
      <c r="F95" s="6">
        <f>SUM(F90:F94)</f>
        <v>0</v>
      </c>
      <c r="G95" s="6">
        <f>SUM(G90:G94)</f>
        <v>0</v>
      </c>
      <c r="H95" s="6">
        <f>SUM(H90:H94)</f>
        <v>0</v>
      </c>
      <c r="I95" s="6">
        <f>SUM(I90:I94)</f>
        <v>0</v>
      </c>
      <c r="J95" s="6">
        <f>SUM(J90:J94)</f>
        <v>0</v>
      </c>
      <c r="K95" s="6">
        <f>SUM(K90:K94)</f>
        <v>0</v>
      </c>
      <c r="L95" s="6">
        <f>SUM(L90:L94)</f>
        <v>0</v>
      </c>
      <c r="M95" s="6">
        <f>SUM(M90:M94)</f>
        <v>0</v>
      </c>
      <c r="N95" s="6">
        <f>SUM(N90:N94)</f>
        <v>0</v>
      </c>
    </row>
    <row r="97" spans="2:2">
      <c r="B97" s="21" t="s">
        <v>184</v>
      </c>
    </row>
  </sheetData>
  <dataValidations count="1">
    <dataValidation type="list" allowBlank="1" sqref="C76:N76 C83:N83" xr:uid="{00000000-0002-0000-1400-000000000000}">
      <formula1>"None,-2.0%,-1.5%,-1.0%,-0.5%,0.5%,1.0%,1.5%,2.0%"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70C0"/>
  </sheetPr>
  <dimension ref="B1:CE73"/>
  <sheetViews>
    <sheetView showGridLines="0" workbookViewId="0">
      <pane xSplit="2" ySplit="26" topLeftCell="C27" activePane="bottomRight" state="frozen"/>
      <selection pane="bottomRight"/>
      <selection pane="bottomLeft"/>
      <selection pane="topRight"/>
    </sheetView>
  </sheetViews>
  <sheetFormatPr defaultRowHeight="15" outlineLevelRow="1"/>
  <cols>
    <col min="1" max="1" width="2" customWidth="1"/>
    <col min="2" max="2" width="30" customWidth="1"/>
    <col min="3" max="15" width="11" customWidth="1"/>
    <col min="16" max="16" width="2" customWidth="1"/>
    <col min="17" max="29" width="11" customWidth="1"/>
    <col min="30" max="30" width="2" customWidth="1"/>
    <col min="31" max="43" width="11" customWidth="1"/>
    <col min="44" max="44" width="2" customWidth="1"/>
    <col min="45" max="57" width="11" customWidth="1"/>
    <col min="58" max="58" width="2" customWidth="1"/>
    <col min="59" max="71" width="11" customWidth="1"/>
    <col min="72" max="72" width="2" customWidth="1"/>
    <col min="73" max="75" width="11" customWidth="1"/>
    <col min="76" max="76" width="2" customWidth="1"/>
    <col min="77" max="79" width="11" customWidth="1"/>
    <col min="80" max="80" width="2" customWidth="1"/>
    <col min="81" max="83" width="11" customWidth="1"/>
  </cols>
  <sheetData>
    <row r="1" spans="2:14" outlineLevel="1">
      <c r="C1" s="15" t="s">
        <v>34</v>
      </c>
      <c r="D1" s="15" t="s">
        <v>34</v>
      </c>
      <c r="E1" s="15" t="s">
        <v>34</v>
      </c>
      <c r="F1" s="15" t="s">
        <v>34</v>
      </c>
      <c r="G1" s="15" t="s">
        <v>34</v>
      </c>
      <c r="H1" s="15" t="s">
        <v>34</v>
      </c>
      <c r="I1" s="15" t="s">
        <v>34</v>
      </c>
      <c r="J1" s="15" t="s">
        <v>34</v>
      </c>
      <c r="K1" s="15" t="s">
        <v>45</v>
      </c>
      <c r="L1" s="15" t="s">
        <v>45</v>
      </c>
      <c r="M1" s="15" t="s">
        <v>45</v>
      </c>
      <c r="N1" s="15" t="s">
        <v>45</v>
      </c>
    </row>
    <row r="2" spans="2:14" outlineLevel="1">
      <c r="B2" s="15" t="s">
        <v>2</v>
      </c>
      <c r="C2" s="15" t="s">
        <v>34</v>
      </c>
      <c r="D2" s="15" t="s">
        <v>34</v>
      </c>
      <c r="E2" s="15" t="s">
        <v>34</v>
      </c>
      <c r="F2" s="15" t="s">
        <v>34</v>
      </c>
      <c r="G2" s="15" t="s">
        <v>34</v>
      </c>
      <c r="H2" s="15" t="s">
        <v>34</v>
      </c>
      <c r="I2" s="15" t="s">
        <v>34</v>
      </c>
      <c r="J2" s="15" t="s">
        <v>34</v>
      </c>
      <c r="K2" s="15" t="s">
        <v>34</v>
      </c>
      <c r="L2" s="15" t="s">
        <v>34</v>
      </c>
      <c r="M2" s="15" t="s">
        <v>34</v>
      </c>
      <c r="N2" s="15" t="s">
        <v>34</v>
      </c>
    </row>
    <row r="3" spans="2:14" outlineLevel="1"/>
    <row r="4" spans="2:14" outlineLevel="1"/>
    <row r="5" spans="2:14" outlineLevel="1">
      <c r="B5" s="15" t="s">
        <v>4</v>
      </c>
      <c r="C5" s="15">
        <v>2026</v>
      </c>
      <c r="D5" s="15">
        <v>2026</v>
      </c>
      <c r="E5" s="15">
        <v>2026</v>
      </c>
      <c r="F5" s="15">
        <v>2026</v>
      </c>
      <c r="G5" s="15">
        <v>2026</v>
      </c>
      <c r="H5" s="15">
        <v>2026</v>
      </c>
      <c r="I5" s="15">
        <v>2026</v>
      </c>
      <c r="J5" s="15">
        <v>2026</v>
      </c>
      <c r="K5" s="15">
        <v>2026</v>
      </c>
      <c r="L5" s="15">
        <v>2026</v>
      </c>
      <c r="M5" s="15">
        <v>2026</v>
      </c>
      <c r="N5" s="15">
        <v>2026</v>
      </c>
    </row>
    <row r="6" spans="2:14" outlineLevel="1"/>
    <row r="7" spans="2:14" outlineLevel="1"/>
    <row r="8" spans="2:14" outlineLevel="1">
      <c r="B8" s="15" t="s">
        <v>5</v>
      </c>
      <c r="C8" s="15" t="s">
        <v>35</v>
      </c>
      <c r="D8" s="15" t="s">
        <v>39</v>
      </c>
      <c r="E8" s="15" t="s">
        <v>43</v>
      </c>
      <c r="F8" s="15" t="s">
        <v>47</v>
      </c>
      <c r="G8" s="15" t="s">
        <v>51</v>
      </c>
      <c r="H8" s="15" t="s">
        <v>54</v>
      </c>
      <c r="I8" s="15" t="s">
        <v>56</v>
      </c>
      <c r="J8" s="15" t="s">
        <v>58</v>
      </c>
      <c r="K8" s="15" t="s">
        <v>32</v>
      </c>
      <c r="L8" s="15" t="s">
        <v>37</v>
      </c>
      <c r="M8" s="15" t="s">
        <v>66</v>
      </c>
      <c r="N8" s="15" t="s">
        <v>68</v>
      </c>
    </row>
    <row r="9" spans="2:14" outlineLevel="1">
      <c r="B9" s="15" t="s">
        <v>13</v>
      </c>
    </row>
    <row r="10" spans="2:14" outlineLevel="1">
      <c r="B10" s="15" t="s">
        <v>14</v>
      </c>
    </row>
    <row r="11" spans="2:14" outlineLevel="1">
      <c r="B11" s="15" t="s">
        <v>16</v>
      </c>
      <c r="C11" s="15" t="s">
        <v>17</v>
      </c>
      <c r="D11" s="15" t="s">
        <v>17</v>
      </c>
      <c r="E11" s="15" t="s">
        <v>17</v>
      </c>
      <c r="F11" s="15" t="s">
        <v>17</v>
      </c>
      <c r="G11" s="15" t="s">
        <v>17</v>
      </c>
      <c r="H11" s="15" t="s">
        <v>17</v>
      </c>
      <c r="I11" s="15" t="s">
        <v>17</v>
      </c>
      <c r="J11" s="15" t="s">
        <v>17</v>
      </c>
      <c r="K11" s="15" t="s">
        <v>17</v>
      </c>
      <c r="L11" s="15" t="s">
        <v>17</v>
      </c>
      <c r="M11" s="15" t="s">
        <v>17</v>
      </c>
      <c r="N11" s="15" t="s">
        <v>17</v>
      </c>
    </row>
    <row r="12" spans="2:14" outlineLevel="1">
      <c r="B12" s="15" t="s">
        <v>18</v>
      </c>
      <c r="C12" s="15" t="s">
        <v>19</v>
      </c>
      <c r="D12" s="15" t="s">
        <v>19</v>
      </c>
      <c r="E12" s="15" t="s">
        <v>19</v>
      </c>
      <c r="F12" s="15" t="s">
        <v>19</v>
      </c>
      <c r="G12" s="15" t="s">
        <v>19</v>
      </c>
      <c r="H12" s="15" t="s">
        <v>19</v>
      </c>
      <c r="I12" s="15" t="s">
        <v>19</v>
      </c>
      <c r="J12" s="15" t="s">
        <v>19</v>
      </c>
      <c r="K12" s="15" t="s">
        <v>19</v>
      </c>
      <c r="L12" s="15" t="s">
        <v>19</v>
      </c>
      <c r="M12" s="15" t="s">
        <v>19</v>
      </c>
      <c r="N12" s="15" t="s">
        <v>19</v>
      </c>
    </row>
    <row r="13" spans="2:14" outlineLevel="1">
      <c r="B13" s="15" t="s">
        <v>20</v>
      </c>
    </row>
    <row r="14" spans="2:14" outlineLevel="1">
      <c r="B14" s="15" t="s">
        <v>22</v>
      </c>
    </row>
    <row r="15" spans="2:14" outlineLevel="1"/>
    <row r="16" spans="2:14" outlineLevel="1"/>
    <row r="17" spans="2:83" outlineLevel="1"/>
    <row r="18" spans="2:83" outlineLevel="1">
      <c r="B18" s="15" t="s">
        <v>7</v>
      </c>
      <c r="C18" s="15" t="s">
        <v>157</v>
      </c>
      <c r="D18" s="15" t="s">
        <v>157</v>
      </c>
      <c r="E18" s="15" t="s">
        <v>157</v>
      </c>
      <c r="F18" s="15" t="s">
        <v>157</v>
      </c>
      <c r="G18" s="15" t="s">
        <v>157</v>
      </c>
      <c r="H18" s="15" t="s">
        <v>157</v>
      </c>
      <c r="I18" s="15" t="s">
        <v>157</v>
      </c>
      <c r="J18" s="15" t="s">
        <v>157</v>
      </c>
      <c r="K18" s="15" t="s">
        <v>157</v>
      </c>
      <c r="L18" s="15" t="s">
        <v>157</v>
      </c>
      <c r="M18" s="15" t="s">
        <v>157</v>
      </c>
      <c r="N18" s="15" t="s">
        <v>157</v>
      </c>
    </row>
    <row r="19" spans="2:83" outlineLevel="1">
      <c r="B19" s="15" t="s">
        <v>11</v>
      </c>
      <c r="C19" s="15" t="s">
        <v>12</v>
      </c>
      <c r="D19" s="15" t="s">
        <v>12</v>
      </c>
      <c r="E19" s="15" t="s">
        <v>12</v>
      </c>
      <c r="F19" s="15" t="s">
        <v>12</v>
      </c>
      <c r="G19" s="15" t="s">
        <v>12</v>
      </c>
      <c r="H19" s="15" t="s">
        <v>12</v>
      </c>
      <c r="I19" s="15" t="s">
        <v>12</v>
      </c>
      <c r="J19" s="15" t="s">
        <v>12</v>
      </c>
      <c r="K19" s="15" t="s">
        <v>12</v>
      </c>
      <c r="L19" s="15" t="s">
        <v>12</v>
      </c>
      <c r="M19" s="15" t="s">
        <v>12</v>
      </c>
      <c r="N19" s="15" t="s">
        <v>12</v>
      </c>
    </row>
    <row r="21" spans="2:83">
      <c r="B21" s="1" t="s">
        <v>24</v>
      </c>
    </row>
    <row r="22" spans="2:83">
      <c r="B22" s="15" t="s">
        <v>198</v>
      </c>
    </row>
    <row r="23" spans="2:83">
      <c r="B23" s="3" t="s">
        <v>105</v>
      </c>
      <c r="BU23" s="8" t="s">
        <v>158</v>
      </c>
    </row>
    <row r="24" spans="2:83">
      <c r="C24" s="8" t="s">
        <v>159</v>
      </c>
      <c r="Q24" s="8" t="s">
        <v>160</v>
      </c>
      <c r="AE24" s="8" t="s">
        <v>161</v>
      </c>
      <c r="AS24" s="8" t="s">
        <v>162</v>
      </c>
      <c r="BG24" s="8" t="s">
        <v>52</v>
      </c>
      <c r="BU24" s="2" t="s">
        <v>91</v>
      </c>
      <c r="BY24" s="2" t="s">
        <v>92</v>
      </c>
      <c r="CC24" s="2" t="s">
        <v>81</v>
      </c>
    </row>
    <row r="25" spans="2:83"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34</v>
      </c>
      <c r="I25" t="s">
        <v>34</v>
      </c>
      <c r="J25" t="s">
        <v>34</v>
      </c>
      <c r="K25" t="s">
        <v>45</v>
      </c>
      <c r="L25" t="s">
        <v>45</v>
      </c>
      <c r="M25" t="s">
        <v>45</v>
      </c>
      <c r="N25" t="s">
        <v>45</v>
      </c>
      <c r="O25" t="s">
        <v>163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45</v>
      </c>
      <c r="Z25" t="s">
        <v>45</v>
      </c>
      <c r="AA25" t="s">
        <v>45</v>
      </c>
      <c r="AB25" t="s">
        <v>45</v>
      </c>
      <c r="AC25" t="s">
        <v>163</v>
      </c>
      <c r="BG25" t="s">
        <v>34</v>
      </c>
      <c r="BH25" t="s">
        <v>34</v>
      </c>
      <c r="BI25" t="s">
        <v>34</v>
      </c>
      <c r="BJ25" t="s">
        <v>34</v>
      </c>
      <c r="BK25" t="s">
        <v>34</v>
      </c>
      <c r="BL25" t="s">
        <v>34</v>
      </c>
      <c r="BM25" t="s">
        <v>34</v>
      </c>
      <c r="BN25" t="s">
        <v>34</v>
      </c>
      <c r="BO25" t="s">
        <v>34</v>
      </c>
      <c r="BP25" t="s">
        <v>52</v>
      </c>
      <c r="BQ25" t="s">
        <v>52</v>
      </c>
      <c r="BR25" t="s">
        <v>52</v>
      </c>
      <c r="BS25" t="s">
        <v>163</v>
      </c>
    </row>
    <row r="26" spans="2:83" ht="30" customHeight="1">
      <c r="B26" s="2" t="s">
        <v>164</v>
      </c>
      <c r="C26" s="16" t="s">
        <v>70</v>
      </c>
      <c r="D26" s="16" t="s">
        <v>71</v>
      </c>
      <c r="E26" s="16" t="s">
        <v>72</v>
      </c>
      <c r="F26" s="16" t="s">
        <v>73</v>
      </c>
      <c r="G26" s="16" t="s">
        <v>50</v>
      </c>
      <c r="H26" s="16" t="s">
        <v>74</v>
      </c>
      <c r="I26" s="16" t="s">
        <v>75</v>
      </c>
      <c r="J26" s="16" t="s">
        <v>76</v>
      </c>
      <c r="K26" s="16" t="s">
        <v>77</v>
      </c>
      <c r="L26" s="16" t="s">
        <v>78</v>
      </c>
      <c r="M26" s="16" t="s">
        <v>79</v>
      </c>
      <c r="N26" s="16" t="s">
        <v>80</v>
      </c>
      <c r="O26" s="16" t="s">
        <v>165</v>
      </c>
      <c r="Q26" s="16" t="s">
        <v>70</v>
      </c>
      <c r="R26" s="16" t="s">
        <v>71</v>
      </c>
      <c r="S26" s="16" t="s">
        <v>72</v>
      </c>
      <c r="T26" s="16" t="s">
        <v>73</v>
      </c>
      <c r="U26" s="16" t="s">
        <v>50</v>
      </c>
      <c r="V26" s="16" t="s">
        <v>74</v>
      </c>
      <c r="W26" s="16" t="s">
        <v>75</v>
      </c>
      <c r="X26" s="16" t="s">
        <v>76</v>
      </c>
      <c r="Y26" s="16" t="s">
        <v>77</v>
      </c>
      <c r="Z26" s="16" t="s">
        <v>78</v>
      </c>
      <c r="AA26" s="16" t="s">
        <v>79</v>
      </c>
      <c r="AB26" s="16" t="s">
        <v>80</v>
      </c>
      <c r="AC26" s="16" t="s">
        <v>165</v>
      </c>
      <c r="AE26" s="16" t="s">
        <v>70</v>
      </c>
      <c r="AF26" s="16" t="s">
        <v>71</v>
      </c>
      <c r="AG26" s="16" t="s">
        <v>72</v>
      </c>
      <c r="AH26" s="16" t="s">
        <v>73</v>
      </c>
      <c r="AI26" s="16" t="s">
        <v>50</v>
      </c>
      <c r="AJ26" s="16" t="s">
        <v>74</v>
      </c>
      <c r="AK26" s="16" t="s">
        <v>75</v>
      </c>
      <c r="AL26" s="16" t="s">
        <v>76</v>
      </c>
      <c r="AM26" s="16" t="s">
        <v>77</v>
      </c>
      <c r="AN26" s="16" t="s">
        <v>78</v>
      </c>
      <c r="AO26" s="16" t="s">
        <v>79</v>
      </c>
      <c r="AP26" s="16" t="s">
        <v>80</v>
      </c>
      <c r="AQ26" s="16" t="s">
        <v>165</v>
      </c>
      <c r="AS26" s="16" t="s">
        <v>70</v>
      </c>
      <c r="AT26" s="16" t="s">
        <v>71</v>
      </c>
      <c r="AU26" s="16" t="s">
        <v>72</v>
      </c>
      <c r="AV26" s="16" t="s">
        <v>73</v>
      </c>
      <c r="AW26" s="16" t="s">
        <v>50</v>
      </c>
      <c r="AX26" s="16" t="s">
        <v>74</v>
      </c>
      <c r="AY26" s="16" t="s">
        <v>75</v>
      </c>
      <c r="AZ26" s="16" t="s">
        <v>76</v>
      </c>
      <c r="BA26" s="16" t="s">
        <v>77</v>
      </c>
      <c r="BB26" s="16" t="s">
        <v>78</v>
      </c>
      <c r="BC26" s="16" t="s">
        <v>79</v>
      </c>
      <c r="BD26" s="16" t="s">
        <v>80</v>
      </c>
      <c r="BE26" s="16" t="s">
        <v>165</v>
      </c>
      <c r="BG26" s="16" t="s">
        <v>70</v>
      </c>
      <c r="BH26" s="16" t="s">
        <v>71</v>
      </c>
      <c r="BI26" s="16" t="s">
        <v>72</v>
      </c>
      <c r="BJ26" s="16" t="s">
        <v>73</v>
      </c>
      <c r="BK26" s="16" t="s">
        <v>50</v>
      </c>
      <c r="BL26" s="16" t="s">
        <v>74</v>
      </c>
      <c r="BM26" s="16" t="s">
        <v>75</v>
      </c>
      <c r="BN26" s="16" t="s">
        <v>76</v>
      </c>
      <c r="BO26" s="16" t="s">
        <v>77</v>
      </c>
      <c r="BP26" s="16" t="s">
        <v>78</v>
      </c>
      <c r="BQ26" s="16" t="s">
        <v>79</v>
      </c>
      <c r="BR26" s="16" t="s">
        <v>80</v>
      </c>
      <c r="BS26" s="16" t="s">
        <v>165</v>
      </c>
      <c r="BU26" s="17" t="s">
        <v>94</v>
      </c>
      <c r="BV26" s="17" t="s">
        <v>95</v>
      </c>
      <c r="BW26" s="17" t="s">
        <v>96</v>
      </c>
      <c r="BY26" s="17" t="s">
        <v>97</v>
      </c>
      <c r="BZ26" s="17" t="s">
        <v>98</v>
      </c>
      <c r="CA26" s="17" t="s">
        <v>99</v>
      </c>
      <c r="CC26" s="17" t="s">
        <v>97</v>
      </c>
      <c r="CD26" s="17" t="s">
        <v>98</v>
      </c>
      <c r="CE26" s="17" t="s">
        <v>99</v>
      </c>
    </row>
    <row r="28" spans="2:83">
      <c r="B28" s="2" t="s">
        <v>100</v>
      </c>
      <c r="C28" s="6">
        <v>3042.4</v>
      </c>
      <c r="D28" s="6">
        <v>2974.7</v>
      </c>
      <c r="E28" s="6">
        <v>3242.4</v>
      </c>
      <c r="F28" s="6">
        <v>3443.1</v>
      </c>
      <c r="G28" s="6">
        <v>3161.5</v>
      </c>
      <c r="H28" s="6">
        <v>3305</v>
      </c>
      <c r="I28" s="6">
        <v>3268.2</v>
      </c>
      <c r="J28" s="6">
        <v>3124.1</v>
      </c>
      <c r="K28" s="6">
        <v>3060</v>
      </c>
      <c r="L28" s="6">
        <v>3260</v>
      </c>
      <c r="M28" s="6">
        <v>2910.5</v>
      </c>
      <c r="N28" s="6">
        <v>3190.7</v>
      </c>
      <c r="O28" s="18">
        <f>SUM(C28:N28)</f>
        <v>37982.599999999991</v>
      </c>
      <c r="Q28" s="6">
        <v>3042.4</v>
      </c>
      <c r="R28" s="6">
        <v>2974.7</v>
      </c>
      <c r="S28" s="6">
        <v>3242.4</v>
      </c>
      <c r="T28" s="6">
        <v>3443.1</v>
      </c>
      <c r="U28" s="6">
        <v>3161.5</v>
      </c>
      <c r="V28" s="6">
        <v>3305</v>
      </c>
      <c r="W28" s="6">
        <v>3268.2</v>
      </c>
      <c r="X28" s="6">
        <v>3124.1</v>
      </c>
      <c r="Y28" s="6">
        <v>3060</v>
      </c>
      <c r="Z28" s="6">
        <v>3260</v>
      </c>
      <c r="AA28" s="6">
        <v>2910.5</v>
      </c>
      <c r="AB28" s="6">
        <v>3190.7</v>
      </c>
      <c r="AC28" s="18">
        <f>SUM(Q28:AB28)</f>
        <v>37982.599999999991</v>
      </c>
      <c r="AE28" s="6">
        <f>Q28-C28</f>
        <v>0</v>
      </c>
      <c r="AF28" s="6">
        <f>R28-D28</f>
        <v>0</v>
      </c>
      <c r="AG28" s="6">
        <f>S28-E28</f>
        <v>0</v>
      </c>
      <c r="AH28" s="6">
        <f>T28-F28</f>
        <v>0</v>
      </c>
      <c r="AI28" s="6">
        <f>U28-G28</f>
        <v>0</v>
      </c>
      <c r="AJ28" s="6">
        <f>V28-H28</f>
        <v>0</v>
      </c>
      <c r="AK28" s="6">
        <f>W28-I28</f>
        <v>0</v>
      </c>
      <c r="AL28" s="6">
        <f>X28-J28</f>
        <v>0</v>
      </c>
      <c r="AM28" s="6">
        <f>Y28-K28</f>
        <v>0</v>
      </c>
      <c r="AN28" s="6">
        <f>Z28-L28</f>
        <v>0</v>
      </c>
      <c r="AO28" s="6">
        <f>AA28-M28</f>
        <v>0</v>
      </c>
      <c r="AP28" s="6">
        <f>AB28-N28</f>
        <v>0</v>
      </c>
      <c r="AQ28" s="18">
        <f>SUM(AE28:AP28)</f>
        <v>0</v>
      </c>
      <c r="AS28" s="6">
        <f>'Ember-Adj'!C14</f>
        <v>0</v>
      </c>
      <c r="AT28" s="6">
        <f>'Ember-Adj'!D14</f>
        <v>0</v>
      </c>
      <c r="AU28" s="6">
        <f>'Ember-Adj'!E14</f>
        <v>0</v>
      </c>
      <c r="AV28" s="6">
        <f>'Ember-Adj'!F14</f>
        <v>0</v>
      </c>
      <c r="AW28" s="6">
        <f>'Ember-Adj'!G14</f>
        <v>0</v>
      </c>
      <c r="AX28" s="6">
        <f>'Ember-Adj'!H14</f>
        <v>0</v>
      </c>
      <c r="AY28" s="6">
        <f>'Ember-Adj'!I14</f>
        <v>0</v>
      </c>
      <c r="AZ28" s="6">
        <f>'Ember-Adj'!J14</f>
        <v>0</v>
      </c>
      <c r="BA28" s="6">
        <f>'Ember-Adj'!K14</f>
        <v>-260</v>
      </c>
      <c r="BB28" s="6">
        <f>'Ember-Adj'!L14</f>
        <v>-180</v>
      </c>
      <c r="BC28" s="6">
        <f>'Ember-Adj'!M14</f>
        <v>-60</v>
      </c>
      <c r="BD28" s="6">
        <f>'Ember-Adj'!N14</f>
        <v>0</v>
      </c>
      <c r="BE28" s="18">
        <f>SUM(AS28:BD28)</f>
        <v>-500</v>
      </c>
      <c r="BG28" s="6">
        <f>C28+AE28+AS28</f>
        <v>3042.4</v>
      </c>
      <c r="BH28" s="6">
        <f>D28+AF28+AT28</f>
        <v>2974.7</v>
      </c>
      <c r="BI28" s="6">
        <f>E28+AG28+AU28</f>
        <v>3242.4</v>
      </c>
      <c r="BJ28" s="6">
        <f>F28+AH28+AV28</f>
        <v>3443.1</v>
      </c>
      <c r="BK28" s="6">
        <f>G28+AI28+AW28</f>
        <v>3161.5</v>
      </c>
      <c r="BL28" s="6">
        <f>H28+AJ28+AX28</f>
        <v>3305</v>
      </c>
      <c r="BM28" s="6">
        <f>I28+AK28+AY28</f>
        <v>3268.2</v>
      </c>
      <c r="BN28" s="6">
        <f>J28+AL28+AZ28</f>
        <v>3124.1</v>
      </c>
      <c r="BO28" s="6">
        <f>K28+AM28+BA28</f>
        <v>2800</v>
      </c>
      <c r="BP28" s="6">
        <f>L28+AN28+BB28</f>
        <v>3080</v>
      </c>
      <c r="BQ28" s="6">
        <f>M28+AO28+BC28</f>
        <v>2850.5</v>
      </c>
      <c r="BR28" s="6">
        <f>N28+AP28+BD28</f>
        <v>3190.7</v>
      </c>
      <c r="BS28" s="18">
        <f>SUM(BG28:BR28)</f>
        <v>37482.599999999991</v>
      </c>
      <c r="BU28" s="6">
        <f>SUM(BG28:BO28)-SUM(C28:K28)</f>
        <v>-260</v>
      </c>
      <c r="BV28" s="6">
        <f>SUM(BG28:BO28)-SUM(C51:K51)</f>
        <v>-1538.3000000000029</v>
      </c>
      <c r="BW28" s="6">
        <f>SUM(BG28:BO28)-SUM(C64:K64)</f>
        <v>-177.00000000000728</v>
      </c>
      <c r="BY28" s="6">
        <f>SUM(BP28:BR28)-SUM(L28:N28)</f>
        <v>-240</v>
      </c>
      <c r="BZ28" s="6">
        <f>SUM(BP28:BR28)-SUM(L51:N51)</f>
        <v>-978.39999999999782</v>
      </c>
      <c r="CA28" s="6">
        <f>SUM(BP28:BR28)-SUM(L64:N64)</f>
        <v>-640.29999999999927</v>
      </c>
      <c r="CC28" s="6">
        <f>BS28-O28</f>
        <v>-500</v>
      </c>
      <c r="CD28" s="6">
        <f>BS28-O51</f>
        <v>-2516.7000000000044</v>
      </c>
      <c r="CE28" s="6">
        <f>BS28-O64</f>
        <v>-817.30000000001019</v>
      </c>
    </row>
    <row r="29" spans="2:83">
      <c r="B29" s="5" t="s">
        <v>111</v>
      </c>
      <c r="C29" s="6">
        <v>959.6</v>
      </c>
      <c r="D29" s="6">
        <v>933.3</v>
      </c>
      <c r="E29" s="6">
        <v>1021.8</v>
      </c>
      <c r="F29" s="6">
        <v>1085.5999999999999</v>
      </c>
      <c r="G29" s="6">
        <v>993.5</v>
      </c>
      <c r="H29" s="6">
        <v>1037.5</v>
      </c>
      <c r="I29" s="6">
        <v>1033.2</v>
      </c>
      <c r="J29" s="6">
        <v>988.7</v>
      </c>
      <c r="K29" s="6">
        <v>964.7</v>
      </c>
      <c r="L29" s="6">
        <v>1026.5</v>
      </c>
      <c r="M29" s="6">
        <v>916.7</v>
      </c>
      <c r="N29" s="6">
        <v>1001.9</v>
      </c>
      <c r="O29" s="18">
        <f>SUM(C29:N29)</f>
        <v>11963</v>
      </c>
      <c r="Q29" s="6">
        <v>959.6</v>
      </c>
      <c r="R29" s="6">
        <v>933.3</v>
      </c>
      <c r="S29" s="6">
        <v>1021.8</v>
      </c>
      <c r="T29" s="6">
        <v>1085.5999999999999</v>
      </c>
      <c r="U29" s="6">
        <v>993.5</v>
      </c>
      <c r="V29" s="6">
        <v>1037.5</v>
      </c>
      <c r="W29" s="6">
        <v>1033.2</v>
      </c>
      <c r="X29" s="6">
        <v>988.7</v>
      </c>
      <c r="Y29" s="6">
        <v>964.7</v>
      </c>
      <c r="Z29" s="6">
        <v>1026.5</v>
      </c>
      <c r="AA29" s="6">
        <v>916.7</v>
      </c>
      <c r="AB29" s="6">
        <v>1001.9</v>
      </c>
      <c r="AC29" s="18">
        <f>SUM(Q29:AB29)</f>
        <v>11963</v>
      </c>
      <c r="AE29" s="6">
        <f>Q29-C29</f>
        <v>0</v>
      </c>
      <c r="AF29" s="6">
        <f>R29-D29</f>
        <v>0</v>
      </c>
      <c r="AG29" s="6">
        <f>S29-E29</f>
        <v>0</v>
      </c>
      <c r="AH29" s="6">
        <f>T29-F29</f>
        <v>0</v>
      </c>
      <c r="AI29" s="6">
        <f>U29-G29</f>
        <v>0</v>
      </c>
      <c r="AJ29" s="6">
        <f>V29-H29</f>
        <v>0</v>
      </c>
      <c r="AK29" s="6">
        <f>W29-I29</f>
        <v>0</v>
      </c>
      <c r="AL29" s="6">
        <f>X29-J29</f>
        <v>0</v>
      </c>
      <c r="AM29" s="6">
        <f>Y29-K29</f>
        <v>0</v>
      </c>
      <c r="AN29" s="6">
        <f>Z29-L29</f>
        <v>0</v>
      </c>
      <c r="AO29" s="6">
        <f>AA29-M29</f>
        <v>0</v>
      </c>
      <c r="AP29" s="6">
        <f>AB29-N29</f>
        <v>0</v>
      </c>
      <c r="AQ29" s="18">
        <f>SUM(AE29:AP29)</f>
        <v>0</v>
      </c>
      <c r="AS29" s="6">
        <f>'Ember-Adj'!C36+'Ember-Adj'!C77</f>
        <v>0</v>
      </c>
      <c r="AT29" s="6">
        <f>'Ember-Adj'!D36+'Ember-Adj'!D77</f>
        <v>0</v>
      </c>
      <c r="AU29" s="6">
        <f>'Ember-Adj'!E36+'Ember-Adj'!E77</f>
        <v>0</v>
      </c>
      <c r="AV29" s="6">
        <f>'Ember-Adj'!F36+'Ember-Adj'!F77</f>
        <v>0</v>
      </c>
      <c r="AW29" s="6">
        <f>'Ember-Adj'!G36+'Ember-Adj'!G77</f>
        <v>0</v>
      </c>
      <c r="AX29" s="6">
        <f>'Ember-Adj'!H36+'Ember-Adj'!H77</f>
        <v>0</v>
      </c>
      <c r="AY29" s="6">
        <f>'Ember-Adj'!I36+'Ember-Adj'!I77</f>
        <v>0</v>
      </c>
      <c r="AZ29" s="6">
        <f>'Ember-Adj'!J36+'Ember-Adj'!J77</f>
        <v>0</v>
      </c>
      <c r="BA29" s="6">
        <f>'Ember-Adj'!K36+'Ember-Adj'!K77</f>
        <v>-83</v>
      </c>
      <c r="BB29" s="6">
        <f>'Ember-Adj'!L36+'Ember-Adj'!L77</f>
        <v>-58</v>
      </c>
      <c r="BC29" s="6">
        <f>'Ember-Adj'!M36+'Ember-Adj'!M77</f>
        <v>-19</v>
      </c>
      <c r="BD29" s="6">
        <f>'Ember-Adj'!N36+'Ember-Adj'!N77</f>
        <v>0</v>
      </c>
      <c r="BE29" s="18">
        <f>SUM(AS29:BD29)</f>
        <v>-160</v>
      </c>
      <c r="BG29" s="6">
        <f>C29+AE29+AS29</f>
        <v>959.6</v>
      </c>
      <c r="BH29" s="6">
        <f>D29+AF29+AT29</f>
        <v>933.3</v>
      </c>
      <c r="BI29" s="6">
        <f>E29+AG29+AU29</f>
        <v>1021.8</v>
      </c>
      <c r="BJ29" s="6">
        <f>F29+AH29+AV29</f>
        <v>1085.5999999999999</v>
      </c>
      <c r="BK29" s="6">
        <f>G29+AI29+AW29</f>
        <v>993.5</v>
      </c>
      <c r="BL29" s="6">
        <f>H29+AJ29+AX29</f>
        <v>1037.5</v>
      </c>
      <c r="BM29" s="6">
        <f>I29+AK29+AY29</f>
        <v>1033.2</v>
      </c>
      <c r="BN29" s="6">
        <f>J29+AL29+AZ29</f>
        <v>988.7</v>
      </c>
      <c r="BO29" s="6">
        <f>K29+AM29+BA29</f>
        <v>881.7</v>
      </c>
      <c r="BP29" s="6">
        <f>L29+AN29+BB29</f>
        <v>968.5</v>
      </c>
      <c r="BQ29" s="6">
        <f>M29+AO29+BC29</f>
        <v>897.7</v>
      </c>
      <c r="BR29" s="6">
        <f>N29+AP29+BD29</f>
        <v>1001.9</v>
      </c>
      <c r="BS29" s="18">
        <f>SUM(BG29:BR29)</f>
        <v>11803</v>
      </c>
      <c r="BU29" s="6">
        <f>SUM(BG29:BO29)-SUM(C29:K29)</f>
        <v>-83</v>
      </c>
      <c r="BV29" s="6">
        <f>SUM(BG29:BO29)-SUM(C52:K52)</f>
        <v>-633</v>
      </c>
      <c r="BW29" s="6">
        <f>SUM(BG29:BO29)-SUM(C65:K65)</f>
        <v>-140.50000000000182</v>
      </c>
      <c r="BY29" s="6">
        <f>SUM(BP29:BR29)-SUM(L29:N29)</f>
        <v>-77</v>
      </c>
      <c r="BZ29" s="6">
        <f>SUM(BP29:BR29)-SUM(L52:N52)</f>
        <v>-363.5</v>
      </c>
      <c r="CA29" s="6">
        <f>SUM(BP29:BR29)-SUM(L65:N65)</f>
        <v>-238.09999999999991</v>
      </c>
      <c r="CC29" s="6">
        <f>BS29-O29</f>
        <v>-160</v>
      </c>
      <c r="CD29" s="6">
        <f>BS29-O52</f>
        <v>-996.5</v>
      </c>
      <c r="CE29" s="6">
        <f>BS29-O65</f>
        <v>-378.60000000000036</v>
      </c>
    </row>
    <row r="30" spans="2:83">
      <c r="B30" s="5" t="s">
        <v>112</v>
      </c>
      <c r="C30" s="6">
        <v>-726.6</v>
      </c>
      <c r="D30" s="6">
        <v>-708.2</v>
      </c>
      <c r="E30" s="6">
        <v>-767</v>
      </c>
      <c r="F30" s="6">
        <v>-829</v>
      </c>
      <c r="G30" s="6">
        <v>-745.3</v>
      </c>
      <c r="H30" s="6">
        <v>-787.6</v>
      </c>
      <c r="I30" s="6">
        <v>-784.4</v>
      </c>
      <c r="J30" s="6">
        <v>-749.5</v>
      </c>
      <c r="K30" s="6">
        <v>-736.5</v>
      </c>
      <c r="L30" s="6">
        <v>-797.2</v>
      </c>
      <c r="M30" s="6">
        <v>-714.7</v>
      </c>
      <c r="N30" s="6">
        <v>-776.1</v>
      </c>
      <c r="O30" s="18">
        <f>SUM(C30:N30)</f>
        <v>-9122.1</v>
      </c>
      <c r="Q30" s="6">
        <v>-726.6</v>
      </c>
      <c r="R30" s="6">
        <v>-708.2</v>
      </c>
      <c r="S30" s="6">
        <v>-767</v>
      </c>
      <c r="T30" s="6">
        <v>-829</v>
      </c>
      <c r="U30" s="6">
        <v>-745.3</v>
      </c>
      <c r="V30" s="6">
        <v>-787.6</v>
      </c>
      <c r="W30" s="6">
        <v>-784.4</v>
      </c>
      <c r="X30" s="6">
        <v>-749.5</v>
      </c>
      <c r="Y30" s="6">
        <v>-736.5</v>
      </c>
      <c r="Z30" s="6">
        <v>-797.2</v>
      </c>
      <c r="AA30" s="6">
        <v>-714.7</v>
      </c>
      <c r="AB30" s="6">
        <v>-776.1</v>
      </c>
      <c r="AC30" s="18">
        <f>SUM(Q30:AB30)</f>
        <v>-9122.1</v>
      </c>
      <c r="AE30" s="6">
        <f>Q30-C30</f>
        <v>0</v>
      </c>
      <c r="AF30" s="6">
        <f>R30-D30</f>
        <v>0</v>
      </c>
      <c r="AG30" s="6">
        <f>S30-E30</f>
        <v>0</v>
      </c>
      <c r="AH30" s="6">
        <f>T30-F30</f>
        <v>0</v>
      </c>
      <c r="AI30" s="6">
        <f>U30-G30</f>
        <v>0</v>
      </c>
      <c r="AJ30" s="6">
        <f>V30-H30</f>
        <v>0</v>
      </c>
      <c r="AK30" s="6">
        <f>W30-I30</f>
        <v>0</v>
      </c>
      <c r="AL30" s="6">
        <f>X30-J30</f>
        <v>0</v>
      </c>
      <c r="AM30" s="6">
        <f>Y30-K30</f>
        <v>0</v>
      </c>
      <c r="AN30" s="6">
        <f>Z30-L30</f>
        <v>0</v>
      </c>
      <c r="AO30" s="6">
        <f>AA30-M30</f>
        <v>0</v>
      </c>
      <c r="AP30" s="6">
        <f>AB30-N30</f>
        <v>0</v>
      </c>
      <c r="AQ30" s="18">
        <f>SUM(AE30:AP30)</f>
        <v>0</v>
      </c>
      <c r="AS30" s="6">
        <f>-'Ember-Adj'!C58-'Ember-Adj'!C84</f>
        <v>0</v>
      </c>
      <c r="AT30" s="6">
        <f>-'Ember-Adj'!D58-'Ember-Adj'!D84</f>
        <v>0</v>
      </c>
      <c r="AU30" s="6">
        <f>-'Ember-Adj'!E58-'Ember-Adj'!E84</f>
        <v>0</v>
      </c>
      <c r="AV30" s="6">
        <f>-'Ember-Adj'!F58-'Ember-Adj'!F84</f>
        <v>0</v>
      </c>
      <c r="AW30" s="6">
        <f>-'Ember-Adj'!G58-'Ember-Adj'!G84</f>
        <v>0</v>
      </c>
      <c r="AX30" s="6">
        <f>-'Ember-Adj'!H58-'Ember-Adj'!H84</f>
        <v>0</v>
      </c>
      <c r="AY30" s="6">
        <f>-'Ember-Adj'!I58-'Ember-Adj'!I84</f>
        <v>0</v>
      </c>
      <c r="AZ30" s="6">
        <f>-'Ember-Adj'!J58-'Ember-Adj'!J84</f>
        <v>0</v>
      </c>
      <c r="BA30" s="6">
        <f>-'Ember-Adj'!K58-'Ember-Adj'!K84</f>
        <v>10</v>
      </c>
      <c r="BB30" s="6">
        <f>-'Ember-Adj'!L58-'Ember-Adj'!L84</f>
        <v>10</v>
      </c>
      <c r="BC30" s="6">
        <f>-'Ember-Adj'!M58-'Ember-Adj'!M84</f>
        <v>10</v>
      </c>
      <c r="BD30" s="6">
        <f>-'Ember-Adj'!N58-'Ember-Adj'!N84</f>
        <v>10</v>
      </c>
      <c r="BE30" s="18">
        <f>SUM(AS30:BD30)</f>
        <v>40</v>
      </c>
      <c r="BG30" s="6">
        <f>C30+AE30+AS30</f>
        <v>-726.6</v>
      </c>
      <c r="BH30" s="6">
        <f>D30+AF30+AT30</f>
        <v>-708.2</v>
      </c>
      <c r="BI30" s="6">
        <f>E30+AG30+AU30</f>
        <v>-767</v>
      </c>
      <c r="BJ30" s="6">
        <f>F30+AH30+AV30</f>
        <v>-829</v>
      </c>
      <c r="BK30" s="6">
        <f>G30+AI30+AW30</f>
        <v>-745.3</v>
      </c>
      <c r="BL30" s="6">
        <f>H30+AJ30+AX30</f>
        <v>-787.6</v>
      </c>
      <c r="BM30" s="6">
        <f>I30+AK30+AY30</f>
        <v>-784.4</v>
      </c>
      <c r="BN30" s="6">
        <f>J30+AL30+AZ30</f>
        <v>-749.5</v>
      </c>
      <c r="BO30" s="6">
        <f>K30+AM30+BA30</f>
        <v>-726.5</v>
      </c>
      <c r="BP30" s="6">
        <f>L30+AN30+BB30</f>
        <v>-787.2</v>
      </c>
      <c r="BQ30" s="6">
        <f>M30+AO30+BC30</f>
        <v>-704.7</v>
      </c>
      <c r="BR30" s="6">
        <f>N30+AP30+BD30</f>
        <v>-766.1</v>
      </c>
      <c r="BS30" s="18">
        <f>SUM(BG30:BR30)</f>
        <v>-9082.1</v>
      </c>
      <c r="BU30" s="6">
        <f>SUM(BG30:BO30)-SUM(C30:K30)</f>
        <v>10</v>
      </c>
      <c r="BV30" s="6">
        <f>SUM(BG30:BO30)-SUM(C53:K53)</f>
        <v>173.09999999999945</v>
      </c>
      <c r="BW30" s="6">
        <f>SUM(BG30:BO30)-SUM(C66:K66)</f>
        <v>13.300000000000182</v>
      </c>
      <c r="BY30" s="6">
        <f>SUM(BP30:BR30)-SUM(L30:N30)</f>
        <v>30</v>
      </c>
      <c r="BZ30" s="6">
        <f>SUM(BP30:BR30)-SUM(L53:N53)</f>
        <v>105.30000000000018</v>
      </c>
      <c r="CA30" s="6">
        <f>SUM(BP30:BR30)-SUM(L66:N66)</f>
        <v>48</v>
      </c>
      <c r="CC30" s="6">
        <f>BS30-O30</f>
        <v>40</v>
      </c>
      <c r="CD30" s="6">
        <f>BS30-O53</f>
        <v>278.39999999999964</v>
      </c>
      <c r="CE30" s="6">
        <f>BS30-O66</f>
        <v>61.300000000001091</v>
      </c>
    </row>
    <row r="31" spans="2:83">
      <c r="B31" s="2" t="s">
        <v>113</v>
      </c>
      <c r="C31" s="6">
        <f>C29+C30</f>
        <v>233</v>
      </c>
      <c r="D31" s="6">
        <f>D29+D30</f>
        <v>225.09999999999991</v>
      </c>
      <c r="E31" s="6">
        <f>E29+E30</f>
        <v>254.79999999999995</v>
      </c>
      <c r="F31" s="6">
        <f>F29+F30</f>
        <v>256.59999999999991</v>
      </c>
      <c r="G31" s="6">
        <f>G29+G30</f>
        <v>248.20000000000005</v>
      </c>
      <c r="H31" s="6">
        <f>H29+H30</f>
        <v>249.89999999999998</v>
      </c>
      <c r="I31" s="6">
        <f>I29+I30</f>
        <v>248.80000000000007</v>
      </c>
      <c r="J31" s="6">
        <f>J29+J30</f>
        <v>239.20000000000005</v>
      </c>
      <c r="K31" s="6">
        <f>K29+K30</f>
        <v>228.20000000000005</v>
      </c>
      <c r="L31" s="6">
        <f>L29+L30</f>
        <v>229.29999999999995</v>
      </c>
      <c r="M31" s="6">
        <f>M29+M30</f>
        <v>202</v>
      </c>
      <c r="N31" s="6">
        <f>N29+N30</f>
        <v>225.79999999999995</v>
      </c>
      <c r="O31" s="18">
        <f>SUM(C31:N31)</f>
        <v>2840.9000000000005</v>
      </c>
      <c r="Q31" s="6">
        <f>Q29+Q30</f>
        <v>233</v>
      </c>
      <c r="R31" s="6">
        <f>R29+R30</f>
        <v>225.09999999999991</v>
      </c>
      <c r="S31" s="6">
        <f>S29+S30</f>
        <v>254.79999999999995</v>
      </c>
      <c r="T31" s="6">
        <f>T29+T30</f>
        <v>256.59999999999991</v>
      </c>
      <c r="U31" s="6">
        <f>U29+U30</f>
        <v>248.20000000000005</v>
      </c>
      <c r="V31" s="6">
        <f>V29+V30</f>
        <v>249.89999999999998</v>
      </c>
      <c r="W31" s="6">
        <f>W29+W30</f>
        <v>248.80000000000007</v>
      </c>
      <c r="X31" s="6">
        <f>X29+X30</f>
        <v>239.20000000000005</v>
      </c>
      <c r="Y31" s="6">
        <f>Y29+Y30</f>
        <v>228.20000000000005</v>
      </c>
      <c r="Z31" s="6">
        <f>Z29+Z30</f>
        <v>229.29999999999995</v>
      </c>
      <c r="AA31" s="6">
        <f>AA29+AA30</f>
        <v>202</v>
      </c>
      <c r="AB31" s="6">
        <f>AB29+AB30</f>
        <v>225.79999999999995</v>
      </c>
      <c r="AC31" s="18">
        <f>SUM(Q31:AB31)</f>
        <v>2840.9000000000005</v>
      </c>
      <c r="AE31" s="6">
        <f>AE29+AE30</f>
        <v>0</v>
      </c>
      <c r="AF31" s="6">
        <f>AF29+AF30</f>
        <v>0</v>
      </c>
      <c r="AG31" s="6">
        <f>AG29+AG30</f>
        <v>0</v>
      </c>
      <c r="AH31" s="6">
        <f>AH29+AH30</f>
        <v>0</v>
      </c>
      <c r="AI31" s="6">
        <f>AI29+AI30</f>
        <v>0</v>
      </c>
      <c r="AJ31" s="6">
        <f>AJ29+AJ30</f>
        <v>0</v>
      </c>
      <c r="AK31" s="6">
        <f>AK29+AK30</f>
        <v>0</v>
      </c>
      <c r="AL31" s="6">
        <f>AL29+AL30</f>
        <v>0</v>
      </c>
      <c r="AM31" s="6">
        <f>AM29+AM30</f>
        <v>0</v>
      </c>
      <c r="AN31" s="6">
        <f>AN29+AN30</f>
        <v>0</v>
      </c>
      <c r="AO31" s="6">
        <f>AO29+AO30</f>
        <v>0</v>
      </c>
      <c r="AP31" s="6">
        <f>AP29+AP30</f>
        <v>0</v>
      </c>
      <c r="AQ31" s="18">
        <f>SUM(AE31:AP31)</f>
        <v>0</v>
      </c>
      <c r="AS31" s="6">
        <f>AS29+AS30</f>
        <v>0</v>
      </c>
      <c r="AT31" s="6">
        <f>AT29+AT30</f>
        <v>0</v>
      </c>
      <c r="AU31" s="6">
        <f>AU29+AU30</f>
        <v>0</v>
      </c>
      <c r="AV31" s="6">
        <f>AV29+AV30</f>
        <v>0</v>
      </c>
      <c r="AW31" s="6">
        <f>AW29+AW30</f>
        <v>0</v>
      </c>
      <c r="AX31" s="6">
        <f>AX29+AX30</f>
        <v>0</v>
      </c>
      <c r="AY31" s="6">
        <f>AY29+AY30</f>
        <v>0</v>
      </c>
      <c r="AZ31" s="6">
        <f>AZ29+AZ30</f>
        <v>0</v>
      </c>
      <c r="BA31" s="6">
        <f>BA29+BA30</f>
        <v>-73</v>
      </c>
      <c r="BB31" s="6">
        <f>BB29+BB30</f>
        <v>-48</v>
      </c>
      <c r="BC31" s="6">
        <f>BC29+BC30</f>
        <v>-9</v>
      </c>
      <c r="BD31" s="6">
        <f>BD29+BD30</f>
        <v>10</v>
      </c>
      <c r="BE31" s="18">
        <f>SUM(AS31:BD31)</f>
        <v>-120</v>
      </c>
      <c r="BG31" s="6">
        <f>BG29+BG30</f>
        <v>233</v>
      </c>
      <c r="BH31" s="6">
        <f>BH29+BH30</f>
        <v>225.09999999999991</v>
      </c>
      <c r="BI31" s="6">
        <f>BI29+BI30</f>
        <v>254.79999999999995</v>
      </c>
      <c r="BJ31" s="6">
        <f>BJ29+BJ30</f>
        <v>256.59999999999991</v>
      </c>
      <c r="BK31" s="6">
        <f>BK29+BK30</f>
        <v>248.20000000000005</v>
      </c>
      <c r="BL31" s="6">
        <f>BL29+BL30</f>
        <v>249.89999999999998</v>
      </c>
      <c r="BM31" s="6">
        <f>BM29+BM30</f>
        <v>248.80000000000007</v>
      </c>
      <c r="BN31" s="6">
        <f>BN29+BN30</f>
        <v>239.20000000000005</v>
      </c>
      <c r="BO31" s="6">
        <f>BO29+BO30</f>
        <v>155.20000000000005</v>
      </c>
      <c r="BP31" s="6">
        <f>BP29+BP30</f>
        <v>181.29999999999995</v>
      </c>
      <c r="BQ31" s="6">
        <f>BQ29+BQ30</f>
        <v>193</v>
      </c>
      <c r="BR31" s="6">
        <f>BR29+BR30</f>
        <v>235.79999999999995</v>
      </c>
      <c r="BS31" s="18">
        <f>SUM(BG31:BR31)</f>
        <v>2720.9000000000005</v>
      </c>
      <c r="BU31" s="6">
        <f>SUM(BG31:BO31)-SUM(C31:K31)</f>
        <v>-73</v>
      </c>
      <c r="BV31" s="6">
        <f>SUM(BG31:BO31)-SUM(C54:K54)</f>
        <v>-459.90000000000009</v>
      </c>
      <c r="BW31" s="6">
        <f>SUM(BG31:BO31)-SUM(C67:K67)</f>
        <v>-127.19999999999982</v>
      </c>
      <c r="BY31" s="6">
        <f>SUM(BP31:BR31)-SUM(L31:N31)</f>
        <v>-47</v>
      </c>
      <c r="BZ31" s="6">
        <f>SUM(BP31:BR31)-SUM(L54:N54)</f>
        <v>-258.19999999999993</v>
      </c>
      <c r="CA31" s="6">
        <f>SUM(BP31:BR31)-SUM(L67:N67)</f>
        <v>-190.10000000000002</v>
      </c>
      <c r="CC31" s="6">
        <f>BS31-O31</f>
        <v>-120</v>
      </c>
      <c r="CD31" s="6">
        <f>BS31-O54</f>
        <v>-718.09999999999991</v>
      </c>
      <c r="CE31" s="6">
        <f>BS31-O67</f>
        <v>-317.29999999999927</v>
      </c>
    </row>
    <row r="35" spans="2:71">
      <c r="B35" s="5" t="s">
        <v>166</v>
      </c>
      <c r="C35" s="12">
        <f>IFERROR(C29/C28,0)</f>
        <v>0.31540888772022085</v>
      </c>
      <c r="D35" s="12">
        <f>IFERROR(D29/D28,0)</f>
        <v>0.31374592395871853</v>
      </c>
      <c r="E35" s="12">
        <f>IFERROR(E29/E28,0)</f>
        <v>0.31513693560325684</v>
      </c>
      <c r="F35" s="12">
        <f>IFERROR(F29/F28,0)</f>
        <v>0.31529726118904472</v>
      </c>
      <c r="G35" s="12">
        <f>IFERROR(G29/G28,0)</f>
        <v>0.31424956507986718</v>
      </c>
      <c r="H35" s="12">
        <f>IFERROR(H29/H28,0)</f>
        <v>0.31391830559757944</v>
      </c>
      <c r="I35" s="12">
        <f>IFERROR(I29/I28,0)</f>
        <v>0.31613732329722788</v>
      </c>
      <c r="J35" s="12">
        <f>IFERROR(J29/J28,0)</f>
        <v>0.31647514484171446</v>
      </c>
      <c r="K35" s="12">
        <f>IFERROR(K29/K28,0)</f>
        <v>0.31526143790849676</v>
      </c>
      <c r="L35" s="12">
        <f>IFERROR(L29/L28,0)</f>
        <v>0.31487730061349695</v>
      </c>
      <c r="M35" s="12">
        <f>IFERROR(M29/M28,0)</f>
        <v>0.31496306476550423</v>
      </c>
      <c r="N35" s="12">
        <f>IFERROR(N29/N28,0)</f>
        <v>0.31400633089917573</v>
      </c>
      <c r="O35" s="12">
        <f>IFERROR(O29/O28,0)</f>
        <v>0.31496000800366492</v>
      </c>
      <c r="Q35" s="12">
        <f>IFERROR(Q29/Q28,0)</f>
        <v>0.31540888772022085</v>
      </c>
      <c r="R35" s="12">
        <f>IFERROR(R29/R28,0)</f>
        <v>0.31374592395871853</v>
      </c>
      <c r="S35" s="12">
        <f>IFERROR(S29/S28,0)</f>
        <v>0.31513693560325684</v>
      </c>
      <c r="T35" s="12">
        <f>IFERROR(T29/T28,0)</f>
        <v>0.31529726118904472</v>
      </c>
      <c r="U35" s="12">
        <f>IFERROR(U29/U28,0)</f>
        <v>0.31424956507986718</v>
      </c>
      <c r="V35" s="12">
        <f>IFERROR(V29/V28,0)</f>
        <v>0.31391830559757944</v>
      </c>
      <c r="W35" s="12">
        <f>IFERROR(W29/W28,0)</f>
        <v>0.31613732329722788</v>
      </c>
      <c r="X35" s="12">
        <f>IFERROR(X29/X28,0)</f>
        <v>0.31647514484171446</v>
      </c>
      <c r="Y35" s="12">
        <f>IFERROR(Y29/Y28,0)</f>
        <v>0.31526143790849676</v>
      </c>
      <c r="Z35" s="12">
        <f>IFERROR(Z29/Z28,0)</f>
        <v>0.31487730061349695</v>
      </c>
      <c r="AA35" s="12">
        <f>IFERROR(AA29/AA28,0)</f>
        <v>0.31496306476550423</v>
      </c>
      <c r="AB35" s="12">
        <f>IFERROR(AB29/AB28,0)</f>
        <v>0.31400633089917573</v>
      </c>
      <c r="AC35" s="12">
        <f>IFERROR(AC29/AC28,0)</f>
        <v>0.31496000800366492</v>
      </c>
      <c r="AE35" s="12">
        <f>IFERROR(AE29/AE28,0)</f>
        <v>0</v>
      </c>
      <c r="AF35" s="12">
        <f>IFERROR(AF29/AF28,0)</f>
        <v>0</v>
      </c>
      <c r="AG35" s="12">
        <f>IFERROR(AG29/AG28,0)</f>
        <v>0</v>
      </c>
      <c r="AH35" s="12">
        <f>IFERROR(AH29/AH28,0)</f>
        <v>0</v>
      </c>
      <c r="AI35" s="12">
        <f>IFERROR(AI29/AI28,0)</f>
        <v>0</v>
      </c>
      <c r="AJ35" s="12">
        <f>IFERROR(AJ29/AJ28,0)</f>
        <v>0</v>
      </c>
      <c r="AK35" s="12">
        <f>IFERROR(AK29/AK28,0)</f>
        <v>0</v>
      </c>
      <c r="AL35" s="12">
        <f>IFERROR(AL29/AL28,0)</f>
        <v>0</v>
      </c>
      <c r="AM35" s="12">
        <f>IFERROR(AM29/AM28,0)</f>
        <v>0</v>
      </c>
      <c r="AN35" s="12">
        <f>IFERROR(AN29/AN28,0)</f>
        <v>0</v>
      </c>
      <c r="AO35" s="12">
        <f>IFERROR(AO29/AO28,0)</f>
        <v>0</v>
      </c>
      <c r="AP35" s="12">
        <f>IFERROR(AP29/AP28,0)</f>
        <v>0</v>
      </c>
      <c r="AQ35" s="12">
        <f>IFERROR(AQ29/AQ28,0)</f>
        <v>0</v>
      </c>
      <c r="AS35" s="12">
        <f>IFERROR(AS29/AS28,0)</f>
        <v>0</v>
      </c>
      <c r="AT35" s="12">
        <f>IFERROR(AT29/AT28,0)</f>
        <v>0</v>
      </c>
      <c r="AU35" s="12">
        <f>IFERROR(AU29/AU28,0)</f>
        <v>0</v>
      </c>
      <c r="AV35" s="12">
        <f>IFERROR(AV29/AV28,0)</f>
        <v>0</v>
      </c>
      <c r="AW35" s="12">
        <f>IFERROR(AW29/AW28,0)</f>
        <v>0</v>
      </c>
      <c r="AX35" s="12">
        <f>IFERROR(AX29/AX28,0)</f>
        <v>0</v>
      </c>
      <c r="AY35" s="12">
        <f>IFERROR(AY29/AY28,0)</f>
        <v>0</v>
      </c>
      <c r="AZ35" s="12">
        <f>IFERROR(AZ29/AZ28,0)</f>
        <v>0</v>
      </c>
      <c r="BA35" s="12">
        <f>IFERROR(BA29/BA28,0)</f>
        <v>0.31923076923076921</v>
      </c>
      <c r="BB35" s="12">
        <f>IFERROR(BB29/BB28,0)</f>
        <v>0.32222222222222224</v>
      </c>
      <c r="BC35" s="12">
        <f>IFERROR(BC29/BC28,0)</f>
        <v>0.31666666666666665</v>
      </c>
      <c r="BD35" s="12">
        <f>IFERROR(BD29/BD28,0)</f>
        <v>0</v>
      </c>
      <c r="BE35" s="12">
        <f>IFERROR(BE29/BE28,0)</f>
        <v>0.32</v>
      </c>
      <c r="BG35" s="12">
        <f>IFERROR(BG29/BG28,0)</f>
        <v>0.31540888772022085</v>
      </c>
      <c r="BH35" s="12">
        <f>IFERROR(BH29/BH28,0)</f>
        <v>0.31374592395871853</v>
      </c>
      <c r="BI35" s="12">
        <f>IFERROR(BI29/BI28,0)</f>
        <v>0.31513693560325684</v>
      </c>
      <c r="BJ35" s="12">
        <f>IFERROR(BJ29/BJ28,0)</f>
        <v>0.31529726118904472</v>
      </c>
      <c r="BK35" s="12">
        <f>IFERROR(BK29/BK28,0)</f>
        <v>0.31424956507986718</v>
      </c>
      <c r="BL35" s="12">
        <f>IFERROR(BL29/BL28,0)</f>
        <v>0.31391830559757944</v>
      </c>
      <c r="BM35" s="12">
        <f>IFERROR(BM29/BM28,0)</f>
        <v>0.31613732329722788</v>
      </c>
      <c r="BN35" s="12">
        <f>IFERROR(BN29/BN28,0)</f>
        <v>0.31647514484171446</v>
      </c>
      <c r="BO35" s="12">
        <f>IFERROR(BO29/BO28,0)</f>
        <v>0.31489285714285714</v>
      </c>
      <c r="BP35" s="12">
        <f>IFERROR(BP29/BP28,0)</f>
        <v>0.31444805194805192</v>
      </c>
      <c r="BQ35" s="12">
        <f>IFERROR(BQ29/BQ28,0)</f>
        <v>0.31492720575337663</v>
      </c>
      <c r="BR35" s="12">
        <f>IFERROR(BR29/BR28,0)</f>
        <v>0.31400633089917573</v>
      </c>
      <c r="BS35" s="12">
        <f>IFERROR(BS29/BS28,0)</f>
        <v>0.31489277691515538</v>
      </c>
    </row>
    <row r="36" spans="2:71">
      <c r="B36" s="5" t="s">
        <v>167</v>
      </c>
      <c r="C36" s="12">
        <f>IFERROR(C30/C28,0)</f>
        <v>-0.23882461214830397</v>
      </c>
      <c r="D36" s="12">
        <f>IFERROR(D30/D28,0)</f>
        <v>-0.23807442767337886</v>
      </c>
      <c r="E36" s="12">
        <f>IFERROR(E30/E28,0)</f>
        <v>-0.23655317049099431</v>
      </c>
      <c r="F36" s="12">
        <f>IFERROR(F30/F28,0)</f>
        <v>-0.24077139786820018</v>
      </c>
      <c r="G36" s="12">
        <f>IFERROR(G30/G28,0)</f>
        <v>-0.23574252728135378</v>
      </c>
      <c r="H36" s="12">
        <f>IFERROR(H30/H28,0)</f>
        <v>-0.23830559757942513</v>
      </c>
      <c r="I36" s="12">
        <f>IFERROR(I30/I28,0)</f>
        <v>-0.24000979132244049</v>
      </c>
      <c r="J36" s="12">
        <f>IFERROR(J30/J28,0)</f>
        <v>-0.2399090938190199</v>
      </c>
      <c r="K36" s="12">
        <f>IFERROR(K30/K28,0)</f>
        <v>-0.24068627450980393</v>
      </c>
      <c r="L36" s="12">
        <f>IFERROR(L30/L28,0)</f>
        <v>-0.24453987730061352</v>
      </c>
      <c r="M36" s="12">
        <f>IFERROR(M30/M28,0)</f>
        <v>-0.24555918227108745</v>
      </c>
      <c r="N36" s="12">
        <f>IFERROR(N30/N28,0)</f>
        <v>-0.24323816090513056</v>
      </c>
      <c r="O36" s="12">
        <f>IFERROR(O30/O28,0)</f>
        <v>-0.24016523355431177</v>
      </c>
      <c r="Q36" s="12">
        <f>IFERROR(Q30/Q28,0)</f>
        <v>-0.23882461214830397</v>
      </c>
      <c r="R36" s="12">
        <f>IFERROR(R30/R28,0)</f>
        <v>-0.23807442767337886</v>
      </c>
      <c r="S36" s="12">
        <f>IFERROR(S30/S28,0)</f>
        <v>-0.23655317049099431</v>
      </c>
      <c r="T36" s="12">
        <f>IFERROR(T30/T28,0)</f>
        <v>-0.24077139786820018</v>
      </c>
      <c r="U36" s="12">
        <f>IFERROR(U30/U28,0)</f>
        <v>-0.23574252728135378</v>
      </c>
      <c r="V36" s="12">
        <f>IFERROR(V30/V28,0)</f>
        <v>-0.23830559757942513</v>
      </c>
      <c r="W36" s="12">
        <f>IFERROR(W30/W28,0)</f>
        <v>-0.24000979132244049</v>
      </c>
      <c r="X36" s="12">
        <f>IFERROR(X30/X28,0)</f>
        <v>-0.2399090938190199</v>
      </c>
      <c r="Y36" s="12">
        <f>IFERROR(Y30/Y28,0)</f>
        <v>-0.24068627450980393</v>
      </c>
      <c r="Z36" s="12">
        <f>IFERROR(Z30/Z28,0)</f>
        <v>-0.24453987730061352</v>
      </c>
      <c r="AA36" s="12">
        <f>IFERROR(AA30/AA28,0)</f>
        <v>-0.24555918227108745</v>
      </c>
      <c r="AB36" s="12">
        <f>IFERROR(AB30/AB28,0)</f>
        <v>-0.24323816090513056</v>
      </c>
      <c r="AC36" s="12">
        <f>IFERROR(AC30/AC28,0)</f>
        <v>-0.24016523355431177</v>
      </c>
      <c r="AE36" s="12">
        <f>IFERROR(AE30/AE28,0)</f>
        <v>0</v>
      </c>
      <c r="AF36" s="12">
        <f>IFERROR(AF30/AF28,0)</f>
        <v>0</v>
      </c>
      <c r="AG36" s="12">
        <f>IFERROR(AG30/AG28,0)</f>
        <v>0</v>
      </c>
      <c r="AH36" s="12">
        <f>IFERROR(AH30/AH28,0)</f>
        <v>0</v>
      </c>
      <c r="AI36" s="12">
        <f>IFERROR(AI30/AI28,0)</f>
        <v>0</v>
      </c>
      <c r="AJ36" s="12">
        <f>IFERROR(AJ30/AJ28,0)</f>
        <v>0</v>
      </c>
      <c r="AK36" s="12">
        <f>IFERROR(AK30/AK28,0)</f>
        <v>0</v>
      </c>
      <c r="AL36" s="12">
        <f>IFERROR(AL30/AL28,0)</f>
        <v>0</v>
      </c>
      <c r="AM36" s="12">
        <f>IFERROR(AM30/AM28,0)</f>
        <v>0</v>
      </c>
      <c r="AN36" s="12">
        <f>IFERROR(AN30/AN28,0)</f>
        <v>0</v>
      </c>
      <c r="AO36" s="12">
        <f>IFERROR(AO30/AO28,0)</f>
        <v>0</v>
      </c>
      <c r="AP36" s="12">
        <f>IFERROR(AP30/AP28,0)</f>
        <v>0</v>
      </c>
      <c r="AQ36" s="12">
        <f>IFERROR(AQ30/AQ28,0)</f>
        <v>0</v>
      </c>
      <c r="AS36" s="12">
        <f>IFERROR(AS30/AS28,0)</f>
        <v>0</v>
      </c>
      <c r="AT36" s="12">
        <f>IFERROR(AT30/AT28,0)</f>
        <v>0</v>
      </c>
      <c r="AU36" s="12">
        <f>IFERROR(AU30/AU28,0)</f>
        <v>0</v>
      </c>
      <c r="AV36" s="12">
        <f>IFERROR(AV30/AV28,0)</f>
        <v>0</v>
      </c>
      <c r="AW36" s="12">
        <f>IFERROR(AW30/AW28,0)</f>
        <v>0</v>
      </c>
      <c r="AX36" s="12">
        <f>IFERROR(AX30/AX28,0)</f>
        <v>0</v>
      </c>
      <c r="AY36" s="12">
        <f>IFERROR(AY30/AY28,0)</f>
        <v>0</v>
      </c>
      <c r="AZ36" s="12">
        <f>IFERROR(AZ30/AZ28,0)</f>
        <v>0</v>
      </c>
      <c r="BA36" s="12">
        <f>IFERROR(BA30/BA28,0)</f>
        <v>-3.8461538461538464E-2</v>
      </c>
      <c r="BB36" s="12">
        <f>IFERROR(BB30/BB28,0)</f>
        <v>-5.5555555555555552E-2</v>
      </c>
      <c r="BC36" s="12">
        <f>IFERROR(BC30/BC28,0)</f>
        <v>-0.16666666666666666</v>
      </c>
      <c r="BD36" s="12">
        <f>IFERROR(BD30/BD28,0)</f>
        <v>0</v>
      </c>
      <c r="BE36" s="12">
        <f>IFERROR(BE30/BE28,0)</f>
        <v>-0.08</v>
      </c>
      <c r="BG36" s="12">
        <f>IFERROR(BG30/BG28,0)</f>
        <v>-0.23882461214830397</v>
      </c>
      <c r="BH36" s="12">
        <f>IFERROR(BH30/BH28,0)</f>
        <v>-0.23807442767337886</v>
      </c>
      <c r="BI36" s="12">
        <f>IFERROR(BI30/BI28,0)</f>
        <v>-0.23655317049099431</v>
      </c>
      <c r="BJ36" s="12">
        <f>IFERROR(BJ30/BJ28,0)</f>
        <v>-0.24077139786820018</v>
      </c>
      <c r="BK36" s="12">
        <f>IFERROR(BK30/BK28,0)</f>
        <v>-0.23574252728135378</v>
      </c>
      <c r="BL36" s="12">
        <f>IFERROR(BL30/BL28,0)</f>
        <v>-0.23830559757942513</v>
      </c>
      <c r="BM36" s="12">
        <f>IFERROR(BM30/BM28,0)</f>
        <v>-0.24000979132244049</v>
      </c>
      <c r="BN36" s="12">
        <f>IFERROR(BN30/BN28,0)</f>
        <v>-0.2399090938190199</v>
      </c>
      <c r="BO36" s="12">
        <f>IFERROR(BO30/BO28,0)</f>
        <v>-0.2594642857142857</v>
      </c>
      <c r="BP36" s="12">
        <f>IFERROR(BP30/BP28,0)</f>
        <v>-0.25558441558441558</v>
      </c>
      <c r="BQ36" s="12">
        <f>IFERROR(BQ30/BQ28,0)</f>
        <v>-0.24721978600245573</v>
      </c>
      <c r="BR36" s="12">
        <f>IFERROR(BR30/BR28,0)</f>
        <v>-0.24010405240229418</v>
      </c>
      <c r="BS36" s="12">
        <f>IFERROR(BS30/BS28,0)</f>
        <v>-0.24230176135060008</v>
      </c>
    </row>
    <row r="37" spans="2:71">
      <c r="B37" s="5" t="s">
        <v>168</v>
      </c>
      <c r="C37" s="12">
        <f>IFERROR(C31/C28,0)</f>
        <v>7.658427557191691E-2</v>
      </c>
      <c r="D37" s="12">
        <f>IFERROR(D31/D28,0)</f>
        <v>7.5671496285339673E-2</v>
      </c>
      <c r="E37" s="12">
        <f>IFERROR(E31/E28,0)</f>
        <v>7.8583765112262505E-2</v>
      </c>
      <c r="F37" s="12">
        <f>IFERROR(F31/F28,0)</f>
        <v>7.4525863320844557E-2</v>
      </c>
      <c r="G37" s="12">
        <f>IFERROR(G31/G28,0)</f>
        <v>7.8507037798513382E-2</v>
      </c>
      <c r="H37" s="12">
        <f>IFERROR(H31/H28,0)</f>
        <v>7.5612708018154298E-2</v>
      </c>
      <c r="I37" s="12">
        <f>IFERROR(I31/I28,0)</f>
        <v>7.6127531974787374E-2</v>
      </c>
      <c r="J37" s="12">
        <f>IFERROR(J31/J28,0)</f>
        <v>7.6566051022694551E-2</v>
      </c>
      <c r="K37" s="12">
        <f>IFERROR(K31/K28,0)</f>
        <v>7.4575163398692829E-2</v>
      </c>
      <c r="L37" s="12">
        <f>IFERROR(L31/L28,0)</f>
        <v>7.0337423312883424E-2</v>
      </c>
      <c r="M37" s="12">
        <f>IFERROR(M31/M28,0)</f>
        <v>6.9403882494416771E-2</v>
      </c>
      <c r="N37" s="12">
        <f>IFERROR(N31/N28,0)</f>
        <v>7.0768169994045185E-2</v>
      </c>
      <c r="O37" s="12">
        <f>IFERROR(O31/O28,0)</f>
        <v>7.479477444935316E-2</v>
      </c>
      <c r="Q37" s="12">
        <f>IFERROR(Q31/Q28,0)</f>
        <v>7.658427557191691E-2</v>
      </c>
      <c r="R37" s="12">
        <f>IFERROR(R31/R28,0)</f>
        <v>7.5671496285339673E-2</v>
      </c>
      <c r="S37" s="12">
        <f>IFERROR(S31/S28,0)</f>
        <v>7.8583765112262505E-2</v>
      </c>
      <c r="T37" s="12">
        <f>IFERROR(T31/T28,0)</f>
        <v>7.4525863320844557E-2</v>
      </c>
      <c r="U37" s="12">
        <f>IFERROR(U31/U28,0)</f>
        <v>7.8507037798513382E-2</v>
      </c>
      <c r="V37" s="12">
        <f>IFERROR(V31/V28,0)</f>
        <v>7.5612708018154298E-2</v>
      </c>
      <c r="W37" s="12">
        <f>IFERROR(W31/W28,0)</f>
        <v>7.6127531974787374E-2</v>
      </c>
      <c r="X37" s="12">
        <f>IFERROR(X31/X28,0)</f>
        <v>7.6566051022694551E-2</v>
      </c>
      <c r="Y37" s="12">
        <f>IFERROR(Y31/Y28,0)</f>
        <v>7.4575163398692829E-2</v>
      </c>
      <c r="Z37" s="12">
        <f>IFERROR(Z31/Z28,0)</f>
        <v>7.0337423312883424E-2</v>
      </c>
      <c r="AA37" s="12">
        <f>IFERROR(AA31/AA28,0)</f>
        <v>6.9403882494416771E-2</v>
      </c>
      <c r="AB37" s="12">
        <f>IFERROR(AB31/AB28,0)</f>
        <v>7.0768169994045185E-2</v>
      </c>
      <c r="AC37" s="12">
        <f>IFERROR(AC31/AC28,0)</f>
        <v>7.479477444935316E-2</v>
      </c>
      <c r="AE37" s="12">
        <f>IFERROR(AE31/AE28,0)</f>
        <v>0</v>
      </c>
      <c r="AF37" s="12">
        <f>IFERROR(AF31/AF28,0)</f>
        <v>0</v>
      </c>
      <c r="AG37" s="12">
        <f>IFERROR(AG31/AG28,0)</f>
        <v>0</v>
      </c>
      <c r="AH37" s="12">
        <f>IFERROR(AH31/AH28,0)</f>
        <v>0</v>
      </c>
      <c r="AI37" s="12">
        <f>IFERROR(AI31/AI28,0)</f>
        <v>0</v>
      </c>
      <c r="AJ37" s="12">
        <f>IFERROR(AJ31/AJ28,0)</f>
        <v>0</v>
      </c>
      <c r="AK37" s="12">
        <f>IFERROR(AK31/AK28,0)</f>
        <v>0</v>
      </c>
      <c r="AL37" s="12">
        <f>IFERROR(AL31/AL28,0)</f>
        <v>0</v>
      </c>
      <c r="AM37" s="12">
        <f>IFERROR(AM31/AM28,0)</f>
        <v>0</v>
      </c>
      <c r="AN37" s="12">
        <f>IFERROR(AN31/AN28,0)</f>
        <v>0</v>
      </c>
      <c r="AO37" s="12">
        <f>IFERROR(AO31/AO28,0)</f>
        <v>0</v>
      </c>
      <c r="AP37" s="12">
        <f>IFERROR(AP31/AP28,0)</f>
        <v>0</v>
      </c>
      <c r="AQ37" s="12">
        <f>IFERROR(AQ31/AQ28,0)</f>
        <v>0</v>
      </c>
      <c r="AS37" s="12">
        <f>IFERROR(AS31/AS28,0)</f>
        <v>0</v>
      </c>
      <c r="AT37" s="12">
        <f>IFERROR(AT31/AT28,0)</f>
        <v>0</v>
      </c>
      <c r="AU37" s="12">
        <f>IFERROR(AU31/AU28,0)</f>
        <v>0</v>
      </c>
      <c r="AV37" s="12">
        <f>IFERROR(AV31/AV28,0)</f>
        <v>0</v>
      </c>
      <c r="AW37" s="12">
        <f>IFERROR(AW31/AW28,0)</f>
        <v>0</v>
      </c>
      <c r="AX37" s="12">
        <f>IFERROR(AX31/AX28,0)</f>
        <v>0</v>
      </c>
      <c r="AY37" s="12">
        <f>IFERROR(AY31/AY28,0)</f>
        <v>0</v>
      </c>
      <c r="AZ37" s="12">
        <f>IFERROR(AZ31/AZ28,0)</f>
        <v>0</v>
      </c>
      <c r="BA37" s="12">
        <f>IFERROR(BA31/BA28,0)</f>
        <v>0.28076923076923077</v>
      </c>
      <c r="BB37" s="12">
        <f>IFERROR(BB31/BB28,0)</f>
        <v>0.26666666666666666</v>
      </c>
      <c r="BC37" s="12">
        <f>IFERROR(BC31/BC28,0)</f>
        <v>0.15</v>
      </c>
      <c r="BD37" s="12">
        <f>IFERROR(BD31/BD28,0)</f>
        <v>0</v>
      </c>
      <c r="BE37" s="12">
        <f>IFERROR(BE31/BE28,0)</f>
        <v>0.24</v>
      </c>
      <c r="BG37" s="12">
        <f>IFERROR(BG31/BG28,0)</f>
        <v>7.658427557191691E-2</v>
      </c>
      <c r="BH37" s="12">
        <f>IFERROR(BH31/BH28,0)</f>
        <v>7.5671496285339673E-2</v>
      </c>
      <c r="BI37" s="12">
        <f>IFERROR(BI31/BI28,0)</f>
        <v>7.8583765112262505E-2</v>
      </c>
      <c r="BJ37" s="12">
        <f>IFERROR(BJ31/BJ28,0)</f>
        <v>7.4525863320844557E-2</v>
      </c>
      <c r="BK37" s="12">
        <f>IFERROR(BK31/BK28,0)</f>
        <v>7.8507037798513382E-2</v>
      </c>
      <c r="BL37" s="12">
        <f>IFERROR(BL31/BL28,0)</f>
        <v>7.5612708018154298E-2</v>
      </c>
      <c r="BM37" s="12">
        <f>IFERROR(BM31/BM28,0)</f>
        <v>7.6127531974787374E-2</v>
      </c>
      <c r="BN37" s="12">
        <f>IFERROR(BN31/BN28,0)</f>
        <v>7.6566051022694551E-2</v>
      </c>
      <c r="BO37" s="12">
        <f>IFERROR(BO31/BO28,0)</f>
        <v>5.5428571428571445E-2</v>
      </c>
      <c r="BP37" s="12">
        <f>IFERROR(BP31/BP28,0)</f>
        <v>5.8863636363636347E-2</v>
      </c>
      <c r="BQ37" s="12">
        <f>IFERROR(BQ31/BQ28,0)</f>
        <v>6.7707419750920886E-2</v>
      </c>
      <c r="BR37" s="12">
        <f>IFERROR(BR31/BR28,0)</f>
        <v>7.3902278496881552E-2</v>
      </c>
      <c r="BS37" s="12">
        <f>IFERROR(BS31/BS28,0)</f>
        <v>7.2591015564555314E-2</v>
      </c>
    </row>
    <row r="38" spans="2:71">
      <c r="B38" s="5" t="s">
        <v>169</v>
      </c>
      <c r="C38" s="6">
        <f>IFERROR(C28/21,0)</f>
        <v>144.87619047619049</v>
      </c>
      <c r="D38" s="6">
        <f>IFERROR(D28/20,0)</f>
        <v>148.73499999999999</v>
      </c>
      <c r="E38" s="6">
        <f>IFERROR(E28/22,0)</f>
        <v>147.38181818181818</v>
      </c>
      <c r="F38" s="6">
        <f>IFERROR(F28/22,0)</f>
        <v>156.50454545454545</v>
      </c>
      <c r="G38" s="6">
        <f>IFERROR(G28/20,0)</f>
        <v>158.07499999999999</v>
      </c>
      <c r="H38" s="6">
        <f>IFERROR(H28/22,0)</f>
        <v>150.22727272727272</v>
      </c>
      <c r="I38" s="6">
        <f>IFERROR(I28/22,0)</f>
        <v>148.55454545454543</v>
      </c>
      <c r="J38" s="6">
        <f>IFERROR(J28/21,0)</f>
        <v>148.76666666666665</v>
      </c>
      <c r="K38" s="6">
        <f>IFERROR(K28/21,0)</f>
        <v>145.71428571428572</v>
      </c>
      <c r="L38" s="6">
        <f>IFERROR(L28/22,0)</f>
        <v>148.18181818181819</v>
      </c>
      <c r="M38" s="6">
        <f>IFERROR(M28/19,0)</f>
        <v>153.18421052631578</v>
      </c>
      <c r="N38" s="6">
        <f>IFERROR(N28/22,0)</f>
        <v>145.03181818181818</v>
      </c>
      <c r="O38" s="6">
        <f>IFERROR(O28/254,0)</f>
        <v>149.53779527559053</v>
      </c>
      <c r="Q38" s="6">
        <f>IFERROR(Q28/21,0)</f>
        <v>144.87619047619049</v>
      </c>
      <c r="R38" s="6">
        <f>IFERROR(R28/20,0)</f>
        <v>148.73499999999999</v>
      </c>
      <c r="S38" s="6">
        <f>IFERROR(S28/22,0)</f>
        <v>147.38181818181818</v>
      </c>
      <c r="T38" s="6">
        <f>IFERROR(T28/22,0)</f>
        <v>156.50454545454545</v>
      </c>
      <c r="U38" s="6">
        <f>IFERROR(U28/20,0)</f>
        <v>158.07499999999999</v>
      </c>
      <c r="V38" s="6">
        <f>IFERROR(V28/22,0)</f>
        <v>150.22727272727272</v>
      </c>
      <c r="W38" s="6">
        <f>IFERROR(W28/22,0)</f>
        <v>148.55454545454543</v>
      </c>
      <c r="X38" s="6">
        <f>IFERROR(X28/21,0)</f>
        <v>148.76666666666665</v>
      </c>
      <c r="Y38" s="6">
        <f>IFERROR(Y28/21,0)</f>
        <v>145.71428571428572</v>
      </c>
      <c r="Z38" s="6">
        <f>IFERROR(Z28/22,0)</f>
        <v>148.18181818181819</v>
      </c>
      <c r="AA38" s="6">
        <f>IFERROR(AA28/19,0)</f>
        <v>153.18421052631578</v>
      </c>
      <c r="AB38" s="6">
        <f>IFERROR(AB28/22,0)</f>
        <v>145.03181818181818</v>
      </c>
      <c r="AC38" s="6">
        <f>IFERROR(AC28/254,0)</f>
        <v>149.53779527559053</v>
      </c>
      <c r="AE38" s="6">
        <f>IFERROR(AE28/21,0)</f>
        <v>0</v>
      </c>
      <c r="AF38" s="6">
        <f>IFERROR(AF28/20,0)</f>
        <v>0</v>
      </c>
      <c r="AG38" s="6">
        <f>IFERROR(AG28/22,0)</f>
        <v>0</v>
      </c>
      <c r="AH38" s="6">
        <f>IFERROR(AH28/22,0)</f>
        <v>0</v>
      </c>
      <c r="AI38" s="6">
        <f>IFERROR(AI28/20,0)</f>
        <v>0</v>
      </c>
      <c r="AJ38" s="6">
        <f>IFERROR(AJ28/22,0)</f>
        <v>0</v>
      </c>
      <c r="AK38" s="6">
        <f>IFERROR(AK28/22,0)</f>
        <v>0</v>
      </c>
      <c r="AL38" s="6">
        <f>IFERROR(AL28/21,0)</f>
        <v>0</v>
      </c>
      <c r="AM38" s="6">
        <f>IFERROR(AM28/21,0)</f>
        <v>0</v>
      </c>
      <c r="AN38" s="6">
        <f>IFERROR(AN28/22,0)</f>
        <v>0</v>
      </c>
      <c r="AO38" s="6">
        <f>IFERROR(AO28/19,0)</f>
        <v>0</v>
      </c>
      <c r="AP38" s="6">
        <f>IFERROR(AP28/22,0)</f>
        <v>0</v>
      </c>
      <c r="AQ38" s="6">
        <f>IFERROR(AQ28/254,0)</f>
        <v>0</v>
      </c>
      <c r="AS38" s="6">
        <f>IFERROR(AS28/21,0)</f>
        <v>0</v>
      </c>
      <c r="AT38" s="6">
        <f>IFERROR(AT28/20,0)</f>
        <v>0</v>
      </c>
      <c r="AU38" s="6">
        <f>IFERROR(AU28/22,0)</f>
        <v>0</v>
      </c>
      <c r="AV38" s="6">
        <f>IFERROR(AV28/22,0)</f>
        <v>0</v>
      </c>
      <c r="AW38" s="6">
        <f>IFERROR(AW28/20,0)</f>
        <v>0</v>
      </c>
      <c r="AX38" s="6">
        <f>IFERROR(AX28/22,0)</f>
        <v>0</v>
      </c>
      <c r="AY38" s="6">
        <f>IFERROR(AY28/22,0)</f>
        <v>0</v>
      </c>
      <c r="AZ38" s="6">
        <f>IFERROR(AZ28/21,0)</f>
        <v>0</v>
      </c>
      <c r="BA38" s="6">
        <f>IFERROR(BA28/21,0)</f>
        <v>-12.380952380952381</v>
      </c>
      <c r="BB38" s="6">
        <f>IFERROR(BB28/22,0)</f>
        <v>-8.1818181818181817</v>
      </c>
      <c r="BC38" s="6">
        <f>IFERROR(BC28/19,0)</f>
        <v>-3.1578947368421053</v>
      </c>
      <c r="BD38" s="6">
        <f>IFERROR(BD28/22,0)</f>
        <v>0</v>
      </c>
      <c r="BE38" s="6">
        <f>IFERROR(BE28/254,0)</f>
        <v>-1.9685039370078741</v>
      </c>
      <c r="BG38" s="6">
        <f>IFERROR(BG28/21,0)</f>
        <v>144.87619047619049</v>
      </c>
      <c r="BH38" s="6">
        <f>IFERROR(BH28/20,0)</f>
        <v>148.73499999999999</v>
      </c>
      <c r="BI38" s="6">
        <f>IFERROR(BI28/22,0)</f>
        <v>147.38181818181818</v>
      </c>
      <c r="BJ38" s="6">
        <f>IFERROR(BJ28/22,0)</f>
        <v>156.50454545454545</v>
      </c>
      <c r="BK38" s="6">
        <f>IFERROR(BK28/20,0)</f>
        <v>158.07499999999999</v>
      </c>
      <c r="BL38" s="6">
        <f>IFERROR(BL28/22,0)</f>
        <v>150.22727272727272</v>
      </c>
      <c r="BM38" s="6">
        <f>IFERROR(BM28/22,0)</f>
        <v>148.55454545454543</v>
      </c>
      <c r="BN38" s="6">
        <f>IFERROR(BN28/21,0)</f>
        <v>148.76666666666665</v>
      </c>
      <c r="BO38" s="6">
        <f>IFERROR(BO28/21,0)</f>
        <v>133.33333333333334</v>
      </c>
      <c r="BP38" s="6">
        <f>IFERROR(BP28/22,0)</f>
        <v>140</v>
      </c>
      <c r="BQ38" s="6">
        <f>IFERROR(BQ28/19,0)</f>
        <v>150.02631578947367</v>
      </c>
      <c r="BR38" s="6">
        <f>IFERROR(BR28/22,0)</f>
        <v>145.03181818181818</v>
      </c>
      <c r="BS38" s="6">
        <f>IFERROR(BS28/254,0)</f>
        <v>147.56929133858264</v>
      </c>
    </row>
    <row r="40" spans="2:71">
      <c r="B40" s="5" t="s">
        <v>151</v>
      </c>
      <c r="C40" s="6">
        <v>5288.3</v>
      </c>
      <c r="D40" s="6">
        <v>5244.1</v>
      </c>
      <c r="E40" s="6">
        <v>5639</v>
      </c>
      <c r="F40" s="6">
        <v>5982.4</v>
      </c>
      <c r="G40" s="6">
        <v>5312.3</v>
      </c>
      <c r="H40" s="6">
        <v>5501.8</v>
      </c>
      <c r="I40" s="6">
        <v>5186.8</v>
      </c>
      <c r="J40" s="6">
        <v>4790.5</v>
      </c>
      <c r="K40" s="6">
        <v>4195.3999999999996</v>
      </c>
      <c r="L40" s="6">
        <v>4698.7</v>
      </c>
      <c r="M40" s="6">
        <v>4329.1000000000004</v>
      </c>
      <c r="N40" s="6">
        <v>4904.2</v>
      </c>
      <c r="O40" s="6">
        <f>N40</f>
        <v>4904.2</v>
      </c>
      <c r="Q40" s="6">
        <v>5288.3</v>
      </c>
      <c r="R40" s="6">
        <v>5244.1</v>
      </c>
      <c r="S40" s="6">
        <v>5639</v>
      </c>
      <c r="T40" s="6">
        <v>5982.4</v>
      </c>
      <c r="U40" s="6">
        <v>5312.3</v>
      </c>
      <c r="V40" s="6">
        <v>5501.8</v>
      </c>
      <c r="W40" s="6">
        <v>5186.8</v>
      </c>
      <c r="X40" s="6">
        <v>4790.5</v>
      </c>
      <c r="Y40" s="6">
        <v>4195.3999999999996</v>
      </c>
      <c r="Z40" s="6">
        <v>4698.7</v>
      </c>
      <c r="AA40" s="6">
        <v>4329.1000000000004</v>
      </c>
      <c r="AB40" s="6">
        <v>4904.2</v>
      </c>
      <c r="AC40" s="6">
        <f>AB40</f>
        <v>4904.2</v>
      </c>
      <c r="AE40" s="6">
        <f>Q40-C40</f>
        <v>0</v>
      </c>
      <c r="AF40" s="6">
        <f>R40-D40</f>
        <v>0</v>
      </c>
      <c r="AG40" s="6">
        <f>S40-E40</f>
        <v>0</v>
      </c>
      <c r="AH40" s="6">
        <f>T40-F40</f>
        <v>0</v>
      </c>
      <c r="AI40" s="6">
        <f>U40-G40</f>
        <v>0</v>
      </c>
      <c r="AJ40" s="6">
        <f>V40-H40</f>
        <v>0</v>
      </c>
      <c r="AK40" s="6">
        <f>W40-I40</f>
        <v>0</v>
      </c>
      <c r="AL40" s="6">
        <f>X40-J40</f>
        <v>0</v>
      </c>
      <c r="AM40" s="6">
        <f>Y40-K40</f>
        <v>0</v>
      </c>
      <c r="AN40" s="6">
        <f>Z40-L40</f>
        <v>0</v>
      </c>
      <c r="AO40" s="6">
        <f>AA40-M40</f>
        <v>0</v>
      </c>
      <c r="AP40" s="6">
        <f>AB40-N40</f>
        <v>0</v>
      </c>
      <c r="AQ40" s="6">
        <f>AP40</f>
        <v>0</v>
      </c>
      <c r="AS40" s="6">
        <f>'Ember-Adj'!C90</f>
        <v>0</v>
      </c>
      <c r="AT40" s="6">
        <f>'Ember-Adj'!D90</f>
        <v>0</v>
      </c>
      <c r="AU40" s="6">
        <f>'Ember-Adj'!E90</f>
        <v>0</v>
      </c>
      <c r="AV40" s="6">
        <f>'Ember-Adj'!F90</f>
        <v>0</v>
      </c>
      <c r="AW40" s="6">
        <f>'Ember-Adj'!G90</f>
        <v>0</v>
      </c>
      <c r="AX40" s="6">
        <f>'Ember-Adj'!H90</f>
        <v>0</v>
      </c>
      <c r="AY40" s="6">
        <f>'Ember-Adj'!I90</f>
        <v>0</v>
      </c>
      <c r="AZ40" s="6">
        <f>'Ember-Adj'!J90</f>
        <v>0</v>
      </c>
      <c r="BA40" s="6">
        <f>'Ember-Adj'!K90</f>
        <v>0</v>
      </c>
      <c r="BB40" s="6">
        <f>'Ember-Adj'!L90</f>
        <v>0</v>
      </c>
      <c r="BC40" s="6">
        <f>'Ember-Adj'!M90</f>
        <v>0</v>
      </c>
      <c r="BD40" s="6">
        <f>'Ember-Adj'!N90</f>
        <v>0</v>
      </c>
      <c r="BE40" s="6">
        <f>BD40</f>
        <v>0</v>
      </c>
      <c r="BG40" s="6">
        <f>C40+AE40+AS40</f>
        <v>5288.3</v>
      </c>
      <c r="BH40" s="6">
        <f>D40+AF40+AT40</f>
        <v>5244.1</v>
      </c>
      <c r="BI40" s="6">
        <f>E40+AG40+AU40</f>
        <v>5639</v>
      </c>
      <c r="BJ40" s="6">
        <f>F40+AH40+AV40</f>
        <v>5982.4</v>
      </c>
      <c r="BK40" s="6">
        <f>G40+AI40+AW40</f>
        <v>5312.3</v>
      </c>
      <c r="BL40" s="6">
        <f>H40+AJ40+AX40</f>
        <v>5501.8</v>
      </c>
      <c r="BM40" s="6">
        <f>I40+AK40+AY40</f>
        <v>5186.8</v>
      </c>
      <c r="BN40" s="6">
        <f>J40+AL40+AZ40</f>
        <v>4790.5</v>
      </c>
      <c r="BO40" s="6">
        <f>K40+AM40+BA40</f>
        <v>4195.3999999999996</v>
      </c>
      <c r="BP40" s="6">
        <f>L40+AN40+BB40</f>
        <v>4698.7</v>
      </c>
      <c r="BQ40" s="6">
        <f>M40+AO40+BC40</f>
        <v>4329.1000000000004</v>
      </c>
      <c r="BR40" s="6">
        <f>N40+AP40+BD40</f>
        <v>4904.2</v>
      </c>
      <c r="BS40" s="6">
        <f>BR40</f>
        <v>4904.2</v>
      </c>
    </row>
    <row r="41" spans="2:71">
      <c r="B41" s="5" t="s">
        <v>152</v>
      </c>
      <c r="C41" s="6">
        <v>4614.3</v>
      </c>
      <c r="D41" s="6">
        <v>4511.6000000000004</v>
      </c>
      <c r="E41" s="6">
        <v>4917.6000000000004</v>
      </c>
      <c r="F41" s="6">
        <v>5222</v>
      </c>
      <c r="G41" s="6">
        <v>4794.8999999999996</v>
      </c>
      <c r="H41" s="6">
        <v>5012.6000000000004</v>
      </c>
      <c r="I41" s="6">
        <v>4956.8</v>
      </c>
      <c r="J41" s="6">
        <v>4738.2</v>
      </c>
      <c r="K41" s="6">
        <v>4246.7</v>
      </c>
      <c r="L41" s="6">
        <v>4671.3</v>
      </c>
      <c r="M41" s="6">
        <v>4323.3</v>
      </c>
      <c r="N41" s="6">
        <v>4839.2</v>
      </c>
      <c r="O41" s="6">
        <f>N41</f>
        <v>4839.2</v>
      </c>
      <c r="Q41" s="6">
        <v>4614.3</v>
      </c>
      <c r="R41" s="6">
        <v>4511.6000000000004</v>
      </c>
      <c r="S41" s="6">
        <v>4917.6000000000004</v>
      </c>
      <c r="T41" s="6">
        <v>5222</v>
      </c>
      <c r="U41" s="6">
        <v>4794.8999999999996</v>
      </c>
      <c r="V41" s="6">
        <v>5012.6000000000004</v>
      </c>
      <c r="W41" s="6">
        <v>4956.8</v>
      </c>
      <c r="X41" s="6">
        <v>4738.2</v>
      </c>
      <c r="Y41" s="6">
        <v>4246.7</v>
      </c>
      <c r="Z41" s="6">
        <v>4671.3</v>
      </c>
      <c r="AA41" s="6">
        <v>4323.3</v>
      </c>
      <c r="AB41" s="6">
        <v>4839.2</v>
      </c>
      <c r="AC41" s="6">
        <f>AB41</f>
        <v>4839.2</v>
      </c>
      <c r="AE41" s="6">
        <f>Q41-C41</f>
        <v>0</v>
      </c>
      <c r="AF41" s="6">
        <f>R41-D41</f>
        <v>0</v>
      </c>
      <c r="AG41" s="6">
        <f>S41-E41</f>
        <v>0</v>
      </c>
      <c r="AH41" s="6">
        <f>T41-F41</f>
        <v>0</v>
      </c>
      <c r="AI41" s="6">
        <f>U41-G41</f>
        <v>0</v>
      </c>
      <c r="AJ41" s="6">
        <f>V41-H41</f>
        <v>0</v>
      </c>
      <c r="AK41" s="6">
        <f>W41-I41</f>
        <v>0</v>
      </c>
      <c r="AL41" s="6">
        <f>X41-J41</f>
        <v>0</v>
      </c>
      <c r="AM41" s="6">
        <f>Y41-K41</f>
        <v>0</v>
      </c>
      <c r="AN41" s="6">
        <f>Z41-L41</f>
        <v>0</v>
      </c>
      <c r="AO41" s="6">
        <f>AA41-M41</f>
        <v>0</v>
      </c>
      <c r="AP41" s="6">
        <f>AB41-N41</f>
        <v>0</v>
      </c>
      <c r="AQ41" s="6">
        <f>AP41</f>
        <v>0</v>
      </c>
      <c r="AS41" s="6">
        <f>'Ember-Adj'!C91</f>
        <v>0</v>
      </c>
      <c r="AT41" s="6">
        <f>'Ember-Adj'!D91</f>
        <v>0</v>
      </c>
      <c r="AU41" s="6">
        <f>'Ember-Adj'!E91</f>
        <v>0</v>
      </c>
      <c r="AV41" s="6">
        <f>'Ember-Adj'!F91</f>
        <v>0</v>
      </c>
      <c r="AW41" s="6">
        <f>'Ember-Adj'!G91</f>
        <v>0</v>
      </c>
      <c r="AX41" s="6">
        <f>'Ember-Adj'!H91</f>
        <v>0</v>
      </c>
      <c r="AY41" s="6">
        <f>'Ember-Adj'!I91</f>
        <v>0</v>
      </c>
      <c r="AZ41" s="6">
        <f>'Ember-Adj'!J91</f>
        <v>0</v>
      </c>
      <c r="BA41" s="6">
        <f>'Ember-Adj'!K91</f>
        <v>0</v>
      </c>
      <c r="BB41" s="6">
        <f>'Ember-Adj'!L91</f>
        <v>0</v>
      </c>
      <c r="BC41" s="6">
        <f>'Ember-Adj'!M91</f>
        <v>0</v>
      </c>
      <c r="BD41" s="6">
        <f>'Ember-Adj'!N91</f>
        <v>0</v>
      </c>
      <c r="BE41" s="6">
        <f>BD41</f>
        <v>0</v>
      </c>
      <c r="BG41" s="6">
        <f>C41+AE41+AS41</f>
        <v>4614.3</v>
      </c>
      <c r="BH41" s="6">
        <f>D41+AF41+AT41</f>
        <v>4511.6000000000004</v>
      </c>
      <c r="BI41" s="6">
        <f>E41+AG41+AU41</f>
        <v>4917.6000000000004</v>
      </c>
      <c r="BJ41" s="6">
        <f>F41+AH41+AV41</f>
        <v>5222</v>
      </c>
      <c r="BK41" s="6">
        <f>G41+AI41+AW41</f>
        <v>4794.8999999999996</v>
      </c>
      <c r="BL41" s="6">
        <f>H41+AJ41+AX41</f>
        <v>5012.6000000000004</v>
      </c>
      <c r="BM41" s="6">
        <f>I41+AK41+AY41</f>
        <v>4956.8</v>
      </c>
      <c r="BN41" s="6">
        <f>J41+AL41+AZ41</f>
        <v>4738.2</v>
      </c>
      <c r="BO41" s="6">
        <f>K41+AM41+BA41</f>
        <v>4246.7</v>
      </c>
      <c r="BP41" s="6">
        <f>L41+AN41+BB41</f>
        <v>4671.3</v>
      </c>
      <c r="BQ41" s="6">
        <f>M41+AO41+BC41</f>
        <v>4323.3</v>
      </c>
      <c r="BR41" s="6">
        <f>N41+AP41+BD41</f>
        <v>4839.2</v>
      </c>
      <c r="BS41" s="6">
        <f>BR41</f>
        <v>4839.2</v>
      </c>
    </row>
    <row r="42" spans="2:71">
      <c r="B42" s="5" t="s">
        <v>153</v>
      </c>
      <c r="C42" s="6">
        <v>45.6</v>
      </c>
      <c r="D42" s="6">
        <v>44.6</v>
      </c>
      <c r="E42" s="6">
        <v>48.6</v>
      </c>
      <c r="F42" s="6">
        <v>51.6</v>
      </c>
      <c r="G42" s="6">
        <v>47.4</v>
      </c>
      <c r="H42" s="6">
        <v>49.6</v>
      </c>
      <c r="I42" s="6">
        <v>49</v>
      </c>
      <c r="J42" s="6">
        <v>46.9</v>
      </c>
      <c r="K42" s="6">
        <v>42</v>
      </c>
      <c r="L42" s="6">
        <v>46.2</v>
      </c>
      <c r="M42" s="6">
        <v>42.8</v>
      </c>
      <c r="N42" s="6">
        <v>47.9</v>
      </c>
      <c r="O42" s="6">
        <f>N42</f>
        <v>47.9</v>
      </c>
      <c r="Q42" s="6">
        <v>45.6</v>
      </c>
      <c r="R42" s="6">
        <v>44.6</v>
      </c>
      <c r="S42" s="6">
        <v>48.6</v>
      </c>
      <c r="T42" s="6">
        <v>51.6</v>
      </c>
      <c r="U42" s="6">
        <v>47.4</v>
      </c>
      <c r="V42" s="6">
        <v>49.6</v>
      </c>
      <c r="W42" s="6">
        <v>49</v>
      </c>
      <c r="X42" s="6">
        <v>46.9</v>
      </c>
      <c r="Y42" s="6">
        <v>42</v>
      </c>
      <c r="Z42" s="6">
        <v>46.2</v>
      </c>
      <c r="AA42" s="6">
        <v>42.8</v>
      </c>
      <c r="AB42" s="6">
        <v>47.9</v>
      </c>
      <c r="AC42" s="6">
        <f>AB42</f>
        <v>47.9</v>
      </c>
      <c r="AE42" s="6">
        <f>Q42-C42</f>
        <v>0</v>
      </c>
      <c r="AF42" s="6">
        <f>R42-D42</f>
        <v>0</v>
      </c>
      <c r="AG42" s="6">
        <f>S42-E42</f>
        <v>0</v>
      </c>
      <c r="AH42" s="6">
        <f>T42-F42</f>
        <v>0</v>
      </c>
      <c r="AI42" s="6">
        <f>U42-G42</f>
        <v>0</v>
      </c>
      <c r="AJ42" s="6">
        <f>V42-H42</f>
        <v>0</v>
      </c>
      <c r="AK42" s="6">
        <f>W42-I42</f>
        <v>0</v>
      </c>
      <c r="AL42" s="6">
        <f>X42-J42</f>
        <v>0</v>
      </c>
      <c r="AM42" s="6">
        <f>Y42-K42</f>
        <v>0</v>
      </c>
      <c r="AN42" s="6">
        <f>Z42-L42</f>
        <v>0</v>
      </c>
      <c r="AO42" s="6">
        <f>AA42-M42</f>
        <v>0</v>
      </c>
      <c r="AP42" s="6">
        <f>AB42-N42</f>
        <v>0</v>
      </c>
      <c r="AQ42" s="6">
        <f>AP42</f>
        <v>0</v>
      </c>
      <c r="AS42" s="6">
        <f>'Ember-Adj'!C92</f>
        <v>0</v>
      </c>
      <c r="AT42" s="6">
        <f>'Ember-Adj'!D92</f>
        <v>0</v>
      </c>
      <c r="AU42" s="6">
        <f>'Ember-Adj'!E92</f>
        <v>0</v>
      </c>
      <c r="AV42" s="6">
        <f>'Ember-Adj'!F92</f>
        <v>0</v>
      </c>
      <c r="AW42" s="6">
        <f>'Ember-Adj'!G92</f>
        <v>0</v>
      </c>
      <c r="AX42" s="6">
        <f>'Ember-Adj'!H92</f>
        <v>0</v>
      </c>
      <c r="AY42" s="6">
        <f>'Ember-Adj'!I92</f>
        <v>0</v>
      </c>
      <c r="AZ42" s="6">
        <f>'Ember-Adj'!J92</f>
        <v>0</v>
      </c>
      <c r="BA42" s="6">
        <f>'Ember-Adj'!K92</f>
        <v>0</v>
      </c>
      <c r="BB42" s="6">
        <f>'Ember-Adj'!L92</f>
        <v>0</v>
      </c>
      <c r="BC42" s="6">
        <f>'Ember-Adj'!M92</f>
        <v>0</v>
      </c>
      <c r="BD42" s="6">
        <f>'Ember-Adj'!N92</f>
        <v>0</v>
      </c>
      <c r="BE42" s="6">
        <f>BD42</f>
        <v>0</v>
      </c>
      <c r="BG42" s="6">
        <f>C42+AE42+AS42</f>
        <v>45.6</v>
      </c>
      <c r="BH42" s="6">
        <f>D42+AF42+AT42</f>
        <v>44.6</v>
      </c>
      <c r="BI42" s="6">
        <f>E42+AG42+AU42</f>
        <v>48.6</v>
      </c>
      <c r="BJ42" s="6">
        <f>F42+AH42+AV42</f>
        <v>51.6</v>
      </c>
      <c r="BK42" s="6">
        <f>G42+AI42+AW42</f>
        <v>47.4</v>
      </c>
      <c r="BL42" s="6">
        <f>H42+AJ42+AX42</f>
        <v>49.6</v>
      </c>
      <c r="BM42" s="6">
        <f>I42+AK42+AY42</f>
        <v>49</v>
      </c>
      <c r="BN42" s="6">
        <f>J42+AL42+AZ42</f>
        <v>46.9</v>
      </c>
      <c r="BO42" s="6">
        <f>K42+AM42+BA42</f>
        <v>42</v>
      </c>
      <c r="BP42" s="6">
        <f>L42+AN42+BB42</f>
        <v>46.2</v>
      </c>
      <c r="BQ42" s="6">
        <f>M42+AO42+BC42</f>
        <v>42.8</v>
      </c>
      <c r="BR42" s="6">
        <f>N42+AP42+BD42</f>
        <v>47.9</v>
      </c>
      <c r="BS42" s="6">
        <f>BR42</f>
        <v>47.9</v>
      </c>
    </row>
    <row r="43" spans="2:71">
      <c r="B43" s="5" t="s">
        <v>154</v>
      </c>
      <c r="C43" s="6">
        <v>-2985.3</v>
      </c>
      <c r="D43" s="6">
        <v>-2926</v>
      </c>
      <c r="E43" s="6">
        <v>-3182.9</v>
      </c>
      <c r="F43" s="6">
        <v>-3379.1</v>
      </c>
      <c r="G43" s="6">
        <v>-3107.5</v>
      </c>
      <c r="H43" s="6">
        <v>-3250.1</v>
      </c>
      <c r="I43" s="6">
        <v>-3203.5</v>
      </c>
      <c r="J43" s="6">
        <v>-3060.7</v>
      </c>
      <c r="K43" s="6">
        <v>-2749.6</v>
      </c>
      <c r="L43" s="6">
        <v>-3026.5</v>
      </c>
      <c r="M43" s="6">
        <v>-2799</v>
      </c>
      <c r="N43" s="6">
        <v>-3137.3</v>
      </c>
      <c r="O43" s="6">
        <f>N43</f>
        <v>-3137.3</v>
      </c>
      <c r="Q43" s="6">
        <v>-2985.3</v>
      </c>
      <c r="R43" s="6">
        <v>-2926</v>
      </c>
      <c r="S43" s="6">
        <v>-3182.9</v>
      </c>
      <c r="T43" s="6">
        <v>-3379.1</v>
      </c>
      <c r="U43" s="6">
        <v>-3107.5</v>
      </c>
      <c r="V43" s="6">
        <v>-3250.1</v>
      </c>
      <c r="W43" s="6">
        <v>-3203.5</v>
      </c>
      <c r="X43" s="6">
        <v>-3060.7</v>
      </c>
      <c r="Y43" s="6">
        <v>-2749.6</v>
      </c>
      <c r="Z43" s="6">
        <v>-3026.5</v>
      </c>
      <c r="AA43" s="6">
        <v>-2799</v>
      </c>
      <c r="AB43" s="6">
        <v>-3137.3</v>
      </c>
      <c r="AC43" s="6">
        <f>AB43</f>
        <v>-3137.3</v>
      </c>
      <c r="AE43" s="6">
        <f>Q43-C43</f>
        <v>0</v>
      </c>
      <c r="AF43" s="6">
        <f>R43-D43</f>
        <v>0</v>
      </c>
      <c r="AG43" s="6">
        <f>S43-E43</f>
        <v>0</v>
      </c>
      <c r="AH43" s="6">
        <f>T43-F43</f>
        <v>0</v>
      </c>
      <c r="AI43" s="6">
        <f>U43-G43</f>
        <v>0</v>
      </c>
      <c r="AJ43" s="6">
        <f>V43-H43</f>
        <v>0</v>
      </c>
      <c r="AK43" s="6">
        <f>W43-I43</f>
        <v>0</v>
      </c>
      <c r="AL43" s="6">
        <f>X43-J43</f>
        <v>0</v>
      </c>
      <c r="AM43" s="6">
        <f>Y43-K43</f>
        <v>0</v>
      </c>
      <c r="AN43" s="6">
        <f>Z43-L43</f>
        <v>0</v>
      </c>
      <c r="AO43" s="6">
        <f>AA43-M43</f>
        <v>0</v>
      </c>
      <c r="AP43" s="6">
        <f>AB43-N43</f>
        <v>0</v>
      </c>
      <c r="AQ43" s="6">
        <f>AP43</f>
        <v>0</v>
      </c>
      <c r="AS43" s="6">
        <f>'Ember-Adj'!C93</f>
        <v>0</v>
      </c>
      <c r="AT43" s="6">
        <f>'Ember-Adj'!D93</f>
        <v>0</v>
      </c>
      <c r="AU43" s="6">
        <f>'Ember-Adj'!E93</f>
        <v>0</v>
      </c>
      <c r="AV43" s="6">
        <f>'Ember-Adj'!F93</f>
        <v>0</v>
      </c>
      <c r="AW43" s="6">
        <f>'Ember-Adj'!G93</f>
        <v>0</v>
      </c>
      <c r="AX43" s="6">
        <f>'Ember-Adj'!H93</f>
        <v>0</v>
      </c>
      <c r="AY43" s="6">
        <f>'Ember-Adj'!I93</f>
        <v>0</v>
      </c>
      <c r="AZ43" s="6">
        <f>'Ember-Adj'!J93</f>
        <v>0</v>
      </c>
      <c r="BA43" s="6">
        <f>'Ember-Adj'!K93</f>
        <v>0</v>
      </c>
      <c r="BB43" s="6">
        <f>'Ember-Adj'!L93</f>
        <v>0</v>
      </c>
      <c r="BC43" s="6">
        <f>'Ember-Adj'!M93</f>
        <v>0</v>
      </c>
      <c r="BD43" s="6">
        <f>'Ember-Adj'!N93</f>
        <v>0</v>
      </c>
      <c r="BE43" s="6">
        <f>BD43</f>
        <v>0</v>
      </c>
      <c r="BG43" s="6">
        <f>C43+AE43+AS43</f>
        <v>-2985.3</v>
      </c>
      <c r="BH43" s="6">
        <f>D43+AF43+AT43</f>
        <v>-2926</v>
      </c>
      <c r="BI43" s="6">
        <f>E43+AG43+AU43</f>
        <v>-3182.9</v>
      </c>
      <c r="BJ43" s="6">
        <f>F43+AH43+AV43</f>
        <v>-3379.1</v>
      </c>
      <c r="BK43" s="6">
        <f>G43+AI43+AW43</f>
        <v>-3107.5</v>
      </c>
      <c r="BL43" s="6">
        <f>H43+AJ43+AX43</f>
        <v>-3250.1</v>
      </c>
      <c r="BM43" s="6">
        <f>I43+AK43+AY43</f>
        <v>-3203.5</v>
      </c>
      <c r="BN43" s="6">
        <f>J43+AL43+AZ43</f>
        <v>-3060.7</v>
      </c>
      <c r="BO43" s="6">
        <f>K43+AM43+BA43</f>
        <v>-2749.6</v>
      </c>
      <c r="BP43" s="6">
        <f>L43+AN43+BB43</f>
        <v>-3026.5</v>
      </c>
      <c r="BQ43" s="6">
        <f>M43+AO43+BC43</f>
        <v>-2799</v>
      </c>
      <c r="BR43" s="6">
        <f>N43+AP43+BD43</f>
        <v>-3137.3</v>
      </c>
      <c r="BS43" s="6">
        <f>BR43</f>
        <v>-3137.3</v>
      </c>
    </row>
    <row r="44" spans="2:71">
      <c r="B44" s="5" t="s">
        <v>155</v>
      </c>
      <c r="C44" s="6">
        <v>-91.3</v>
      </c>
      <c r="D44" s="6">
        <v>-89.2</v>
      </c>
      <c r="E44" s="6">
        <v>-97.3</v>
      </c>
      <c r="F44" s="6">
        <v>-103.3</v>
      </c>
      <c r="G44" s="6">
        <v>-94.8</v>
      </c>
      <c r="H44" s="6">
        <v>-99.1</v>
      </c>
      <c r="I44" s="6">
        <v>-98</v>
      </c>
      <c r="J44" s="6">
        <v>-93.7</v>
      </c>
      <c r="K44" s="6">
        <v>-84</v>
      </c>
      <c r="L44" s="6">
        <v>-92.4</v>
      </c>
      <c r="M44" s="6">
        <v>-85.5</v>
      </c>
      <c r="N44" s="6">
        <v>-95.7</v>
      </c>
      <c r="O44" s="6">
        <f>N44</f>
        <v>-95.7</v>
      </c>
      <c r="Q44" s="6">
        <v>-91.3</v>
      </c>
      <c r="R44" s="6">
        <v>-89.2</v>
      </c>
      <c r="S44" s="6">
        <v>-97.3</v>
      </c>
      <c r="T44" s="6">
        <v>-103.3</v>
      </c>
      <c r="U44" s="6">
        <v>-94.8</v>
      </c>
      <c r="V44" s="6">
        <v>-99.1</v>
      </c>
      <c r="W44" s="6">
        <v>-98</v>
      </c>
      <c r="X44" s="6">
        <v>-93.7</v>
      </c>
      <c r="Y44" s="6">
        <v>-84</v>
      </c>
      <c r="Z44" s="6">
        <v>-92.4</v>
      </c>
      <c r="AA44" s="6">
        <v>-85.5</v>
      </c>
      <c r="AB44" s="6">
        <v>-95.7</v>
      </c>
      <c r="AC44" s="6">
        <f>AB44</f>
        <v>-95.7</v>
      </c>
      <c r="AE44" s="6">
        <f>Q44-C44</f>
        <v>0</v>
      </c>
      <c r="AF44" s="6">
        <f>R44-D44</f>
        <v>0</v>
      </c>
      <c r="AG44" s="6">
        <f>S44-E44</f>
        <v>0</v>
      </c>
      <c r="AH44" s="6">
        <f>T44-F44</f>
        <v>0</v>
      </c>
      <c r="AI44" s="6">
        <f>U44-G44</f>
        <v>0</v>
      </c>
      <c r="AJ44" s="6">
        <f>V44-H44</f>
        <v>0</v>
      </c>
      <c r="AK44" s="6">
        <f>W44-I44</f>
        <v>0</v>
      </c>
      <c r="AL44" s="6">
        <f>X44-J44</f>
        <v>0</v>
      </c>
      <c r="AM44" s="6">
        <f>Y44-K44</f>
        <v>0</v>
      </c>
      <c r="AN44" s="6">
        <f>Z44-L44</f>
        <v>0</v>
      </c>
      <c r="AO44" s="6">
        <f>AA44-M44</f>
        <v>0</v>
      </c>
      <c r="AP44" s="6">
        <f>AB44-N44</f>
        <v>0</v>
      </c>
      <c r="AQ44" s="6">
        <f>AP44</f>
        <v>0</v>
      </c>
      <c r="AS44" s="6">
        <f>'Ember-Adj'!C94</f>
        <v>0</v>
      </c>
      <c r="AT44" s="6">
        <f>'Ember-Adj'!D94</f>
        <v>0</v>
      </c>
      <c r="AU44" s="6">
        <f>'Ember-Adj'!E94</f>
        <v>0</v>
      </c>
      <c r="AV44" s="6">
        <f>'Ember-Adj'!F94</f>
        <v>0</v>
      </c>
      <c r="AW44" s="6">
        <f>'Ember-Adj'!G94</f>
        <v>0</v>
      </c>
      <c r="AX44" s="6">
        <f>'Ember-Adj'!H94</f>
        <v>0</v>
      </c>
      <c r="AY44" s="6">
        <f>'Ember-Adj'!I94</f>
        <v>0</v>
      </c>
      <c r="AZ44" s="6">
        <f>'Ember-Adj'!J94</f>
        <v>0</v>
      </c>
      <c r="BA44" s="6">
        <f>'Ember-Adj'!K94</f>
        <v>0</v>
      </c>
      <c r="BB44" s="6">
        <f>'Ember-Adj'!L94</f>
        <v>0</v>
      </c>
      <c r="BC44" s="6">
        <f>'Ember-Adj'!M94</f>
        <v>0</v>
      </c>
      <c r="BD44" s="6">
        <f>'Ember-Adj'!N94</f>
        <v>0</v>
      </c>
      <c r="BE44" s="6">
        <f>BD44</f>
        <v>0</v>
      </c>
      <c r="BG44" s="6">
        <f>C44+AE44+AS44</f>
        <v>-91.3</v>
      </c>
      <c r="BH44" s="6">
        <f>D44+AF44+AT44</f>
        <v>-89.2</v>
      </c>
      <c r="BI44" s="6">
        <f>E44+AG44+AU44</f>
        <v>-97.3</v>
      </c>
      <c r="BJ44" s="6">
        <f>F44+AH44+AV44</f>
        <v>-103.3</v>
      </c>
      <c r="BK44" s="6">
        <f>G44+AI44+AW44</f>
        <v>-94.8</v>
      </c>
      <c r="BL44" s="6">
        <f>H44+AJ44+AX44</f>
        <v>-99.1</v>
      </c>
      <c r="BM44" s="6">
        <f>I44+AK44+AY44</f>
        <v>-98</v>
      </c>
      <c r="BN44" s="6">
        <f>J44+AL44+AZ44</f>
        <v>-93.7</v>
      </c>
      <c r="BO44" s="6">
        <f>K44+AM44+BA44</f>
        <v>-84</v>
      </c>
      <c r="BP44" s="6">
        <f>L44+AN44+BB44</f>
        <v>-92.4</v>
      </c>
      <c r="BQ44" s="6">
        <f>M44+AO44+BC44</f>
        <v>-85.5</v>
      </c>
      <c r="BR44" s="6">
        <f>N44+AP44+BD44</f>
        <v>-95.7</v>
      </c>
      <c r="BS44" s="6">
        <f>BR44</f>
        <v>-95.7</v>
      </c>
    </row>
    <row r="45" spans="2:71">
      <c r="B45" s="2" t="s">
        <v>170</v>
      </c>
      <c r="C45" s="6">
        <f>SUM(C40:C44)</f>
        <v>6871.6</v>
      </c>
      <c r="D45" s="6">
        <f>SUM(D40:D44)</f>
        <v>6785.1000000000013</v>
      </c>
      <c r="E45" s="6">
        <f>SUM(E40:E44)</f>
        <v>7325.0000000000009</v>
      </c>
      <c r="F45" s="6">
        <f>SUM(F40:F44)</f>
        <v>7773.5999999999995</v>
      </c>
      <c r="G45" s="6">
        <f>SUM(G40:G44)</f>
        <v>6952.3</v>
      </c>
      <c r="H45" s="6">
        <f>SUM(H40:H44)</f>
        <v>7214.8000000000011</v>
      </c>
      <c r="I45" s="6">
        <f>SUM(I40:I44)</f>
        <v>6891.1</v>
      </c>
      <c r="J45" s="6">
        <f>SUM(J40:J44)</f>
        <v>6421.2000000000007</v>
      </c>
      <c r="K45" s="6">
        <f>SUM(K40:K44)</f>
        <v>5650.4999999999982</v>
      </c>
      <c r="L45" s="6">
        <f>SUM(L40:L44)</f>
        <v>6297.3000000000011</v>
      </c>
      <c r="M45" s="6">
        <f>SUM(M40:M44)</f>
        <v>5810.7000000000007</v>
      </c>
      <c r="N45" s="6">
        <f>SUM(N40:N44)</f>
        <v>6558.2999999999993</v>
      </c>
      <c r="O45" s="6">
        <f>N45</f>
        <v>6558.2999999999993</v>
      </c>
      <c r="Q45" s="6">
        <f>SUM(Q40:Q44)</f>
        <v>6871.6</v>
      </c>
      <c r="R45" s="6">
        <f>SUM(R40:R44)</f>
        <v>6785.1000000000013</v>
      </c>
      <c r="S45" s="6">
        <f>SUM(S40:S44)</f>
        <v>7325.0000000000009</v>
      </c>
      <c r="T45" s="6">
        <f>SUM(T40:T44)</f>
        <v>7773.5999999999995</v>
      </c>
      <c r="U45" s="6">
        <f>SUM(U40:U44)</f>
        <v>6952.3</v>
      </c>
      <c r="V45" s="6">
        <f>SUM(V40:V44)</f>
        <v>7214.8000000000011</v>
      </c>
      <c r="W45" s="6">
        <f>SUM(W40:W44)</f>
        <v>6891.1</v>
      </c>
      <c r="X45" s="6">
        <f>SUM(X40:X44)</f>
        <v>6421.2000000000007</v>
      </c>
      <c r="Y45" s="6">
        <f>SUM(Y40:Y44)</f>
        <v>5650.4999999999982</v>
      </c>
      <c r="Z45" s="6">
        <f>SUM(Z40:Z44)</f>
        <v>6297.3000000000011</v>
      </c>
      <c r="AA45" s="6">
        <f>SUM(AA40:AA44)</f>
        <v>5810.7000000000007</v>
      </c>
      <c r="AB45" s="6">
        <f>SUM(AB40:AB44)</f>
        <v>6558.2999999999993</v>
      </c>
      <c r="AC45" s="6">
        <f>AB45</f>
        <v>6558.2999999999993</v>
      </c>
      <c r="AE45" s="6">
        <f>SUM(AE40:AE44)</f>
        <v>0</v>
      </c>
      <c r="AF45" s="6">
        <f>SUM(AF40:AF44)</f>
        <v>0</v>
      </c>
      <c r="AG45" s="6">
        <f>SUM(AG40:AG44)</f>
        <v>0</v>
      </c>
      <c r="AH45" s="6">
        <f>SUM(AH40:AH44)</f>
        <v>0</v>
      </c>
      <c r="AI45" s="6">
        <f>SUM(AI40:AI44)</f>
        <v>0</v>
      </c>
      <c r="AJ45" s="6">
        <f>SUM(AJ40:AJ44)</f>
        <v>0</v>
      </c>
      <c r="AK45" s="6">
        <f>SUM(AK40:AK44)</f>
        <v>0</v>
      </c>
      <c r="AL45" s="6">
        <f>SUM(AL40:AL44)</f>
        <v>0</v>
      </c>
      <c r="AM45" s="6">
        <f>SUM(AM40:AM44)</f>
        <v>0</v>
      </c>
      <c r="AN45" s="6">
        <f>SUM(AN40:AN44)</f>
        <v>0</v>
      </c>
      <c r="AO45" s="6">
        <f>SUM(AO40:AO44)</f>
        <v>0</v>
      </c>
      <c r="AP45" s="6">
        <f>SUM(AP40:AP44)</f>
        <v>0</v>
      </c>
      <c r="AQ45" s="6">
        <f>AP45</f>
        <v>0</v>
      </c>
      <c r="AS45" s="6">
        <f>SUM(AS40:AS44)</f>
        <v>0</v>
      </c>
      <c r="AT45" s="6">
        <f>SUM(AT40:AT44)</f>
        <v>0</v>
      </c>
      <c r="AU45" s="6">
        <f>SUM(AU40:AU44)</f>
        <v>0</v>
      </c>
      <c r="AV45" s="6">
        <f>SUM(AV40:AV44)</f>
        <v>0</v>
      </c>
      <c r="AW45" s="6">
        <f>SUM(AW40:AW44)</f>
        <v>0</v>
      </c>
      <c r="AX45" s="6">
        <f>SUM(AX40:AX44)</f>
        <v>0</v>
      </c>
      <c r="AY45" s="6">
        <f>SUM(AY40:AY44)</f>
        <v>0</v>
      </c>
      <c r="AZ45" s="6">
        <f>SUM(AZ40:AZ44)</f>
        <v>0</v>
      </c>
      <c r="BA45" s="6">
        <f>SUM(BA40:BA44)</f>
        <v>0</v>
      </c>
      <c r="BB45" s="6">
        <f>SUM(BB40:BB44)</f>
        <v>0</v>
      </c>
      <c r="BC45" s="6">
        <f>SUM(BC40:BC44)</f>
        <v>0</v>
      </c>
      <c r="BD45" s="6">
        <f>SUM(BD40:BD44)</f>
        <v>0</v>
      </c>
      <c r="BE45" s="6">
        <f>BD45</f>
        <v>0</v>
      </c>
      <c r="BG45" s="6">
        <f>SUM(BG40:BG44)</f>
        <v>6871.6</v>
      </c>
      <c r="BH45" s="6">
        <f>SUM(BH40:BH44)</f>
        <v>6785.1000000000013</v>
      </c>
      <c r="BI45" s="6">
        <f>SUM(BI40:BI44)</f>
        <v>7325.0000000000009</v>
      </c>
      <c r="BJ45" s="6">
        <f>SUM(BJ40:BJ44)</f>
        <v>7773.5999999999995</v>
      </c>
      <c r="BK45" s="6">
        <f>SUM(BK40:BK44)</f>
        <v>6952.3</v>
      </c>
      <c r="BL45" s="6">
        <f>SUM(BL40:BL44)</f>
        <v>7214.8000000000011</v>
      </c>
      <c r="BM45" s="6">
        <f>SUM(BM40:BM44)</f>
        <v>6891.1</v>
      </c>
      <c r="BN45" s="6">
        <f>SUM(BN40:BN44)</f>
        <v>6421.2000000000007</v>
      </c>
      <c r="BO45" s="6">
        <f>SUM(BO40:BO44)</f>
        <v>5650.4999999999982</v>
      </c>
      <c r="BP45" s="6">
        <f>SUM(BP40:BP44)</f>
        <v>6297.3000000000011</v>
      </c>
      <c r="BQ45" s="6">
        <f>SUM(BQ40:BQ44)</f>
        <v>5810.7000000000007</v>
      </c>
      <c r="BR45" s="6">
        <f>SUM(BR40:BR44)</f>
        <v>6558.2999999999993</v>
      </c>
      <c r="BS45" s="6">
        <f>BR45</f>
        <v>6558.2999999999993</v>
      </c>
    </row>
    <row r="46" spans="2:71">
      <c r="B46" s="5" t="s">
        <v>171</v>
      </c>
      <c r="C46" s="12">
        <f>IFERROR(C45/(C28*12),0)</f>
        <v>0.18821763520028048</v>
      </c>
      <c r="D46" s="12">
        <f>IFERROR(D45/(D28*12),0)</f>
        <v>0.19007799105792186</v>
      </c>
      <c r="E46" s="12">
        <f>IFERROR(E45/(E28*12),0)</f>
        <v>0.18826075335142695</v>
      </c>
      <c r="F46" s="12">
        <f>IFERROR(F45/(F28*12),0)</f>
        <v>0.18814440475153205</v>
      </c>
      <c r="G46" s="12">
        <f>IFERROR(G45/(G28*12),0)</f>
        <v>0.18325425694554273</v>
      </c>
      <c r="H46" s="12">
        <f>IFERROR(H45/(H28*12),0)</f>
        <v>0.18191628845184069</v>
      </c>
      <c r="I46" s="12">
        <f>IFERROR(I45/(I28*12),0)</f>
        <v>0.17571089080635624</v>
      </c>
      <c r="J46" s="12">
        <f>IFERROR(J45/(J28*12),0)</f>
        <v>0.17128132902275858</v>
      </c>
      <c r="K46" s="12">
        <f>IFERROR(K45/(K28*12),0)</f>
        <v>0.15388071895424832</v>
      </c>
      <c r="L46" s="12">
        <f>IFERROR(L45/(L28*12),0)</f>
        <v>0.16097392638036812</v>
      </c>
      <c r="M46" s="12">
        <f>IFERROR(M45/(M28*12),0)</f>
        <v>0.16637175742999485</v>
      </c>
      <c r="N46" s="12">
        <f>IFERROR(N45/(N28*12),0)</f>
        <v>0.17128686495126463</v>
      </c>
      <c r="Q46" s="12">
        <f>IFERROR(Q45/(Q28*12),0)</f>
        <v>0.18821763520028048</v>
      </c>
      <c r="R46" s="12">
        <f>IFERROR(R45/(R28*12),0)</f>
        <v>0.19007799105792186</v>
      </c>
      <c r="S46" s="12">
        <f>IFERROR(S45/(S28*12),0)</f>
        <v>0.18826075335142695</v>
      </c>
      <c r="T46" s="12">
        <f>IFERROR(T45/(T28*12),0)</f>
        <v>0.18814440475153205</v>
      </c>
      <c r="U46" s="12">
        <f>IFERROR(U45/(U28*12),0)</f>
        <v>0.18325425694554273</v>
      </c>
      <c r="V46" s="12">
        <f>IFERROR(V45/(V28*12),0)</f>
        <v>0.18191628845184069</v>
      </c>
      <c r="W46" s="12">
        <f>IFERROR(W45/(W28*12),0)</f>
        <v>0.17571089080635624</v>
      </c>
      <c r="X46" s="12">
        <f>IFERROR(X45/(X28*12),0)</f>
        <v>0.17128132902275858</v>
      </c>
      <c r="Y46" s="12">
        <f>IFERROR(Y45/(Y28*12),0)</f>
        <v>0.15388071895424832</v>
      </c>
      <c r="Z46" s="12">
        <f>IFERROR(Z45/(Z28*12),0)</f>
        <v>0.16097392638036812</v>
      </c>
      <c r="AA46" s="12">
        <f>IFERROR(AA45/(AA28*12),0)</f>
        <v>0.16637175742999485</v>
      </c>
      <c r="AB46" s="12">
        <f>IFERROR(AB45/(AB28*12),0)</f>
        <v>0.17128686495126463</v>
      </c>
      <c r="AE46" s="12">
        <f>IFERROR(AE45/(AE28*12),0)</f>
        <v>0</v>
      </c>
      <c r="AF46" s="12">
        <f>IFERROR(AF45/(AF28*12),0)</f>
        <v>0</v>
      </c>
      <c r="AG46" s="12">
        <f>IFERROR(AG45/(AG28*12),0)</f>
        <v>0</v>
      </c>
      <c r="AH46" s="12">
        <f>IFERROR(AH45/(AH28*12),0)</f>
        <v>0</v>
      </c>
      <c r="AI46" s="12">
        <f>IFERROR(AI45/(AI28*12),0)</f>
        <v>0</v>
      </c>
      <c r="AJ46" s="12">
        <f>IFERROR(AJ45/(AJ28*12),0)</f>
        <v>0</v>
      </c>
      <c r="AK46" s="12">
        <f>IFERROR(AK45/(AK28*12),0)</f>
        <v>0</v>
      </c>
      <c r="AL46" s="12">
        <f>IFERROR(AL45/(AL28*12),0)</f>
        <v>0</v>
      </c>
      <c r="AM46" s="12">
        <f>IFERROR(AM45/(AM28*12),0)</f>
        <v>0</v>
      </c>
      <c r="AN46" s="12">
        <f>IFERROR(AN45/(AN28*12),0)</f>
        <v>0</v>
      </c>
      <c r="AO46" s="12">
        <f>IFERROR(AO45/(AO28*12),0)</f>
        <v>0</v>
      </c>
      <c r="AP46" s="12">
        <f>IFERROR(AP45/(AP28*12),0)</f>
        <v>0</v>
      </c>
      <c r="AS46" s="12">
        <f>IFERROR(AS45/(AS28*12),0)</f>
        <v>0</v>
      </c>
      <c r="AT46" s="12">
        <f>IFERROR(AT45/(AT28*12),0)</f>
        <v>0</v>
      </c>
      <c r="AU46" s="12">
        <f>IFERROR(AU45/(AU28*12),0)</f>
        <v>0</v>
      </c>
      <c r="AV46" s="12">
        <f>IFERROR(AV45/(AV28*12),0)</f>
        <v>0</v>
      </c>
      <c r="AW46" s="12">
        <f>IFERROR(AW45/(AW28*12),0)</f>
        <v>0</v>
      </c>
      <c r="AX46" s="12">
        <f>IFERROR(AX45/(AX28*12),0)</f>
        <v>0</v>
      </c>
      <c r="AY46" s="12">
        <f>IFERROR(AY45/(AY28*12),0)</f>
        <v>0</v>
      </c>
      <c r="AZ46" s="12">
        <f>IFERROR(AZ45/(AZ28*12),0)</f>
        <v>0</v>
      </c>
      <c r="BA46" s="12">
        <f>IFERROR(BA45/(BA28*12),0)</f>
        <v>0</v>
      </c>
      <c r="BB46" s="12">
        <f>IFERROR(BB45/(BB28*12),0)</f>
        <v>0</v>
      </c>
      <c r="BC46" s="12">
        <f>IFERROR(BC45/(BC28*12),0)</f>
        <v>0</v>
      </c>
      <c r="BD46" s="12">
        <f>IFERROR(BD45/(BD28*12),0)</f>
        <v>0</v>
      </c>
      <c r="BG46" s="12">
        <f>IFERROR(BG45/(BG28*12),0)</f>
        <v>0.18821763520028048</v>
      </c>
      <c r="BH46" s="12">
        <f>IFERROR(BH45/(BH28*12),0)</f>
        <v>0.19007799105792186</v>
      </c>
      <c r="BI46" s="12">
        <f>IFERROR(BI45/(BI28*12),0)</f>
        <v>0.18826075335142695</v>
      </c>
      <c r="BJ46" s="12">
        <f>IFERROR(BJ45/(BJ28*12),0)</f>
        <v>0.18814440475153205</v>
      </c>
      <c r="BK46" s="12">
        <f>IFERROR(BK45/(BK28*12),0)</f>
        <v>0.18325425694554273</v>
      </c>
      <c r="BL46" s="12">
        <f>IFERROR(BL45/(BL28*12),0)</f>
        <v>0.18191628845184069</v>
      </c>
      <c r="BM46" s="12">
        <f>IFERROR(BM45/(BM28*12),0)</f>
        <v>0.17571089080635624</v>
      </c>
      <c r="BN46" s="12">
        <f>IFERROR(BN45/(BN28*12),0)</f>
        <v>0.17128132902275858</v>
      </c>
      <c r="BO46" s="12">
        <f>IFERROR(BO45/(BO28*12),0)</f>
        <v>0.16816964285714281</v>
      </c>
      <c r="BP46" s="12">
        <f>IFERROR(BP45/(BP28*12),0)</f>
        <v>0.17038149350649354</v>
      </c>
      <c r="BQ46" s="12">
        <f>IFERROR(BQ45/(BQ28*12),0)</f>
        <v>0.16987370636730401</v>
      </c>
      <c r="BR46" s="12">
        <f>IFERROR(BR45/(BR28*12),0)</f>
        <v>0.17128686495126463</v>
      </c>
    </row>
    <row r="49" spans="2:15">
      <c r="B49" s="8" t="s">
        <v>172</v>
      </c>
    </row>
    <row r="50" spans="2:15">
      <c r="C50" s="19" t="s">
        <v>70</v>
      </c>
      <c r="D50" s="19" t="s">
        <v>71</v>
      </c>
      <c r="E50" s="19" t="s">
        <v>72</v>
      </c>
      <c r="F50" s="19" t="s">
        <v>73</v>
      </c>
      <c r="G50" s="19" t="s">
        <v>50</v>
      </c>
      <c r="H50" s="19" t="s">
        <v>74</v>
      </c>
      <c r="I50" s="19" t="s">
        <v>75</v>
      </c>
      <c r="J50" s="19" t="s">
        <v>76</v>
      </c>
      <c r="K50" s="19" t="s">
        <v>77</v>
      </c>
      <c r="L50" s="19" t="s">
        <v>78</v>
      </c>
      <c r="M50" s="19" t="s">
        <v>79</v>
      </c>
      <c r="N50" s="19" t="s">
        <v>80</v>
      </c>
      <c r="O50" s="2" t="s">
        <v>165</v>
      </c>
    </row>
    <row r="51" spans="2:15">
      <c r="B51" t="s">
        <v>100</v>
      </c>
      <c r="C51" s="6">
        <v>3166.6</v>
      </c>
      <c r="D51" s="6">
        <v>3100</v>
      </c>
      <c r="E51" s="6">
        <v>3333.4</v>
      </c>
      <c r="F51" s="6">
        <v>3599.9</v>
      </c>
      <c r="G51" s="6">
        <v>3266.6</v>
      </c>
      <c r="H51" s="6">
        <v>3433.3</v>
      </c>
      <c r="I51" s="6">
        <v>3399.9</v>
      </c>
      <c r="J51" s="6">
        <v>3333.3</v>
      </c>
      <c r="K51" s="6">
        <v>3266.7</v>
      </c>
      <c r="L51" s="6">
        <v>3499.8</v>
      </c>
      <c r="M51" s="6">
        <v>3166.6</v>
      </c>
      <c r="N51" s="6">
        <v>3433.2</v>
      </c>
      <c r="O51" s="6">
        <f>SUM(C51:N51)</f>
        <v>39999.299999999996</v>
      </c>
    </row>
    <row r="52" spans="2:15">
      <c r="B52" t="s">
        <v>111</v>
      </c>
      <c r="C52" s="6">
        <v>1013.2</v>
      </c>
      <c r="D52" s="6">
        <v>992.2</v>
      </c>
      <c r="E52" s="6">
        <v>1066.7</v>
      </c>
      <c r="F52" s="6">
        <v>1152</v>
      </c>
      <c r="G52" s="6">
        <v>1045.2</v>
      </c>
      <c r="H52" s="6">
        <v>1098.7</v>
      </c>
      <c r="I52" s="6">
        <v>1087.9000000000001</v>
      </c>
      <c r="J52" s="6">
        <v>1066.5999999999999</v>
      </c>
      <c r="K52" s="6">
        <v>1045.4000000000001</v>
      </c>
      <c r="L52" s="6">
        <v>1119.7</v>
      </c>
      <c r="M52" s="6">
        <v>1013.3</v>
      </c>
      <c r="N52" s="6">
        <v>1098.5999999999999</v>
      </c>
      <c r="O52" s="6">
        <f>SUM(C52:N52)</f>
        <v>12799.5</v>
      </c>
    </row>
    <row r="53" spans="2:15">
      <c r="B53" t="s">
        <v>112</v>
      </c>
      <c r="C53" s="6">
        <v>-741.2</v>
      </c>
      <c r="D53" s="6">
        <v>-725.8</v>
      </c>
      <c r="E53" s="6">
        <v>-779.9</v>
      </c>
      <c r="F53" s="6">
        <v>-842.4</v>
      </c>
      <c r="G53" s="6">
        <v>-764.4</v>
      </c>
      <c r="H53" s="6">
        <v>-803.1</v>
      </c>
      <c r="I53" s="6">
        <v>-796.1</v>
      </c>
      <c r="J53" s="6">
        <v>-779.9</v>
      </c>
      <c r="K53" s="6">
        <v>-764.4</v>
      </c>
      <c r="L53" s="6">
        <v>-819</v>
      </c>
      <c r="M53" s="6">
        <v>-741.2</v>
      </c>
      <c r="N53" s="6">
        <v>-803.1</v>
      </c>
      <c r="O53" s="6">
        <f>SUM(C53:N53)</f>
        <v>-9360.5</v>
      </c>
    </row>
    <row r="54" spans="2:15">
      <c r="B54" t="s">
        <v>113</v>
      </c>
      <c r="C54" s="6">
        <f>C52+C53</f>
        <v>272</v>
      </c>
      <c r="D54" s="6">
        <f>D52+D53</f>
        <v>266.40000000000009</v>
      </c>
      <c r="E54" s="6">
        <f>E52+E53</f>
        <v>286.80000000000007</v>
      </c>
      <c r="F54" s="6">
        <f>F52+F53</f>
        <v>309.60000000000002</v>
      </c>
      <c r="G54" s="6">
        <f>G52+G53</f>
        <v>280.80000000000007</v>
      </c>
      <c r="H54" s="6">
        <f>H52+H53</f>
        <v>295.60000000000002</v>
      </c>
      <c r="I54" s="6">
        <f>I52+I53</f>
        <v>291.80000000000007</v>
      </c>
      <c r="J54" s="6">
        <f>J52+J53</f>
        <v>286.69999999999993</v>
      </c>
      <c r="K54" s="6">
        <f>K52+K53</f>
        <v>281.00000000000011</v>
      </c>
      <c r="L54" s="6">
        <f>L52+L53</f>
        <v>300.70000000000005</v>
      </c>
      <c r="M54" s="6">
        <f>M52+M53</f>
        <v>272.09999999999991</v>
      </c>
      <c r="N54" s="6">
        <f>N52+N53</f>
        <v>295.49999999999989</v>
      </c>
      <c r="O54" s="6">
        <f>SUM(C54:N54)</f>
        <v>3439.0000000000005</v>
      </c>
    </row>
    <row r="55" spans="2:15">
      <c r="B55" t="s">
        <v>151</v>
      </c>
      <c r="C55" s="6">
        <v>5439.1</v>
      </c>
      <c r="D55" s="6">
        <v>5292.5</v>
      </c>
      <c r="E55" s="6">
        <v>5637.2</v>
      </c>
      <c r="F55" s="6">
        <v>6158.5</v>
      </c>
      <c r="G55" s="6">
        <v>5624.1</v>
      </c>
      <c r="H55" s="6">
        <v>5983.6</v>
      </c>
      <c r="I55" s="6">
        <v>5905.5</v>
      </c>
      <c r="J55" s="6">
        <v>5728.6</v>
      </c>
      <c r="K55" s="6">
        <v>5717.8</v>
      </c>
      <c r="L55" s="6">
        <v>5952.5</v>
      </c>
      <c r="M55" s="6">
        <v>5382.5</v>
      </c>
      <c r="N55" s="6">
        <v>5983.8</v>
      </c>
      <c r="O55" s="6">
        <f>N55</f>
        <v>5983.8</v>
      </c>
    </row>
    <row r="56" spans="2:15">
      <c r="B56" t="s">
        <v>152</v>
      </c>
      <c r="C56" s="6">
        <v>4749.8999999999996</v>
      </c>
      <c r="D56" s="6">
        <v>4650</v>
      </c>
      <c r="E56" s="6">
        <v>5000.1000000000004</v>
      </c>
      <c r="F56" s="6">
        <v>5399.9</v>
      </c>
      <c r="G56" s="6">
        <v>4899.8999999999996</v>
      </c>
      <c r="H56" s="6">
        <v>5149.8999999999996</v>
      </c>
      <c r="I56" s="6">
        <v>5099.8999999999996</v>
      </c>
      <c r="J56" s="6">
        <v>4999.8999999999996</v>
      </c>
      <c r="K56" s="6">
        <v>4900.1000000000004</v>
      </c>
      <c r="L56" s="6">
        <v>5249.7</v>
      </c>
      <c r="M56" s="6">
        <v>4749.8999999999996</v>
      </c>
      <c r="N56" s="6">
        <v>5149.8</v>
      </c>
      <c r="O56" s="6">
        <f>N56</f>
        <v>5149.8</v>
      </c>
    </row>
    <row r="57" spans="2:15">
      <c r="B57" t="s">
        <v>153</v>
      </c>
      <c r="C57" s="6">
        <v>47.5</v>
      </c>
      <c r="D57" s="6">
        <v>46.5</v>
      </c>
      <c r="E57" s="6">
        <v>50</v>
      </c>
      <c r="F57" s="6">
        <v>54</v>
      </c>
      <c r="G57" s="6">
        <v>49</v>
      </c>
      <c r="H57" s="6">
        <v>51.5</v>
      </c>
      <c r="I57" s="6">
        <v>51</v>
      </c>
      <c r="J57" s="6">
        <v>50</v>
      </c>
      <c r="K57" s="6">
        <v>49</v>
      </c>
      <c r="L57" s="6">
        <v>52.5</v>
      </c>
      <c r="M57" s="6">
        <v>47.5</v>
      </c>
      <c r="N57" s="6">
        <v>51.5</v>
      </c>
      <c r="O57" s="6">
        <f>N57</f>
        <v>51.5</v>
      </c>
    </row>
    <row r="58" spans="2:15">
      <c r="B58" t="s">
        <v>154</v>
      </c>
      <c r="C58" s="6">
        <v>-3014.8</v>
      </c>
      <c r="D58" s="6">
        <v>-2950.9</v>
      </c>
      <c r="E58" s="6">
        <v>-3173.4</v>
      </c>
      <c r="F58" s="6">
        <v>-3427.1</v>
      </c>
      <c r="G58" s="6">
        <v>-3110</v>
      </c>
      <c r="H58" s="6">
        <v>-3268.4</v>
      </c>
      <c r="I58" s="6">
        <v>-3236.8</v>
      </c>
      <c r="J58" s="6">
        <v>-3173.4</v>
      </c>
      <c r="K58" s="6">
        <v>-3109.8</v>
      </c>
      <c r="L58" s="6">
        <v>-3332.1</v>
      </c>
      <c r="M58" s="6">
        <v>-3014.6</v>
      </c>
      <c r="N58" s="6">
        <v>-3268.4</v>
      </c>
      <c r="O58" s="6">
        <f>N58</f>
        <v>-3268.4</v>
      </c>
    </row>
    <row r="59" spans="2:15">
      <c r="B59" t="s">
        <v>155</v>
      </c>
      <c r="C59" s="6">
        <v>-95</v>
      </c>
      <c r="D59" s="6">
        <v>-93</v>
      </c>
      <c r="E59" s="6">
        <v>-100</v>
      </c>
      <c r="F59" s="6">
        <v>-108</v>
      </c>
      <c r="G59" s="6">
        <v>-98</v>
      </c>
      <c r="H59" s="6">
        <v>-103</v>
      </c>
      <c r="I59" s="6">
        <v>-102</v>
      </c>
      <c r="J59" s="6">
        <v>-100</v>
      </c>
      <c r="K59" s="6">
        <v>-98</v>
      </c>
      <c r="L59" s="6">
        <v>-105</v>
      </c>
      <c r="M59" s="6">
        <v>-95</v>
      </c>
      <c r="N59" s="6">
        <v>-103</v>
      </c>
      <c r="O59" s="6">
        <f>N59</f>
        <v>-103</v>
      </c>
    </row>
    <row r="60" spans="2:15">
      <c r="B60" t="s">
        <v>170</v>
      </c>
      <c r="C60" s="6">
        <f>SUM(C55:C59)</f>
        <v>7126.7</v>
      </c>
      <c r="D60" s="6">
        <f>SUM(D55:D59)</f>
        <v>6945.1</v>
      </c>
      <c r="E60" s="6">
        <f>SUM(E55:E59)</f>
        <v>7413.9</v>
      </c>
      <c r="F60" s="6">
        <f>SUM(F55:F59)</f>
        <v>8077.2999999999993</v>
      </c>
      <c r="G60" s="6">
        <f>SUM(G55:G59)</f>
        <v>7365</v>
      </c>
      <c r="H60" s="6">
        <f>SUM(H55:H59)</f>
        <v>7813.6</v>
      </c>
      <c r="I60" s="6">
        <f>SUM(I55:I59)</f>
        <v>7717.5999999999995</v>
      </c>
      <c r="J60" s="6">
        <f>SUM(J55:J59)</f>
        <v>7505.1</v>
      </c>
      <c r="K60" s="6">
        <f>SUM(K55:K59)</f>
        <v>7459.1000000000013</v>
      </c>
      <c r="L60" s="6">
        <f>SUM(L55:L59)</f>
        <v>7817.6</v>
      </c>
      <c r="M60" s="6">
        <f>SUM(M55:M59)</f>
        <v>7070.2999999999993</v>
      </c>
      <c r="N60" s="6">
        <f>SUM(N55:N59)</f>
        <v>7813.7000000000007</v>
      </c>
      <c r="O60" s="6">
        <f>N60</f>
        <v>7813.7000000000007</v>
      </c>
    </row>
    <row r="62" spans="2:15">
      <c r="B62" s="8" t="s">
        <v>173</v>
      </c>
    </row>
    <row r="63" spans="2:15">
      <c r="C63" s="19" t="s">
        <v>70</v>
      </c>
      <c r="D63" s="19" t="s">
        <v>71</v>
      </c>
      <c r="E63" s="19" t="s">
        <v>72</v>
      </c>
      <c r="F63" s="19" t="s">
        <v>73</v>
      </c>
      <c r="G63" s="19" t="s">
        <v>50</v>
      </c>
      <c r="H63" s="19" t="s">
        <v>74</v>
      </c>
      <c r="I63" s="19" t="s">
        <v>75</v>
      </c>
      <c r="J63" s="19" t="s">
        <v>76</v>
      </c>
      <c r="K63" s="19" t="s">
        <v>77</v>
      </c>
      <c r="L63" s="19" t="s">
        <v>78</v>
      </c>
      <c r="M63" s="19" t="s">
        <v>79</v>
      </c>
      <c r="N63" s="19" t="s">
        <v>80</v>
      </c>
      <c r="O63" s="2" t="s">
        <v>165</v>
      </c>
    </row>
    <row r="64" spans="2:15">
      <c r="B64" t="s">
        <v>100</v>
      </c>
      <c r="C64" s="6">
        <v>2992.3</v>
      </c>
      <c r="D64" s="6">
        <v>2996.4</v>
      </c>
      <c r="E64" s="6">
        <v>3194.7</v>
      </c>
      <c r="F64" s="6">
        <v>3422.7</v>
      </c>
      <c r="G64" s="6">
        <v>3079.1</v>
      </c>
      <c r="H64" s="6">
        <v>3235.9</v>
      </c>
      <c r="I64" s="6">
        <v>3322.9</v>
      </c>
      <c r="J64" s="6">
        <v>3197.4</v>
      </c>
      <c r="K64" s="6">
        <v>3097</v>
      </c>
      <c r="L64" s="6">
        <v>3409.8</v>
      </c>
      <c r="M64" s="6">
        <v>3047.5</v>
      </c>
      <c r="N64" s="6">
        <v>3304.2</v>
      </c>
      <c r="O64" s="6">
        <f>SUM(C64:N64)</f>
        <v>38299.9</v>
      </c>
    </row>
    <row r="65" spans="2:15">
      <c r="B65" t="s">
        <v>111</v>
      </c>
      <c r="C65" s="6">
        <v>943.5</v>
      </c>
      <c r="D65" s="6">
        <v>947.7</v>
      </c>
      <c r="E65" s="6">
        <v>1025.5</v>
      </c>
      <c r="F65" s="6">
        <v>1097.4000000000001</v>
      </c>
      <c r="G65" s="6">
        <v>986.9</v>
      </c>
      <c r="H65" s="6">
        <v>1033.8</v>
      </c>
      <c r="I65" s="6">
        <v>1051.5</v>
      </c>
      <c r="J65" s="6">
        <v>1006.6</v>
      </c>
      <c r="K65" s="6">
        <v>982.5</v>
      </c>
      <c r="L65" s="6">
        <v>1080.5</v>
      </c>
      <c r="M65" s="6">
        <v>976.9</v>
      </c>
      <c r="N65" s="6">
        <v>1048.8</v>
      </c>
      <c r="O65" s="6">
        <f>SUM(C65:N65)</f>
        <v>12181.6</v>
      </c>
    </row>
    <row r="66" spans="2:15">
      <c r="B66" t="s">
        <v>112</v>
      </c>
      <c r="C66" s="6">
        <v>-720.2</v>
      </c>
      <c r="D66" s="6">
        <v>-714</v>
      </c>
      <c r="E66" s="6">
        <v>-760.9</v>
      </c>
      <c r="F66" s="6">
        <v>-819.4</v>
      </c>
      <c r="G66" s="6">
        <v>-746.4</v>
      </c>
      <c r="H66" s="6">
        <v>-789.4</v>
      </c>
      <c r="I66" s="6">
        <v>-780.3</v>
      </c>
      <c r="J66" s="6">
        <v>-760.2</v>
      </c>
      <c r="K66" s="6">
        <v>-746.6</v>
      </c>
      <c r="L66" s="6">
        <v>-798.4</v>
      </c>
      <c r="M66" s="6">
        <v>-725.9</v>
      </c>
      <c r="N66" s="6">
        <v>-781.7</v>
      </c>
      <c r="O66" s="6">
        <f>SUM(C66:N66)</f>
        <v>-9143.4000000000015</v>
      </c>
    </row>
    <row r="67" spans="2:15">
      <c r="B67" t="s">
        <v>113</v>
      </c>
      <c r="C67" s="6">
        <f>C65+C66</f>
        <v>223.29999999999995</v>
      </c>
      <c r="D67" s="6">
        <f>D65+D66</f>
        <v>233.70000000000005</v>
      </c>
      <c r="E67" s="6">
        <f>E65+E66</f>
        <v>264.60000000000002</v>
      </c>
      <c r="F67" s="6">
        <f>F65+F66</f>
        <v>278.00000000000011</v>
      </c>
      <c r="G67" s="6">
        <f>G65+G66</f>
        <v>240.5</v>
      </c>
      <c r="H67" s="6">
        <f>H65+H66</f>
        <v>244.39999999999998</v>
      </c>
      <c r="I67" s="6">
        <f>I65+I66</f>
        <v>271.20000000000005</v>
      </c>
      <c r="J67" s="6">
        <f>J65+J66</f>
        <v>246.39999999999998</v>
      </c>
      <c r="K67" s="6">
        <f>K65+K66</f>
        <v>235.89999999999998</v>
      </c>
      <c r="L67" s="6">
        <f>L65+L66</f>
        <v>282.10000000000002</v>
      </c>
      <c r="M67" s="6">
        <f>M65+M66</f>
        <v>251</v>
      </c>
      <c r="N67" s="6">
        <f>N65+N66</f>
        <v>267.09999999999991</v>
      </c>
      <c r="O67" s="6">
        <f>SUM(C67:N67)</f>
        <v>3038.2</v>
      </c>
    </row>
    <row r="68" spans="2:15">
      <c r="B68" t="s">
        <v>151</v>
      </c>
      <c r="C68" s="6">
        <v>5715.2</v>
      </c>
      <c r="D68" s="6">
        <v>5807.1</v>
      </c>
      <c r="E68" s="6">
        <v>5981.9</v>
      </c>
      <c r="F68" s="6">
        <v>6483.4</v>
      </c>
      <c r="G68" s="6">
        <v>5936.3</v>
      </c>
      <c r="H68" s="6">
        <v>6203.5</v>
      </c>
      <c r="I68" s="6">
        <v>6384.5</v>
      </c>
      <c r="J68" s="6">
        <v>6167.8</v>
      </c>
      <c r="K68" s="6">
        <v>5989.2</v>
      </c>
      <c r="L68" s="6">
        <v>6407.8</v>
      </c>
      <c r="M68" s="6">
        <v>5838.9</v>
      </c>
      <c r="N68" s="6">
        <v>6227.6</v>
      </c>
      <c r="O68" s="6">
        <f>N68</f>
        <v>6227.6</v>
      </c>
    </row>
    <row r="69" spans="2:15">
      <c r="B69" t="s">
        <v>152</v>
      </c>
      <c r="C69" s="6">
        <v>4588.2</v>
      </c>
      <c r="D69" s="6">
        <v>4594.5</v>
      </c>
      <c r="E69" s="6">
        <v>4898.5</v>
      </c>
      <c r="F69" s="6">
        <v>5248.1</v>
      </c>
      <c r="G69" s="6">
        <v>4721.3</v>
      </c>
      <c r="H69" s="6">
        <v>4961.7</v>
      </c>
      <c r="I69" s="6">
        <v>5095.1000000000004</v>
      </c>
      <c r="J69" s="6">
        <v>4902.7</v>
      </c>
      <c r="K69" s="6">
        <v>4748.7</v>
      </c>
      <c r="L69" s="6">
        <v>5228.3999999999996</v>
      </c>
      <c r="M69" s="6">
        <v>4672.8</v>
      </c>
      <c r="N69" s="6">
        <v>5066.3999999999996</v>
      </c>
      <c r="O69" s="6">
        <f>N69</f>
        <v>5066.3999999999996</v>
      </c>
    </row>
    <row r="70" spans="2:15">
      <c r="B70" t="s">
        <v>153</v>
      </c>
      <c r="C70" s="6">
        <v>44.9</v>
      </c>
      <c r="D70" s="6">
        <v>44.9</v>
      </c>
      <c r="E70" s="6">
        <v>47.9</v>
      </c>
      <c r="F70" s="6">
        <v>51.3</v>
      </c>
      <c r="G70" s="6">
        <v>46.2</v>
      </c>
      <c r="H70" s="6">
        <v>48.5</v>
      </c>
      <c r="I70" s="6">
        <v>49.8</v>
      </c>
      <c r="J70" s="6">
        <v>48</v>
      </c>
      <c r="K70" s="6">
        <v>46.5</v>
      </c>
      <c r="L70" s="6">
        <v>51.1</v>
      </c>
      <c r="M70" s="6">
        <v>45.7</v>
      </c>
      <c r="N70" s="6">
        <v>49.6</v>
      </c>
      <c r="O70" s="6">
        <f>N70</f>
        <v>49.6</v>
      </c>
    </row>
    <row r="71" spans="2:15">
      <c r="B71" t="s">
        <v>154</v>
      </c>
      <c r="C71" s="6">
        <v>-2800</v>
      </c>
      <c r="D71" s="6">
        <v>-2799.9</v>
      </c>
      <c r="E71" s="6">
        <v>-2964.6</v>
      </c>
      <c r="F71" s="6">
        <v>-3177.9</v>
      </c>
      <c r="G71" s="6">
        <v>-2859.3</v>
      </c>
      <c r="H71" s="6">
        <v>-3009.5</v>
      </c>
      <c r="I71" s="6">
        <v>-3104.2</v>
      </c>
      <c r="J71" s="6">
        <v>-2994.1</v>
      </c>
      <c r="K71" s="6">
        <v>-2889.8</v>
      </c>
      <c r="L71" s="6">
        <v>-3183.4</v>
      </c>
      <c r="M71" s="6">
        <v>-2829.8</v>
      </c>
      <c r="N71" s="6">
        <v>-3082.4</v>
      </c>
      <c r="O71" s="6">
        <f>N71</f>
        <v>-3082.4</v>
      </c>
    </row>
    <row r="72" spans="2:15">
      <c r="B72" t="s">
        <v>155</v>
      </c>
      <c r="C72" s="6">
        <v>-89.8</v>
      </c>
      <c r="D72" s="6">
        <v>-89.9</v>
      </c>
      <c r="E72" s="6">
        <v>-95.8</v>
      </c>
      <c r="F72" s="6">
        <v>-102.7</v>
      </c>
      <c r="G72" s="6">
        <v>-92.4</v>
      </c>
      <c r="H72" s="6">
        <v>-97.1</v>
      </c>
      <c r="I72" s="6">
        <v>-99.7</v>
      </c>
      <c r="J72" s="6">
        <v>-95.9</v>
      </c>
      <c r="K72" s="6">
        <v>-92.9</v>
      </c>
      <c r="L72" s="6">
        <v>-102.3</v>
      </c>
      <c r="M72" s="6">
        <v>-91.4</v>
      </c>
      <c r="N72" s="6">
        <v>-99.1</v>
      </c>
      <c r="O72" s="6">
        <f>N72</f>
        <v>-99.1</v>
      </c>
    </row>
    <row r="73" spans="2:15">
      <c r="B73" t="s">
        <v>170</v>
      </c>
      <c r="C73" s="6">
        <f>SUM(C68:C72)</f>
        <v>7458.4999999999991</v>
      </c>
      <c r="D73" s="6">
        <f>SUM(D68:D72)</f>
        <v>7556.7000000000007</v>
      </c>
      <c r="E73" s="6">
        <f>SUM(E68:E72)</f>
        <v>7867.8999999999987</v>
      </c>
      <c r="F73" s="6">
        <f>SUM(F68:F72)</f>
        <v>8502.1999999999989</v>
      </c>
      <c r="G73" s="6">
        <f>SUM(G68:G72)</f>
        <v>7752.1000000000013</v>
      </c>
      <c r="H73" s="6">
        <f>SUM(H68:H72)</f>
        <v>8107.1</v>
      </c>
      <c r="I73" s="6">
        <f>SUM(I68:I72)</f>
        <v>8325.5</v>
      </c>
      <c r="J73" s="6">
        <f>SUM(J68:J72)</f>
        <v>8028.5</v>
      </c>
      <c r="K73" s="6">
        <f>SUM(K68:K72)</f>
        <v>7801.7</v>
      </c>
      <c r="L73" s="6">
        <f>SUM(L68:L72)</f>
        <v>8401.6000000000022</v>
      </c>
      <c r="M73" s="6">
        <f>SUM(M68:M72)</f>
        <v>7636.2000000000016</v>
      </c>
      <c r="N73" s="6">
        <f>SUM(N68:N72)</f>
        <v>8162.1</v>
      </c>
      <c r="O73" s="6">
        <f>N73</f>
        <v>8162.1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23"/>
  <sheetViews>
    <sheetView showGridLines="0" workbookViewId="0"/>
  </sheetViews>
  <sheetFormatPr defaultRowHeight="15"/>
  <cols>
    <col min="2" max="2" width="28" customWidth="1"/>
    <col min="3" max="11" width="14" customWidth="1"/>
  </cols>
  <sheetData>
    <row r="1" spans="1:11">
      <c r="A1" t="s">
        <v>27</v>
      </c>
      <c r="B1" t="s">
        <v>32</v>
      </c>
      <c r="D1" s="3" t="s">
        <v>106</v>
      </c>
    </row>
    <row r="2" spans="1:11">
      <c r="A2" t="s">
        <v>28</v>
      </c>
      <c r="B2" t="s">
        <v>37</v>
      </c>
      <c r="D2" s="1" t="s">
        <v>24</v>
      </c>
    </row>
    <row r="4" spans="1:11">
      <c r="C4" s="8" t="s">
        <v>52</v>
      </c>
    </row>
    <row r="5" spans="1:11">
      <c r="C5" s="2" t="s">
        <v>91</v>
      </c>
      <c r="F5" s="2" t="s">
        <v>92</v>
      </c>
      <c r="I5" s="2" t="s">
        <v>81</v>
      </c>
    </row>
    <row r="6" spans="1:11" ht="30" customHeight="1">
      <c r="B6" s="2" t="s">
        <v>93</v>
      </c>
      <c r="C6" s="4" t="s">
        <v>94</v>
      </c>
      <c r="D6" s="4" t="s">
        <v>95</v>
      </c>
      <c r="E6" s="4" t="s">
        <v>96</v>
      </c>
      <c r="F6" s="4" t="s">
        <v>97</v>
      </c>
      <c r="G6" s="4" t="s">
        <v>98</v>
      </c>
      <c r="H6" s="4" t="s">
        <v>99</v>
      </c>
      <c r="I6" s="4" t="s">
        <v>97</v>
      </c>
      <c r="J6" s="4" t="s">
        <v>98</v>
      </c>
      <c r="K6" s="4" t="s">
        <v>99</v>
      </c>
    </row>
    <row r="8" spans="1:11">
      <c r="B8" s="2" t="s">
        <v>100</v>
      </c>
      <c r="C8" s="6">
        <f>Falcon!BU28</f>
        <v>300</v>
      </c>
      <c r="D8" s="6">
        <f>Falcon!BV28</f>
        <v>5882</v>
      </c>
      <c r="E8" s="6">
        <f>Falcon!BW28</f>
        <v>9896.3999999999869</v>
      </c>
      <c r="F8" s="6">
        <f>Falcon!BY28</f>
        <v>900</v>
      </c>
      <c r="G8" s="6">
        <f>Falcon!BZ28</f>
        <v>3410.6000000000022</v>
      </c>
      <c r="H8" s="6">
        <f>Falcon!CA28</f>
        <v>4812.9000000000015</v>
      </c>
      <c r="I8" s="6">
        <f>Falcon!CC28</f>
        <v>1200</v>
      </c>
      <c r="J8" s="6">
        <f>Falcon!CD28</f>
        <v>9292.5999999999913</v>
      </c>
      <c r="K8" s="6">
        <f>Falcon!CE28</f>
        <v>14709.299999999988</v>
      </c>
    </row>
    <row r="10" spans="1:11">
      <c r="B10" s="2" t="s">
        <v>111</v>
      </c>
      <c r="C10" s="6">
        <f>Falcon!BU29</f>
        <v>120</v>
      </c>
      <c r="D10" s="6">
        <f>Falcon!BV29</f>
        <v>3096.1000000000022</v>
      </c>
      <c r="E10" s="6">
        <f>Falcon!BW29</f>
        <v>4787.2999999999993</v>
      </c>
      <c r="F10" s="6">
        <f>Falcon!BY29</f>
        <v>360</v>
      </c>
      <c r="G10" s="6">
        <f>Falcon!BZ29</f>
        <v>1607.6000000000004</v>
      </c>
      <c r="H10" s="6">
        <f>Falcon!CA29</f>
        <v>2147.9000000000005</v>
      </c>
      <c r="I10" s="6">
        <f>Falcon!CC29</f>
        <v>480</v>
      </c>
      <c r="J10" s="6">
        <f>Falcon!CD29</f>
        <v>4703.7000000000044</v>
      </c>
      <c r="K10" s="6">
        <f>Falcon!CE29</f>
        <v>6935.2000000000007</v>
      </c>
    </row>
    <row r="12" spans="1:11">
      <c r="B12" s="2" t="s">
        <v>112</v>
      </c>
      <c r="C12" s="6">
        <f>Falcon!BU30</f>
        <v>-110</v>
      </c>
      <c r="D12" s="6">
        <f>Falcon!BV30</f>
        <v>-662.89999999999964</v>
      </c>
      <c r="E12" s="6">
        <f>Falcon!BW30</f>
        <v>-1166.4000000000015</v>
      </c>
      <c r="F12" s="6">
        <f>Falcon!BY30</f>
        <v>-40</v>
      </c>
      <c r="G12" s="6">
        <f>Falcon!BZ30</f>
        <v>-283.20000000000073</v>
      </c>
      <c r="H12" s="6">
        <f>Falcon!CA30</f>
        <v>-466.90000000000055</v>
      </c>
      <c r="I12" s="6">
        <f>Falcon!CC30</f>
        <v>-150</v>
      </c>
      <c r="J12" s="6">
        <f>Falcon!CD30</f>
        <v>-946.10000000000218</v>
      </c>
      <c r="K12" s="6">
        <f>Falcon!CE30</f>
        <v>-1633.3000000000029</v>
      </c>
    </row>
    <row r="14" spans="1:11">
      <c r="B14" s="2" t="s">
        <v>113</v>
      </c>
      <c r="C14" s="6">
        <f>Falcon!BU31</f>
        <v>10</v>
      </c>
      <c r="D14" s="6">
        <f>Falcon!BV31</f>
        <v>2433.2000000000007</v>
      </c>
      <c r="E14" s="6">
        <f>Falcon!BW31</f>
        <v>3620.9000000000015</v>
      </c>
      <c r="F14" s="6">
        <f>Falcon!BY31</f>
        <v>320</v>
      </c>
      <c r="G14" s="6">
        <f>Falcon!BZ31</f>
        <v>1324.4</v>
      </c>
      <c r="H14" s="6">
        <f>Falcon!CA31</f>
        <v>1681</v>
      </c>
      <c r="I14" s="6">
        <f>Falcon!CC31</f>
        <v>330</v>
      </c>
      <c r="J14" s="6">
        <f>Falcon!CD31</f>
        <v>3757.6000000000004</v>
      </c>
      <c r="K14" s="6">
        <f>Falcon!CE31</f>
        <v>5301.9000000000015</v>
      </c>
    </row>
    <row r="17" spans="2:11">
      <c r="B17" s="8" t="s">
        <v>126</v>
      </c>
    </row>
    <row r="18" spans="2:11">
      <c r="B18" s="24"/>
      <c r="C18" s="25"/>
      <c r="D18" s="25"/>
      <c r="E18" s="25"/>
      <c r="F18" s="25"/>
      <c r="G18" s="25"/>
      <c r="H18" s="25"/>
      <c r="I18" s="25"/>
      <c r="J18" s="25"/>
      <c r="K18" s="25"/>
    </row>
    <row r="19" spans="2:11">
      <c r="B19" s="24"/>
      <c r="C19" s="25"/>
      <c r="D19" s="25"/>
      <c r="E19" s="25"/>
      <c r="F19" s="25"/>
      <c r="G19" s="25"/>
      <c r="H19" s="25"/>
      <c r="I19" s="25"/>
      <c r="J19" s="25"/>
      <c r="K19" s="25"/>
    </row>
    <row r="20" spans="2:11">
      <c r="B20" s="24"/>
      <c r="C20" s="25"/>
      <c r="D20" s="25"/>
      <c r="E20" s="25"/>
      <c r="F20" s="25"/>
      <c r="G20" s="25"/>
      <c r="H20" s="25"/>
      <c r="I20" s="25"/>
      <c r="J20" s="25"/>
      <c r="K20" s="25"/>
    </row>
    <row r="21" spans="2:11">
      <c r="B21" s="24"/>
      <c r="C21" s="25"/>
      <c r="D21" s="25"/>
      <c r="E21" s="25"/>
      <c r="F21" s="25"/>
      <c r="G21" s="25"/>
      <c r="H21" s="25"/>
      <c r="I21" s="25"/>
      <c r="J21" s="25"/>
      <c r="K21" s="25"/>
    </row>
    <row r="22" spans="2:11">
      <c r="B22" s="24"/>
      <c r="C22" s="25"/>
      <c r="D22" s="25"/>
      <c r="E22" s="25"/>
      <c r="F22" s="25"/>
      <c r="G22" s="25"/>
      <c r="H22" s="25"/>
      <c r="I22" s="25"/>
      <c r="J22" s="25"/>
      <c r="K22" s="25"/>
    </row>
    <row r="23" spans="2:11">
      <c r="B23" s="24"/>
      <c r="C23" s="25"/>
      <c r="D23" s="25"/>
      <c r="E23" s="25"/>
      <c r="F23" s="25"/>
      <c r="G23" s="25"/>
      <c r="H23" s="25"/>
      <c r="I23" s="25"/>
      <c r="J23" s="25"/>
      <c r="K23" s="25"/>
    </row>
  </sheetData>
  <mergeCells count="6">
    <mergeCell ref="B23:K23"/>
    <mergeCell ref="B22:K22"/>
    <mergeCell ref="B18:K18"/>
    <mergeCell ref="B21:K21"/>
    <mergeCell ref="B20:K20"/>
    <mergeCell ref="B19:K19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97"/>
  <sheetViews>
    <sheetView showGridLines="0" workbookViewId="0">
      <pane xSplit="2" ySplit="4" topLeftCell="C5" activePane="bottomRight" state="frozen"/>
      <selection pane="bottomRight"/>
      <selection pane="bottomLeft"/>
      <selection pane="topRight"/>
    </sheetView>
  </sheetViews>
  <sheetFormatPr defaultRowHeight="15"/>
  <cols>
    <col min="1" max="1" width="7" customWidth="1"/>
    <col min="2" max="2" width="52" customWidth="1"/>
    <col min="3" max="15" width="11" customWidth="1"/>
  </cols>
  <sheetData>
    <row r="1" spans="1:15">
      <c r="A1" t="s">
        <v>114</v>
      </c>
      <c r="C1">
        <v>21</v>
      </c>
      <c r="D1">
        <v>20</v>
      </c>
      <c r="E1">
        <v>22</v>
      </c>
      <c r="F1">
        <v>22</v>
      </c>
      <c r="G1">
        <v>20</v>
      </c>
      <c r="H1">
        <v>22</v>
      </c>
      <c r="I1">
        <v>22</v>
      </c>
      <c r="J1">
        <v>21</v>
      </c>
      <c r="K1">
        <v>21</v>
      </c>
      <c r="L1">
        <v>22</v>
      </c>
      <c r="M1">
        <v>19</v>
      </c>
      <c r="N1">
        <v>22</v>
      </c>
      <c r="O1">
        <f>SUM(C1:N1)</f>
        <v>254</v>
      </c>
    </row>
    <row r="2" spans="1:15">
      <c r="B2" s="8" t="s">
        <v>127</v>
      </c>
    </row>
    <row r="3" spans="1:15">
      <c r="B3" s="1" t="s">
        <v>24</v>
      </c>
    </row>
    <row r="4" spans="1:15">
      <c r="C4" s="4" t="s">
        <v>70</v>
      </c>
      <c r="D4" s="4" t="s">
        <v>71</v>
      </c>
      <c r="E4" s="4" t="s">
        <v>72</v>
      </c>
      <c r="F4" s="4" t="s">
        <v>73</v>
      </c>
      <c r="G4" s="4" t="s">
        <v>50</v>
      </c>
      <c r="H4" s="4" t="s">
        <v>74</v>
      </c>
      <c r="I4" s="4" t="s">
        <v>75</v>
      </c>
      <c r="J4" s="4" t="s">
        <v>76</v>
      </c>
      <c r="K4" s="4" t="s">
        <v>77</v>
      </c>
      <c r="L4" s="4" t="s">
        <v>78</v>
      </c>
      <c r="M4" s="4" t="s">
        <v>79</v>
      </c>
      <c r="N4" s="4" t="s">
        <v>80</v>
      </c>
      <c r="O4" s="4" t="s">
        <v>174</v>
      </c>
    </row>
    <row r="5" spans="1:15">
      <c r="B5" s="2" t="s">
        <v>100</v>
      </c>
    </row>
    <row r="6" spans="1:15">
      <c r="B6" t="s">
        <v>175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20">
        <v>300</v>
      </c>
      <c r="L6" s="20">
        <v>300</v>
      </c>
      <c r="M6" s="20">
        <v>300</v>
      </c>
      <c r="N6" s="20">
        <v>300</v>
      </c>
      <c r="O6" s="6">
        <f>SUM(C6:N6)</f>
        <v>1200</v>
      </c>
    </row>
    <row r="7" spans="1:15">
      <c r="B7" t="s">
        <v>176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20">
        <v>0</v>
      </c>
      <c r="L7" s="20">
        <v>0</v>
      </c>
      <c r="M7" s="20">
        <v>0</v>
      </c>
      <c r="N7" s="20">
        <v>0</v>
      </c>
      <c r="O7" s="6">
        <f>SUM(C7:N7)</f>
        <v>0</v>
      </c>
    </row>
    <row r="8" spans="1:15">
      <c r="B8" t="s">
        <v>177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20">
        <v>0</v>
      </c>
      <c r="L8" s="20">
        <v>0</v>
      </c>
      <c r="M8" s="20">
        <v>0</v>
      </c>
      <c r="N8" s="20">
        <v>0</v>
      </c>
      <c r="O8" s="6">
        <f>SUM(C8:N8)</f>
        <v>0</v>
      </c>
    </row>
    <row r="9" spans="1:15">
      <c r="B9" t="s">
        <v>178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20">
        <v>0</v>
      </c>
      <c r="L9" s="20">
        <v>0</v>
      </c>
      <c r="M9" s="20">
        <v>0</v>
      </c>
      <c r="N9" s="20">
        <v>0</v>
      </c>
      <c r="O9" s="6">
        <f>SUM(C9:N9)</f>
        <v>0</v>
      </c>
    </row>
    <row r="10" spans="1:15">
      <c r="B10" t="s">
        <v>179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20">
        <v>0</v>
      </c>
      <c r="L10" s="20">
        <v>0</v>
      </c>
      <c r="M10" s="20">
        <v>0</v>
      </c>
      <c r="N10" s="20">
        <v>0</v>
      </c>
      <c r="O10" s="6">
        <f>SUM(C10:N10)</f>
        <v>0</v>
      </c>
    </row>
    <row r="11" spans="1:15">
      <c r="B11" t="s">
        <v>180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20">
        <v>0</v>
      </c>
      <c r="L11" s="20">
        <v>0</v>
      </c>
      <c r="M11" s="20">
        <v>0</v>
      </c>
      <c r="N11" s="20">
        <v>0</v>
      </c>
      <c r="O11" s="6">
        <f>SUM(C11:N11)</f>
        <v>0</v>
      </c>
    </row>
    <row r="12" spans="1:15">
      <c r="B12" t="s">
        <v>181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20">
        <v>0</v>
      </c>
      <c r="L12" s="20">
        <v>0</v>
      </c>
      <c r="M12" s="20">
        <v>0</v>
      </c>
      <c r="N12" s="20">
        <v>0</v>
      </c>
      <c r="O12" s="6">
        <f>SUM(C12:N12)</f>
        <v>0</v>
      </c>
    </row>
    <row r="13" spans="1:15">
      <c r="B13" t="s">
        <v>182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20">
        <v>0</v>
      </c>
      <c r="L13" s="20">
        <v>0</v>
      </c>
      <c r="M13" s="20">
        <v>0</v>
      </c>
      <c r="N13" s="20">
        <v>0</v>
      </c>
      <c r="O13" s="6">
        <f>SUM(C13:N13)</f>
        <v>0</v>
      </c>
    </row>
    <row r="14" spans="1:15">
      <c r="B14" s="2" t="s">
        <v>131</v>
      </c>
      <c r="C14" s="9">
        <f>SUM(C6:C13)</f>
        <v>0</v>
      </c>
      <c r="D14" s="9">
        <f>SUM(D6:D13)</f>
        <v>0</v>
      </c>
      <c r="E14" s="9">
        <f>SUM(E6:E13)</f>
        <v>0</v>
      </c>
      <c r="F14" s="9">
        <f>SUM(F6:F13)</f>
        <v>0</v>
      </c>
      <c r="G14" s="9">
        <f>SUM(G6:G13)</f>
        <v>0</v>
      </c>
      <c r="H14" s="9">
        <f>SUM(H6:H13)</f>
        <v>0</v>
      </c>
      <c r="I14" s="9">
        <f>SUM(I6:I13)</f>
        <v>0</v>
      </c>
      <c r="J14" s="9">
        <f>SUM(J6:J13)</f>
        <v>0</v>
      </c>
      <c r="K14" s="9">
        <f>SUM(K6:K13)</f>
        <v>300</v>
      </c>
      <c r="L14" s="9">
        <f>SUM(L6:L13)</f>
        <v>300</v>
      </c>
      <c r="M14" s="9">
        <f>SUM(M6:M13)</f>
        <v>300</v>
      </c>
      <c r="N14" s="9">
        <f>SUM(N6:N13)</f>
        <v>300</v>
      </c>
      <c r="O14" s="9">
        <f>SUM(O6:O13)</f>
        <v>1200</v>
      </c>
    </row>
    <row r="16" spans="1:15">
      <c r="B16" s="2" t="s">
        <v>132</v>
      </c>
    </row>
    <row r="17" spans="2:15">
      <c r="B17" t="str">
        <f>B6</f>
        <v>Insert Adj. 1</v>
      </c>
      <c r="C17" s="12">
        <f>IFERROR(C28/C6,0)</f>
        <v>0</v>
      </c>
      <c r="D17" s="12">
        <f>IFERROR(D28/D6,0)</f>
        <v>0</v>
      </c>
      <c r="E17" s="12">
        <f>IFERROR(E28/E6,0)</f>
        <v>0</v>
      </c>
      <c r="F17" s="12">
        <f>IFERROR(F28/F6,0)</f>
        <v>0</v>
      </c>
      <c r="G17" s="12">
        <f>IFERROR(G28/G6,0)</f>
        <v>0</v>
      </c>
      <c r="H17" s="12">
        <f>IFERROR(H28/H6,0)</f>
        <v>0</v>
      </c>
      <c r="I17" s="12">
        <f>IFERROR(I28/I6,0)</f>
        <v>0</v>
      </c>
      <c r="J17" s="12">
        <f>IFERROR(J28/J6,0)</f>
        <v>0</v>
      </c>
      <c r="K17" s="12">
        <f>IFERROR(K28/K6,0)</f>
        <v>0.4</v>
      </c>
      <c r="L17" s="12">
        <f>IFERROR(L28/L6,0)</f>
        <v>0.4</v>
      </c>
      <c r="M17" s="12">
        <f>IFERROR(M28/M6,0)</f>
        <v>0.4</v>
      </c>
      <c r="N17" s="12">
        <f>IFERROR(N28/N6,0)</f>
        <v>0.4</v>
      </c>
      <c r="O17" s="12">
        <f>IFERROR(O28/O6,0)</f>
        <v>0.4</v>
      </c>
    </row>
    <row r="18" spans="2:15">
      <c r="B18" t="str">
        <f>B7</f>
        <v>Insert Adj. 2</v>
      </c>
      <c r="C18" s="12">
        <f>IFERROR(C29/C7,0)</f>
        <v>0</v>
      </c>
      <c r="D18" s="12">
        <f>IFERROR(D29/D7,0)</f>
        <v>0</v>
      </c>
      <c r="E18" s="12">
        <f>IFERROR(E29/E7,0)</f>
        <v>0</v>
      </c>
      <c r="F18" s="12">
        <f>IFERROR(F29/F7,0)</f>
        <v>0</v>
      </c>
      <c r="G18" s="12">
        <f>IFERROR(G29/G7,0)</f>
        <v>0</v>
      </c>
      <c r="H18" s="12">
        <f>IFERROR(H29/H7,0)</f>
        <v>0</v>
      </c>
      <c r="I18" s="12">
        <f>IFERROR(I29/I7,0)</f>
        <v>0</v>
      </c>
      <c r="J18" s="12">
        <f>IFERROR(J29/J7,0)</f>
        <v>0</v>
      </c>
      <c r="K18" s="12">
        <f>IFERROR(K29/K7,0)</f>
        <v>0</v>
      </c>
      <c r="L18" s="12">
        <f>IFERROR(L29/L7,0)</f>
        <v>0</v>
      </c>
      <c r="M18" s="12">
        <f>IFERROR(M29/M7,0)</f>
        <v>0</v>
      </c>
      <c r="N18" s="12">
        <f>IFERROR(N29/N7,0)</f>
        <v>0</v>
      </c>
      <c r="O18" s="12">
        <f>IFERROR(O29/O7,0)</f>
        <v>0</v>
      </c>
    </row>
    <row r="19" spans="2:15">
      <c r="B19" t="str">
        <f>B8</f>
        <v>Insert Adj. 3</v>
      </c>
      <c r="C19" s="12">
        <f>IFERROR(C30/C8,0)</f>
        <v>0</v>
      </c>
      <c r="D19" s="12">
        <f>IFERROR(D30/D8,0)</f>
        <v>0</v>
      </c>
      <c r="E19" s="12">
        <f>IFERROR(E30/E8,0)</f>
        <v>0</v>
      </c>
      <c r="F19" s="12">
        <f>IFERROR(F30/F8,0)</f>
        <v>0</v>
      </c>
      <c r="G19" s="12">
        <f>IFERROR(G30/G8,0)</f>
        <v>0</v>
      </c>
      <c r="H19" s="12">
        <f>IFERROR(H30/H8,0)</f>
        <v>0</v>
      </c>
      <c r="I19" s="12">
        <f>IFERROR(I30/I8,0)</f>
        <v>0</v>
      </c>
      <c r="J19" s="12">
        <f>IFERROR(J30/J8,0)</f>
        <v>0</v>
      </c>
      <c r="K19" s="12">
        <f>IFERROR(K30/K8,0)</f>
        <v>0</v>
      </c>
      <c r="L19" s="12">
        <f>IFERROR(L30/L8,0)</f>
        <v>0</v>
      </c>
      <c r="M19" s="12">
        <f>IFERROR(M30/M8,0)</f>
        <v>0</v>
      </c>
      <c r="N19" s="12">
        <f>IFERROR(N30/N8,0)</f>
        <v>0</v>
      </c>
      <c r="O19" s="12">
        <f>IFERROR(O30/O8,0)</f>
        <v>0</v>
      </c>
    </row>
    <row r="20" spans="2:15">
      <c r="B20" t="str">
        <f>B9</f>
        <v>Insert Adj. 4</v>
      </c>
      <c r="C20" s="12">
        <f>IFERROR(C31/C9,0)</f>
        <v>0</v>
      </c>
      <c r="D20" s="12">
        <f>IFERROR(D31/D9,0)</f>
        <v>0</v>
      </c>
      <c r="E20" s="12">
        <f>IFERROR(E31/E9,0)</f>
        <v>0</v>
      </c>
      <c r="F20" s="12">
        <f>IFERROR(F31/F9,0)</f>
        <v>0</v>
      </c>
      <c r="G20" s="12">
        <f>IFERROR(G31/G9,0)</f>
        <v>0</v>
      </c>
      <c r="H20" s="12">
        <f>IFERROR(H31/H9,0)</f>
        <v>0</v>
      </c>
      <c r="I20" s="12">
        <f>IFERROR(I31/I9,0)</f>
        <v>0</v>
      </c>
      <c r="J20" s="12">
        <f>IFERROR(J31/J9,0)</f>
        <v>0</v>
      </c>
      <c r="K20" s="12">
        <f>IFERROR(K31/K9,0)</f>
        <v>0</v>
      </c>
      <c r="L20" s="12">
        <f>IFERROR(L31/L9,0)</f>
        <v>0</v>
      </c>
      <c r="M20" s="12">
        <f>IFERROR(M31/M9,0)</f>
        <v>0</v>
      </c>
      <c r="N20" s="12">
        <f>IFERROR(N31/N9,0)</f>
        <v>0</v>
      </c>
      <c r="O20" s="12">
        <f>IFERROR(O31/O9,0)</f>
        <v>0</v>
      </c>
    </row>
    <row r="21" spans="2:15">
      <c r="B21" t="str">
        <f>B10</f>
        <v>Insert Adj. 5</v>
      </c>
      <c r="C21" s="12">
        <f>IFERROR(C32/C10,0)</f>
        <v>0</v>
      </c>
      <c r="D21" s="12">
        <f>IFERROR(D32/D10,0)</f>
        <v>0</v>
      </c>
      <c r="E21" s="12">
        <f>IFERROR(E32/E10,0)</f>
        <v>0</v>
      </c>
      <c r="F21" s="12">
        <f>IFERROR(F32/F10,0)</f>
        <v>0</v>
      </c>
      <c r="G21" s="12">
        <f>IFERROR(G32/G10,0)</f>
        <v>0</v>
      </c>
      <c r="H21" s="12">
        <f>IFERROR(H32/H10,0)</f>
        <v>0</v>
      </c>
      <c r="I21" s="12">
        <f>IFERROR(I32/I10,0)</f>
        <v>0</v>
      </c>
      <c r="J21" s="12">
        <f>IFERROR(J32/J10,0)</f>
        <v>0</v>
      </c>
      <c r="K21" s="12">
        <f>IFERROR(K32/K10,0)</f>
        <v>0</v>
      </c>
      <c r="L21" s="12">
        <f>IFERROR(L32/L10,0)</f>
        <v>0</v>
      </c>
      <c r="M21" s="12">
        <f>IFERROR(M32/M10,0)</f>
        <v>0</v>
      </c>
      <c r="N21" s="12">
        <f>IFERROR(N32/N10,0)</f>
        <v>0</v>
      </c>
      <c r="O21" s="12">
        <f>IFERROR(O32/O10,0)</f>
        <v>0</v>
      </c>
    </row>
    <row r="22" spans="2:15">
      <c r="B22" t="str">
        <f>B11</f>
        <v>Insert Adj. 6</v>
      </c>
      <c r="C22" s="12">
        <f>IFERROR(C33/C11,0)</f>
        <v>0</v>
      </c>
      <c r="D22" s="12">
        <f>IFERROR(D33/D11,0)</f>
        <v>0</v>
      </c>
      <c r="E22" s="12">
        <f>IFERROR(E33/E11,0)</f>
        <v>0</v>
      </c>
      <c r="F22" s="12">
        <f>IFERROR(F33/F11,0)</f>
        <v>0</v>
      </c>
      <c r="G22" s="12">
        <f>IFERROR(G33/G11,0)</f>
        <v>0</v>
      </c>
      <c r="H22" s="12">
        <f>IFERROR(H33/H11,0)</f>
        <v>0</v>
      </c>
      <c r="I22" s="12">
        <f>IFERROR(I33/I11,0)</f>
        <v>0</v>
      </c>
      <c r="J22" s="12">
        <f>IFERROR(J33/J11,0)</f>
        <v>0</v>
      </c>
      <c r="K22" s="12">
        <f>IFERROR(K33/K11,0)</f>
        <v>0</v>
      </c>
      <c r="L22" s="12">
        <f>IFERROR(L33/L11,0)</f>
        <v>0</v>
      </c>
      <c r="M22" s="12">
        <f>IFERROR(M33/M11,0)</f>
        <v>0</v>
      </c>
      <c r="N22" s="12">
        <f>IFERROR(N33/N11,0)</f>
        <v>0</v>
      </c>
      <c r="O22" s="12">
        <f>IFERROR(O33/O11,0)</f>
        <v>0</v>
      </c>
    </row>
    <row r="23" spans="2:15">
      <c r="B23" t="str">
        <f>B12</f>
        <v>Insert Adj. 7</v>
      </c>
      <c r="C23" s="12">
        <f>IFERROR(C34/C12,0)</f>
        <v>0</v>
      </c>
      <c r="D23" s="12">
        <f>IFERROR(D34/D12,0)</f>
        <v>0</v>
      </c>
      <c r="E23" s="12">
        <f>IFERROR(E34/E12,0)</f>
        <v>0</v>
      </c>
      <c r="F23" s="12">
        <f>IFERROR(F34/F12,0)</f>
        <v>0</v>
      </c>
      <c r="G23" s="12">
        <f>IFERROR(G34/G12,0)</f>
        <v>0</v>
      </c>
      <c r="H23" s="12">
        <f>IFERROR(H34/H12,0)</f>
        <v>0</v>
      </c>
      <c r="I23" s="12">
        <f>IFERROR(I34/I12,0)</f>
        <v>0</v>
      </c>
      <c r="J23" s="12">
        <f>IFERROR(J34/J12,0)</f>
        <v>0</v>
      </c>
      <c r="K23" s="12">
        <f>IFERROR(K34/K12,0)</f>
        <v>0</v>
      </c>
      <c r="L23" s="12">
        <f>IFERROR(L34/L12,0)</f>
        <v>0</v>
      </c>
      <c r="M23" s="12">
        <f>IFERROR(M34/M12,0)</f>
        <v>0</v>
      </c>
      <c r="N23" s="12">
        <f>IFERROR(N34/N12,0)</f>
        <v>0</v>
      </c>
      <c r="O23" s="12">
        <f>IFERROR(O34/O12,0)</f>
        <v>0</v>
      </c>
    </row>
    <row r="24" spans="2:15">
      <c r="B24" t="str">
        <f>B13</f>
        <v>Insert Adj. 8</v>
      </c>
      <c r="C24" s="12">
        <f>IFERROR(C35/C13,0)</f>
        <v>0</v>
      </c>
      <c r="D24" s="12">
        <f>IFERROR(D35/D13,0)</f>
        <v>0</v>
      </c>
      <c r="E24" s="12">
        <f>IFERROR(E35/E13,0)</f>
        <v>0</v>
      </c>
      <c r="F24" s="12">
        <f>IFERROR(F35/F13,0)</f>
        <v>0</v>
      </c>
      <c r="G24" s="12">
        <f>IFERROR(G35/G13,0)</f>
        <v>0</v>
      </c>
      <c r="H24" s="12">
        <f>IFERROR(H35/H13,0)</f>
        <v>0</v>
      </c>
      <c r="I24" s="12">
        <f>IFERROR(I35/I13,0)</f>
        <v>0</v>
      </c>
      <c r="J24" s="12">
        <f>IFERROR(J35/J13,0)</f>
        <v>0</v>
      </c>
      <c r="K24" s="12">
        <f>IFERROR(K35/K13,0)</f>
        <v>0</v>
      </c>
      <c r="L24" s="12">
        <f>IFERROR(L35/L13,0)</f>
        <v>0</v>
      </c>
      <c r="M24" s="12">
        <f>IFERROR(M35/M13,0)</f>
        <v>0</v>
      </c>
      <c r="N24" s="12">
        <f>IFERROR(N35/N13,0)</f>
        <v>0</v>
      </c>
      <c r="O24" s="12">
        <f>IFERROR(O35/O13,0)</f>
        <v>0</v>
      </c>
    </row>
    <row r="25" spans="2:15">
      <c r="B25" s="2" t="s">
        <v>133</v>
      </c>
      <c r="C25" s="14">
        <f>IFERROR(C36/C14,0)</f>
        <v>0</v>
      </c>
      <c r="D25" s="14">
        <f>IFERROR(D36/D14,0)</f>
        <v>0</v>
      </c>
      <c r="E25" s="14">
        <f>IFERROR(E36/E14,0)</f>
        <v>0</v>
      </c>
      <c r="F25" s="14">
        <f>IFERROR(F36/F14,0)</f>
        <v>0</v>
      </c>
      <c r="G25" s="14">
        <f>IFERROR(G36/G14,0)</f>
        <v>0</v>
      </c>
      <c r="H25" s="14">
        <f>IFERROR(H36/H14,0)</f>
        <v>0</v>
      </c>
      <c r="I25" s="14">
        <f>IFERROR(I36/I14,0)</f>
        <v>0</v>
      </c>
      <c r="J25" s="14">
        <f>IFERROR(J36/J14,0)</f>
        <v>0</v>
      </c>
      <c r="K25" s="14">
        <f>IFERROR(K36/K14,0)</f>
        <v>0.4</v>
      </c>
      <c r="L25" s="14">
        <f>IFERROR(L36/L14,0)</f>
        <v>0.4</v>
      </c>
      <c r="M25" s="14">
        <f>IFERROR(M36/M14,0)</f>
        <v>0.4</v>
      </c>
      <c r="N25" s="14">
        <f>IFERROR(N36/N14,0)</f>
        <v>0.4</v>
      </c>
      <c r="O25" s="14">
        <f>IFERROR(O36/O14,0)</f>
        <v>0.4</v>
      </c>
    </row>
    <row r="27" spans="2:15">
      <c r="B27" s="2" t="s">
        <v>134</v>
      </c>
    </row>
    <row r="28" spans="2:15">
      <c r="B28" t="s">
        <v>175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20">
        <v>120</v>
      </c>
      <c r="L28" s="20">
        <v>120</v>
      </c>
      <c r="M28" s="20">
        <v>120</v>
      </c>
      <c r="N28" s="20">
        <v>120</v>
      </c>
      <c r="O28" s="6">
        <f>SUM(C28:N28)</f>
        <v>480</v>
      </c>
    </row>
    <row r="29" spans="2:15">
      <c r="B29" t="s">
        <v>176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20">
        <v>0</v>
      </c>
      <c r="L29" s="20">
        <v>0</v>
      </c>
      <c r="M29" s="20">
        <v>0</v>
      </c>
      <c r="N29" s="20">
        <v>0</v>
      </c>
      <c r="O29" s="6">
        <f>SUM(C29:N29)</f>
        <v>0</v>
      </c>
    </row>
    <row r="30" spans="2:15">
      <c r="B30" t="s">
        <v>177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20">
        <v>0</v>
      </c>
      <c r="L30" s="20">
        <v>0</v>
      </c>
      <c r="M30" s="20">
        <v>0</v>
      </c>
      <c r="N30" s="20">
        <v>0</v>
      </c>
      <c r="O30" s="6">
        <f>SUM(C30:N30)</f>
        <v>0</v>
      </c>
    </row>
    <row r="31" spans="2:15">
      <c r="B31" t="s">
        <v>178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20">
        <v>0</v>
      </c>
      <c r="L31" s="20">
        <v>0</v>
      </c>
      <c r="M31" s="20">
        <v>0</v>
      </c>
      <c r="N31" s="20">
        <v>0</v>
      </c>
      <c r="O31" s="6">
        <f>SUM(C31:N31)</f>
        <v>0</v>
      </c>
    </row>
    <row r="32" spans="2:15">
      <c r="B32" t="s">
        <v>179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20">
        <v>0</v>
      </c>
      <c r="L32" s="20">
        <v>0</v>
      </c>
      <c r="M32" s="20">
        <v>0</v>
      </c>
      <c r="N32" s="20">
        <v>0</v>
      </c>
      <c r="O32" s="6">
        <f>SUM(C32:N32)</f>
        <v>0</v>
      </c>
    </row>
    <row r="33" spans="2:15">
      <c r="B33" t="s">
        <v>180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20">
        <v>0</v>
      </c>
      <c r="L33" s="20">
        <v>0</v>
      </c>
      <c r="M33" s="20">
        <v>0</v>
      </c>
      <c r="N33" s="20">
        <v>0</v>
      </c>
      <c r="O33" s="6">
        <f>SUM(C33:N33)</f>
        <v>0</v>
      </c>
    </row>
    <row r="34" spans="2:15">
      <c r="B34" t="s">
        <v>181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20">
        <v>0</v>
      </c>
      <c r="L34" s="20">
        <v>0</v>
      </c>
      <c r="M34" s="20">
        <v>0</v>
      </c>
      <c r="N34" s="20">
        <v>0</v>
      </c>
      <c r="O34" s="6">
        <f>SUM(C34:N34)</f>
        <v>0</v>
      </c>
    </row>
    <row r="35" spans="2:15">
      <c r="B35" t="s">
        <v>182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20">
        <v>0</v>
      </c>
      <c r="L35" s="20">
        <v>0</v>
      </c>
      <c r="M35" s="20">
        <v>0</v>
      </c>
      <c r="N35" s="20">
        <v>0</v>
      </c>
      <c r="O35" s="6">
        <f>SUM(C35:N35)</f>
        <v>0</v>
      </c>
    </row>
    <row r="36" spans="2:15">
      <c r="B36" s="2" t="s">
        <v>135</v>
      </c>
      <c r="C36" s="9">
        <f>SUM(C28:C35)</f>
        <v>0</v>
      </c>
      <c r="D36" s="9">
        <f>SUM(D28:D35)</f>
        <v>0</v>
      </c>
      <c r="E36" s="9">
        <f>SUM(E28:E35)</f>
        <v>0</v>
      </c>
      <c r="F36" s="9">
        <f>SUM(F28:F35)</f>
        <v>0</v>
      </c>
      <c r="G36" s="9">
        <f>SUM(G28:G35)</f>
        <v>0</v>
      </c>
      <c r="H36" s="9">
        <f>SUM(H28:H35)</f>
        <v>0</v>
      </c>
      <c r="I36" s="9">
        <f>SUM(I28:I35)</f>
        <v>0</v>
      </c>
      <c r="J36" s="9">
        <f>SUM(J28:J35)</f>
        <v>0</v>
      </c>
      <c r="K36" s="9">
        <f>SUM(K28:K35)</f>
        <v>120</v>
      </c>
      <c r="L36" s="9">
        <f>SUM(L28:L35)</f>
        <v>120</v>
      </c>
      <c r="M36" s="9">
        <f>SUM(M28:M35)</f>
        <v>120</v>
      </c>
      <c r="N36" s="9">
        <f>SUM(N28:N35)</f>
        <v>120</v>
      </c>
      <c r="O36" s="9">
        <f>SUM(O28:O35)</f>
        <v>480</v>
      </c>
    </row>
    <row r="38" spans="2:15">
      <c r="B38" s="2" t="s">
        <v>136</v>
      </c>
    </row>
    <row r="39" spans="2:15">
      <c r="B39" t="str">
        <f>B6</f>
        <v>Insert Adj. 1</v>
      </c>
      <c r="C39" s="12">
        <f>IFERROR(C50/C6,0)</f>
        <v>0</v>
      </c>
      <c r="D39" s="12">
        <f>IFERROR(D50/D6,0)</f>
        <v>0</v>
      </c>
      <c r="E39" s="12">
        <f>IFERROR(E50/E6,0)</f>
        <v>0</v>
      </c>
      <c r="F39" s="12">
        <f>IFERROR(F50/F6,0)</f>
        <v>0</v>
      </c>
      <c r="G39" s="12">
        <f>IFERROR(G50/G6,0)</f>
        <v>0</v>
      </c>
      <c r="H39" s="12">
        <f>IFERROR(H50/H6,0)</f>
        <v>0</v>
      </c>
      <c r="I39" s="12">
        <f>IFERROR(I50/I6,0)</f>
        <v>0</v>
      </c>
      <c r="J39" s="12">
        <f>IFERROR(J50/J6,0)</f>
        <v>0</v>
      </c>
      <c r="K39" s="12">
        <f>IFERROR(K50/K6,0)</f>
        <v>0.36666666666666664</v>
      </c>
      <c r="L39" s="12">
        <f>IFERROR(L50/L6,0)</f>
        <v>0.05</v>
      </c>
      <c r="M39" s="12">
        <f>IFERROR(M50/M6,0)</f>
        <v>0.05</v>
      </c>
      <c r="N39" s="12">
        <f>IFERROR(N50/N6,0)</f>
        <v>3.3333333333333333E-2</v>
      </c>
      <c r="O39" s="12">
        <f>IFERROR(O50/O6,0)</f>
        <v>0.125</v>
      </c>
    </row>
    <row r="40" spans="2:15">
      <c r="B40" t="str">
        <f>B7</f>
        <v>Insert Adj. 2</v>
      </c>
      <c r="C40" s="12">
        <f>IFERROR(C51/C7,0)</f>
        <v>0</v>
      </c>
      <c r="D40" s="12">
        <f>IFERROR(D51/D7,0)</f>
        <v>0</v>
      </c>
      <c r="E40" s="12">
        <f>IFERROR(E51/E7,0)</f>
        <v>0</v>
      </c>
      <c r="F40" s="12">
        <f>IFERROR(F51/F7,0)</f>
        <v>0</v>
      </c>
      <c r="G40" s="12">
        <f>IFERROR(G51/G7,0)</f>
        <v>0</v>
      </c>
      <c r="H40" s="12">
        <f>IFERROR(H51/H7,0)</f>
        <v>0</v>
      </c>
      <c r="I40" s="12">
        <f>IFERROR(I51/I7,0)</f>
        <v>0</v>
      </c>
      <c r="J40" s="12">
        <f>IFERROR(J51/J7,0)</f>
        <v>0</v>
      </c>
      <c r="K40" s="12">
        <f>IFERROR(K51/K7,0)</f>
        <v>0</v>
      </c>
      <c r="L40" s="12">
        <f>IFERROR(L51/L7,0)</f>
        <v>0</v>
      </c>
      <c r="M40" s="12">
        <f>IFERROR(M51/M7,0)</f>
        <v>0</v>
      </c>
      <c r="N40" s="12">
        <f>IFERROR(N51/N7,0)</f>
        <v>0</v>
      </c>
      <c r="O40" s="12">
        <f>IFERROR(O51/O7,0)</f>
        <v>0</v>
      </c>
    </row>
    <row r="41" spans="2:15">
      <c r="B41" t="str">
        <f>B8</f>
        <v>Insert Adj. 3</v>
      </c>
      <c r="C41" s="12">
        <f>IFERROR(C52/C8,0)</f>
        <v>0</v>
      </c>
      <c r="D41" s="12">
        <f>IFERROR(D52/D8,0)</f>
        <v>0</v>
      </c>
      <c r="E41" s="12">
        <f>IFERROR(E52/E8,0)</f>
        <v>0</v>
      </c>
      <c r="F41" s="12">
        <f>IFERROR(F52/F8,0)</f>
        <v>0</v>
      </c>
      <c r="G41" s="12">
        <f>IFERROR(G52/G8,0)</f>
        <v>0</v>
      </c>
      <c r="H41" s="12">
        <f>IFERROR(H52/H8,0)</f>
        <v>0</v>
      </c>
      <c r="I41" s="12">
        <f>IFERROR(I52/I8,0)</f>
        <v>0</v>
      </c>
      <c r="J41" s="12">
        <f>IFERROR(J52/J8,0)</f>
        <v>0</v>
      </c>
      <c r="K41" s="12">
        <f>IFERROR(K52/K8,0)</f>
        <v>0</v>
      </c>
      <c r="L41" s="12">
        <f>IFERROR(L52/L8,0)</f>
        <v>0</v>
      </c>
      <c r="M41" s="12">
        <f>IFERROR(M52/M8,0)</f>
        <v>0</v>
      </c>
      <c r="N41" s="12">
        <f>IFERROR(N52/N8,0)</f>
        <v>0</v>
      </c>
      <c r="O41" s="12">
        <f>IFERROR(O52/O8,0)</f>
        <v>0</v>
      </c>
    </row>
    <row r="42" spans="2:15">
      <c r="B42" t="str">
        <f>B9</f>
        <v>Insert Adj. 4</v>
      </c>
      <c r="C42" s="12">
        <f>IFERROR(C53/C9,0)</f>
        <v>0</v>
      </c>
      <c r="D42" s="12">
        <f>IFERROR(D53/D9,0)</f>
        <v>0</v>
      </c>
      <c r="E42" s="12">
        <f>IFERROR(E53/E9,0)</f>
        <v>0</v>
      </c>
      <c r="F42" s="12">
        <f>IFERROR(F53/F9,0)</f>
        <v>0</v>
      </c>
      <c r="G42" s="12">
        <f>IFERROR(G53/G9,0)</f>
        <v>0</v>
      </c>
      <c r="H42" s="12">
        <f>IFERROR(H53/H9,0)</f>
        <v>0</v>
      </c>
      <c r="I42" s="12">
        <f>IFERROR(I53/I9,0)</f>
        <v>0</v>
      </c>
      <c r="J42" s="12">
        <f>IFERROR(J53/J9,0)</f>
        <v>0</v>
      </c>
      <c r="K42" s="12">
        <f>IFERROR(K53/K9,0)</f>
        <v>0</v>
      </c>
      <c r="L42" s="12">
        <f>IFERROR(L53/L9,0)</f>
        <v>0</v>
      </c>
      <c r="M42" s="12">
        <f>IFERROR(M53/M9,0)</f>
        <v>0</v>
      </c>
      <c r="N42" s="12">
        <f>IFERROR(N53/N9,0)</f>
        <v>0</v>
      </c>
      <c r="O42" s="12">
        <f>IFERROR(O53/O9,0)</f>
        <v>0</v>
      </c>
    </row>
    <row r="43" spans="2:15">
      <c r="B43" t="str">
        <f>B10</f>
        <v>Insert Adj. 5</v>
      </c>
      <c r="C43" s="12">
        <f>IFERROR(C54/C10,0)</f>
        <v>0</v>
      </c>
      <c r="D43" s="12">
        <f>IFERROR(D54/D10,0)</f>
        <v>0</v>
      </c>
      <c r="E43" s="12">
        <f>IFERROR(E54/E10,0)</f>
        <v>0</v>
      </c>
      <c r="F43" s="12">
        <f>IFERROR(F54/F10,0)</f>
        <v>0</v>
      </c>
      <c r="G43" s="12">
        <f>IFERROR(G54/G10,0)</f>
        <v>0</v>
      </c>
      <c r="H43" s="12">
        <f>IFERROR(H54/H10,0)</f>
        <v>0</v>
      </c>
      <c r="I43" s="12">
        <f>IFERROR(I54/I10,0)</f>
        <v>0</v>
      </c>
      <c r="J43" s="12">
        <f>IFERROR(J54/J10,0)</f>
        <v>0</v>
      </c>
      <c r="K43" s="12">
        <f>IFERROR(K54/K10,0)</f>
        <v>0</v>
      </c>
      <c r="L43" s="12">
        <f>IFERROR(L54/L10,0)</f>
        <v>0</v>
      </c>
      <c r="M43" s="12">
        <f>IFERROR(M54/M10,0)</f>
        <v>0</v>
      </c>
      <c r="N43" s="12">
        <f>IFERROR(N54/N10,0)</f>
        <v>0</v>
      </c>
      <c r="O43" s="12">
        <f>IFERROR(O54/O10,0)</f>
        <v>0</v>
      </c>
    </row>
    <row r="44" spans="2:15">
      <c r="B44" t="str">
        <f>B11</f>
        <v>Insert Adj. 6</v>
      </c>
      <c r="C44" s="12">
        <f>IFERROR(C55/C11,0)</f>
        <v>0</v>
      </c>
      <c r="D44" s="12">
        <f>IFERROR(D55/D11,0)</f>
        <v>0</v>
      </c>
      <c r="E44" s="12">
        <f>IFERROR(E55/E11,0)</f>
        <v>0</v>
      </c>
      <c r="F44" s="12">
        <f>IFERROR(F55/F11,0)</f>
        <v>0</v>
      </c>
      <c r="G44" s="12">
        <f>IFERROR(G55/G11,0)</f>
        <v>0</v>
      </c>
      <c r="H44" s="12">
        <f>IFERROR(H55/H11,0)</f>
        <v>0</v>
      </c>
      <c r="I44" s="12">
        <f>IFERROR(I55/I11,0)</f>
        <v>0</v>
      </c>
      <c r="J44" s="12">
        <f>IFERROR(J55/J11,0)</f>
        <v>0</v>
      </c>
      <c r="K44" s="12">
        <f>IFERROR(K55/K11,0)</f>
        <v>0</v>
      </c>
      <c r="L44" s="12">
        <f>IFERROR(L55/L11,0)</f>
        <v>0</v>
      </c>
      <c r="M44" s="12">
        <f>IFERROR(M55/M11,0)</f>
        <v>0</v>
      </c>
      <c r="N44" s="12">
        <f>IFERROR(N55/N11,0)</f>
        <v>0</v>
      </c>
      <c r="O44" s="12">
        <f>IFERROR(O55/O11,0)</f>
        <v>0</v>
      </c>
    </row>
    <row r="45" spans="2:15">
      <c r="B45" t="str">
        <f>B12</f>
        <v>Insert Adj. 7</v>
      </c>
      <c r="C45" s="12">
        <f>IFERROR(C56/C12,0)</f>
        <v>0</v>
      </c>
      <c r="D45" s="12">
        <f>IFERROR(D56/D12,0)</f>
        <v>0</v>
      </c>
      <c r="E45" s="12">
        <f>IFERROR(E56/E12,0)</f>
        <v>0</v>
      </c>
      <c r="F45" s="12">
        <f>IFERROR(F56/F12,0)</f>
        <v>0</v>
      </c>
      <c r="G45" s="12">
        <f>IFERROR(G56/G12,0)</f>
        <v>0</v>
      </c>
      <c r="H45" s="12">
        <f>IFERROR(H56/H12,0)</f>
        <v>0</v>
      </c>
      <c r="I45" s="12">
        <f>IFERROR(I56/I12,0)</f>
        <v>0</v>
      </c>
      <c r="J45" s="12">
        <f>IFERROR(J56/J12,0)</f>
        <v>0</v>
      </c>
      <c r="K45" s="12">
        <f>IFERROR(K56/K12,0)</f>
        <v>0</v>
      </c>
      <c r="L45" s="12">
        <f>IFERROR(L56/L12,0)</f>
        <v>0</v>
      </c>
      <c r="M45" s="12">
        <f>IFERROR(M56/M12,0)</f>
        <v>0</v>
      </c>
      <c r="N45" s="12">
        <f>IFERROR(N56/N12,0)</f>
        <v>0</v>
      </c>
      <c r="O45" s="12">
        <f>IFERROR(O56/O12,0)</f>
        <v>0</v>
      </c>
    </row>
    <row r="46" spans="2:15">
      <c r="B46" t="str">
        <f>B13</f>
        <v>Insert Adj. 8</v>
      </c>
      <c r="C46" s="12">
        <f>IFERROR(C57/C13,0)</f>
        <v>0</v>
      </c>
      <c r="D46" s="12">
        <f>IFERROR(D57/D13,0)</f>
        <v>0</v>
      </c>
      <c r="E46" s="12">
        <f>IFERROR(E57/E13,0)</f>
        <v>0</v>
      </c>
      <c r="F46" s="12">
        <f>IFERROR(F57/F13,0)</f>
        <v>0</v>
      </c>
      <c r="G46" s="12">
        <f>IFERROR(G57/G13,0)</f>
        <v>0</v>
      </c>
      <c r="H46" s="12">
        <f>IFERROR(H57/H13,0)</f>
        <v>0</v>
      </c>
      <c r="I46" s="12">
        <f>IFERROR(I57/I13,0)</f>
        <v>0</v>
      </c>
      <c r="J46" s="12">
        <f>IFERROR(J57/J13,0)</f>
        <v>0</v>
      </c>
      <c r="K46" s="12">
        <f>IFERROR(K57/K13,0)</f>
        <v>0</v>
      </c>
      <c r="L46" s="12">
        <f>IFERROR(L57/L13,0)</f>
        <v>0</v>
      </c>
      <c r="M46" s="12">
        <f>IFERROR(M57/M13,0)</f>
        <v>0</v>
      </c>
      <c r="N46" s="12">
        <f>IFERROR(N57/N13,0)</f>
        <v>0</v>
      </c>
      <c r="O46" s="12">
        <f>IFERROR(O57/O13,0)</f>
        <v>0</v>
      </c>
    </row>
    <row r="47" spans="2:15">
      <c r="B47" s="2" t="s">
        <v>137</v>
      </c>
      <c r="C47" s="14">
        <f>IFERROR(C58/C14,0)</f>
        <v>0</v>
      </c>
      <c r="D47" s="14">
        <f>IFERROR(D58/D14,0)</f>
        <v>0</v>
      </c>
      <c r="E47" s="14">
        <f>IFERROR(E58/E14,0)</f>
        <v>0</v>
      </c>
      <c r="F47" s="14">
        <f>IFERROR(F58/F14,0)</f>
        <v>0</v>
      </c>
      <c r="G47" s="14">
        <f>IFERROR(G58/G14,0)</f>
        <v>0</v>
      </c>
      <c r="H47" s="14">
        <f>IFERROR(H58/H14,0)</f>
        <v>0</v>
      </c>
      <c r="I47" s="14">
        <f>IFERROR(I58/I14,0)</f>
        <v>0</v>
      </c>
      <c r="J47" s="14">
        <f>IFERROR(J58/J14,0)</f>
        <v>0</v>
      </c>
      <c r="K47" s="14">
        <f>IFERROR(K58/K14,0)</f>
        <v>0.36666666666666664</v>
      </c>
      <c r="L47" s="14">
        <f>IFERROR(L58/L14,0)</f>
        <v>0.05</v>
      </c>
      <c r="M47" s="14">
        <f>IFERROR(M58/M14,0)</f>
        <v>0.05</v>
      </c>
      <c r="N47" s="14">
        <f>IFERROR(N58/N14,0)</f>
        <v>3.3333333333333333E-2</v>
      </c>
      <c r="O47" s="14">
        <f>IFERROR(O58/O14,0)</f>
        <v>0.125</v>
      </c>
    </row>
    <row r="49" spans="2:15">
      <c r="B49" s="2" t="s">
        <v>138</v>
      </c>
    </row>
    <row r="50" spans="2:15">
      <c r="B50" t="s">
        <v>175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20">
        <v>110</v>
      </c>
      <c r="L50" s="20">
        <v>15</v>
      </c>
      <c r="M50" s="20">
        <v>15</v>
      </c>
      <c r="N50" s="20">
        <v>10</v>
      </c>
      <c r="O50" s="6">
        <f>SUM(C50:N50)</f>
        <v>150</v>
      </c>
    </row>
    <row r="51" spans="2:15">
      <c r="B51" t="s">
        <v>176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20">
        <v>0</v>
      </c>
      <c r="L51" s="20">
        <v>0</v>
      </c>
      <c r="M51" s="20">
        <v>0</v>
      </c>
      <c r="N51" s="20">
        <v>0</v>
      </c>
      <c r="O51" s="6">
        <f>SUM(C51:N51)</f>
        <v>0</v>
      </c>
    </row>
    <row r="52" spans="2:15">
      <c r="B52" t="s">
        <v>177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20">
        <v>0</v>
      </c>
      <c r="L52" s="20">
        <v>0</v>
      </c>
      <c r="M52" s="20">
        <v>0</v>
      </c>
      <c r="N52" s="20">
        <v>0</v>
      </c>
      <c r="O52" s="6">
        <f>SUM(C52:N52)</f>
        <v>0</v>
      </c>
    </row>
    <row r="53" spans="2:15">
      <c r="B53" t="s">
        <v>178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20">
        <v>0</v>
      </c>
      <c r="L53" s="20">
        <v>0</v>
      </c>
      <c r="M53" s="20">
        <v>0</v>
      </c>
      <c r="N53" s="20">
        <v>0</v>
      </c>
      <c r="O53" s="6">
        <f>SUM(C53:N53)</f>
        <v>0</v>
      </c>
    </row>
    <row r="54" spans="2:15">
      <c r="B54" t="s">
        <v>179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20">
        <v>0</v>
      </c>
      <c r="L54" s="20">
        <v>0</v>
      </c>
      <c r="M54" s="20">
        <v>0</v>
      </c>
      <c r="N54" s="20">
        <v>0</v>
      </c>
      <c r="O54" s="6">
        <f>SUM(C54:N54)</f>
        <v>0</v>
      </c>
    </row>
    <row r="55" spans="2:15">
      <c r="B55" t="s">
        <v>180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20">
        <v>0</v>
      </c>
      <c r="L55" s="20">
        <v>0</v>
      </c>
      <c r="M55" s="20">
        <v>0</v>
      </c>
      <c r="N55" s="20">
        <v>0</v>
      </c>
      <c r="O55" s="6">
        <f>SUM(C55:N55)</f>
        <v>0</v>
      </c>
    </row>
    <row r="56" spans="2:15">
      <c r="B56" t="s">
        <v>181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20">
        <v>0</v>
      </c>
      <c r="L56" s="20">
        <v>0</v>
      </c>
      <c r="M56" s="20">
        <v>0</v>
      </c>
      <c r="N56" s="20">
        <v>0</v>
      </c>
      <c r="O56" s="6">
        <f>SUM(C56:N56)</f>
        <v>0</v>
      </c>
    </row>
    <row r="57" spans="2:15">
      <c r="B57" t="s">
        <v>182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20">
        <v>0</v>
      </c>
      <c r="L57" s="20">
        <v>0</v>
      </c>
      <c r="M57" s="20">
        <v>0</v>
      </c>
      <c r="N57" s="20">
        <v>0</v>
      </c>
      <c r="O57" s="6">
        <f>SUM(C57:N57)</f>
        <v>0</v>
      </c>
    </row>
    <row r="58" spans="2:15">
      <c r="B58" s="2" t="s">
        <v>139</v>
      </c>
      <c r="C58" s="9">
        <f>SUM(C50:C57)</f>
        <v>0</v>
      </c>
      <c r="D58" s="9">
        <f>SUM(D50:D57)</f>
        <v>0</v>
      </c>
      <c r="E58" s="9">
        <f>SUM(E50:E57)</f>
        <v>0</v>
      </c>
      <c r="F58" s="9">
        <f>SUM(F50:F57)</f>
        <v>0</v>
      </c>
      <c r="G58" s="9">
        <f>SUM(G50:G57)</f>
        <v>0</v>
      </c>
      <c r="H58" s="9">
        <f>SUM(H50:H57)</f>
        <v>0</v>
      </c>
      <c r="I58" s="9">
        <f>SUM(I50:I57)</f>
        <v>0</v>
      </c>
      <c r="J58" s="9">
        <f>SUM(J50:J57)</f>
        <v>0</v>
      </c>
      <c r="K58" s="9">
        <f>SUM(K50:K57)</f>
        <v>110</v>
      </c>
      <c r="L58" s="9">
        <f>SUM(L50:L57)</f>
        <v>15</v>
      </c>
      <c r="M58" s="9">
        <f>SUM(M50:M57)</f>
        <v>15</v>
      </c>
      <c r="N58" s="9">
        <f>SUM(N50:N57)</f>
        <v>10</v>
      </c>
      <c r="O58" s="9">
        <f>SUM(O50:O57)</f>
        <v>150</v>
      </c>
    </row>
    <row r="60" spans="2:15">
      <c r="B60" s="2" t="s">
        <v>113</v>
      </c>
    </row>
    <row r="61" spans="2:15">
      <c r="B61" t="str">
        <f>B6</f>
        <v>Insert Adj. 1</v>
      </c>
      <c r="C61" s="6">
        <f>C28-C50</f>
        <v>0</v>
      </c>
      <c r="D61" s="6">
        <f>D28-D50</f>
        <v>0</v>
      </c>
      <c r="E61" s="6">
        <f>E28-E50</f>
        <v>0</v>
      </c>
      <c r="F61" s="6">
        <f>F28-F50</f>
        <v>0</v>
      </c>
      <c r="G61" s="6">
        <f>G28-G50</f>
        <v>0</v>
      </c>
      <c r="H61" s="6">
        <f>H28-H50</f>
        <v>0</v>
      </c>
      <c r="I61" s="6">
        <f>I28-I50</f>
        <v>0</v>
      </c>
      <c r="J61" s="6">
        <f>J28-J50</f>
        <v>0</v>
      </c>
      <c r="K61" s="6">
        <f>K28-K50</f>
        <v>10</v>
      </c>
      <c r="L61" s="6">
        <f>L28-L50</f>
        <v>105</v>
      </c>
      <c r="M61" s="6">
        <f>M28-M50</f>
        <v>105</v>
      </c>
      <c r="N61" s="6">
        <f>N28-N50</f>
        <v>110</v>
      </c>
      <c r="O61" s="6">
        <f>SUM(C61:N61)</f>
        <v>330</v>
      </c>
    </row>
    <row r="62" spans="2:15">
      <c r="B62" t="str">
        <f>B7</f>
        <v>Insert Adj. 2</v>
      </c>
      <c r="C62" s="6">
        <f>C29-C51</f>
        <v>0</v>
      </c>
      <c r="D62" s="6">
        <f>D29-D51</f>
        <v>0</v>
      </c>
      <c r="E62" s="6">
        <f>E29-E51</f>
        <v>0</v>
      </c>
      <c r="F62" s="6">
        <f>F29-F51</f>
        <v>0</v>
      </c>
      <c r="G62" s="6">
        <f>G29-G51</f>
        <v>0</v>
      </c>
      <c r="H62" s="6">
        <f>H29-H51</f>
        <v>0</v>
      </c>
      <c r="I62" s="6">
        <f>I29-I51</f>
        <v>0</v>
      </c>
      <c r="J62" s="6">
        <f>J29-J51</f>
        <v>0</v>
      </c>
      <c r="K62" s="6">
        <f>K29-K51</f>
        <v>0</v>
      </c>
      <c r="L62" s="6">
        <f>L29-L51</f>
        <v>0</v>
      </c>
      <c r="M62" s="6">
        <f>M29-M51</f>
        <v>0</v>
      </c>
      <c r="N62" s="6">
        <f>N29-N51</f>
        <v>0</v>
      </c>
      <c r="O62" s="6">
        <f>SUM(C62:N62)</f>
        <v>0</v>
      </c>
    </row>
    <row r="63" spans="2:15">
      <c r="B63" t="str">
        <f>B8</f>
        <v>Insert Adj. 3</v>
      </c>
      <c r="C63" s="6">
        <f>C30-C52</f>
        <v>0</v>
      </c>
      <c r="D63" s="6">
        <f>D30-D52</f>
        <v>0</v>
      </c>
      <c r="E63" s="6">
        <f>E30-E52</f>
        <v>0</v>
      </c>
      <c r="F63" s="6">
        <f>F30-F52</f>
        <v>0</v>
      </c>
      <c r="G63" s="6">
        <f>G30-G52</f>
        <v>0</v>
      </c>
      <c r="H63" s="6">
        <f>H30-H52</f>
        <v>0</v>
      </c>
      <c r="I63" s="6">
        <f>I30-I52</f>
        <v>0</v>
      </c>
      <c r="J63" s="6">
        <f>J30-J52</f>
        <v>0</v>
      </c>
      <c r="K63" s="6">
        <f>K30-K52</f>
        <v>0</v>
      </c>
      <c r="L63" s="6">
        <f>L30-L52</f>
        <v>0</v>
      </c>
      <c r="M63" s="6">
        <f>M30-M52</f>
        <v>0</v>
      </c>
      <c r="N63" s="6">
        <f>N30-N52</f>
        <v>0</v>
      </c>
      <c r="O63" s="6">
        <f>SUM(C63:N63)</f>
        <v>0</v>
      </c>
    </row>
    <row r="64" spans="2:15">
      <c r="B64" t="str">
        <f>B9</f>
        <v>Insert Adj. 4</v>
      </c>
      <c r="C64" s="6">
        <f>C31-C53</f>
        <v>0</v>
      </c>
      <c r="D64" s="6">
        <f>D31-D53</f>
        <v>0</v>
      </c>
      <c r="E64" s="6">
        <f>E31-E53</f>
        <v>0</v>
      </c>
      <c r="F64" s="6">
        <f>F31-F53</f>
        <v>0</v>
      </c>
      <c r="G64" s="6">
        <f>G31-G53</f>
        <v>0</v>
      </c>
      <c r="H64" s="6">
        <f>H31-H53</f>
        <v>0</v>
      </c>
      <c r="I64" s="6">
        <f>I31-I53</f>
        <v>0</v>
      </c>
      <c r="J64" s="6">
        <f>J31-J53</f>
        <v>0</v>
      </c>
      <c r="K64" s="6">
        <f>K31-K53</f>
        <v>0</v>
      </c>
      <c r="L64" s="6">
        <f>L31-L53</f>
        <v>0</v>
      </c>
      <c r="M64" s="6">
        <f>M31-M53</f>
        <v>0</v>
      </c>
      <c r="N64" s="6">
        <f>N31-N53</f>
        <v>0</v>
      </c>
      <c r="O64" s="6">
        <f>SUM(C64:N64)</f>
        <v>0</v>
      </c>
    </row>
    <row r="65" spans="2:15">
      <c r="B65" t="str">
        <f>B10</f>
        <v>Insert Adj. 5</v>
      </c>
      <c r="C65" s="6">
        <f>C32-C54</f>
        <v>0</v>
      </c>
      <c r="D65" s="6">
        <f>D32-D54</f>
        <v>0</v>
      </c>
      <c r="E65" s="6">
        <f>E32-E54</f>
        <v>0</v>
      </c>
      <c r="F65" s="6">
        <f>F32-F54</f>
        <v>0</v>
      </c>
      <c r="G65" s="6">
        <f>G32-G54</f>
        <v>0</v>
      </c>
      <c r="H65" s="6">
        <f>H32-H54</f>
        <v>0</v>
      </c>
      <c r="I65" s="6">
        <f>I32-I54</f>
        <v>0</v>
      </c>
      <c r="J65" s="6">
        <f>J32-J54</f>
        <v>0</v>
      </c>
      <c r="K65" s="6">
        <f>K32-K54</f>
        <v>0</v>
      </c>
      <c r="L65" s="6">
        <f>L32-L54</f>
        <v>0</v>
      </c>
      <c r="M65" s="6">
        <f>M32-M54</f>
        <v>0</v>
      </c>
      <c r="N65" s="6">
        <f>N32-N54</f>
        <v>0</v>
      </c>
      <c r="O65" s="6">
        <f>SUM(C65:N65)</f>
        <v>0</v>
      </c>
    </row>
    <row r="66" spans="2:15">
      <c r="B66" t="str">
        <f>B11</f>
        <v>Insert Adj. 6</v>
      </c>
      <c r="C66" s="6">
        <f>C33-C55</f>
        <v>0</v>
      </c>
      <c r="D66" s="6">
        <f>D33-D55</f>
        <v>0</v>
      </c>
      <c r="E66" s="6">
        <f>E33-E55</f>
        <v>0</v>
      </c>
      <c r="F66" s="6">
        <f>F33-F55</f>
        <v>0</v>
      </c>
      <c r="G66" s="6">
        <f>G33-G55</f>
        <v>0</v>
      </c>
      <c r="H66" s="6">
        <f>H33-H55</f>
        <v>0</v>
      </c>
      <c r="I66" s="6">
        <f>I33-I55</f>
        <v>0</v>
      </c>
      <c r="J66" s="6">
        <f>J33-J55</f>
        <v>0</v>
      </c>
      <c r="K66" s="6">
        <f>K33-K55</f>
        <v>0</v>
      </c>
      <c r="L66" s="6">
        <f>L33-L55</f>
        <v>0</v>
      </c>
      <c r="M66" s="6">
        <f>M33-M55</f>
        <v>0</v>
      </c>
      <c r="N66" s="6">
        <f>N33-N55</f>
        <v>0</v>
      </c>
      <c r="O66" s="6">
        <f>SUM(C66:N66)</f>
        <v>0</v>
      </c>
    </row>
    <row r="67" spans="2:15">
      <c r="B67" t="str">
        <f>B12</f>
        <v>Insert Adj. 7</v>
      </c>
      <c r="C67" s="6">
        <f>C34-C56</f>
        <v>0</v>
      </c>
      <c r="D67" s="6">
        <f>D34-D56</f>
        <v>0</v>
      </c>
      <c r="E67" s="6">
        <f>E34-E56</f>
        <v>0</v>
      </c>
      <c r="F67" s="6">
        <f>F34-F56</f>
        <v>0</v>
      </c>
      <c r="G67" s="6">
        <f>G34-G56</f>
        <v>0</v>
      </c>
      <c r="H67" s="6">
        <f>H34-H56</f>
        <v>0</v>
      </c>
      <c r="I67" s="6">
        <f>I34-I56</f>
        <v>0</v>
      </c>
      <c r="J67" s="6">
        <f>J34-J56</f>
        <v>0</v>
      </c>
      <c r="K67" s="6">
        <f>K34-K56</f>
        <v>0</v>
      </c>
      <c r="L67" s="6">
        <f>L34-L56</f>
        <v>0</v>
      </c>
      <c r="M67" s="6">
        <f>M34-M56</f>
        <v>0</v>
      </c>
      <c r="N67" s="6">
        <f>N34-N56</f>
        <v>0</v>
      </c>
      <c r="O67" s="6">
        <f>SUM(C67:N67)</f>
        <v>0</v>
      </c>
    </row>
    <row r="68" spans="2:15">
      <c r="B68" t="str">
        <f>B13</f>
        <v>Insert Adj. 8</v>
      </c>
      <c r="C68" s="6">
        <f>C35-C57</f>
        <v>0</v>
      </c>
      <c r="D68" s="6">
        <f>D35-D57</f>
        <v>0</v>
      </c>
      <c r="E68" s="6">
        <f>E35-E57</f>
        <v>0</v>
      </c>
      <c r="F68" s="6">
        <f>F35-F57</f>
        <v>0</v>
      </c>
      <c r="G68" s="6">
        <f>G35-G57</f>
        <v>0</v>
      </c>
      <c r="H68" s="6">
        <f>H35-H57</f>
        <v>0</v>
      </c>
      <c r="I68" s="6">
        <f>I35-I57</f>
        <v>0</v>
      </c>
      <c r="J68" s="6">
        <f>J35-J57</f>
        <v>0</v>
      </c>
      <c r="K68" s="6">
        <f>K35-K57</f>
        <v>0</v>
      </c>
      <c r="L68" s="6">
        <f>L35-L57</f>
        <v>0</v>
      </c>
      <c r="M68" s="6">
        <f>M35-M57</f>
        <v>0</v>
      </c>
      <c r="N68" s="6">
        <f>N35-N57</f>
        <v>0</v>
      </c>
      <c r="O68" s="6">
        <f>SUM(C68:N68)</f>
        <v>0</v>
      </c>
    </row>
    <row r="69" spans="2:15">
      <c r="B69" s="2" t="s">
        <v>140</v>
      </c>
      <c r="C69" s="9">
        <f>SUM(C61:C68)</f>
        <v>0</v>
      </c>
      <c r="D69" s="9">
        <f>SUM(D61:D68)</f>
        <v>0</v>
      </c>
      <c r="E69" s="9">
        <f>SUM(E61:E68)</f>
        <v>0</v>
      </c>
      <c r="F69" s="9">
        <f>SUM(F61:F68)</f>
        <v>0</v>
      </c>
      <c r="G69" s="9">
        <f>SUM(G61:G68)</f>
        <v>0</v>
      </c>
      <c r="H69" s="9">
        <f>SUM(H61:H68)</f>
        <v>0</v>
      </c>
      <c r="I69" s="9">
        <f>SUM(I61:I68)</f>
        <v>0</v>
      </c>
      <c r="J69" s="9">
        <f>SUM(J61:J68)</f>
        <v>0</v>
      </c>
      <c r="K69" s="9">
        <f>SUM(K61:K68)</f>
        <v>10</v>
      </c>
      <c r="L69" s="9">
        <f>SUM(L61:L68)</f>
        <v>105</v>
      </c>
      <c r="M69" s="9">
        <f>SUM(M61:M68)</f>
        <v>105</v>
      </c>
      <c r="N69" s="9">
        <f>SUM(N61:N68)</f>
        <v>110</v>
      </c>
      <c r="O69" s="9">
        <f>SUM(O61:O68)</f>
        <v>330</v>
      </c>
    </row>
    <row r="71" spans="2:15">
      <c r="B71" s="8" t="s">
        <v>141</v>
      </c>
    </row>
    <row r="73" spans="2:15">
      <c r="C73" s="4" t="s">
        <v>70</v>
      </c>
      <c r="D73" s="4" t="s">
        <v>71</v>
      </c>
      <c r="E73" s="4" t="s">
        <v>72</v>
      </c>
      <c r="F73" s="4" t="s">
        <v>73</v>
      </c>
      <c r="G73" s="4" t="s">
        <v>50</v>
      </c>
      <c r="H73" s="4" t="s">
        <v>74</v>
      </c>
      <c r="I73" s="4" t="s">
        <v>75</v>
      </c>
      <c r="J73" s="4" t="s">
        <v>76</v>
      </c>
      <c r="K73" s="4" t="s">
        <v>77</v>
      </c>
      <c r="L73" s="4" t="s">
        <v>78</v>
      </c>
      <c r="M73" s="4" t="s">
        <v>79</v>
      </c>
      <c r="N73" s="4" t="s">
        <v>80</v>
      </c>
      <c r="O73" s="4" t="s">
        <v>174</v>
      </c>
    </row>
    <row r="74" spans="2:15">
      <c r="B74" s="2" t="s">
        <v>111</v>
      </c>
    </row>
    <row r="75" spans="2:15">
      <c r="B75" t="s">
        <v>143</v>
      </c>
      <c r="C75" s="12">
        <f>Falcon!C35</f>
        <v>0.36552405605889804</v>
      </c>
      <c r="D75" s="12">
        <f>Falcon!D35</f>
        <v>0.36296358355674707</v>
      </c>
      <c r="E75" s="12">
        <f>Falcon!E35</f>
        <v>0.36482418665790339</v>
      </c>
      <c r="F75" s="12">
        <f>Falcon!F35</f>
        <v>0.36488691720961713</v>
      </c>
      <c r="G75" s="12">
        <f>Falcon!G35</f>
        <v>0.36339146089858998</v>
      </c>
      <c r="H75" s="12">
        <f>Falcon!H35</f>
        <v>0.36506977739187335</v>
      </c>
      <c r="I75" s="12">
        <f>Falcon!I35</f>
        <v>0.36370150604681567</v>
      </c>
      <c r="J75" s="12">
        <f>Falcon!J35</f>
        <v>0.36689792385308062</v>
      </c>
      <c r="K75" s="12">
        <f>Falcon!K35</f>
        <v>0.36578854383416431</v>
      </c>
      <c r="L75" s="12">
        <f>Falcon!L35</f>
        <v>0.36503911909591424</v>
      </c>
      <c r="M75" s="12">
        <f>Falcon!M35</f>
        <v>0.36531952749795987</v>
      </c>
      <c r="N75" s="12">
        <f>Falcon!N35</f>
        <v>0.3658129853689413</v>
      </c>
      <c r="O75" t="s">
        <v>183</v>
      </c>
    </row>
    <row r="76" spans="2:15">
      <c r="B76" t="s">
        <v>144</v>
      </c>
      <c r="C76" t="s">
        <v>145</v>
      </c>
      <c r="D76" t="s">
        <v>145</v>
      </c>
      <c r="E76" t="s">
        <v>145</v>
      </c>
      <c r="F76" t="s">
        <v>145</v>
      </c>
      <c r="G76" t="s">
        <v>145</v>
      </c>
      <c r="H76" t="s">
        <v>145</v>
      </c>
      <c r="I76" t="s">
        <v>145</v>
      </c>
      <c r="J76" t="s">
        <v>145</v>
      </c>
      <c r="K76" t="s">
        <v>145</v>
      </c>
      <c r="L76" t="s">
        <v>145</v>
      </c>
      <c r="M76" t="s">
        <v>145</v>
      </c>
      <c r="N76" t="s">
        <v>145</v>
      </c>
    </row>
    <row r="77" spans="2:15">
      <c r="B77" t="s">
        <v>146</v>
      </c>
      <c r="C77" s="6">
        <f>IF(C76="None",0,(((Falcon!C28*(C75+C76))-Falcon!C29)))</f>
        <v>0</v>
      </c>
      <c r="D77" s="6">
        <f>IF(D76="None",0,(((Falcon!D28*(D75+D76))-Falcon!D29)))</f>
        <v>0</v>
      </c>
      <c r="E77" s="6">
        <f>IF(E76="None",0,(((Falcon!E28*(E75+E76))-Falcon!E29)))</f>
        <v>0</v>
      </c>
      <c r="F77" s="6">
        <f>IF(F76="None",0,(((Falcon!F28*(F75+F76))-Falcon!F29)))</f>
        <v>0</v>
      </c>
      <c r="G77" s="6">
        <f>IF(G76="None",0,(((Falcon!G28*(G75+G76))-Falcon!G29)))</f>
        <v>0</v>
      </c>
      <c r="H77" s="6">
        <f>IF(H76="None",0,(((Falcon!H28*(H75+H76))-Falcon!H29)))</f>
        <v>0</v>
      </c>
      <c r="I77" s="6">
        <f>IF(I76="None",0,(((Falcon!I28*(I75+I76))-Falcon!I29)))</f>
        <v>0</v>
      </c>
      <c r="J77" s="6">
        <f>IF(J76="None",0,(((Falcon!J28*(J75+J76))-Falcon!J29)))</f>
        <v>0</v>
      </c>
      <c r="K77" s="6">
        <f>IF(K76="None",0,(((Falcon!K28*(K75+K76))-Falcon!K29)))</f>
        <v>0</v>
      </c>
      <c r="L77" s="6">
        <f>IF(L76="None",0,(((Falcon!L28*(L75+L76))-Falcon!L29)))</f>
        <v>0</v>
      </c>
      <c r="M77" s="6">
        <f>IF(M76="None",0,(((Falcon!M28*(M75+M76))-Falcon!M29)))</f>
        <v>0</v>
      </c>
      <c r="N77" s="6">
        <f>IF(N76="None",0,(((Falcon!N28*(N75+N76))-Falcon!N29)))</f>
        <v>0</v>
      </c>
      <c r="O77" s="6">
        <f>SUM(C77:N77)</f>
        <v>0</v>
      </c>
    </row>
    <row r="78" spans="2:15">
      <c r="B78" t="s">
        <v>147</v>
      </c>
      <c r="C78" s="12">
        <f>SUM(C75:C76)</f>
        <v>0.36552405605889804</v>
      </c>
      <c r="D78" s="12">
        <f>SUM(D75:D76)</f>
        <v>0.36296358355674707</v>
      </c>
      <c r="E78" s="12">
        <f>SUM(E75:E76)</f>
        <v>0.36482418665790339</v>
      </c>
      <c r="F78" s="12">
        <f>SUM(F75:F76)</f>
        <v>0.36488691720961713</v>
      </c>
      <c r="G78" s="12">
        <f>SUM(G75:G76)</f>
        <v>0.36339146089858998</v>
      </c>
      <c r="H78" s="12">
        <f>SUM(H75:H76)</f>
        <v>0.36506977739187335</v>
      </c>
      <c r="I78" s="12">
        <f>SUM(I75:I76)</f>
        <v>0.36370150604681567</v>
      </c>
      <c r="J78" s="12">
        <f>SUM(J75:J76)</f>
        <v>0.36689792385308062</v>
      </c>
      <c r="K78" s="12">
        <f>SUM(K75:K76)</f>
        <v>0.36578854383416431</v>
      </c>
      <c r="L78" s="12">
        <f>SUM(L75:L76)</f>
        <v>0.36503911909591424</v>
      </c>
      <c r="M78" s="12">
        <f>SUM(M75:M76)</f>
        <v>0.36531952749795987</v>
      </c>
      <c r="N78" s="12">
        <f>SUM(N75:N76)</f>
        <v>0.3658129853689413</v>
      </c>
      <c r="O78" t="s">
        <v>183</v>
      </c>
    </row>
    <row r="81" spans="1:15">
      <c r="B81" s="2" t="s">
        <v>112</v>
      </c>
    </row>
    <row r="82" spans="1:15">
      <c r="B82" t="s">
        <v>148</v>
      </c>
      <c r="C82" s="12">
        <f>Falcon!C36</f>
        <v>-0.19487008197291694</v>
      </c>
      <c r="D82" s="12">
        <f>Falcon!D36</f>
        <v>-0.19234528596961573</v>
      </c>
      <c r="E82" s="12">
        <f>Falcon!E36</f>
        <v>-0.19458429181728557</v>
      </c>
      <c r="F82" s="12">
        <f>Falcon!F36</f>
        <v>-0.19506328042839702</v>
      </c>
      <c r="G82" s="12">
        <f>Falcon!G36</f>
        <v>-0.19254372708516762</v>
      </c>
      <c r="H82" s="12">
        <f>Falcon!H36</f>
        <v>-0.19476008909358603</v>
      </c>
      <c r="I82" s="12">
        <f>Falcon!I36</f>
        <v>-0.19209011138209336</v>
      </c>
      <c r="J82" s="12">
        <f>Falcon!J36</f>
        <v>-0.19215017505781429</v>
      </c>
      <c r="K82" s="12">
        <f>Falcon!K36</f>
        <v>-0.19449570099328647</v>
      </c>
      <c r="L82" s="12">
        <f>Falcon!L36</f>
        <v>-0.19056070704143727</v>
      </c>
      <c r="M82" s="12">
        <f>Falcon!M36</f>
        <v>-0.19267969659268772</v>
      </c>
      <c r="N82" s="12">
        <f>Falcon!N36</f>
        <v>-0.18981425128417365</v>
      </c>
      <c r="O82" t="s">
        <v>183</v>
      </c>
    </row>
    <row r="83" spans="1:15">
      <c r="B83" t="s">
        <v>144</v>
      </c>
      <c r="C83" t="s">
        <v>145</v>
      </c>
      <c r="D83" t="s">
        <v>145</v>
      </c>
      <c r="E83" t="s">
        <v>145</v>
      </c>
      <c r="F83" t="s">
        <v>145</v>
      </c>
      <c r="G83" t="s">
        <v>145</v>
      </c>
      <c r="H83" t="s">
        <v>145</v>
      </c>
      <c r="I83" t="s">
        <v>145</v>
      </c>
      <c r="J83" t="s">
        <v>145</v>
      </c>
      <c r="K83" t="s">
        <v>145</v>
      </c>
      <c r="L83" t="s">
        <v>145</v>
      </c>
      <c r="M83" t="s">
        <v>145</v>
      </c>
      <c r="N83" t="s">
        <v>145</v>
      </c>
    </row>
    <row r="84" spans="1:15">
      <c r="B84" t="s">
        <v>146</v>
      </c>
      <c r="C84" s="6">
        <f>-IF(C83="None",0,(((Falcon!C28*-(C82+C83))-Falcon!C30)))</f>
        <v>0</v>
      </c>
      <c r="D84" s="6">
        <f>-IF(D83="None",0,(((Falcon!D28*-(D82+D83))-Falcon!D30)))</f>
        <v>0</v>
      </c>
      <c r="E84" s="6">
        <f>-IF(E83="None",0,(((Falcon!E28*-(E82+E83))-Falcon!E30)))</f>
        <v>0</v>
      </c>
      <c r="F84" s="6">
        <f>-IF(F83="None",0,(((Falcon!F28*-(F82+F83))-Falcon!F30)))</f>
        <v>0</v>
      </c>
      <c r="G84" s="6">
        <f>-IF(G83="None",0,(((Falcon!G28*-(G82+G83))-Falcon!G30)))</f>
        <v>0</v>
      </c>
      <c r="H84" s="6">
        <f>-IF(H83="None",0,(((Falcon!H28*-(H82+H83))-Falcon!H30)))</f>
        <v>0</v>
      </c>
      <c r="I84" s="6">
        <f>-IF(I83="None",0,(((Falcon!I28*-(I82+I83))-Falcon!I30)))</f>
        <v>0</v>
      </c>
      <c r="J84" s="6">
        <f>-IF(J83="None",0,(((Falcon!J28*-(J82+J83))-Falcon!J30)))</f>
        <v>0</v>
      </c>
      <c r="K84" s="6">
        <f>-IF(K83="None",0,(((Falcon!K28*-(K82+K83))-Falcon!K30)))</f>
        <v>0</v>
      </c>
      <c r="L84" s="6">
        <f>-IF(L83="None",0,(((Falcon!L28*-(L82+L83))-Falcon!L30)))</f>
        <v>0</v>
      </c>
      <c r="M84" s="6">
        <f>-IF(M83="None",0,(((Falcon!M28*-(M82+M83))-Falcon!M30)))</f>
        <v>0</v>
      </c>
      <c r="N84" s="6">
        <f>-IF(N83="None",0,(((Falcon!N28*-(N82+N83))-Falcon!N30)))</f>
        <v>0</v>
      </c>
      <c r="O84" s="6">
        <f>SUM(C84:N84)</f>
        <v>0</v>
      </c>
    </row>
    <row r="85" spans="1:15">
      <c r="B85" t="s">
        <v>149</v>
      </c>
      <c r="C85" s="12">
        <f>SUM(C82:C83)</f>
        <v>-0.19487008197291694</v>
      </c>
      <c r="D85" s="12">
        <f>SUM(D82:D83)</f>
        <v>-0.19234528596961573</v>
      </c>
      <c r="E85" s="12">
        <f>SUM(E82:E83)</f>
        <v>-0.19458429181728557</v>
      </c>
      <c r="F85" s="12">
        <f>SUM(F82:F83)</f>
        <v>-0.19506328042839702</v>
      </c>
      <c r="G85" s="12">
        <f>SUM(G82:G83)</f>
        <v>-0.19254372708516762</v>
      </c>
      <c r="H85" s="12">
        <f>SUM(H82:H83)</f>
        <v>-0.19476008909358603</v>
      </c>
      <c r="I85" s="12">
        <f>SUM(I82:I83)</f>
        <v>-0.19209011138209336</v>
      </c>
      <c r="J85" s="12">
        <f>SUM(J82:J83)</f>
        <v>-0.19215017505781429</v>
      </c>
      <c r="K85" s="12">
        <f>SUM(K82:K83)</f>
        <v>-0.19449570099328647</v>
      </c>
      <c r="L85" s="12">
        <f>SUM(L82:L83)</f>
        <v>-0.19056070704143727</v>
      </c>
      <c r="M85" s="12">
        <f>SUM(M82:M83)</f>
        <v>-0.19267969659268772</v>
      </c>
      <c r="N85" s="12">
        <f>SUM(N82:N83)</f>
        <v>-0.18981425128417365</v>
      </c>
      <c r="O85" t="s">
        <v>183</v>
      </c>
    </row>
    <row r="87" spans="1:15">
      <c r="B87" s="8" t="s">
        <v>150</v>
      </c>
    </row>
    <row r="89" spans="1:15">
      <c r="C89" s="4" t="s">
        <v>70</v>
      </c>
      <c r="D89" s="4" t="s">
        <v>71</v>
      </c>
      <c r="E89" s="4" t="s">
        <v>72</v>
      </c>
      <c r="F89" s="4" t="s">
        <v>73</v>
      </c>
      <c r="G89" s="4" t="s">
        <v>50</v>
      </c>
      <c r="H89" s="4" t="s">
        <v>74</v>
      </c>
      <c r="I89" s="4" t="s">
        <v>75</v>
      </c>
      <c r="J89" s="4" t="s">
        <v>76</v>
      </c>
      <c r="K89" s="4" t="s">
        <v>77</v>
      </c>
      <c r="L89" s="4" t="s">
        <v>78</v>
      </c>
      <c r="M89" s="4" t="s">
        <v>79</v>
      </c>
      <c r="N89" s="4" t="s">
        <v>80</v>
      </c>
      <c r="O89" s="4" t="s">
        <v>174</v>
      </c>
    </row>
    <row r="90" spans="1:15">
      <c r="A90">
        <v>2090</v>
      </c>
      <c r="B90" t="s">
        <v>151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20">
        <v>0</v>
      </c>
      <c r="L90" s="20">
        <v>0</v>
      </c>
      <c r="M90" s="20">
        <v>0</v>
      </c>
      <c r="N90" s="20">
        <v>0</v>
      </c>
    </row>
    <row r="91" spans="1:15">
      <c r="A91">
        <v>2135</v>
      </c>
      <c r="B91" t="s">
        <v>152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20">
        <v>0</v>
      </c>
      <c r="L91" s="20">
        <v>0</v>
      </c>
      <c r="M91" s="20">
        <v>0</v>
      </c>
      <c r="N91" s="20">
        <v>0</v>
      </c>
    </row>
    <row r="92" spans="1:15">
      <c r="A92">
        <v>2175</v>
      </c>
      <c r="B92" t="s">
        <v>153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20">
        <v>0</v>
      </c>
      <c r="L92" s="20">
        <v>0</v>
      </c>
      <c r="M92" s="20">
        <v>0</v>
      </c>
      <c r="N92" s="20">
        <v>0</v>
      </c>
    </row>
    <row r="93" spans="1:15">
      <c r="A93">
        <v>2140</v>
      </c>
      <c r="B93" t="s">
        <v>154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20">
        <v>0</v>
      </c>
      <c r="L93" s="20">
        <v>0</v>
      </c>
      <c r="M93" s="20">
        <v>0</v>
      </c>
      <c r="N93" s="20">
        <v>0</v>
      </c>
    </row>
    <row r="94" spans="1:15">
      <c r="A94">
        <v>2180</v>
      </c>
      <c r="B94" t="s">
        <v>155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20">
        <v>0</v>
      </c>
      <c r="L94" s="20">
        <v>0</v>
      </c>
      <c r="M94" s="20">
        <v>0</v>
      </c>
      <c r="N94" s="20">
        <v>0</v>
      </c>
    </row>
    <row r="95" spans="1:15">
      <c r="A95">
        <v>2185</v>
      </c>
      <c r="B95" s="2" t="s">
        <v>156</v>
      </c>
      <c r="C95" s="6">
        <f>SUM(C90:C94)</f>
        <v>0</v>
      </c>
      <c r="D95" s="6">
        <f>SUM(D90:D94)</f>
        <v>0</v>
      </c>
      <c r="E95" s="6">
        <f>SUM(E90:E94)</f>
        <v>0</v>
      </c>
      <c r="F95" s="6">
        <f>SUM(F90:F94)</f>
        <v>0</v>
      </c>
      <c r="G95" s="6">
        <f>SUM(G90:G94)</f>
        <v>0</v>
      </c>
      <c r="H95" s="6">
        <f>SUM(H90:H94)</f>
        <v>0</v>
      </c>
      <c r="I95" s="6">
        <f>SUM(I90:I94)</f>
        <v>0</v>
      </c>
      <c r="J95" s="6">
        <f>SUM(J90:J94)</f>
        <v>0</v>
      </c>
      <c r="K95" s="6">
        <f>SUM(K90:K94)</f>
        <v>0</v>
      </c>
      <c r="L95" s="6">
        <f>SUM(L90:L94)</f>
        <v>0</v>
      </c>
      <c r="M95" s="6">
        <f>SUM(M90:M94)</f>
        <v>0</v>
      </c>
      <c r="N95" s="6">
        <f>SUM(N90:N94)</f>
        <v>0</v>
      </c>
    </row>
    <row r="97" spans="2:2">
      <c r="B97" s="21" t="s">
        <v>184</v>
      </c>
    </row>
  </sheetData>
  <dataValidations count="1">
    <dataValidation type="list" allowBlank="1" sqref="C76:N76 C83:N83" xr:uid="{00000000-0002-0000-1700-000000000000}">
      <formula1>"None,-2.0%,-1.5%,-1.0%,-0.5%,0.5%,1.0%,1.5%,2.0%"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70C0"/>
  </sheetPr>
  <dimension ref="B1:CE73"/>
  <sheetViews>
    <sheetView showGridLines="0" workbookViewId="0">
      <pane xSplit="2" ySplit="26" topLeftCell="C27" activePane="bottomRight" state="frozen"/>
      <selection pane="bottomRight"/>
      <selection pane="bottomLeft"/>
      <selection pane="topRight"/>
    </sheetView>
  </sheetViews>
  <sheetFormatPr defaultRowHeight="15" outlineLevelRow="1"/>
  <cols>
    <col min="1" max="1" width="2" customWidth="1"/>
    <col min="2" max="2" width="30" customWidth="1"/>
    <col min="3" max="15" width="11" customWidth="1"/>
    <col min="16" max="16" width="2" customWidth="1"/>
    <col min="17" max="29" width="11" customWidth="1"/>
    <col min="30" max="30" width="2" customWidth="1"/>
    <col min="31" max="43" width="11" customWidth="1"/>
    <col min="44" max="44" width="2" customWidth="1"/>
    <col min="45" max="57" width="11" customWidth="1"/>
    <col min="58" max="58" width="2" customWidth="1"/>
    <col min="59" max="71" width="11" customWidth="1"/>
    <col min="72" max="72" width="2" customWidth="1"/>
    <col min="73" max="75" width="11" customWidth="1"/>
    <col min="76" max="76" width="2" customWidth="1"/>
    <col min="77" max="79" width="11" customWidth="1"/>
    <col min="80" max="80" width="2" customWidth="1"/>
    <col min="81" max="83" width="11" customWidth="1"/>
  </cols>
  <sheetData>
    <row r="1" spans="2:14" outlineLevel="1">
      <c r="C1" s="15" t="s">
        <v>34</v>
      </c>
      <c r="D1" s="15" t="s">
        <v>34</v>
      </c>
      <c r="E1" s="15" t="s">
        <v>34</v>
      </c>
      <c r="F1" s="15" t="s">
        <v>34</v>
      </c>
      <c r="G1" s="15" t="s">
        <v>34</v>
      </c>
      <c r="H1" s="15" t="s">
        <v>34</v>
      </c>
      <c r="I1" s="15" t="s">
        <v>34</v>
      </c>
      <c r="J1" s="15" t="s">
        <v>34</v>
      </c>
      <c r="K1" s="15" t="s">
        <v>45</v>
      </c>
      <c r="L1" s="15" t="s">
        <v>45</v>
      </c>
      <c r="M1" s="15" t="s">
        <v>45</v>
      </c>
      <c r="N1" s="15" t="s">
        <v>45</v>
      </c>
    </row>
    <row r="2" spans="2:14" outlineLevel="1">
      <c r="B2" s="15" t="s">
        <v>2</v>
      </c>
      <c r="C2" s="15" t="s">
        <v>34</v>
      </c>
      <c r="D2" s="15" t="s">
        <v>34</v>
      </c>
      <c r="E2" s="15" t="s">
        <v>34</v>
      </c>
      <c r="F2" s="15" t="s">
        <v>34</v>
      </c>
      <c r="G2" s="15" t="s">
        <v>34</v>
      </c>
      <c r="H2" s="15" t="s">
        <v>34</v>
      </c>
      <c r="I2" s="15" t="s">
        <v>34</v>
      </c>
      <c r="J2" s="15" t="s">
        <v>34</v>
      </c>
      <c r="K2" s="15" t="s">
        <v>34</v>
      </c>
      <c r="L2" s="15" t="s">
        <v>34</v>
      </c>
      <c r="M2" s="15" t="s">
        <v>34</v>
      </c>
      <c r="N2" s="15" t="s">
        <v>34</v>
      </c>
    </row>
    <row r="3" spans="2:14" outlineLevel="1"/>
    <row r="4" spans="2:14" outlineLevel="1"/>
    <row r="5" spans="2:14" outlineLevel="1">
      <c r="B5" s="15" t="s">
        <v>4</v>
      </c>
      <c r="C5" s="15">
        <v>2026</v>
      </c>
      <c r="D5" s="15">
        <v>2026</v>
      </c>
      <c r="E5" s="15">
        <v>2026</v>
      </c>
      <c r="F5" s="15">
        <v>2026</v>
      </c>
      <c r="G5" s="15">
        <v>2026</v>
      </c>
      <c r="H5" s="15">
        <v>2026</v>
      </c>
      <c r="I5" s="15">
        <v>2026</v>
      </c>
      <c r="J5" s="15">
        <v>2026</v>
      </c>
      <c r="K5" s="15">
        <v>2026</v>
      </c>
      <c r="L5" s="15">
        <v>2026</v>
      </c>
      <c r="M5" s="15">
        <v>2026</v>
      </c>
      <c r="N5" s="15">
        <v>2026</v>
      </c>
    </row>
    <row r="6" spans="2:14" outlineLevel="1"/>
    <row r="7" spans="2:14" outlineLevel="1"/>
    <row r="8" spans="2:14" outlineLevel="1">
      <c r="B8" s="15" t="s">
        <v>5</v>
      </c>
      <c r="C8" s="15" t="s">
        <v>35</v>
      </c>
      <c r="D8" s="15" t="s">
        <v>39</v>
      </c>
      <c r="E8" s="15" t="s">
        <v>43</v>
      </c>
      <c r="F8" s="15" t="s">
        <v>47</v>
      </c>
      <c r="G8" s="15" t="s">
        <v>51</v>
      </c>
      <c r="H8" s="15" t="s">
        <v>54</v>
      </c>
      <c r="I8" s="15" t="s">
        <v>56</v>
      </c>
      <c r="J8" s="15" t="s">
        <v>58</v>
      </c>
      <c r="K8" s="15" t="s">
        <v>32</v>
      </c>
      <c r="L8" s="15" t="s">
        <v>37</v>
      </c>
      <c r="M8" s="15" t="s">
        <v>66</v>
      </c>
      <c r="N8" s="15" t="s">
        <v>68</v>
      </c>
    </row>
    <row r="9" spans="2:14" outlineLevel="1">
      <c r="B9" s="15" t="s">
        <v>13</v>
      </c>
    </row>
    <row r="10" spans="2:14" outlineLevel="1">
      <c r="B10" s="15" t="s">
        <v>14</v>
      </c>
    </row>
    <row r="11" spans="2:14" outlineLevel="1">
      <c r="B11" s="15" t="s">
        <v>16</v>
      </c>
      <c r="C11" s="15" t="s">
        <v>17</v>
      </c>
      <c r="D11" s="15" t="s">
        <v>17</v>
      </c>
      <c r="E11" s="15" t="s">
        <v>17</v>
      </c>
      <c r="F11" s="15" t="s">
        <v>17</v>
      </c>
      <c r="G11" s="15" t="s">
        <v>17</v>
      </c>
      <c r="H11" s="15" t="s">
        <v>17</v>
      </c>
      <c r="I11" s="15" t="s">
        <v>17</v>
      </c>
      <c r="J11" s="15" t="s">
        <v>17</v>
      </c>
      <c r="K11" s="15" t="s">
        <v>17</v>
      </c>
      <c r="L11" s="15" t="s">
        <v>17</v>
      </c>
      <c r="M11" s="15" t="s">
        <v>17</v>
      </c>
      <c r="N11" s="15" t="s">
        <v>17</v>
      </c>
    </row>
    <row r="12" spans="2:14" outlineLevel="1">
      <c r="B12" s="15" t="s">
        <v>18</v>
      </c>
      <c r="C12" s="15" t="s">
        <v>19</v>
      </c>
      <c r="D12" s="15" t="s">
        <v>19</v>
      </c>
      <c r="E12" s="15" t="s">
        <v>19</v>
      </c>
      <c r="F12" s="15" t="s">
        <v>19</v>
      </c>
      <c r="G12" s="15" t="s">
        <v>19</v>
      </c>
      <c r="H12" s="15" t="s">
        <v>19</v>
      </c>
      <c r="I12" s="15" t="s">
        <v>19</v>
      </c>
      <c r="J12" s="15" t="s">
        <v>19</v>
      </c>
      <c r="K12" s="15" t="s">
        <v>19</v>
      </c>
      <c r="L12" s="15" t="s">
        <v>19</v>
      </c>
      <c r="M12" s="15" t="s">
        <v>19</v>
      </c>
      <c r="N12" s="15" t="s">
        <v>19</v>
      </c>
    </row>
    <row r="13" spans="2:14" outlineLevel="1">
      <c r="B13" s="15" t="s">
        <v>20</v>
      </c>
    </row>
    <row r="14" spans="2:14" outlineLevel="1">
      <c r="B14" s="15" t="s">
        <v>22</v>
      </c>
    </row>
    <row r="15" spans="2:14" outlineLevel="1"/>
    <row r="16" spans="2:14" outlineLevel="1"/>
    <row r="17" spans="2:83" outlineLevel="1"/>
    <row r="18" spans="2:83" outlineLevel="1">
      <c r="B18" s="15" t="s">
        <v>7</v>
      </c>
      <c r="C18" s="15" t="s">
        <v>157</v>
      </c>
      <c r="D18" s="15" t="s">
        <v>157</v>
      </c>
      <c r="E18" s="15" t="s">
        <v>157</v>
      </c>
      <c r="F18" s="15" t="s">
        <v>157</v>
      </c>
      <c r="G18" s="15" t="s">
        <v>157</v>
      </c>
      <c r="H18" s="15" t="s">
        <v>157</v>
      </c>
      <c r="I18" s="15" t="s">
        <v>157</v>
      </c>
      <c r="J18" s="15" t="s">
        <v>157</v>
      </c>
      <c r="K18" s="15" t="s">
        <v>157</v>
      </c>
      <c r="L18" s="15" t="s">
        <v>157</v>
      </c>
      <c r="M18" s="15" t="s">
        <v>157</v>
      </c>
      <c r="N18" s="15" t="s">
        <v>157</v>
      </c>
    </row>
    <row r="19" spans="2:83" outlineLevel="1">
      <c r="B19" s="15" t="s">
        <v>11</v>
      </c>
      <c r="C19" s="15" t="s">
        <v>12</v>
      </c>
      <c r="D19" s="15" t="s">
        <v>12</v>
      </c>
      <c r="E19" s="15" t="s">
        <v>12</v>
      </c>
      <c r="F19" s="15" t="s">
        <v>12</v>
      </c>
      <c r="G19" s="15" t="s">
        <v>12</v>
      </c>
      <c r="H19" s="15" t="s">
        <v>12</v>
      </c>
      <c r="I19" s="15" t="s">
        <v>12</v>
      </c>
      <c r="J19" s="15" t="s">
        <v>12</v>
      </c>
      <c r="K19" s="15" t="s">
        <v>12</v>
      </c>
      <c r="L19" s="15" t="s">
        <v>12</v>
      </c>
      <c r="M19" s="15" t="s">
        <v>12</v>
      </c>
      <c r="N19" s="15" t="s">
        <v>12</v>
      </c>
    </row>
    <row r="21" spans="2:83">
      <c r="B21" s="1" t="s">
        <v>24</v>
      </c>
    </row>
    <row r="22" spans="2:83">
      <c r="B22" s="15" t="s">
        <v>199</v>
      </c>
    </row>
    <row r="23" spans="2:83">
      <c r="B23" s="3" t="s">
        <v>106</v>
      </c>
      <c r="BU23" s="8" t="s">
        <v>158</v>
      </c>
    </row>
    <row r="24" spans="2:83">
      <c r="C24" s="8" t="s">
        <v>159</v>
      </c>
      <c r="Q24" s="8" t="s">
        <v>160</v>
      </c>
      <c r="AE24" s="8" t="s">
        <v>161</v>
      </c>
      <c r="AS24" s="8" t="s">
        <v>162</v>
      </c>
      <c r="BG24" s="8" t="s">
        <v>52</v>
      </c>
      <c r="BU24" s="2" t="s">
        <v>91</v>
      </c>
      <c r="BY24" s="2" t="s">
        <v>92</v>
      </c>
      <c r="CC24" s="2" t="s">
        <v>81</v>
      </c>
    </row>
    <row r="25" spans="2:83"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34</v>
      </c>
      <c r="I25" t="s">
        <v>34</v>
      </c>
      <c r="J25" t="s">
        <v>34</v>
      </c>
      <c r="K25" t="s">
        <v>45</v>
      </c>
      <c r="L25" t="s">
        <v>45</v>
      </c>
      <c r="M25" t="s">
        <v>45</v>
      </c>
      <c r="N25" t="s">
        <v>45</v>
      </c>
      <c r="O25" t="s">
        <v>163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45</v>
      </c>
      <c r="Z25" t="s">
        <v>45</v>
      </c>
      <c r="AA25" t="s">
        <v>45</v>
      </c>
      <c r="AB25" t="s">
        <v>45</v>
      </c>
      <c r="AC25" t="s">
        <v>163</v>
      </c>
      <c r="BG25" t="s">
        <v>34</v>
      </c>
      <c r="BH25" t="s">
        <v>34</v>
      </c>
      <c r="BI25" t="s">
        <v>34</v>
      </c>
      <c r="BJ25" t="s">
        <v>34</v>
      </c>
      <c r="BK25" t="s">
        <v>34</v>
      </c>
      <c r="BL25" t="s">
        <v>34</v>
      </c>
      <c r="BM25" t="s">
        <v>34</v>
      </c>
      <c r="BN25" t="s">
        <v>34</v>
      </c>
      <c r="BO25" t="s">
        <v>34</v>
      </c>
      <c r="BP25" t="s">
        <v>52</v>
      </c>
      <c r="BQ25" t="s">
        <v>52</v>
      </c>
      <c r="BR25" t="s">
        <v>52</v>
      </c>
      <c r="BS25" t="s">
        <v>163</v>
      </c>
    </row>
    <row r="26" spans="2:83" ht="30" customHeight="1">
      <c r="B26" s="2" t="s">
        <v>164</v>
      </c>
      <c r="C26" s="16" t="s">
        <v>70</v>
      </c>
      <c r="D26" s="16" t="s">
        <v>71</v>
      </c>
      <c r="E26" s="16" t="s">
        <v>72</v>
      </c>
      <c r="F26" s="16" t="s">
        <v>73</v>
      </c>
      <c r="G26" s="16" t="s">
        <v>50</v>
      </c>
      <c r="H26" s="16" t="s">
        <v>74</v>
      </c>
      <c r="I26" s="16" t="s">
        <v>75</v>
      </c>
      <c r="J26" s="16" t="s">
        <v>76</v>
      </c>
      <c r="K26" s="16" t="s">
        <v>77</v>
      </c>
      <c r="L26" s="16" t="s">
        <v>78</v>
      </c>
      <c r="M26" s="16" t="s">
        <v>79</v>
      </c>
      <c r="N26" s="16" t="s">
        <v>80</v>
      </c>
      <c r="O26" s="16" t="s">
        <v>165</v>
      </c>
      <c r="Q26" s="16" t="s">
        <v>70</v>
      </c>
      <c r="R26" s="16" t="s">
        <v>71</v>
      </c>
      <c r="S26" s="16" t="s">
        <v>72</v>
      </c>
      <c r="T26" s="16" t="s">
        <v>73</v>
      </c>
      <c r="U26" s="16" t="s">
        <v>50</v>
      </c>
      <c r="V26" s="16" t="s">
        <v>74</v>
      </c>
      <c r="W26" s="16" t="s">
        <v>75</v>
      </c>
      <c r="X26" s="16" t="s">
        <v>76</v>
      </c>
      <c r="Y26" s="16" t="s">
        <v>77</v>
      </c>
      <c r="Z26" s="16" t="s">
        <v>78</v>
      </c>
      <c r="AA26" s="16" t="s">
        <v>79</v>
      </c>
      <c r="AB26" s="16" t="s">
        <v>80</v>
      </c>
      <c r="AC26" s="16" t="s">
        <v>165</v>
      </c>
      <c r="AE26" s="16" t="s">
        <v>70</v>
      </c>
      <c r="AF26" s="16" t="s">
        <v>71</v>
      </c>
      <c r="AG26" s="16" t="s">
        <v>72</v>
      </c>
      <c r="AH26" s="16" t="s">
        <v>73</v>
      </c>
      <c r="AI26" s="16" t="s">
        <v>50</v>
      </c>
      <c r="AJ26" s="16" t="s">
        <v>74</v>
      </c>
      <c r="AK26" s="16" t="s">
        <v>75</v>
      </c>
      <c r="AL26" s="16" t="s">
        <v>76</v>
      </c>
      <c r="AM26" s="16" t="s">
        <v>77</v>
      </c>
      <c r="AN26" s="16" t="s">
        <v>78</v>
      </c>
      <c r="AO26" s="16" t="s">
        <v>79</v>
      </c>
      <c r="AP26" s="16" t="s">
        <v>80</v>
      </c>
      <c r="AQ26" s="16" t="s">
        <v>165</v>
      </c>
      <c r="AS26" s="16" t="s">
        <v>70</v>
      </c>
      <c r="AT26" s="16" t="s">
        <v>71</v>
      </c>
      <c r="AU26" s="16" t="s">
        <v>72</v>
      </c>
      <c r="AV26" s="16" t="s">
        <v>73</v>
      </c>
      <c r="AW26" s="16" t="s">
        <v>50</v>
      </c>
      <c r="AX26" s="16" t="s">
        <v>74</v>
      </c>
      <c r="AY26" s="16" t="s">
        <v>75</v>
      </c>
      <c r="AZ26" s="16" t="s">
        <v>76</v>
      </c>
      <c r="BA26" s="16" t="s">
        <v>77</v>
      </c>
      <c r="BB26" s="16" t="s">
        <v>78</v>
      </c>
      <c r="BC26" s="16" t="s">
        <v>79</v>
      </c>
      <c r="BD26" s="16" t="s">
        <v>80</v>
      </c>
      <c r="BE26" s="16" t="s">
        <v>165</v>
      </c>
      <c r="BG26" s="16" t="s">
        <v>70</v>
      </c>
      <c r="BH26" s="16" t="s">
        <v>71</v>
      </c>
      <c r="BI26" s="16" t="s">
        <v>72</v>
      </c>
      <c r="BJ26" s="16" t="s">
        <v>73</v>
      </c>
      <c r="BK26" s="16" t="s">
        <v>50</v>
      </c>
      <c r="BL26" s="16" t="s">
        <v>74</v>
      </c>
      <c r="BM26" s="16" t="s">
        <v>75</v>
      </c>
      <c r="BN26" s="16" t="s">
        <v>76</v>
      </c>
      <c r="BO26" s="16" t="s">
        <v>77</v>
      </c>
      <c r="BP26" s="16" t="s">
        <v>78</v>
      </c>
      <c r="BQ26" s="16" t="s">
        <v>79</v>
      </c>
      <c r="BR26" s="16" t="s">
        <v>80</v>
      </c>
      <c r="BS26" s="16" t="s">
        <v>165</v>
      </c>
      <c r="BU26" s="17" t="s">
        <v>94</v>
      </c>
      <c r="BV26" s="17" t="s">
        <v>95</v>
      </c>
      <c r="BW26" s="17" t="s">
        <v>96</v>
      </c>
      <c r="BY26" s="17" t="s">
        <v>97</v>
      </c>
      <c r="BZ26" s="17" t="s">
        <v>98</v>
      </c>
      <c r="CA26" s="17" t="s">
        <v>99</v>
      </c>
      <c r="CC26" s="17" t="s">
        <v>97</v>
      </c>
      <c r="CD26" s="17" t="s">
        <v>98</v>
      </c>
      <c r="CE26" s="17" t="s">
        <v>99</v>
      </c>
    </row>
    <row r="28" spans="2:83">
      <c r="B28" s="2" t="s">
        <v>100</v>
      </c>
      <c r="C28" s="6">
        <v>7185.3</v>
      </c>
      <c r="D28" s="6">
        <v>7161.6</v>
      </c>
      <c r="E28" s="6">
        <v>7607.5</v>
      </c>
      <c r="F28" s="6">
        <v>8272.7000000000007</v>
      </c>
      <c r="G28" s="6">
        <v>7609.7</v>
      </c>
      <c r="H28" s="6">
        <v>7946.7</v>
      </c>
      <c r="I28" s="6">
        <v>7954.6</v>
      </c>
      <c r="J28" s="6">
        <v>7740.3</v>
      </c>
      <c r="K28" s="6">
        <v>7641.3</v>
      </c>
      <c r="L28" s="6">
        <v>8282.4</v>
      </c>
      <c r="M28" s="6">
        <v>7475.1</v>
      </c>
      <c r="N28" s="6">
        <v>8215.4</v>
      </c>
      <c r="O28" s="18">
        <f>SUM(C28:N28)</f>
        <v>93092.599999999991</v>
      </c>
      <c r="Q28" s="6">
        <v>7185.3</v>
      </c>
      <c r="R28" s="6">
        <v>7161.6</v>
      </c>
      <c r="S28" s="6">
        <v>7607.5</v>
      </c>
      <c r="T28" s="6">
        <v>8272.7000000000007</v>
      </c>
      <c r="U28" s="6">
        <v>7609.7</v>
      </c>
      <c r="V28" s="6">
        <v>7946.7</v>
      </c>
      <c r="W28" s="6">
        <v>7954.6</v>
      </c>
      <c r="X28" s="6">
        <v>7740.3</v>
      </c>
      <c r="Y28" s="6">
        <v>7641.3</v>
      </c>
      <c r="Z28" s="6">
        <v>8282.4</v>
      </c>
      <c r="AA28" s="6">
        <v>7475.1</v>
      </c>
      <c r="AB28" s="6">
        <v>8215.4</v>
      </c>
      <c r="AC28" s="18">
        <f>SUM(Q28:AB28)</f>
        <v>93092.599999999991</v>
      </c>
      <c r="AE28" s="6">
        <f>Q28-C28</f>
        <v>0</v>
      </c>
      <c r="AF28" s="6">
        <f>R28-D28</f>
        <v>0</v>
      </c>
      <c r="AG28" s="6">
        <f>S28-E28</f>
        <v>0</v>
      </c>
      <c r="AH28" s="6">
        <f>T28-F28</f>
        <v>0</v>
      </c>
      <c r="AI28" s="6">
        <f>U28-G28</f>
        <v>0</v>
      </c>
      <c r="AJ28" s="6">
        <f>V28-H28</f>
        <v>0</v>
      </c>
      <c r="AK28" s="6">
        <f>W28-I28</f>
        <v>0</v>
      </c>
      <c r="AL28" s="6">
        <f>X28-J28</f>
        <v>0</v>
      </c>
      <c r="AM28" s="6">
        <f>Y28-K28</f>
        <v>0</v>
      </c>
      <c r="AN28" s="6">
        <f>Z28-L28</f>
        <v>0</v>
      </c>
      <c r="AO28" s="6">
        <f>AA28-M28</f>
        <v>0</v>
      </c>
      <c r="AP28" s="6">
        <f>AB28-N28</f>
        <v>0</v>
      </c>
      <c r="AQ28" s="18">
        <f>SUM(AE28:AP28)</f>
        <v>0</v>
      </c>
      <c r="AS28" s="6">
        <f>'Falcon-Adj'!C14</f>
        <v>0</v>
      </c>
      <c r="AT28" s="6">
        <f>'Falcon-Adj'!D14</f>
        <v>0</v>
      </c>
      <c r="AU28" s="6">
        <f>'Falcon-Adj'!E14</f>
        <v>0</v>
      </c>
      <c r="AV28" s="6">
        <f>'Falcon-Adj'!F14</f>
        <v>0</v>
      </c>
      <c r="AW28" s="6">
        <f>'Falcon-Adj'!G14</f>
        <v>0</v>
      </c>
      <c r="AX28" s="6">
        <f>'Falcon-Adj'!H14</f>
        <v>0</v>
      </c>
      <c r="AY28" s="6">
        <f>'Falcon-Adj'!I14</f>
        <v>0</v>
      </c>
      <c r="AZ28" s="6">
        <f>'Falcon-Adj'!J14</f>
        <v>0</v>
      </c>
      <c r="BA28" s="6">
        <f>'Falcon-Adj'!K14</f>
        <v>300</v>
      </c>
      <c r="BB28" s="6">
        <f>'Falcon-Adj'!L14</f>
        <v>300</v>
      </c>
      <c r="BC28" s="6">
        <f>'Falcon-Adj'!M14</f>
        <v>300</v>
      </c>
      <c r="BD28" s="6">
        <f>'Falcon-Adj'!N14</f>
        <v>300</v>
      </c>
      <c r="BE28" s="18">
        <f>SUM(AS28:BD28)</f>
        <v>1200</v>
      </c>
      <c r="BG28" s="6">
        <f>C28+AE28+AS28</f>
        <v>7185.3</v>
      </c>
      <c r="BH28" s="6">
        <f>D28+AF28+AT28</f>
        <v>7161.6</v>
      </c>
      <c r="BI28" s="6">
        <f>E28+AG28+AU28</f>
        <v>7607.5</v>
      </c>
      <c r="BJ28" s="6">
        <f>F28+AH28+AV28</f>
        <v>8272.7000000000007</v>
      </c>
      <c r="BK28" s="6">
        <f>G28+AI28+AW28</f>
        <v>7609.7</v>
      </c>
      <c r="BL28" s="6">
        <f>H28+AJ28+AX28</f>
        <v>7946.7</v>
      </c>
      <c r="BM28" s="6">
        <f>I28+AK28+AY28</f>
        <v>7954.6</v>
      </c>
      <c r="BN28" s="6">
        <f>J28+AL28+AZ28</f>
        <v>7740.3</v>
      </c>
      <c r="BO28" s="6">
        <f>K28+AM28+BA28</f>
        <v>7941.3</v>
      </c>
      <c r="BP28" s="6">
        <f>L28+AN28+BB28</f>
        <v>8582.4</v>
      </c>
      <c r="BQ28" s="6">
        <f>M28+AO28+BC28</f>
        <v>7775.1</v>
      </c>
      <c r="BR28" s="6">
        <f>N28+AP28+BD28</f>
        <v>8515.4</v>
      </c>
      <c r="BS28" s="18">
        <f>SUM(BG28:BR28)</f>
        <v>94292.599999999991</v>
      </c>
      <c r="BU28" s="6">
        <f>SUM(BG28:BO28)-SUM(C28:K28)</f>
        <v>300</v>
      </c>
      <c r="BV28" s="6">
        <f>SUM(BG28:BO28)-SUM(C51:K51)</f>
        <v>5882</v>
      </c>
      <c r="BW28" s="6">
        <f>SUM(BG28:BO28)-SUM(C64:K64)</f>
        <v>9896.3999999999869</v>
      </c>
      <c r="BY28" s="6">
        <f>SUM(BP28:BR28)-SUM(L28:N28)</f>
        <v>900</v>
      </c>
      <c r="BZ28" s="6">
        <f>SUM(BP28:BR28)-SUM(L51:N51)</f>
        <v>3410.6000000000022</v>
      </c>
      <c r="CA28" s="6">
        <f>SUM(BP28:BR28)-SUM(L64:N64)</f>
        <v>4812.9000000000015</v>
      </c>
      <c r="CC28" s="6">
        <f>BS28-O28</f>
        <v>1200</v>
      </c>
      <c r="CD28" s="6">
        <f>BS28-O51</f>
        <v>9292.5999999999913</v>
      </c>
      <c r="CE28" s="6">
        <f>BS28-O64</f>
        <v>14709.299999999988</v>
      </c>
    </row>
    <row r="29" spans="2:83">
      <c r="B29" s="5" t="s">
        <v>111</v>
      </c>
      <c r="C29" s="6">
        <v>2626.4</v>
      </c>
      <c r="D29" s="6">
        <v>2599.4</v>
      </c>
      <c r="E29" s="6">
        <v>2775.4</v>
      </c>
      <c r="F29" s="6">
        <v>3018.6</v>
      </c>
      <c r="G29" s="6">
        <v>2765.3</v>
      </c>
      <c r="H29" s="6">
        <v>2901.1</v>
      </c>
      <c r="I29" s="6">
        <v>2893.1</v>
      </c>
      <c r="J29" s="6">
        <v>2839.9</v>
      </c>
      <c r="K29" s="6">
        <v>2795.1</v>
      </c>
      <c r="L29" s="6">
        <v>3023.4</v>
      </c>
      <c r="M29" s="6">
        <v>2730.8</v>
      </c>
      <c r="N29" s="6">
        <v>3005.3</v>
      </c>
      <c r="O29" s="18">
        <f>SUM(C29:N29)</f>
        <v>33973.800000000003</v>
      </c>
      <c r="Q29" s="6">
        <v>2626.4</v>
      </c>
      <c r="R29" s="6">
        <v>2599.4</v>
      </c>
      <c r="S29" s="6">
        <v>2775.4</v>
      </c>
      <c r="T29" s="6">
        <v>3018.6</v>
      </c>
      <c r="U29" s="6">
        <v>2765.3</v>
      </c>
      <c r="V29" s="6">
        <v>2901.1</v>
      </c>
      <c r="W29" s="6">
        <v>2893.1</v>
      </c>
      <c r="X29" s="6">
        <v>2839.9</v>
      </c>
      <c r="Y29" s="6">
        <v>2795.1</v>
      </c>
      <c r="Z29" s="6">
        <v>3023.4</v>
      </c>
      <c r="AA29" s="6">
        <v>2730.8</v>
      </c>
      <c r="AB29" s="6">
        <v>3005.3</v>
      </c>
      <c r="AC29" s="18">
        <f>SUM(Q29:AB29)</f>
        <v>33973.800000000003</v>
      </c>
      <c r="AE29" s="6">
        <f>Q29-C29</f>
        <v>0</v>
      </c>
      <c r="AF29" s="6">
        <f>R29-D29</f>
        <v>0</v>
      </c>
      <c r="AG29" s="6">
        <f>S29-E29</f>
        <v>0</v>
      </c>
      <c r="AH29" s="6">
        <f>T29-F29</f>
        <v>0</v>
      </c>
      <c r="AI29" s="6">
        <f>U29-G29</f>
        <v>0</v>
      </c>
      <c r="AJ29" s="6">
        <f>V29-H29</f>
        <v>0</v>
      </c>
      <c r="AK29" s="6">
        <f>W29-I29</f>
        <v>0</v>
      </c>
      <c r="AL29" s="6">
        <f>X29-J29</f>
        <v>0</v>
      </c>
      <c r="AM29" s="6">
        <f>Y29-K29</f>
        <v>0</v>
      </c>
      <c r="AN29" s="6">
        <f>Z29-L29</f>
        <v>0</v>
      </c>
      <c r="AO29" s="6">
        <f>AA29-M29</f>
        <v>0</v>
      </c>
      <c r="AP29" s="6">
        <f>AB29-N29</f>
        <v>0</v>
      </c>
      <c r="AQ29" s="18">
        <f>SUM(AE29:AP29)</f>
        <v>0</v>
      </c>
      <c r="AS29" s="6">
        <f>'Falcon-Adj'!C36+'Falcon-Adj'!C77</f>
        <v>0</v>
      </c>
      <c r="AT29" s="6">
        <f>'Falcon-Adj'!D36+'Falcon-Adj'!D77</f>
        <v>0</v>
      </c>
      <c r="AU29" s="6">
        <f>'Falcon-Adj'!E36+'Falcon-Adj'!E77</f>
        <v>0</v>
      </c>
      <c r="AV29" s="6">
        <f>'Falcon-Adj'!F36+'Falcon-Adj'!F77</f>
        <v>0</v>
      </c>
      <c r="AW29" s="6">
        <f>'Falcon-Adj'!G36+'Falcon-Adj'!G77</f>
        <v>0</v>
      </c>
      <c r="AX29" s="6">
        <f>'Falcon-Adj'!H36+'Falcon-Adj'!H77</f>
        <v>0</v>
      </c>
      <c r="AY29" s="6">
        <f>'Falcon-Adj'!I36+'Falcon-Adj'!I77</f>
        <v>0</v>
      </c>
      <c r="AZ29" s="6">
        <f>'Falcon-Adj'!J36+'Falcon-Adj'!J77</f>
        <v>0</v>
      </c>
      <c r="BA29" s="6">
        <f>'Falcon-Adj'!K36+'Falcon-Adj'!K77</f>
        <v>120</v>
      </c>
      <c r="BB29" s="6">
        <f>'Falcon-Adj'!L36+'Falcon-Adj'!L77</f>
        <v>120</v>
      </c>
      <c r="BC29" s="6">
        <f>'Falcon-Adj'!M36+'Falcon-Adj'!M77</f>
        <v>120</v>
      </c>
      <c r="BD29" s="6">
        <f>'Falcon-Adj'!N36+'Falcon-Adj'!N77</f>
        <v>120</v>
      </c>
      <c r="BE29" s="18">
        <f>SUM(AS29:BD29)</f>
        <v>480</v>
      </c>
      <c r="BG29" s="6">
        <f>C29+AE29+AS29</f>
        <v>2626.4</v>
      </c>
      <c r="BH29" s="6">
        <f>D29+AF29+AT29</f>
        <v>2599.4</v>
      </c>
      <c r="BI29" s="6">
        <f>E29+AG29+AU29</f>
        <v>2775.4</v>
      </c>
      <c r="BJ29" s="6">
        <f>F29+AH29+AV29</f>
        <v>3018.6</v>
      </c>
      <c r="BK29" s="6">
        <f>G29+AI29+AW29</f>
        <v>2765.3</v>
      </c>
      <c r="BL29" s="6">
        <f>H29+AJ29+AX29</f>
        <v>2901.1</v>
      </c>
      <c r="BM29" s="6">
        <f>I29+AK29+AY29</f>
        <v>2893.1</v>
      </c>
      <c r="BN29" s="6">
        <f>J29+AL29+AZ29</f>
        <v>2839.9</v>
      </c>
      <c r="BO29" s="6">
        <f>K29+AM29+BA29</f>
        <v>2915.1</v>
      </c>
      <c r="BP29" s="6">
        <f>L29+AN29+BB29</f>
        <v>3143.4</v>
      </c>
      <c r="BQ29" s="6">
        <f>M29+AO29+BC29</f>
        <v>2850.8</v>
      </c>
      <c r="BR29" s="6">
        <f>N29+AP29+BD29</f>
        <v>3125.3</v>
      </c>
      <c r="BS29" s="18">
        <f>SUM(BG29:BR29)</f>
        <v>34453.800000000003</v>
      </c>
      <c r="BU29" s="6">
        <f>SUM(BG29:BO29)-SUM(C29:K29)</f>
        <v>120</v>
      </c>
      <c r="BV29" s="6">
        <f>SUM(BG29:BO29)-SUM(C52:K52)</f>
        <v>3096.1000000000022</v>
      </c>
      <c r="BW29" s="6">
        <f>SUM(BG29:BO29)-SUM(C65:K65)</f>
        <v>4787.2999999999993</v>
      </c>
      <c r="BY29" s="6">
        <f>SUM(BP29:BR29)-SUM(L29:N29)</f>
        <v>360</v>
      </c>
      <c r="BZ29" s="6">
        <f>SUM(BP29:BR29)-SUM(L52:N52)</f>
        <v>1607.6000000000004</v>
      </c>
      <c r="CA29" s="6">
        <f>SUM(BP29:BR29)-SUM(L65:N65)</f>
        <v>2147.9000000000005</v>
      </c>
      <c r="CC29" s="6">
        <f>BS29-O29</f>
        <v>480</v>
      </c>
      <c r="CD29" s="6">
        <f>BS29-O52</f>
        <v>4703.7000000000044</v>
      </c>
      <c r="CE29" s="6">
        <f>BS29-O65</f>
        <v>6935.2000000000007</v>
      </c>
    </row>
    <row r="30" spans="2:83">
      <c r="B30" s="5" t="s">
        <v>112</v>
      </c>
      <c r="C30" s="6">
        <v>-1400.2</v>
      </c>
      <c r="D30" s="6">
        <v>-1377.5</v>
      </c>
      <c r="E30" s="6">
        <v>-1480.3</v>
      </c>
      <c r="F30" s="6">
        <v>-1613.7</v>
      </c>
      <c r="G30" s="6">
        <v>-1465.2</v>
      </c>
      <c r="H30" s="6">
        <v>-1547.7</v>
      </c>
      <c r="I30" s="6">
        <v>-1528</v>
      </c>
      <c r="J30" s="6">
        <v>-1487.3</v>
      </c>
      <c r="K30" s="6">
        <v>-1486.2</v>
      </c>
      <c r="L30" s="6">
        <v>-1578.3</v>
      </c>
      <c r="M30" s="6">
        <v>-1440.3</v>
      </c>
      <c r="N30" s="6">
        <v>-1559.4</v>
      </c>
      <c r="O30" s="18">
        <f>SUM(C30:N30)</f>
        <v>-17964.100000000002</v>
      </c>
      <c r="Q30" s="6">
        <v>-1400.2</v>
      </c>
      <c r="R30" s="6">
        <v>-1377.5</v>
      </c>
      <c r="S30" s="6">
        <v>-1480.3</v>
      </c>
      <c r="T30" s="6">
        <v>-1613.7</v>
      </c>
      <c r="U30" s="6">
        <v>-1465.2</v>
      </c>
      <c r="V30" s="6">
        <v>-1547.7</v>
      </c>
      <c r="W30" s="6">
        <v>-1528</v>
      </c>
      <c r="X30" s="6">
        <v>-1487.3</v>
      </c>
      <c r="Y30" s="6">
        <v>-1486.2</v>
      </c>
      <c r="Z30" s="6">
        <v>-1578.3</v>
      </c>
      <c r="AA30" s="6">
        <v>-1440.3</v>
      </c>
      <c r="AB30" s="6">
        <v>-1559.4</v>
      </c>
      <c r="AC30" s="18">
        <f>SUM(Q30:AB30)</f>
        <v>-17964.100000000002</v>
      </c>
      <c r="AE30" s="6">
        <f>Q30-C30</f>
        <v>0</v>
      </c>
      <c r="AF30" s="6">
        <f>R30-D30</f>
        <v>0</v>
      </c>
      <c r="AG30" s="6">
        <f>S30-E30</f>
        <v>0</v>
      </c>
      <c r="AH30" s="6">
        <f>T30-F30</f>
        <v>0</v>
      </c>
      <c r="AI30" s="6">
        <f>U30-G30</f>
        <v>0</v>
      </c>
      <c r="AJ30" s="6">
        <f>V30-H30</f>
        <v>0</v>
      </c>
      <c r="AK30" s="6">
        <f>W30-I30</f>
        <v>0</v>
      </c>
      <c r="AL30" s="6">
        <f>X30-J30</f>
        <v>0</v>
      </c>
      <c r="AM30" s="6">
        <f>Y30-K30</f>
        <v>0</v>
      </c>
      <c r="AN30" s="6">
        <f>Z30-L30</f>
        <v>0</v>
      </c>
      <c r="AO30" s="6">
        <f>AA30-M30</f>
        <v>0</v>
      </c>
      <c r="AP30" s="6">
        <f>AB30-N30</f>
        <v>0</v>
      </c>
      <c r="AQ30" s="18">
        <f>SUM(AE30:AP30)</f>
        <v>0</v>
      </c>
      <c r="AS30" s="6">
        <f>-'Falcon-Adj'!C58-'Falcon-Adj'!C84</f>
        <v>0</v>
      </c>
      <c r="AT30" s="6">
        <f>-'Falcon-Adj'!D58-'Falcon-Adj'!D84</f>
        <v>0</v>
      </c>
      <c r="AU30" s="6">
        <f>-'Falcon-Adj'!E58-'Falcon-Adj'!E84</f>
        <v>0</v>
      </c>
      <c r="AV30" s="6">
        <f>-'Falcon-Adj'!F58-'Falcon-Adj'!F84</f>
        <v>0</v>
      </c>
      <c r="AW30" s="6">
        <f>-'Falcon-Adj'!G58-'Falcon-Adj'!G84</f>
        <v>0</v>
      </c>
      <c r="AX30" s="6">
        <f>-'Falcon-Adj'!H58-'Falcon-Adj'!H84</f>
        <v>0</v>
      </c>
      <c r="AY30" s="6">
        <f>-'Falcon-Adj'!I58-'Falcon-Adj'!I84</f>
        <v>0</v>
      </c>
      <c r="AZ30" s="6">
        <f>-'Falcon-Adj'!J58-'Falcon-Adj'!J84</f>
        <v>0</v>
      </c>
      <c r="BA30" s="6">
        <f>-'Falcon-Adj'!K58-'Falcon-Adj'!K84</f>
        <v>-110</v>
      </c>
      <c r="BB30" s="6">
        <f>-'Falcon-Adj'!L58-'Falcon-Adj'!L84</f>
        <v>-15</v>
      </c>
      <c r="BC30" s="6">
        <f>-'Falcon-Adj'!M58-'Falcon-Adj'!M84</f>
        <v>-15</v>
      </c>
      <c r="BD30" s="6">
        <f>-'Falcon-Adj'!N58-'Falcon-Adj'!N84</f>
        <v>-10</v>
      </c>
      <c r="BE30" s="18">
        <f>SUM(AS30:BD30)</f>
        <v>-150</v>
      </c>
      <c r="BG30" s="6">
        <f>C30+AE30+AS30</f>
        <v>-1400.2</v>
      </c>
      <c r="BH30" s="6">
        <f>D30+AF30+AT30</f>
        <v>-1377.5</v>
      </c>
      <c r="BI30" s="6">
        <f>E30+AG30+AU30</f>
        <v>-1480.3</v>
      </c>
      <c r="BJ30" s="6">
        <f>F30+AH30+AV30</f>
        <v>-1613.7</v>
      </c>
      <c r="BK30" s="6">
        <f>G30+AI30+AW30</f>
        <v>-1465.2</v>
      </c>
      <c r="BL30" s="6">
        <f>H30+AJ30+AX30</f>
        <v>-1547.7</v>
      </c>
      <c r="BM30" s="6">
        <f>I30+AK30+AY30</f>
        <v>-1528</v>
      </c>
      <c r="BN30" s="6">
        <f>J30+AL30+AZ30</f>
        <v>-1487.3</v>
      </c>
      <c r="BO30" s="6">
        <f>K30+AM30+BA30</f>
        <v>-1596.2</v>
      </c>
      <c r="BP30" s="6">
        <f>L30+AN30+BB30</f>
        <v>-1593.3</v>
      </c>
      <c r="BQ30" s="6">
        <f>M30+AO30+BC30</f>
        <v>-1455.3</v>
      </c>
      <c r="BR30" s="6">
        <f>N30+AP30+BD30</f>
        <v>-1569.4</v>
      </c>
      <c r="BS30" s="18">
        <f>SUM(BG30:BR30)</f>
        <v>-18114.100000000002</v>
      </c>
      <c r="BU30" s="6">
        <f>SUM(BG30:BO30)-SUM(C30:K30)</f>
        <v>-110</v>
      </c>
      <c r="BV30" s="6">
        <f>SUM(BG30:BO30)-SUM(C53:K53)</f>
        <v>-662.89999999999964</v>
      </c>
      <c r="BW30" s="6">
        <f>SUM(BG30:BO30)-SUM(C66:K66)</f>
        <v>-1166.4000000000015</v>
      </c>
      <c r="BY30" s="6">
        <f>SUM(BP30:BR30)-SUM(L30:N30)</f>
        <v>-40</v>
      </c>
      <c r="BZ30" s="6">
        <f>SUM(BP30:BR30)-SUM(L53:N53)</f>
        <v>-283.20000000000073</v>
      </c>
      <c r="CA30" s="6">
        <f>SUM(BP30:BR30)-SUM(L66:N66)</f>
        <v>-466.90000000000055</v>
      </c>
      <c r="CC30" s="6">
        <f>BS30-O30</f>
        <v>-150</v>
      </c>
      <c r="CD30" s="6">
        <f>BS30-O53</f>
        <v>-946.10000000000218</v>
      </c>
      <c r="CE30" s="6">
        <f>BS30-O66</f>
        <v>-1633.3000000000029</v>
      </c>
    </row>
    <row r="31" spans="2:83">
      <c r="B31" s="2" t="s">
        <v>113</v>
      </c>
      <c r="C31" s="6">
        <f>C29+C30</f>
        <v>1226.2</v>
      </c>
      <c r="D31" s="6">
        <f>D29+D30</f>
        <v>1221.9000000000001</v>
      </c>
      <c r="E31" s="6">
        <f>E29+E30</f>
        <v>1295.1000000000001</v>
      </c>
      <c r="F31" s="6">
        <f>F29+F30</f>
        <v>1404.8999999999999</v>
      </c>
      <c r="G31" s="6">
        <f>G29+G30</f>
        <v>1300.1000000000001</v>
      </c>
      <c r="H31" s="6">
        <f>H29+H30</f>
        <v>1353.3999999999999</v>
      </c>
      <c r="I31" s="6">
        <f>I29+I30</f>
        <v>1365.1</v>
      </c>
      <c r="J31" s="6">
        <f>J29+J30</f>
        <v>1352.6000000000001</v>
      </c>
      <c r="K31" s="6">
        <f>K29+K30</f>
        <v>1308.8999999999999</v>
      </c>
      <c r="L31" s="6">
        <f>L29+L30</f>
        <v>1445.1000000000001</v>
      </c>
      <c r="M31" s="6">
        <f>M29+M30</f>
        <v>1290.5000000000002</v>
      </c>
      <c r="N31" s="6">
        <f>N29+N30</f>
        <v>1445.9</v>
      </c>
      <c r="O31" s="18">
        <f>SUM(C31:N31)</f>
        <v>16009.7</v>
      </c>
      <c r="Q31" s="6">
        <f>Q29+Q30</f>
        <v>1226.2</v>
      </c>
      <c r="R31" s="6">
        <f>R29+R30</f>
        <v>1221.9000000000001</v>
      </c>
      <c r="S31" s="6">
        <f>S29+S30</f>
        <v>1295.1000000000001</v>
      </c>
      <c r="T31" s="6">
        <f>T29+T30</f>
        <v>1404.8999999999999</v>
      </c>
      <c r="U31" s="6">
        <f>U29+U30</f>
        <v>1300.1000000000001</v>
      </c>
      <c r="V31" s="6">
        <f>V29+V30</f>
        <v>1353.3999999999999</v>
      </c>
      <c r="W31" s="6">
        <f>W29+W30</f>
        <v>1365.1</v>
      </c>
      <c r="X31" s="6">
        <f>X29+X30</f>
        <v>1352.6000000000001</v>
      </c>
      <c r="Y31" s="6">
        <f>Y29+Y30</f>
        <v>1308.8999999999999</v>
      </c>
      <c r="Z31" s="6">
        <f>Z29+Z30</f>
        <v>1445.1000000000001</v>
      </c>
      <c r="AA31" s="6">
        <f>AA29+AA30</f>
        <v>1290.5000000000002</v>
      </c>
      <c r="AB31" s="6">
        <f>AB29+AB30</f>
        <v>1445.9</v>
      </c>
      <c r="AC31" s="18">
        <f>SUM(Q31:AB31)</f>
        <v>16009.7</v>
      </c>
      <c r="AE31" s="6">
        <f>AE29+AE30</f>
        <v>0</v>
      </c>
      <c r="AF31" s="6">
        <f>AF29+AF30</f>
        <v>0</v>
      </c>
      <c r="AG31" s="6">
        <f>AG29+AG30</f>
        <v>0</v>
      </c>
      <c r="AH31" s="6">
        <f>AH29+AH30</f>
        <v>0</v>
      </c>
      <c r="AI31" s="6">
        <f>AI29+AI30</f>
        <v>0</v>
      </c>
      <c r="AJ31" s="6">
        <f>AJ29+AJ30</f>
        <v>0</v>
      </c>
      <c r="AK31" s="6">
        <f>AK29+AK30</f>
        <v>0</v>
      </c>
      <c r="AL31" s="6">
        <f>AL29+AL30</f>
        <v>0</v>
      </c>
      <c r="AM31" s="6">
        <f>AM29+AM30</f>
        <v>0</v>
      </c>
      <c r="AN31" s="6">
        <f>AN29+AN30</f>
        <v>0</v>
      </c>
      <c r="AO31" s="6">
        <f>AO29+AO30</f>
        <v>0</v>
      </c>
      <c r="AP31" s="6">
        <f>AP29+AP30</f>
        <v>0</v>
      </c>
      <c r="AQ31" s="18">
        <f>SUM(AE31:AP31)</f>
        <v>0</v>
      </c>
      <c r="AS31" s="6">
        <f>AS29+AS30</f>
        <v>0</v>
      </c>
      <c r="AT31" s="6">
        <f>AT29+AT30</f>
        <v>0</v>
      </c>
      <c r="AU31" s="6">
        <f>AU29+AU30</f>
        <v>0</v>
      </c>
      <c r="AV31" s="6">
        <f>AV29+AV30</f>
        <v>0</v>
      </c>
      <c r="AW31" s="6">
        <f>AW29+AW30</f>
        <v>0</v>
      </c>
      <c r="AX31" s="6">
        <f>AX29+AX30</f>
        <v>0</v>
      </c>
      <c r="AY31" s="6">
        <f>AY29+AY30</f>
        <v>0</v>
      </c>
      <c r="AZ31" s="6">
        <f>AZ29+AZ30</f>
        <v>0</v>
      </c>
      <c r="BA31" s="6">
        <f>BA29+BA30</f>
        <v>10</v>
      </c>
      <c r="BB31" s="6">
        <f>BB29+BB30</f>
        <v>105</v>
      </c>
      <c r="BC31" s="6">
        <f>BC29+BC30</f>
        <v>105</v>
      </c>
      <c r="BD31" s="6">
        <f>BD29+BD30</f>
        <v>110</v>
      </c>
      <c r="BE31" s="18">
        <f>SUM(AS31:BD31)</f>
        <v>330</v>
      </c>
      <c r="BG31" s="6">
        <f>BG29+BG30</f>
        <v>1226.2</v>
      </c>
      <c r="BH31" s="6">
        <f>BH29+BH30</f>
        <v>1221.9000000000001</v>
      </c>
      <c r="BI31" s="6">
        <f>BI29+BI30</f>
        <v>1295.1000000000001</v>
      </c>
      <c r="BJ31" s="6">
        <f>BJ29+BJ30</f>
        <v>1404.8999999999999</v>
      </c>
      <c r="BK31" s="6">
        <f>BK29+BK30</f>
        <v>1300.1000000000001</v>
      </c>
      <c r="BL31" s="6">
        <f>BL29+BL30</f>
        <v>1353.3999999999999</v>
      </c>
      <c r="BM31" s="6">
        <f>BM29+BM30</f>
        <v>1365.1</v>
      </c>
      <c r="BN31" s="6">
        <f>BN29+BN30</f>
        <v>1352.6000000000001</v>
      </c>
      <c r="BO31" s="6">
        <f>BO29+BO30</f>
        <v>1318.8999999999999</v>
      </c>
      <c r="BP31" s="6">
        <f>BP29+BP30</f>
        <v>1550.1000000000001</v>
      </c>
      <c r="BQ31" s="6">
        <f>BQ29+BQ30</f>
        <v>1395.5000000000002</v>
      </c>
      <c r="BR31" s="6">
        <f>BR29+BR30</f>
        <v>1555.9</v>
      </c>
      <c r="BS31" s="18">
        <f>SUM(BG31:BR31)</f>
        <v>16339.7</v>
      </c>
      <c r="BU31" s="6">
        <f>SUM(BG31:BO31)-SUM(C31:K31)</f>
        <v>10</v>
      </c>
      <c r="BV31" s="6">
        <f>SUM(BG31:BO31)-SUM(C54:K54)</f>
        <v>2433.2000000000007</v>
      </c>
      <c r="BW31" s="6">
        <f>SUM(BG31:BO31)-SUM(C67:K67)</f>
        <v>3620.9000000000015</v>
      </c>
      <c r="BY31" s="6">
        <f>SUM(BP31:BR31)-SUM(L31:N31)</f>
        <v>320</v>
      </c>
      <c r="BZ31" s="6">
        <f>SUM(BP31:BR31)-SUM(L54:N54)</f>
        <v>1324.4</v>
      </c>
      <c r="CA31" s="6">
        <f>SUM(BP31:BR31)-SUM(L67:N67)</f>
        <v>1681</v>
      </c>
      <c r="CC31" s="6">
        <f>BS31-O31</f>
        <v>330</v>
      </c>
      <c r="CD31" s="6">
        <f>BS31-O54</f>
        <v>3757.6000000000004</v>
      </c>
      <c r="CE31" s="6">
        <f>BS31-O67</f>
        <v>5301.9000000000015</v>
      </c>
    </row>
    <row r="35" spans="2:71">
      <c r="B35" s="5" t="s">
        <v>166</v>
      </c>
      <c r="C35" s="12">
        <f>IFERROR(C29/C28,0)</f>
        <v>0.36552405605889804</v>
      </c>
      <c r="D35" s="12">
        <f>IFERROR(D29/D28,0)</f>
        <v>0.36296358355674707</v>
      </c>
      <c r="E35" s="12">
        <f>IFERROR(E29/E28,0)</f>
        <v>0.36482418665790339</v>
      </c>
      <c r="F35" s="12">
        <f>IFERROR(F29/F28,0)</f>
        <v>0.36488691720961713</v>
      </c>
      <c r="G35" s="12">
        <f>IFERROR(G29/G28,0)</f>
        <v>0.36339146089858998</v>
      </c>
      <c r="H35" s="12">
        <f>IFERROR(H29/H28,0)</f>
        <v>0.36506977739187335</v>
      </c>
      <c r="I35" s="12">
        <f>IFERROR(I29/I28,0)</f>
        <v>0.36370150604681567</v>
      </c>
      <c r="J35" s="12">
        <f>IFERROR(J29/J28,0)</f>
        <v>0.36689792385308062</v>
      </c>
      <c r="K35" s="12">
        <f>IFERROR(K29/K28,0)</f>
        <v>0.36578854383416431</v>
      </c>
      <c r="L35" s="12">
        <f>IFERROR(L29/L28,0)</f>
        <v>0.36503911909591424</v>
      </c>
      <c r="M35" s="12">
        <f>IFERROR(M29/M28,0)</f>
        <v>0.36531952749795987</v>
      </c>
      <c r="N35" s="12">
        <f>IFERROR(N29/N28,0)</f>
        <v>0.3658129853689413</v>
      </c>
      <c r="O35" s="12">
        <f>IFERROR(O29/O28,0)</f>
        <v>0.36494630078008355</v>
      </c>
      <c r="Q35" s="12">
        <f>IFERROR(Q29/Q28,0)</f>
        <v>0.36552405605889804</v>
      </c>
      <c r="R35" s="12">
        <f>IFERROR(R29/R28,0)</f>
        <v>0.36296358355674707</v>
      </c>
      <c r="S35" s="12">
        <f>IFERROR(S29/S28,0)</f>
        <v>0.36482418665790339</v>
      </c>
      <c r="T35" s="12">
        <f>IFERROR(T29/T28,0)</f>
        <v>0.36488691720961713</v>
      </c>
      <c r="U35" s="12">
        <f>IFERROR(U29/U28,0)</f>
        <v>0.36339146089858998</v>
      </c>
      <c r="V35" s="12">
        <f>IFERROR(V29/V28,0)</f>
        <v>0.36506977739187335</v>
      </c>
      <c r="W35" s="12">
        <f>IFERROR(W29/W28,0)</f>
        <v>0.36370150604681567</v>
      </c>
      <c r="X35" s="12">
        <f>IFERROR(X29/X28,0)</f>
        <v>0.36689792385308062</v>
      </c>
      <c r="Y35" s="12">
        <f>IFERROR(Y29/Y28,0)</f>
        <v>0.36578854383416431</v>
      </c>
      <c r="Z35" s="12">
        <f>IFERROR(Z29/Z28,0)</f>
        <v>0.36503911909591424</v>
      </c>
      <c r="AA35" s="12">
        <f>IFERROR(AA29/AA28,0)</f>
        <v>0.36531952749795987</v>
      </c>
      <c r="AB35" s="12">
        <f>IFERROR(AB29/AB28,0)</f>
        <v>0.3658129853689413</v>
      </c>
      <c r="AC35" s="12">
        <f>IFERROR(AC29/AC28,0)</f>
        <v>0.36494630078008355</v>
      </c>
      <c r="AE35" s="12">
        <f>IFERROR(AE29/AE28,0)</f>
        <v>0</v>
      </c>
      <c r="AF35" s="12">
        <f>IFERROR(AF29/AF28,0)</f>
        <v>0</v>
      </c>
      <c r="AG35" s="12">
        <f>IFERROR(AG29/AG28,0)</f>
        <v>0</v>
      </c>
      <c r="AH35" s="12">
        <f>IFERROR(AH29/AH28,0)</f>
        <v>0</v>
      </c>
      <c r="AI35" s="12">
        <f>IFERROR(AI29/AI28,0)</f>
        <v>0</v>
      </c>
      <c r="AJ35" s="12">
        <f>IFERROR(AJ29/AJ28,0)</f>
        <v>0</v>
      </c>
      <c r="AK35" s="12">
        <f>IFERROR(AK29/AK28,0)</f>
        <v>0</v>
      </c>
      <c r="AL35" s="12">
        <f>IFERROR(AL29/AL28,0)</f>
        <v>0</v>
      </c>
      <c r="AM35" s="12">
        <f>IFERROR(AM29/AM28,0)</f>
        <v>0</v>
      </c>
      <c r="AN35" s="12">
        <f>IFERROR(AN29/AN28,0)</f>
        <v>0</v>
      </c>
      <c r="AO35" s="12">
        <f>IFERROR(AO29/AO28,0)</f>
        <v>0</v>
      </c>
      <c r="AP35" s="12">
        <f>IFERROR(AP29/AP28,0)</f>
        <v>0</v>
      </c>
      <c r="AQ35" s="12">
        <f>IFERROR(AQ29/AQ28,0)</f>
        <v>0</v>
      </c>
      <c r="AS35" s="12">
        <f>IFERROR(AS29/AS28,0)</f>
        <v>0</v>
      </c>
      <c r="AT35" s="12">
        <f>IFERROR(AT29/AT28,0)</f>
        <v>0</v>
      </c>
      <c r="AU35" s="12">
        <f>IFERROR(AU29/AU28,0)</f>
        <v>0</v>
      </c>
      <c r="AV35" s="12">
        <f>IFERROR(AV29/AV28,0)</f>
        <v>0</v>
      </c>
      <c r="AW35" s="12">
        <f>IFERROR(AW29/AW28,0)</f>
        <v>0</v>
      </c>
      <c r="AX35" s="12">
        <f>IFERROR(AX29/AX28,0)</f>
        <v>0</v>
      </c>
      <c r="AY35" s="12">
        <f>IFERROR(AY29/AY28,0)</f>
        <v>0</v>
      </c>
      <c r="AZ35" s="12">
        <f>IFERROR(AZ29/AZ28,0)</f>
        <v>0</v>
      </c>
      <c r="BA35" s="12">
        <f>IFERROR(BA29/BA28,0)</f>
        <v>0.4</v>
      </c>
      <c r="BB35" s="12">
        <f>IFERROR(BB29/BB28,0)</f>
        <v>0.4</v>
      </c>
      <c r="BC35" s="12">
        <f>IFERROR(BC29/BC28,0)</f>
        <v>0.4</v>
      </c>
      <c r="BD35" s="12">
        <f>IFERROR(BD29/BD28,0)</f>
        <v>0.4</v>
      </c>
      <c r="BE35" s="12">
        <f>IFERROR(BE29/BE28,0)</f>
        <v>0.4</v>
      </c>
      <c r="BG35" s="12">
        <f>IFERROR(BG29/BG28,0)</f>
        <v>0.36552405605889804</v>
      </c>
      <c r="BH35" s="12">
        <f>IFERROR(BH29/BH28,0)</f>
        <v>0.36296358355674707</v>
      </c>
      <c r="BI35" s="12">
        <f>IFERROR(BI29/BI28,0)</f>
        <v>0.36482418665790339</v>
      </c>
      <c r="BJ35" s="12">
        <f>IFERROR(BJ29/BJ28,0)</f>
        <v>0.36488691720961713</v>
      </c>
      <c r="BK35" s="12">
        <f>IFERROR(BK29/BK28,0)</f>
        <v>0.36339146089858998</v>
      </c>
      <c r="BL35" s="12">
        <f>IFERROR(BL29/BL28,0)</f>
        <v>0.36506977739187335</v>
      </c>
      <c r="BM35" s="12">
        <f>IFERROR(BM29/BM28,0)</f>
        <v>0.36370150604681567</v>
      </c>
      <c r="BN35" s="12">
        <f>IFERROR(BN29/BN28,0)</f>
        <v>0.36689792385308062</v>
      </c>
      <c r="BO35" s="12">
        <f>IFERROR(BO29/BO28,0)</f>
        <v>0.36708095651845413</v>
      </c>
      <c r="BP35" s="12">
        <f>IFERROR(BP29/BP28,0)</f>
        <v>0.36626118568232663</v>
      </c>
      <c r="BQ35" s="12">
        <f>IFERROR(BQ29/BQ28,0)</f>
        <v>0.36665766356702806</v>
      </c>
      <c r="BR35" s="12">
        <f>IFERROR(BR29/BR28,0)</f>
        <v>0.36701740376259484</v>
      </c>
      <c r="BS35" s="12">
        <f>IFERROR(BS29/BS28,0)</f>
        <v>0.36539240619094188</v>
      </c>
    </row>
    <row r="36" spans="2:71">
      <c r="B36" s="5" t="s">
        <v>167</v>
      </c>
      <c r="C36" s="12">
        <f>IFERROR(C30/C28,0)</f>
        <v>-0.19487008197291694</v>
      </c>
      <c r="D36" s="12">
        <f>IFERROR(D30/D28,0)</f>
        <v>-0.19234528596961573</v>
      </c>
      <c r="E36" s="12">
        <f>IFERROR(E30/E28,0)</f>
        <v>-0.19458429181728557</v>
      </c>
      <c r="F36" s="12">
        <f>IFERROR(F30/F28,0)</f>
        <v>-0.19506328042839702</v>
      </c>
      <c r="G36" s="12">
        <f>IFERROR(G30/G28,0)</f>
        <v>-0.19254372708516762</v>
      </c>
      <c r="H36" s="12">
        <f>IFERROR(H30/H28,0)</f>
        <v>-0.19476008909358603</v>
      </c>
      <c r="I36" s="12">
        <f>IFERROR(I30/I28,0)</f>
        <v>-0.19209011138209336</v>
      </c>
      <c r="J36" s="12">
        <f>IFERROR(J30/J28,0)</f>
        <v>-0.19215017505781429</v>
      </c>
      <c r="K36" s="12">
        <f>IFERROR(K30/K28,0)</f>
        <v>-0.19449570099328647</v>
      </c>
      <c r="L36" s="12">
        <f>IFERROR(L30/L28,0)</f>
        <v>-0.19056070704143727</v>
      </c>
      <c r="M36" s="12">
        <f>IFERROR(M30/M28,0)</f>
        <v>-0.19267969659268772</v>
      </c>
      <c r="N36" s="12">
        <f>IFERROR(N30/N28,0)</f>
        <v>-0.18981425128417365</v>
      </c>
      <c r="O36" s="12">
        <f>IFERROR(O30/O28,0)</f>
        <v>-0.19297022534551622</v>
      </c>
      <c r="Q36" s="12">
        <f>IFERROR(Q30/Q28,0)</f>
        <v>-0.19487008197291694</v>
      </c>
      <c r="R36" s="12">
        <f>IFERROR(R30/R28,0)</f>
        <v>-0.19234528596961573</v>
      </c>
      <c r="S36" s="12">
        <f>IFERROR(S30/S28,0)</f>
        <v>-0.19458429181728557</v>
      </c>
      <c r="T36" s="12">
        <f>IFERROR(T30/T28,0)</f>
        <v>-0.19506328042839702</v>
      </c>
      <c r="U36" s="12">
        <f>IFERROR(U30/U28,0)</f>
        <v>-0.19254372708516762</v>
      </c>
      <c r="V36" s="12">
        <f>IFERROR(V30/V28,0)</f>
        <v>-0.19476008909358603</v>
      </c>
      <c r="W36" s="12">
        <f>IFERROR(W30/W28,0)</f>
        <v>-0.19209011138209336</v>
      </c>
      <c r="X36" s="12">
        <f>IFERROR(X30/X28,0)</f>
        <v>-0.19215017505781429</v>
      </c>
      <c r="Y36" s="12">
        <f>IFERROR(Y30/Y28,0)</f>
        <v>-0.19449570099328647</v>
      </c>
      <c r="Z36" s="12">
        <f>IFERROR(Z30/Z28,0)</f>
        <v>-0.19056070704143727</v>
      </c>
      <c r="AA36" s="12">
        <f>IFERROR(AA30/AA28,0)</f>
        <v>-0.19267969659268772</v>
      </c>
      <c r="AB36" s="12">
        <f>IFERROR(AB30/AB28,0)</f>
        <v>-0.18981425128417365</v>
      </c>
      <c r="AC36" s="12">
        <f>IFERROR(AC30/AC28,0)</f>
        <v>-0.19297022534551622</v>
      </c>
      <c r="AE36" s="12">
        <f>IFERROR(AE30/AE28,0)</f>
        <v>0</v>
      </c>
      <c r="AF36" s="12">
        <f>IFERROR(AF30/AF28,0)</f>
        <v>0</v>
      </c>
      <c r="AG36" s="12">
        <f>IFERROR(AG30/AG28,0)</f>
        <v>0</v>
      </c>
      <c r="AH36" s="12">
        <f>IFERROR(AH30/AH28,0)</f>
        <v>0</v>
      </c>
      <c r="AI36" s="12">
        <f>IFERROR(AI30/AI28,0)</f>
        <v>0</v>
      </c>
      <c r="AJ36" s="12">
        <f>IFERROR(AJ30/AJ28,0)</f>
        <v>0</v>
      </c>
      <c r="AK36" s="12">
        <f>IFERROR(AK30/AK28,0)</f>
        <v>0</v>
      </c>
      <c r="AL36" s="12">
        <f>IFERROR(AL30/AL28,0)</f>
        <v>0</v>
      </c>
      <c r="AM36" s="12">
        <f>IFERROR(AM30/AM28,0)</f>
        <v>0</v>
      </c>
      <c r="AN36" s="12">
        <f>IFERROR(AN30/AN28,0)</f>
        <v>0</v>
      </c>
      <c r="AO36" s="12">
        <f>IFERROR(AO30/AO28,0)</f>
        <v>0</v>
      </c>
      <c r="AP36" s="12">
        <f>IFERROR(AP30/AP28,0)</f>
        <v>0</v>
      </c>
      <c r="AQ36" s="12">
        <f>IFERROR(AQ30/AQ28,0)</f>
        <v>0</v>
      </c>
      <c r="AS36" s="12">
        <f>IFERROR(AS30/AS28,0)</f>
        <v>0</v>
      </c>
      <c r="AT36" s="12">
        <f>IFERROR(AT30/AT28,0)</f>
        <v>0</v>
      </c>
      <c r="AU36" s="12">
        <f>IFERROR(AU30/AU28,0)</f>
        <v>0</v>
      </c>
      <c r="AV36" s="12">
        <f>IFERROR(AV30/AV28,0)</f>
        <v>0</v>
      </c>
      <c r="AW36" s="12">
        <f>IFERROR(AW30/AW28,0)</f>
        <v>0</v>
      </c>
      <c r="AX36" s="12">
        <f>IFERROR(AX30/AX28,0)</f>
        <v>0</v>
      </c>
      <c r="AY36" s="12">
        <f>IFERROR(AY30/AY28,0)</f>
        <v>0</v>
      </c>
      <c r="AZ36" s="12">
        <f>IFERROR(AZ30/AZ28,0)</f>
        <v>0</v>
      </c>
      <c r="BA36" s="12">
        <f>IFERROR(BA30/BA28,0)</f>
        <v>-0.36666666666666664</v>
      </c>
      <c r="BB36" s="12">
        <f>IFERROR(BB30/BB28,0)</f>
        <v>-0.05</v>
      </c>
      <c r="BC36" s="12">
        <f>IFERROR(BC30/BC28,0)</f>
        <v>-0.05</v>
      </c>
      <c r="BD36" s="12">
        <f>IFERROR(BD30/BD28,0)</f>
        <v>-3.3333333333333333E-2</v>
      </c>
      <c r="BE36" s="12">
        <f>IFERROR(BE30/BE28,0)</f>
        <v>-0.125</v>
      </c>
      <c r="BG36" s="12">
        <f>IFERROR(BG30/BG28,0)</f>
        <v>-0.19487008197291694</v>
      </c>
      <c r="BH36" s="12">
        <f>IFERROR(BH30/BH28,0)</f>
        <v>-0.19234528596961573</v>
      </c>
      <c r="BI36" s="12">
        <f>IFERROR(BI30/BI28,0)</f>
        <v>-0.19458429181728557</v>
      </c>
      <c r="BJ36" s="12">
        <f>IFERROR(BJ30/BJ28,0)</f>
        <v>-0.19506328042839702</v>
      </c>
      <c r="BK36" s="12">
        <f>IFERROR(BK30/BK28,0)</f>
        <v>-0.19254372708516762</v>
      </c>
      <c r="BL36" s="12">
        <f>IFERROR(BL30/BL28,0)</f>
        <v>-0.19476008909358603</v>
      </c>
      <c r="BM36" s="12">
        <f>IFERROR(BM30/BM28,0)</f>
        <v>-0.19209011138209336</v>
      </c>
      <c r="BN36" s="12">
        <f>IFERROR(BN30/BN28,0)</f>
        <v>-0.19215017505781429</v>
      </c>
      <c r="BO36" s="12">
        <f>IFERROR(BO30/BO28,0)</f>
        <v>-0.20099983629884277</v>
      </c>
      <c r="BP36" s="12">
        <f>IFERROR(BP30/BP28,0)</f>
        <v>-0.18564737136465326</v>
      </c>
      <c r="BQ36" s="12">
        <f>IFERROR(BQ30/BQ28,0)</f>
        <v>-0.18717444148628312</v>
      </c>
      <c r="BR36" s="12">
        <f>IFERROR(BR30/BR28,0)</f>
        <v>-0.18430138337600113</v>
      </c>
      <c r="BS36" s="12">
        <f>IFERROR(BS30/BS28,0)</f>
        <v>-0.19210521292232904</v>
      </c>
    </row>
    <row r="37" spans="2:71">
      <c r="B37" s="5" t="s">
        <v>168</v>
      </c>
      <c r="C37" s="12">
        <f>IFERROR(C31/C28,0)</f>
        <v>0.1706539740859811</v>
      </c>
      <c r="D37" s="12">
        <f>IFERROR(D31/D28,0)</f>
        <v>0.17061829758713137</v>
      </c>
      <c r="E37" s="12">
        <f>IFERROR(E31/E28,0)</f>
        <v>0.17023989484061783</v>
      </c>
      <c r="F37" s="12">
        <f>IFERROR(F31/F28,0)</f>
        <v>0.16982363678122012</v>
      </c>
      <c r="G37" s="12">
        <f>IFERROR(G31/G28,0)</f>
        <v>0.17084773381342236</v>
      </c>
      <c r="H37" s="12">
        <f>IFERROR(H31/H28,0)</f>
        <v>0.17030968829828733</v>
      </c>
      <c r="I37" s="12">
        <f>IFERROR(I31/I28,0)</f>
        <v>0.17161139466472228</v>
      </c>
      <c r="J37" s="12">
        <f>IFERROR(J31/J28,0)</f>
        <v>0.17474774879526633</v>
      </c>
      <c r="K37" s="12">
        <f>IFERROR(K31/K28,0)</f>
        <v>0.17129284284087784</v>
      </c>
      <c r="L37" s="12">
        <f>IFERROR(L31/L28,0)</f>
        <v>0.17447841205447698</v>
      </c>
      <c r="M37" s="12">
        <f>IFERROR(M31/M28,0)</f>
        <v>0.17263983090527218</v>
      </c>
      <c r="N37" s="12">
        <f>IFERROR(N31/N28,0)</f>
        <v>0.17599873408476766</v>
      </c>
      <c r="O37" s="12">
        <f>IFERROR(O31/O28,0)</f>
        <v>0.17197607543456733</v>
      </c>
      <c r="Q37" s="12">
        <f>IFERROR(Q31/Q28,0)</f>
        <v>0.1706539740859811</v>
      </c>
      <c r="R37" s="12">
        <f>IFERROR(R31/R28,0)</f>
        <v>0.17061829758713137</v>
      </c>
      <c r="S37" s="12">
        <f>IFERROR(S31/S28,0)</f>
        <v>0.17023989484061783</v>
      </c>
      <c r="T37" s="12">
        <f>IFERROR(T31/T28,0)</f>
        <v>0.16982363678122012</v>
      </c>
      <c r="U37" s="12">
        <f>IFERROR(U31/U28,0)</f>
        <v>0.17084773381342236</v>
      </c>
      <c r="V37" s="12">
        <f>IFERROR(V31/V28,0)</f>
        <v>0.17030968829828733</v>
      </c>
      <c r="W37" s="12">
        <f>IFERROR(W31/W28,0)</f>
        <v>0.17161139466472228</v>
      </c>
      <c r="X37" s="12">
        <f>IFERROR(X31/X28,0)</f>
        <v>0.17474774879526633</v>
      </c>
      <c r="Y37" s="12">
        <f>IFERROR(Y31/Y28,0)</f>
        <v>0.17129284284087784</v>
      </c>
      <c r="Z37" s="12">
        <f>IFERROR(Z31/Z28,0)</f>
        <v>0.17447841205447698</v>
      </c>
      <c r="AA37" s="12">
        <f>IFERROR(AA31/AA28,0)</f>
        <v>0.17263983090527218</v>
      </c>
      <c r="AB37" s="12">
        <f>IFERROR(AB31/AB28,0)</f>
        <v>0.17599873408476766</v>
      </c>
      <c r="AC37" s="12">
        <f>IFERROR(AC31/AC28,0)</f>
        <v>0.17197607543456733</v>
      </c>
      <c r="AE37" s="12">
        <f>IFERROR(AE31/AE28,0)</f>
        <v>0</v>
      </c>
      <c r="AF37" s="12">
        <f>IFERROR(AF31/AF28,0)</f>
        <v>0</v>
      </c>
      <c r="AG37" s="12">
        <f>IFERROR(AG31/AG28,0)</f>
        <v>0</v>
      </c>
      <c r="AH37" s="12">
        <f>IFERROR(AH31/AH28,0)</f>
        <v>0</v>
      </c>
      <c r="AI37" s="12">
        <f>IFERROR(AI31/AI28,0)</f>
        <v>0</v>
      </c>
      <c r="AJ37" s="12">
        <f>IFERROR(AJ31/AJ28,0)</f>
        <v>0</v>
      </c>
      <c r="AK37" s="12">
        <f>IFERROR(AK31/AK28,0)</f>
        <v>0</v>
      </c>
      <c r="AL37" s="12">
        <f>IFERROR(AL31/AL28,0)</f>
        <v>0</v>
      </c>
      <c r="AM37" s="12">
        <f>IFERROR(AM31/AM28,0)</f>
        <v>0</v>
      </c>
      <c r="AN37" s="12">
        <f>IFERROR(AN31/AN28,0)</f>
        <v>0</v>
      </c>
      <c r="AO37" s="12">
        <f>IFERROR(AO31/AO28,0)</f>
        <v>0</v>
      </c>
      <c r="AP37" s="12">
        <f>IFERROR(AP31/AP28,0)</f>
        <v>0</v>
      </c>
      <c r="AQ37" s="12">
        <f>IFERROR(AQ31/AQ28,0)</f>
        <v>0</v>
      </c>
      <c r="AS37" s="12">
        <f>IFERROR(AS31/AS28,0)</f>
        <v>0</v>
      </c>
      <c r="AT37" s="12">
        <f>IFERROR(AT31/AT28,0)</f>
        <v>0</v>
      </c>
      <c r="AU37" s="12">
        <f>IFERROR(AU31/AU28,0)</f>
        <v>0</v>
      </c>
      <c r="AV37" s="12">
        <f>IFERROR(AV31/AV28,0)</f>
        <v>0</v>
      </c>
      <c r="AW37" s="12">
        <f>IFERROR(AW31/AW28,0)</f>
        <v>0</v>
      </c>
      <c r="AX37" s="12">
        <f>IFERROR(AX31/AX28,0)</f>
        <v>0</v>
      </c>
      <c r="AY37" s="12">
        <f>IFERROR(AY31/AY28,0)</f>
        <v>0</v>
      </c>
      <c r="AZ37" s="12">
        <f>IFERROR(AZ31/AZ28,0)</f>
        <v>0</v>
      </c>
      <c r="BA37" s="12">
        <f>IFERROR(BA31/BA28,0)</f>
        <v>3.3333333333333333E-2</v>
      </c>
      <c r="BB37" s="12">
        <f>IFERROR(BB31/BB28,0)</f>
        <v>0.35</v>
      </c>
      <c r="BC37" s="12">
        <f>IFERROR(BC31/BC28,0)</f>
        <v>0.35</v>
      </c>
      <c r="BD37" s="12">
        <f>IFERROR(BD31/BD28,0)</f>
        <v>0.36666666666666664</v>
      </c>
      <c r="BE37" s="12">
        <f>IFERROR(BE31/BE28,0)</f>
        <v>0.27500000000000002</v>
      </c>
      <c r="BG37" s="12">
        <f>IFERROR(BG31/BG28,0)</f>
        <v>0.1706539740859811</v>
      </c>
      <c r="BH37" s="12">
        <f>IFERROR(BH31/BH28,0)</f>
        <v>0.17061829758713137</v>
      </c>
      <c r="BI37" s="12">
        <f>IFERROR(BI31/BI28,0)</f>
        <v>0.17023989484061783</v>
      </c>
      <c r="BJ37" s="12">
        <f>IFERROR(BJ31/BJ28,0)</f>
        <v>0.16982363678122012</v>
      </c>
      <c r="BK37" s="12">
        <f>IFERROR(BK31/BK28,0)</f>
        <v>0.17084773381342236</v>
      </c>
      <c r="BL37" s="12">
        <f>IFERROR(BL31/BL28,0)</f>
        <v>0.17030968829828733</v>
      </c>
      <c r="BM37" s="12">
        <f>IFERROR(BM31/BM28,0)</f>
        <v>0.17161139466472228</v>
      </c>
      <c r="BN37" s="12">
        <f>IFERROR(BN31/BN28,0)</f>
        <v>0.17474774879526633</v>
      </c>
      <c r="BO37" s="12">
        <f>IFERROR(BO31/BO28,0)</f>
        <v>0.16608112021961138</v>
      </c>
      <c r="BP37" s="12">
        <f>IFERROR(BP31/BP28,0)</f>
        <v>0.1806138143176734</v>
      </c>
      <c r="BQ37" s="12">
        <f>IFERROR(BQ31/BQ28,0)</f>
        <v>0.17948322208074496</v>
      </c>
      <c r="BR37" s="12">
        <f>IFERROR(BR31/BR28,0)</f>
        <v>0.18271602038659371</v>
      </c>
      <c r="BS37" s="12">
        <f>IFERROR(BS31/BS28,0)</f>
        <v>0.17328719326861283</v>
      </c>
    </row>
    <row r="38" spans="2:71">
      <c r="B38" s="5" t="s">
        <v>169</v>
      </c>
      <c r="C38" s="6">
        <f>IFERROR(C28/21,0)</f>
        <v>342.15714285714284</v>
      </c>
      <c r="D38" s="6">
        <f>IFERROR(D28/20,0)</f>
        <v>358.08000000000004</v>
      </c>
      <c r="E38" s="6">
        <f>IFERROR(E28/22,0)</f>
        <v>345.79545454545456</v>
      </c>
      <c r="F38" s="6">
        <f>IFERROR(F28/22,0)</f>
        <v>376.03181818181821</v>
      </c>
      <c r="G38" s="6">
        <f>IFERROR(G28/20,0)</f>
        <v>380.48500000000001</v>
      </c>
      <c r="H38" s="6">
        <f>IFERROR(H28/22,0)</f>
        <v>361.21363636363634</v>
      </c>
      <c r="I38" s="6">
        <f>IFERROR(I28/22,0)</f>
        <v>361.57272727272726</v>
      </c>
      <c r="J38" s="6">
        <f>IFERROR(J28/21,0)</f>
        <v>368.58571428571429</v>
      </c>
      <c r="K38" s="6">
        <f>IFERROR(K28/21,0)</f>
        <v>363.87142857142857</v>
      </c>
      <c r="L38" s="6">
        <f>IFERROR(L28/22,0)</f>
        <v>376.47272727272724</v>
      </c>
      <c r="M38" s="6">
        <f>IFERROR(M28/19,0)</f>
        <v>393.42631578947368</v>
      </c>
      <c r="N38" s="6">
        <f>IFERROR(N28/22,0)</f>
        <v>373.42727272727274</v>
      </c>
      <c r="O38" s="6">
        <f>IFERROR(O28/254,0)</f>
        <v>366.50629921259838</v>
      </c>
      <c r="Q38" s="6">
        <f>IFERROR(Q28/21,0)</f>
        <v>342.15714285714284</v>
      </c>
      <c r="R38" s="6">
        <f>IFERROR(R28/20,0)</f>
        <v>358.08000000000004</v>
      </c>
      <c r="S38" s="6">
        <f>IFERROR(S28/22,0)</f>
        <v>345.79545454545456</v>
      </c>
      <c r="T38" s="6">
        <f>IFERROR(T28/22,0)</f>
        <v>376.03181818181821</v>
      </c>
      <c r="U38" s="6">
        <f>IFERROR(U28/20,0)</f>
        <v>380.48500000000001</v>
      </c>
      <c r="V38" s="6">
        <f>IFERROR(V28/22,0)</f>
        <v>361.21363636363634</v>
      </c>
      <c r="W38" s="6">
        <f>IFERROR(W28/22,0)</f>
        <v>361.57272727272726</v>
      </c>
      <c r="X38" s="6">
        <f>IFERROR(X28/21,0)</f>
        <v>368.58571428571429</v>
      </c>
      <c r="Y38" s="6">
        <f>IFERROR(Y28/21,0)</f>
        <v>363.87142857142857</v>
      </c>
      <c r="Z38" s="6">
        <f>IFERROR(Z28/22,0)</f>
        <v>376.47272727272724</v>
      </c>
      <c r="AA38" s="6">
        <f>IFERROR(AA28/19,0)</f>
        <v>393.42631578947368</v>
      </c>
      <c r="AB38" s="6">
        <f>IFERROR(AB28/22,0)</f>
        <v>373.42727272727274</v>
      </c>
      <c r="AC38" s="6">
        <f>IFERROR(AC28/254,0)</f>
        <v>366.50629921259838</v>
      </c>
      <c r="AE38" s="6">
        <f>IFERROR(AE28/21,0)</f>
        <v>0</v>
      </c>
      <c r="AF38" s="6">
        <f>IFERROR(AF28/20,0)</f>
        <v>0</v>
      </c>
      <c r="AG38" s="6">
        <f>IFERROR(AG28/22,0)</f>
        <v>0</v>
      </c>
      <c r="AH38" s="6">
        <f>IFERROR(AH28/22,0)</f>
        <v>0</v>
      </c>
      <c r="AI38" s="6">
        <f>IFERROR(AI28/20,0)</f>
        <v>0</v>
      </c>
      <c r="AJ38" s="6">
        <f>IFERROR(AJ28/22,0)</f>
        <v>0</v>
      </c>
      <c r="AK38" s="6">
        <f>IFERROR(AK28/22,0)</f>
        <v>0</v>
      </c>
      <c r="AL38" s="6">
        <f>IFERROR(AL28/21,0)</f>
        <v>0</v>
      </c>
      <c r="AM38" s="6">
        <f>IFERROR(AM28/21,0)</f>
        <v>0</v>
      </c>
      <c r="AN38" s="6">
        <f>IFERROR(AN28/22,0)</f>
        <v>0</v>
      </c>
      <c r="AO38" s="6">
        <f>IFERROR(AO28/19,0)</f>
        <v>0</v>
      </c>
      <c r="AP38" s="6">
        <f>IFERROR(AP28/22,0)</f>
        <v>0</v>
      </c>
      <c r="AQ38" s="6">
        <f>IFERROR(AQ28/254,0)</f>
        <v>0</v>
      </c>
      <c r="AS38" s="6">
        <f>IFERROR(AS28/21,0)</f>
        <v>0</v>
      </c>
      <c r="AT38" s="6">
        <f>IFERROR(AT28/20,0)</f>
        <v>0</v>
      </c>
      <c r="AU38" s="6">
        <f>IFERROR(AU28/22,0)</f>
        <v>0</v>
      </c>
      <c r="AV38" s="6">
        <f>IFERROR(AV28/22,0)</f>
        <v>0</v>
      </c>
      <c r="AW38" s="6">
        <f>IFERROR(AW28/20,0)</f>
        <v>0</v>
      </c>
      <c r="AX38" s="6">
        <f>IFERROR(AX28/22,0)</f>
        <v>0</v>
      </c>
      <c r="AY38" s="6">
        <f>IFERROR(AY28/22,0)</f>
        <v>0</v>
      </c>
      <c r="AZ38" s="6">
        <f>IFERROR(AZ28/21,0)</f>
        <v>0</v>
      </c>
      <c r="BA38" s="6">
        <f>IFERROR(BA28/21,0)</f>
        <v>14.285714285714286</v>
      </c>
      <c r="BB38" s="6">
        <f>IFERROR(BB28/22,0)</f>
        <v>13.636363636363637</v>
      </c>
      <c r="BC38" s="6">
        <f>IFERROR(BC28/19,0)</f>
        <v>15.789473684210526</v>
      </c>
      <c r="BD38" s="6">
        <f>IFERROR(BD28/22,0)</f>
        <v>13.636363636363637</v>
      </c>
      <c r="BE38" s="6">
        <f>IFERROR(BE28/254,0)</f>
        <v>4.7244094488188972</v>
      </c>
      <c r="BG38" s="6">
        <f>IFERROR(BG28/21,0)</f>
        <v>342.15714285714284</v>
      </c>
      <c r="BH38" s="6">
        <f>IFERROR(BH28/20,0)</f>
        <v>358.08000000000004</v>
      </c>
      <c r="BI38" s="6">
        <f>IFERROR(BI28/22,0)</f>
        <v>345.79545454545456</v>
      </c>
      <c r="BJ38" s="6">
        <f>IFERROR(BJ28/22,0)</f>
        <v>376.03181818181821</v>
      </c>
      <c r="BK38" s="6">
        <f>IFERROR(BK28/20,0)</f>
        <v>380.48500000000001</v>
      </c>
      <c r="BL38" s="6">
        <f>IFERROR(BL28/22,0)</f>
        <v>361.21363636363634</v>
      </c>
      <c r="BM38" s="6">
        <f>IFERROR(BM28/22,0)</f>
        <v>361.57272727272726</v>
      </c>
      <c r="BN38" s="6">
        <f>IFERROR(BN28/21,0)</f>
        <v>368.58571428571429</v>
      </c>
      <c r="BO38" s="6">
        <f>IFERROR(BO28/21,0)</f>
        <v>378.15714285714284</v>
      </c>
      <c r="BP38" s="6">
        <f>IFERROR(BP28/22,0)</f>
        <v>390.10909090909087</v>
      </c>
      <c r="BQ38" s="6">
        <f>IFERROR(BQ28/19,0)</f>
        <v>409.21578947368425</v>
      </c>
      <c r="BR38" s="6">
        <f>IFERROR(BR28/22,0)</f>
        <v>387.06363636363636</v>
      </c>
      <c r="BS38" s="6">
        <f>IFERROR(BS28/254,0)</f>
        <v>371.23070866141728</v>
      </c>
    </row>
    <row r="40" spans="2:71">
      <c r="B40" s="5" t="s">
        <v>151</v>
      </c>
      <c r="C40" s="6">
        <v>11415.2</v>
      </c>
      <c r="D40" s="6">
        <v>11623.5</v>
      </c>
      <c r="E40" s="6">
        <v>12277.5</v>
      </c>
      <c r="F40" s="6">
        <v>13426.9</v>
      </c>
      <c r="G40" s="6">
        <v>11797.6</v>
      </c>
      <c r="H40" s="6">
        <v>12221.8</v>
      </c>
      <c r="I40" s="6">
        <v>11619.5</v>
      </c>
      <c r="J40" s="6">
        <v>11191.8</v>
      </c>
      <c r="K40" s="6">
        <v>11001</v>
      </c>
      <c r="L40" s="6">
        <v>11939.6</v>
      </c>
      <c r="M40" s="6">
        <v>10897.9</v>
      </c>
      <c r="N40" s="6">
        <v>11998.8</v>
      </c>
      <c r="O40" s="6">
        <f>N40</f>
        <v>11998.8</v>
      </c>
      <c r="Q40" s="6">
        <v>11415.2</v>
      </c>
      <c r="R40" s="6">
        <v>11623.5</v>
      </c>
      <c r="S40" s="6">
        <v>12277.5</v>
      </c>
      <c r="T40" s="6">
        <v>13426.9</v>
      </c>
      <c r="U40" s="6">
        <v>11797.6</v>
      </c>
      <c r="V40" s="6">
        <v>12221.8</v>
      </c>
      <c r="W40" s="6">
        <v>11619.5</v>
      </c>
      <c r="X40" s="6">
        <v>11191.8</v>
      </c>
      <c r="Y40" s="6">
        <v>11001</v>
      </c>
      <c r="Z40" s="6">
        <v>11939.6</v>
      </c>
      <c r="AA40" s="6">
        <v>10897.9</v>
      </c>
      <c r="AB40" s="6">
        <v>11998.8</v>
      </c>
      <c r="AC40" s="6">
        <f>AB40</f>
        <v>11998.8</v>
      </c>
      <c r="AE40" s="6">
        <f>Q40-C40</f>
        <v>0</v>
      </c>
      <c r="AF40" s="6">
        <f>R40-D40</f>
        <v>0</v>
      </c>
      <c r="AG40" s="6">
        <f>S40-E40</f>
        <v>0</v>
      </c>
      <c r="AH40" s="6">
        <f>T40-F40</f>
        <v>0</v>
      </c>
      <c r="AI40" s="6">
        <f>U40-G40</f>
        <v>0</v>
      </c>
      <c r="AJ40" s="6">
        <f>V40-H40</f>
        <v>0</v>
      </c>
      <c r="AK40" s="6">
        <f>W40-I40</f>
        <v>0</v>
      </c>
      <c r="AL40" s="6">
        <f>X40-J40</f>
        <v>0</v>
      </c>
      <c r="AM40" s="6">
        <f>Y40-K40</f>
        <v>0</v>
      </c>
      <c r="AN40" s="6">
        <f>Z40-L40</f>
        <v>0</v>
      </c>
      <c r="AO40" s="6">
        <f>AA40-M40</f>
        <v>0</v>
      </c>
      <c r="AP40" s="6">
        <f>AB40-N40</f>
        <v>0</v>
      </c>
      <c r="AQ40" s="6">
        <f>AP40</f>
        <v>0</v>
      </c>
      <c r="AS40" s="6">
        <f>'Falcon-Adj'!C90</f>
        <v>0</v>
      </c>
      <c r="AT40" s="6">
        <f>'Falcon-Adj'!D90</f>
        <v>0</v>
      </c>
      <c r="AU40" s="6">
        <f>'Falcon-Adj'!E90</f>
        <v>0</v>
      </c>
      <c r="AV40" s="6">
        <f>'Falcon-Adj'!F90</f>
        <v>0</v>
      </c>
      <c r="AW40" s="6">
        <f>'Falcon-Adj'!G90</f>
        <v>0</v>
      </c>
      <c r="AX40" s="6">
        <f>'Falcon-Adj'!H90</f>
        <v>0</v>
      </c>
      <c r="AY40" s="6">
        <f>'Falcon-Adj'!I90</f>
        <v>0</v>
      </c>
      <c r="AZ40" s="6">
        <f>'Falcon-Adj'!J90</f>
        <v>0</v>
      </c>
      <c r="BA40" s="6">
        <f>'Falcon-Adj'!K90</f>
        <v>0</v>
      </c>
      <c r="BB40" s="6">
        <f>'Falcon-Adj'!L90</f>
        <v>0</v>
      </c>
      <c r="BC40" s="6">
        <f>'Falcon-Adj'!M90</f>
        <v>0</v>
      </c>
      <c r="BD40" s="6">
        <f>'Falcon-Adj'!N90</f>
        <v>0</v>
      </c>
      <c r="BE40" s="6">
        <f>BD40</f>
        <v>0</v>
      </c>
      <c r="BG40" s="6">
        <f>C40+AE40+AS40</f>
        <v>11415.2</v>
      </c>
      <c r="BH40" s="6">
        <f>D40+AF40+AT40</f>
        <v>11623.5</v>
      </c>
      <c r="BI40" s="6">
        <f>E40+AG40+AU40</f>
        <v>12277.5</v>
      </c>
      <c r="BJ40" s="6">
        <f>F40+AH40+AV40</f>
        <v>13426.9</v>
      </c>
      <c r="BK40" s="6">
        <f>G40+AI40+AW40</f>
        <v>11797.6</v>
      </c>
      <c r="BL40" s="6">
        <f>H40+AJ40+AX40</f>
        <v>12221.8</v>
      </c>
      <c r="BM40" s="6">
        <f>I40+AK40+AY40</f>
        <v>11619.5</v>
      </c>
      <c r="BN40" s="6">
        <f>J40+AL40+AZ40</f>
        <v>11191.8</v>
      </c>
      <c r="BO40" s="6">
        <f>K40+AM40+BA40</f>
        <v>11001</v>
      </c>
      <c r="BP40" s="6">
        <f>L40+AN40+BB40</f>
        <v>11939.6</v>
      </c>
      <c r="BQ40" s="6">
        <f>M40+AO40+BC40</f>
        <v>10897.9</v>
      </c>
      <c r="BR40" s="6">
        <f>N40+AP40+BD40</f>
        <v>11998.8</v>
      </c>
      <c r="BS40" s="6">
        <f>BR40</f>
        <v>11998.8</v>
      </c>
    </row>
    <row r="41" spans="2:71">
      <c r="B41" s="5" t="s">
        <v>152</v>
      </c>
      <c r="C41" s="6">
        <v>10897.7</v>
      </c>
      <c r="D41" s="6">
        <v>10861.8</v>
      </c>
      <c r="E41" s="6">
        <v>11538</v>
      </c>
      <c r="F41" s="6">
        <v>12546.9</v>
      </c>
      <c r="G41" s="6">
        <v>11541.4</v>
      </c>
      <c r="H41" s="6">
        <v>12052.5</v>
      </c>
      <c r="I41" s="6">
        <v>12064.5</v>
      </c>
      <c r="J41" s="6">
        <v>11739.5</v>
      </c>
      <c r="K41" s="6">
        <v>12044.3</v>
      </c>
      <c r="L41" s="6">
        <v>13016.6</v>
      </c>
      <c r="M41" s="6">
        <v>11792.2</v>
      </c>
      <c r="N41" s="6">
        <v>12915</v>
      </c>
      <c r="O41" s="6">
        <f>N41</f>
        <v>12915</v>
      </c>
      <c r="Q41" s="6">
        <v>10897.7</v>
      </c>
      <c r="R41" s="6">
        <v>10861.8</v>
      </c>
      <c r="S41" s="6">
        <v>11538</v>
      </c>
      <c r="T41" s="6">
        <v>12546.9</v>
      </c>
      <c r="U41" s="6">
        <v>11541.4</v>
      </c>
      <c r="V41" s="6">
        <v>12052.5</v>
      </c>
      <c r="W41" s="6">
        <v>12064.5</v>
      </c>
      <c r="X41" s="6">
        <v>11739.5</v>
      </c>
      <c r="Y41" s="6">
        <v>12044.3</v>
      </c>
      <c r="Z41" s="6">
        <v>13016.6</v>
      </c>
      <c r="AA41" s="6">
        <v>11792.2</v>
      </c>
      <c r="AB41" s="6">
        <v>12915</v>
      </c>
      <c r="AC41" s="6">
        <f>AB41</f>
        <v>12915</v>
      </c>
      <c r="AE41" s="6">
        <f>Q41-C41</f>
        <v>0</v>
      </c>
      <c r="AF41" s="6">
        <f>R41-D41</f>
        <v>0</v>
      </c>
      <c r="AG41" s="6">
        <f>S41-E41</f>
        <v>0</v>
      </c>
      <c r="AH41" s="6">
        <f>T41-F41</f>
        <v>0</v>
      </c>
      <c r="AI41" s="6">
        <f>U41-G41</f>
        <v>0</v>
      </c>
      <c r="AJ41" s="6">
        <f>V41-H41</f>
        <v>0</v>
      </c>
      <c r="AK41" s="6">
        <f>W41-I41</f>
        <v>0</v>
      </c>
      <c r="AL41" s="6">
        <f>X41-J41</f>
        <v>0</v>
      </c>
      <c r="AM41" s="6">
        <f>Y41-K41</f>
        <v>0</v>
      </c>
      <c r="AN41" s="6">
        <f>Z41-L41</f>
        <v>0</v>
      </c>
      <c r="AO41" s="6">
        <f>AA41-M41</f>
        <v>0</v>
      </c>
      <c r="AP41" s="6">
        <f>AB41-N41</f>
        <v>0</v>
      </c>
      <c r="AQ41" s="6">
        <f>AP41</f>
        <v>0</v>
      </c>
      <c r="AS41" s="6">
        <f>'Falcon-Adj'!C91</f>
        <v>0</v>
      </c>
      <c r="AT41" s="6">
        <f>'Falcon-Adj'!D91</f>
        <v>0</v>
      </c>
      <c r="AU41" s="6">
        <f>'Falcon-Adj'!E91</f>
        <v>0</v>
      </c>
      <c r="AV41" s="6">
        <f>'Falcon-Adj'!F91</f>
        <v>0</v>
      </c>
      <c r="AW41" s="6">
        <f>'Falcon-Adj'!G91</f>
        <v>0</v>
      </c>
      <c r="AX41" s="6">
        <f>'Falcon-Adj'!H91</f>
        <v>0</v>
      </c>
      <c r="AY41" s="6">
        <f>'Falcon-Adj'!I91</f>
        <v>0</v>
      </c>
      <c r="AZ41" s="6">
        <f>'Falcon-Adj'!J91</f>
        <v>0</v>
      </c>
      <c r="BA41" s="6">
        <f>'Falcon-Adj'!K91</f>
        <v>0</v>
      </c>
      <c r="BB41" s="6">
        <f>'Falcon-Adj'!L91</f>
        <v>0</v>
      </c>
      <c r="BC41" s="6">
        <f>'Falcon-Adj'!M91</f>
        <v>0</v>
      </c>
      <c r="BD41" s="6">
        <f>'Falcon-Adj'!N91</f>
        <v>0</v>
      </c>
      <c r="BE41" s="6">
        <f>BD41</f>
        <v>0</v>
      </c>
      <c r="BG41" s="6">
        <f>C41+AE41+AS41</f>
        <v>10897.7</v>
      </c>
      <c r="BH41" s="6">
        <f>D41+AF41+AT41</f>
        <v>10861.8</v>
      </c>
      <c r="BI41" s="6">
        <f>E41+AG41+AU41</f>
        <v>11538</v>
      </c>
      <c r="BJ41" s="6">
        <f>F41+AH41+AV41</f>
        <v>12546.9</v>
      </c>
      <c r="BK41" s="6">
        <f>G41+AI41+AW41</f>
        <v>11541.4</v>
      </c>
      <c r="BL41" s="6">
        <f>H41+AJ41+AX41</f>
        <v>12052.5</v>
      </c>
      <c r="BM41" s="6">
        <f>I41+AK41+AY41</f>
        <v>12064.5</v>
      </c>
      <c r="BN41" s="6">
        <f>J41+AL41+AZ41</f>
        <v>11739.5</v>
      </c>
      <c r="BO41" s="6">
        <f>K41+AM41+BA41</f>
        <v>12044.3</v>
      </c>
      <c r="BP41" s="6">
        <f>L41+AN41+BB41</f>
        <v>13016.6</v>
      </c>
      <c r="BQ41" s="6">
        <f>M41+AO41+BC41</f>
        <v>11792.2</v>
      </c>
      <c r="BR41" s="6">
        <f>N41+AP41+BD41</f>
        <v>12915</v>
      </c>
      <c r="BS41" s="6">
        <f>BR41</f>
        <v>12915</v>
      </c>
    </row>
    <row r="42" spans="2:71">
      <c r="B42" s="5" t="s">
        <v>153</v>
      </c>
      <c r="C42" s="6">
        <v>107.8</v>
      </c>
      <c r="D42" s="6">
        <v>107.4</v>
      </c>
      <c r="E42" s="6">
        <v>114.1</v>
      </c>
      <c r="F42" s="6">
        <v>124.1</v>
      </c>
      <c r="G42" s="6">
        <v>114.1</v>
      </c>
      <c r="H42" s="6">
        <v>119.2</v>
      </c>
      <c r="I42" s="6">
        <v>119.3</v>
      </c>
      <c r="J42" s="6">
        <v>116.1</v>
      </c>
      <c r="K42" s="6">
        <v>119.1</v>
      </c>
      <c r="L42" s="6">
        <v>128.69999999999999</v>
      </c>
      <c r="M42" s="6">
        <v>116.6</v>
      </c>
      <c r="N42" s="6">
        <v>127.7</v>
      </c>
      <c r="O42" s="6">
        <f>N42</f>
        <v>127.7</v>
      </c>
      <c r="Q42" s="6">
        <v>107.8</v>
      </c>
      <c r="R42" s="6">
        <v>107.4</v>
      </c>
      <c r="S42" s="6">
        <v>114.1</v>
      </c>
      <c r="T42" s="6">
        <v>124.1</v>
      </c>
      <c r="U42" s="6">
        <v>114.1</v>
      </c>
      <c r="V42" s="6">
        <v>119.2</v>
      </c>
      <c r="W42" s="6">
        <v>119.3</v>
      </c>
      <c r="X42" s="6">
        <v>116.1</v>
      </c>
      <c r="Y42" s="6">
        <v>119.1</v>
      </c>
      <c r="Z42" s="6">
        <v>128.69999999999999</v>
      </c>
      <c r="AA42" s="6">
        <v>116.6</v>
      </c>
      <c r="AB42" s="6">
        <v>127.7</v>
      </c>
      <c r="AC42" s="6">
        <f>AB42</f>
        <v>127.7</v>
      </c>
      <c r="AE42" s="6">
        <f>Q42-C42</f>
        <v>0</v>
      </c>
      <c r="AF42" s="6">
        <f>R42-D42</f>
        <v>0</v>
      </c>
      <c r="AG42" s="6">
        <f>S42-E42</f>
        <v>0</v>
      </c>
      <c r="AH42" s="6">
        <f>T42-F42</f>
        <v>0</v>
      </c>
      <c r="AI42" s="6">
        <f>U42-G42</f>
        <v>0</v>
      </c>
      <c r="AJ42" s="6">
        <f>V42-H42</f>
        <v>0</v>
      </c>
      <c r="AK42" s="6">
        <f>W42-I42</f>
        <v>0</v>
      </c>
      <c r="AL42" s="6">
        <f>X42-J42</f>
        <v>0</v>
      </c>
      <c r="AM42" s="6">
        <f>Y42-K42</f>
        <v>0</v>
      </c>
      <c r="AN42" s="6">
        <f>Z42-L42</f>
        <v>0</v>
      </c>
      <c r="AO42" s="6">
        <f>AA42-M42</f>
        <v>0</v>
      </c>
      <c r="AP42" s="6">
        <f>AB42-N42</f>
        <v>0</v>
      </c>
      <c r="AQ42" s="6">
        <f>AP42</f>
        <v>0</v>
      </c>
      <c r="AS42" s="6">
        <f>'Falcon-Adj'!C92</f>
        <v>0</v>
      </c>
      <c r="AT42" s="6">
        <f>'Falcon-Adj'!D92</f>
        <v>0</v>
      </c>
      <c r="AU42" s="6">
        <f>'Falcon-Adj'!E92</f>
        <v>0</v>
      </c>
      <c r="AV42" s="6">
        <f>'Falcon-Adj'!F92</f>
        <v>0</v>
      </c>
      <c r="AW42" s="6">
        <f>'Falcon-Adj'!G92</f>
        <v>0</v>
      </c>
      <c r="AX42" s="6">
        <f>'Falcon-Adj'!H92</f>
        <v>0</v>
      </c>
      <c r="AY42" s="6">
        <f>'Falcon-Adj'!I92</f>
        <v>0</v>
      </c>
      <c r="AZ42" s="6">
        <f>'Falcon-Adj'!J92</f>
        <v>0</v>
      </c>
      <c r="BA42" s="6">
        <f>'Falcon-Adj'!K92</f>
        <v>0</v>
      </c>
      <c r="BB42" s="6">
        <f>'Falcon-Adj'!L92</f>
        <v>0</v>
      </c>
      <c r="BC42" s="6">
        <f>'Falcon-Adj'!M92</f>
        <v>0</v>
      </c>
      <c r="BD42" s="6">
        <f>'Falcon-Adj'!N92</f>
        <v>0</v>
      </c>
      <c r="BE42" s="6">
        <f>BD42</f>
        <v>0</v>
      </c>
      <c r="BG42" s="6">
        <f>C42+AE42+AS42</f>
        <v>107.8</v>
      </c>
      <c r="BH42" s="6">
        <f>D42+AF42+AT42</f>
        <v>107.4</v>
      </c>
      <c r="BI42" s="6">
        <f>E42+AG42+AU42</f>
        <v>114.1</v>
      </c>
      <c r="BJ42" s="6">
        <f>F42+AH42+AV42</f>
        <v>124.1</v>
      </c>
      <c r="BK42" s="6">
        <f>G42+AI42+AW42</f>
        <v>114.1</v>
      </c>
      <c r="BL42" s="6">
        <f>H42+AJ42+AX42</f>
        <v>119.2</v>
      </c>
      <c r="BM42" s="6">
        <f>I42+AK42+AY42</f>
        <v>119.3</v>
      </c>
      <c r="BN42" s="6">
        <f>J42+AL42+AZ42</f>
        <v>116.1</v>
      </c>
      <c r="BO42" s="6">
        <f>K42+AM42+BA42</f>
        <v>119.1</v>
      </c>
      <c r="BP42" s="6">
        <f>L42+AN42+BB42</f>
        <v>128.69999999999999</v>
      </c>
      <c r="BQ42" s="6">
        <f>M42+AO42+BC42</f>
        <v>116.6</v>
      </c>
      <c r="BR42" s="6">
        <f>N42+AP42+BD42</f>
        <v>127.7</v>
      </c>
      <c r="BS42" s="6">
        <f>BR42</f>
        <v>127.7</v>
      </c>
    </row>
    <row r="43" spans="2:71">
      <c r="B43" s="5" t="s">
        <v>154</v>
      </c>
      <c r="C43" s="6">
        <v>-6534.4</v>
      </c>
      <c r="D43" s="6">
        <v>-6539.2</v>
      </c>
      <c r="E43" s="6">
        <v>-6926</v>
      </c>
      <c r="F43" s="6">
        <v>-7530.9</v>
      </c>
      <c r="G43" s="6">
        <v>-6943.6</v>
      </c>
      <c r="H43" s="6">
        <v>-7232</v>
      </c>
      <c r="I43" s="6">
        <v>-7254.8</v>
      </c>
      <c r="J43" s="6">
        <v>-7023.9</v>
      </c>
      <c r="K43" s="6">
        <v>-7204.2</v>
      </c>
      <c r="L43" s="6">
        <v>-7795.9</v>
      </c>
      <c r="M43" s="6">
        <v>-7058.2</v>
      </c>
      <c r="N43" s="6">
        <v>-7725.8</v>
      </c>
      <c r="O43" s="6">
        <f>N43</f>
        <v>-7725.8</v>
      </c>
      <c r="Q43" s="6">
        <v>-6534.4</v>
      </c>
      <c r="R43" s="6">
        <v>-6539.2</v>
      </c>
      <c r="S43" s="6">
        <v>-6926</v>
      </c>
      <c r="T43" s="6">
        <v>-7530.9</v>
      </c>
      <c r="U43" s="6">
        <v>-6943.6</v>
      </c>
      <c r="V43" s="6">
        <v>-7232</v>
      </c>
      <c r="W43" s="6">
        <v>-7254.8</v>
      </c>
      <c r="X43" s="6">
        <v>-7023.9</v>
      </c>
      <c r="Y43" s="6">
        <v>-7204.2</v>
      </c>
      <c r="Z43" s="6">
        <v>-7795.9</v>
      </c>
      <c r="AA43" s="6">
        <v>-7058.2</v>
      </c>
      <c r="AB43" s="6">
        <v>-7725.8</v>
      </c>
      <c r="AC43" s="6">
        <f>AB43</f>
        <v>-7725.8</v>
      </c>
      <c r="AE43" s="6">
        <f>Q43-C43</f>
        <v>0</v>
      </c>
      <c r="AF43" s="6">
        <f>R43-D43</f>
        <v>0</v>
      </c>
      <c r="AG43" s="6">
        <f>S43-E43</f>
        <v>0</v>
      </c>
      <c r="AH43" s="6">
        <f>T43-F43</f>
        <v>0</v>
      </c>
      <c r="AI43" s="6">
        <f>U43-G43</f>
        <v>0</v>
      </c>
      <c r="AJ43" s="6">
        <f>V43-H43</f>
        <v>0</v>
      </c>
      <c r="AK43" s="6">
        <f>W43-I43</f>
        <v>0</v>
      </c>
      <c r="AL43" s="6">
        <f>X43-J43</f>
        <v>0</v>
      </c>
      <c r="AM43" s="6">
        <f>Y43-K43</f>
        <v>0</v>
      </c>
      <c r="AN43" s="6">
        <f>Z43-L43</f>
        <v>0</v>
      </c>
      <c r="AO43" s="6">
        <f>AA43-M43</f>
        <v>0</v>
      </c>
      <c r="AP43" s="6">
        <f>AB43-N43</f>
        <v>0</v>
      </c>
      <c r="AQ43" s="6">
        <f>AP43</f>
        <v>0</v>
      </c>
      <c r="AS43" s="6">
        <f>'Falcon-Adj'!C93</f>
        <v>0</v>
      </c>
      <c r="AT43" s="6">
        <f>'Falcon-Adj'!D93</f>
        <v>0</v>
      </c>
      <c r="AU43" s="6">
        <f>'Falcon-Adj'!E93</f>
        <v>0</v>
      </c>
      <c r="AV43" s="6">
        <f>'Falcon-Adj'!F93</f>
        <v>0</v>
      </c>
      <c r="AW43" s="6">
        <f>'Falcon-Adj'!G93</f>
        <v>0</v>
      </c>
      <c r="AX43" s="6">
        <f>'Falcon-Adj'!H93</f>
        <v>0</v>
      </c>
      <c r="AY43" s="6">
        <f>'Falcon-Adj'!I93</f>
        <v>0</v>
      </c>
      <c r="AZ43" s="6">
        <f>'Falcon-Adj'!J93</f>
        <v>0</v>
      </c>
      <c r="BA43" s="6">
        <f>'Falcon-Adj'!K93</f>
        <v>0</v>
      </c>
      <c r="BB43" s="6">
        <f>'Falcon-Adj'!L93</f>
        <v>0</v>
      </c>
      <c r="BC43" s="6">
        <f>'Falcon-Adj'!M93</f>
        <v>0</v>
      </c>
      <c r="BD43" s="6">
        <f>'Falcon-Adj'!N93</f>
        <v>0</v>
      </c>
      <c r="BE43" s="6">
        <f>BD43</f>
        <v>0</v>
      </c>
      <c r="BG43" s="6">
        <f>C43+AE43+AS43</f>
        <v>-6534.4</v>
      </c>
      <c r="BH43" s="6">
        <f>D43+AF43+AT43</f>
        <v>-6539.2</v>
      </c>
      <c r="BI43" s="6">
        <f>E43+AG43+AU43</f>
        <v>-6926</v>
      </c>
      <c r="BJ43" s="6">
        <f>F43+AH43+AV43</f>
        <v>-7530.9</v>
      </c>
      <c r="BK43" s="6">
        <f>G43+AI43+AW43</f>
        <v>-6943.6</v>
      </c>
      <c r="BL43" s="6">
        <f>H43+AJ43+AX43</f>
        <v>-7232</v>
      </c>
      <c r="BM43" s="6">
        <f>I43+AK43+AY43</f>
        <v>-7254.8</v>
      </c>
      <c r="BN43" s="6">
        <f>J43+AL43+AZ43</f>
        <v>-7023.9</v>
      </c>
      <c r="BO43" s="6">
        <f>K43+AM43+BA43</f>
        <v>-7204.2</v>
      </c>
      <c r="BP43" s="6">
        <f>L43+AN43+BB43</f>
        <v>-7795.9</v>
      </c>
      <c r="BQ43" s="6">
        <f>M43+AO43+BC43</f>
        <v>-7058.2</v>
      </c>
      <c r="BR43" s="6">
        <f>N43+AP43+BD43</f>
        <v>-7725.8</v>
      </c>
      <c r="BS43" s="6">
        <f>BR43</f>
        <v>-7725.8</v>
      </c>
    </row>
    <row r="44" spans="2:71">
      <c r="B44" s="5" t="s">
        <v>155</v>
      </c>
      <c r="C44" s="6">
        <v>-215.6</v>
      </c>
      <c r="D44" s="6">
        <v>-214.8</v>
      </c>
      <c r="E44" s="6">
        <v>-228.2</v>
      </c>
      <c r="F44" s="6">
        <v>-248.2</v>
      </c>
      <c r="G44" s="6">
        <v>-228.3</v>
      </c>
      <c r="H44" s="6">
        <v>-238.4</v>
      </c>
      <c r="I44" s="6">
        <v>-238.6</v>
      </c>
      <c r="J44" s="6">
        <v>-232.2</v>
      </c>
      <c r="K44" s="6">
        <v>-238.2</v>
      </c>
      <c r="L44" s="6">
        <v>-257.5</v>
      </c>
      <c r="M44" s="6">
        <v>-233.3</v>
      </c>
      <c r="N44" s="6">
        <v>-255.5</v>
      </c>
      <c r="O44" s="6">
        <f>N44</f>
        <v>-255.5</v>
      </c>
      <c r="Q44" s="6">
        <v>-215.6</v>
      </c>
      <c r="R44" s="6">
        <v>-214.8</v>
      </c>
      <c r="S44" s="6">
        <v>-228.2</v>
      </c>
      <c r="T44" s="6">
        <v>-248.2</v>
      </c>
      <c r="U44" s="6">
        <v>-228.3</v>
      </c>
      <c r="V44" s="6">
        <v>-238.4</v>
      </c>
      <c r="W44" s="6">
        <v>-238.6</v>
      </c>
      <c r="X44" s="6">
        <v>-232.2</v>
      </c>
      <c r="Y44" s="6">
        <v>-238.2</v>
      </c>
      <c r="Z44" s="6">
        <v>-257.5</v>
      </c>
      <c r="AA44" s="6">
        <v>-233.3</v>
      </c>
      <c r="AB44" s="6">
        <v>-255.5</v>
      </c>
      <c r="AC44" s="6">
        <f>AB44</f>
        <v>-255.5</v>
      </c>
      <c r="AE44" s="6">
        <f>Q44-C44</f>
        <v>0</v>
      </c>
      <c r="AF44" s="6">
        <f>R44-D44</f>
        <v>0</v>
      </c>
      <c r="AG44" s="6">
        <f>S44-E44</f>
        <v>0</v>
      </c>
      <c r="AH44" s="6">
        <f>T44-F44</f>
        <v>0</v>
      </c>
      <c r="AI44" s="6">
        <f>U44-G44</f>
        <v>0</v>
      </c>
      <c r="AJ44" s="6">
        <f>V44-H44</f>
        <v>0</v>
      </c>
      <c r="AK44" s="6">
        <f>W44-I44</f>
        <v>0</v>
      </c>
      <c r="AL44" s="6">
        <f>X44-J44</f>
        <v>0</v>
      </c>
      <c r="AM44" s="6">
        <f>Y44-K44</f>
        <v>0</v>
      </c>
      <c r="AN44" s="6">
        <f>Z44-L44</f>
        <v>0</v>
      </c>
      <c r="AO44" s="6">
        <f>AA44-M44</f>
        <v>0</v>
      </c>
      <c r="AP44" s="6">
        <f>AB44-N44</f>
        <v>0</v>
      </c>
      <c r="AQ44" s="6">
        <f>AP44</f>
        <v>0</v>
      </c>
      <c r="AS44" s="6">
        <f>'Falcon-Adj'!C94</f>
        <v>0</v>
      </c>
      <c r="AT44" s="6">
        <f>'Falcon-Adj'!D94</f>
        <v>0</v>
      </c>
      <c r="AU44" s="6">
        <f>'Falcon-Adj'!E94</f>
        <v>0</v>
      </c>
      <c r="AV44" s="6">
        <f>'Falcon-Adj'!F94</f>
        <v>0</v>
      </c>
      <c r="AW44" s="6">
        <f>'Falcon-Adj'!G94</f>
        <v>0</v>
      </c>
      <c r="AX44" s="6">
        <f>'Falcon-Adj'!H94</f>
        <v>0</v>
      </c>
      <c r="AY44" s="6">
        <f>'Falcon-Adj'!I94</f>
        <v>0</v>
      </c>
      <c r="AZ44" s="6">
        <f>'Falcon-Adj'!J94</f>
        <v>0</v>
      </c>
      <c r="BA44" s="6">
        <f>'Falcon-Adj'!K94</f>
        <v>0</v>
      </c>
      <c r="BB44" s="6">
        <f>'Falcon-Adj'!L94</f>
        <v>0</v>
      </c>
      <c r="BC44" s="6">
        <f>'Falcon-Adj'!M94</f>
        <v>0</v>
      </c>
      <c r="BD44" s="6">
        <f>'Falcon-Adj'!N94</f>
        <v>0</v>
      </c>
      <c r="BE44" s="6">
        <f>BD44</f>
        <v>0</v>
      </c>
      <c r="BG44" s="6">
        <f>C44+AE44+AS44</f>
        <v>-215.6</v>
      </c>
      <c r="BH44" s="6">
        <f>D44+AF44+AT44</f>
        <v>-214.8</v>
      </c>
      <c r="BI44" s="6">
        <f>E44+AG44+AU44</f>
        <v>-228.2</v>
      </c>
      <c r="BJ44" s="6">
        <f>F44+AH44+AV44</f>
        <v>-248.2</v>
      </c>
      <c r="BK44" s="6">
        <f>G44+AI44+AW44</f>
        <v>-228.3</v>
      </c>
      <c r="BL44" s="6">
        <f>H44+AJ44+AX44</f>
        <v>-238.4</v>
      </c>
      <c r="BM44" s="6">
        <f>I44+AK44+AY44</f>
        <v>-238.6</v>
      </c>
      <c r="BN44" s="6">
        <f>J44+AL44+AZ44</f>
        <v>-232.2</v>
      </c>
      <c r="BO44" s="6">
        <f>K44+AM44+BA44</f>
        <v>-238.2</v>
      </c>
      <c r="BP44" s="6">
        <f>L44+AN44+BB44</f>
        <v>-257.5</v>
      </c>
      <c r="BQ44" s="6">
        <f>M44+AO44+BC44</f>
        <v>-233.3</v>
      </c>
      <c r="BR44" s="6">
        <f>N44+AP44+BD44</f>
        <v>-255.5</v>
      </c>
      <c r="BS44" s="6">
        <f>BR44</f>
        <v>-255.5</v>
      </c>
    </row>
    <row r="45" spans="2:71">
      <c r="B45" s="2" t="s">
        <v>170</v>
      </c>
      <c r="C45" s="6">
        <f>SUM(C40:C44)</f>
        <v>15670.7</v>
      </c>
      <c r="D45" s="6">
        <f>SUM(D40:D44)</f>
        <v>15838.7</v>
      </c>
      <c r="E45" s="6">
        <f>SUM(E40:E44)</f>
        <v>16775.399999999998</v>
      </c>
      <c r="F45" s="6">
        <f>SUM(F40:F44)</f>
        <v>18318.8</v>
      </c>
      <c r="G45" s="6">
        <f>SUM(G40:G44)</f>
        <v>16281.2</v>
      </c>
      <c r="H45" s="6">
        <f>SUM(H40:H44)</f>
        <v>16923.099999999999</v>
      </c>
      <c r="I45" s="6">
        <f>SUM(I40:I44)</f>
        <v>16309.9</v>
      </c>
      <c r="J45" s="6">
        <f>SUM(J40:J44)</f>
        <v>15791.299999999997</v>
      </c>
      <c r="K45" s="6">
        <f>SUM(K40:K44)</f>
        <v>15721.999999999996</v>
      </c>
      <c r="L45" s="6">
        <f>SUM(L40:L44)</f>
        <v>17031.5</v>
      </c>
      <c r="M45" s="6">
        <f>SUM(M40:M44)</f>
        <v>15515.199999999997</v>
      </c>
      <c r="N45" s="6">
        <f>SUM(N40:N44)</f>
        <v>17060.2</v>
      </c>
      <c r="O45" s="6">
        <f>N45</f>
        <v>17060.2</v>
      </c>
      <c r="Q45" s="6">
        <f>SUM(Q40:Q44)</f>
        <v>15670.7</v>
      </c>
      <c r="R45" s="6">
        <f>SUM(R40:R44)</f>
        <v>15838.7</v>
      </c>
      <c r="S45" s="6">
        <f>SUM(S40:S44)</f>
        <v>16775.399999999998</v>
      </c>
      <c r="T45" s="6">
        <f>SUM(T40:T44)</f>
        <v>18318.8</v>
      </c>
      <c r="U45" s="6">
        <f>SUM(U40:U44)</f>
        <v>16281.2</v>
      </c>
      <c r="V45" s="6">
        <f>SUM(V40:V44)</f>
        <v>16923.099999999999</v>
      </c>
      <c r="W45" s="6">
        <f>SUM(W40:W44)</f>
        <v>16309.9</v>
      </c>
      <c r="X45" s="6">
        <f>SUM(X40:X44)</f>
        <v>15791.299999999997</v>
      </c>
      <c r="Y45" s="6">
        <f>SUM(Y40:Y44)</f>
        <v>15721.999999999996</v>
      </c>
      <c r="Z45" s="6">
        <f>SUM(Z40:Z44)</f>
        <v>17031.5</v>
      </c>
      <c r="AA45" s="6">
        <f>SUM(AA40:AA44)</f>
        <v>15515.199999999997</v>
      </c>
      <c r="AB45" s="6">
        <f>SUM(AB40:AB44)</f>
        <v>17060.2</v>
      </c>
      <c r="AC45" s="6">
        <f>AB45</f>
        <v>17060.2</v>
      </c>
      <c r="AE45" s="6">
        <f>SUM(AE40:AE44)</f>
        <v>0</v>
      </c>
      <c r="AF45" s="6">
        <f>SUM(AF40:AF44)</f>
        <v>0</v>
      </c>
      <c r="AG45" s="6">
        <f>SUM(AG40:AG44)</f>
        <v>0</v>
      </c>
      <c r="AH45" s="6">
        <f>SUM(AH40:AH44)</f>
        <v>0</v>
      </c>
      <c r="AI45" s="6">
        <f>SUM(AI40:AI44)</f>
        <v>0</v>
      </c>
      <c r="AJ45" s="6">
        <f>SUM(AJ40:AJ44)</f>
        <v>0</v>
      </c>
      <c r="AK45" s="6">
        <f>SUM(AK40:AK44)</f>
        <v>0</v>
      </c>
      <c r="AL45" s="6">
        <f>SUM(AL40:AL44)</f>
        <v>0</v>
      </c>
      <c r="AM45" s="6">
        <f>SUM(AM40:AM44)</f>
        <v>0</v>
      </c>
      <c r="AN45" s="6">
        <f>SUM(AN40:AN44)</f>
        <v>0</v>
      </c>
      <c r="AO45" s="6">
        <f>SUM(AO40:AO44)</f>
        <v>0</v>
      </c>
      <c r="AP45" s="6">
        <f>SUM(AP40:AP44)</f>
        <v>0</v>
      </c>
      <c r="AQ45" s="6">
        <f>AP45</f>
        <v>0</v>
      </c>
      <c r="AS45" s="6">
        <f>SUM(AS40:AS44)</f>
        <v>0</v>
      </c>
      <c r="AT45" s="6">
        <f>SUM(AT40:AT44)</f>
        <v>0</v>
      </c>
      <c r="AU45" s="6">
        <f>SUM(AU40:AU44)</f>
        <v>0</v>
      </c>
      <c r="AV45" s="6">
        <f>SUM(AV40:AV44)</f>
        <v>0</v>
      </c>
      <c r="AW45" s="6">
        <f>SUM(AW40:AW44)</f>
        <v>0</v>
      </c>
      <c r="AX45" s="6">
        <f>SUM(AX40:AX44)</f>
        <v>0</v>
      </c>
      <c r="AY45" s="6">
        <f>SUM(AY40:AY44)</f>
        <v>0</v>
      </c>
      <c r="AZ45" s="6">
        <f>SUM(AZ40:AZ44)</f>
        <v>0</v>
      </c>
      <c r="BA45" s="6">
        <f>SUM(BA40:BA44)</f>
        <v>0</v>
      </c>
      <c r="BB45" s="6">
        <f>SUM(BB40:BB44)</f>
        <v>0</v>
      </c>
      <c r="BC45" s="6">
        <f>SUM(BC40:BC44)</f>
        <v>0</v>
      </c>
      <c r="BD45" s="6">
        <f>SUM(BD40:BD44)</f>
        <v>0</v>
      </c>
      <c r="BE45" s="6">
        <f>BD45</f>
        <v>0</v>
      </c>
      <c r="BG45" s="6">
        <f>SUM(BG40:BG44)</f>
        <v>15670.7</v>
      </c>
      <c r="BH45" s="6">
        <f>SUM(BH40:BH44)</f>
        <v>15838.7</v>
      </c>
      <c r="BI45" s="6">
        <f>SUM(BI40:BI44)</f>
        <v>16775.399999999998</v>
      </c>
      <c r="BJ45" s="6">
        <f>SUM(BJ40:BJ44)</f>
        <v>18318.8</v>
      </c>
      <c r="BK45" s="6">
        <f>SUM(BK40:BK44)</f>
        <v>16281.2</v>
      </c>
      <c r="BL45" s="6">
        <f>SUM(BL40:BL44)</f>
        <v>16923.099999999999</v>
      </c>
      <c r="BM45" s="6">
        <f>SUM(BM40:BM44)</f>
        <v>16309.9</v>
      </c>
      <c r="BN45" s="6">
        <f>SUM(BN40:BN44)</f>
        <v>15791.299999999997</v>
      </c>
      <c r="BO45" s="6">
        <f>SUM(BO40:BO44)</f>
        <v>15721.999999999996</v>
      </c>
      <c r="BP45" s="6">
        <f>SUM(BP40:BP44)</f>
        <v>17031.5</v>
      </c>
      <c r="BQ45" s="6">
        <f>SUM(BQ40:BQ44)</f>
        <v>15515.199999999997</v>
      </c>
      <c r="BR45" s="6">
        <f>SUM(BR40:BR44)</f>
        <v>17060.2</v>
      </c>
      <c r="BS45" s="6">
        <f>BR45</f>
        <v>17060.2</v>
      </c>
    </row>
    <row r="46" spans="2:71">
      <c r="B46" s="5" t="s">
        <v>171</v>
      </c>
      <c r="C46" s="12">
        <f>IFERROR(C45/(C28*12),0)</f>
        <v>0.18174490510718644</v>
      </c>
      <c r="D46" s="12">
        <f>IFERROR(D45/(D28*12),0)</f>
        <v>0.18430122691391121</v>
      </c>
      <c r="E46" s="12">
        <f>IFERROR(E45/(E28*12),0)</f>
        <v>0.18375944791324347</v>
      </c>
      <c r="F46" s="12">
        <f>IFERROR(F45/(F28*12),0)</f>
        <v>0.18453064497282223</v>
      </c>
      <c r="G46" s="12">
        <f>IFERROR(G45/(G28*12),0)</f>
        <v>0.1782943699050773</v>
      </c>
      <c r="H46" s="12">
        <f>IFERROR(H45/(H28*12),0)</f>
        <v>0.17746464989660277</v>
      </c>
      <c r="I46" s="12">
        <f>IFERROR(I45/(I28*12),0)</f>
        <v>0.17086444740569395</v>
      </c>
      <c r="J46" s="12">
        <f>IFERROR(J45/(J28*12),0)</f>
        <v>0.17001171358560604</v>
      </c>
      <c r="K46" s="12">
        <f>IFERROR(K45/(K28*12),0)</f>
        <v>0.17145860870096269</v>
      </c>
      <c r="L46" s="12">
        <f>IFERROR(L45/(L28*12),0)</f>
        <v>0.17136236678579481</v>
      </c>
      <c r="M46" s="12">
        <f>IFERROR(M45/(M28*12),0)</f>
        <v>0.17296535609334096</v>
      </c>
      <c r="N46" s="12">
        <f>IFERROR(N45/(N28*12),0)</f>
        <v>0.17305101800683273</v>
      </c>
      <c r="Q46" s="12">
        <f>IFERROR(Q45/(Q28*12),0)</f>
        <v>0.18174490510718644</v>
      </c>
      <c r="R46" s="12">
        <f>IFERROR(R45/(R28*12),0)</f>
        <v>0.18430122691391121</v>
      </c>
      <c r="S46" s="12">
        <f>IFERROR(S45/(S28*12),0)</f>
        <v>0.18375944791324347</v>
      </c>
      <c r="T46" s="12">
        <f>IFERROR(T45/(T28*12),0)</f>
        <v>0.18453064497282223</v>
      </c>
      <c r="U46" s="12">
        <f>IFERROR(U45/(U28*12),0)</f>
        <v>0.1782943699050773</v>
      </c>
      <c r="V46" s="12">
        <f>IFERROR(V45/(V28*12),0)</f>
        <v>0.17746464989660277</v>
      </c>
      <c r="W46" s="12">
        <f>IFERROR(W45/(W28*12),0)</f>
        <v>0.17086444740569395</v>
      </c>
      <c r="X46" s="12">
        <f>IFERROR(X45/(X28*12),0)</f>
        <v>0.17001171358560604</v>
      </c>
      <c r="Y46" s="12">
        <f>IFERROR(Y45/(Y28*12),0)</f>
        <v>0.17145860870096269</v>
      </c>
      <c r="Z46" s="12">
        <f>IFERROR(Z45/(Z28*12),0)</f>
        <v>0.17136236678579481</v>
      </c>
      <c r="AA46" s="12">
        <f>IFERROR(AA45/(AA28*12),0)</f>
        <v>0.17296535609334096</v>
      </c>
      <c r="AB46" s="12">
        <f>IFERROR(AB45/(AB28*12),0)</f>
        <v>0.17305101800683273</v>
      </c>
      <c r="AE46" s="12">
        <f>IFERROR(AE45/(AE28*12),0)</f>
        <v>0</v>
      </c>
      <c r="AF46" s="12">
        <f>IFERROR(AF45/(AF28*12),0)</f>
        <v>0</v>
      </c>
      <c r="AG46" s="12">
        <f>IFERROR(AG45/(AG28*12),0)</f>
        <v>0</v>
      </c>
      <c r="AH46" s="12">
        <f>IFERROR(AH45/(AH28*12),0)</f>
        <v>0</v>
      </c>
      <c r="AI46" s="12">
        <f>IFERROR(AI45/(AI28*12),0)</f>
        <v>0</v>
      </c>
      <c r="AJ46" s="12">
        <f>IFERROR(AJ45/(AJ28*12),0)</f>
        <v>0</v>
      </c>
      <c r="AK46" s="12">
        <f>IFERROR(AK45/(AK28*12),0)</f>
        <v>0</v>
      </c>
      <c r="AL46" s="12">
        <f>IFERROR(AL45/(AL28*12),0)</f>
        <v>0</v>
      </c>
      <c r="AM46" s="12">
        <f>IFERROR(AM45/(AM28*12),0)</f>
        <v>0</v>
      </c>
      <c r="AN46" s="12">
        <f>IFERROR(AN45/(AN28*12),0)</f>
        <v>0</v>
      </c>
      <c r="AO46" s="12">
        <f>IFERROR(AO45/(AO28*12),0)</f>
        <v>0</v>
      </c>
      <c r="AP46" s="12">
        <f>IFERROR(AP45/(AP28*12),0)</f>
        <v>0</v>
      </c>
      <c r="AS46" s="12">
        <f>IFERROR(AS45/(AS28*12),0)</f>
        <v>0</v>
      </c>
      <c r="AT46" s="12">
        <f>IFERROR(AT45/(AT28*12),0)</f>
        <v>0</v>
      </c>
      <c r="AU46" s="12">
        <f>IFERROR(AU45/(AU28*12),0)</f>
        <v>0</v>
      </c>
      <c r="AV46" s="12">
        <f>IFERROR(AV45/(AV28*12),0)</f>
        <v>0</v>
      </c>
      <c r="AW46" s="12">
        <f>IFERROR(AW45/(AW28*12),0)</f>
        <v>0</v>
      </c>
      <c r="AX46" s="12">
        <f>IFERROR(AX45/(AX28*12),0)</f>
        <v>0</v>
      </c>
      <c r="AY46" s="12">
        <f>IFERROR(AY45/(AY28*12),0)</f>
        <v>0</v>
      </c>
      <c r="AZ46" s="12">
        <f>IFERROR(AZ45/(AZ28*12),0)</f>
        <v>0</v>
      </c>
      <c r="BA46" s="12">
        <f>IFERROR(BA45/(BA28*12),0)</f>
        <v>0</v>
      </c>
      <c r="BB46" s="12">
        <f>IFERROR(BB45/(BB28*12),0)</f>
        <v>0</v>
      </c>
      <c r="BC46" s="12">
        <f>IFERROR(BC45/(BC28*12),0)</f>
        <v>0</v>
      </c>
      <c r="BD46" s="12">
        <f>IFERROR(BD45/(BD28*12),0)</f>
        <v>0</v>
      </c>
      <c r="BG46" s="12">
        <f>IFERROR(BG45/(BG28*12),0)</f>
        <v>0.18174490510718644</v>
      </c>
      <c r="BH46" s="12">
        <f>IFERROR(BH45/(BH28*12),0)</f>
        <v>0.18430122691391121</v>
      </c>
      <c r="BI46" s="12">
        <f>IFERROR(BI45/(BI28*12),0)</f>
        <v>0.18375944791324347</v>
      </c>
      <c r="BJ46" s="12">
        <f>IFERROR(BJ45/(BJ28*12),0)</f>
        <v>0.18453064497282223</v>
      </c>
      <c r="BK46" s="12">
        <f>IFERROR(BK45/(BK28*12),0)</f>
        <v>0.1782943699050773</v>
      </c>
      <c r="BL46" s="12">
        <f>IFERROR(BL45/(BL28*12),0)</f>
        <v>0.17746464989660277</v>
      </c>
      <c r="BM46" s="12">
        <f>IFERROR(BM45/(BM28*12),0)</f>
        <v>0.17086444740569395</v>
      </c>
      <c r="BN46" s="12">
        <f>IFERROR(BN45/(BN28*12),0)</f>
        <v>0.17001171358560604</v>
      </c>
      <c r="BO46" s="12">
        <f>IFERROR(BO45/(BO28*12),0)</f>
        <v>0.16498138424019573</v>
      </c>
      <c r="BP46" s="12">
        <f>IFERROR(BP45/(BP28*12),0)</f>
        <v>0.16537235116828239</v>
      </c>
      <c r="BQ46" s="12">
        <f>IFERROR(BQ45/(BQ28*12),0)</f>
        <v>0.16629153751505871</v>
      </c>
      <c r="BR46" s="12">
        <f>IFERROR(BR45/(BR28*12),0)</f>
        <v>0.16695438069067026</v>
      </c>
    </row>
    <row r="49" spans="2:15">
      <c r="B49" s="8" t="s">
        <v>172</v>
      </c>
    </row>
    <row r="50" spans="2:15">
      <c r="C50" s="19" t="s">
        <v>70</v>
      </c>
      <c r="D50" s="19" t="s">
        <v>71</v>
      </c>
      <c r="E50" s="19" t="s">
        <v>72</v>
      </c>
      <c r="F50" s="19" t="s">
        <v>73</v>
      </c>
      <c r="G50" s="19" t="s">
        <v>50</v>
      </c>
      <c r="H50" s="19" t="s">
        <v>74</v>
      </c>
      <c r="I50" s="19" t="s">
        <v>75</v>
      </c>
      <c r="J50" s="19" t="s">
        <v>76</v>
      </c>
      <c r="K50" s="19" t="s">
        <v>77</v>
      </c>
      <c r="L50" s="19" t="s">
        <v>78</v>
      </c>
      <c r="M50" s="19" t="s">
        <v>79</v>
      </c>
      <c r="N50" s="19" t="s">
        <v>80</v>
      </c>
      <c r="O50" s="2" t="s">
        <v>165</v>
      </c>
    </row>
    <row r="51" spans="2:15">
      <c r="B51" t="s">
        <v>100</v>
      </c>
      <c r="C51" s="6">
        <v>6729.1</v>
      </c>
      <c r="D51" s="6">
        <v>6587.6</v>
      </c>
      <c r="E51" s="6">
        <v>7083.3</v>
      </c>
      <c r="F51" s="6">
        <v>7650.1</v>
      </c>
      <c r="G51" s="6">
        <v>6941.7</v>
      </c>
      <c r="H51" s="6">
        <v>7295.9</v>
      </c>
      <c r="I51" s="6">
        <v>7225</v>
      </c>
      <c r="J51" s="6">
        <v>7083.3</v>
      </c>
      <c r="K51" s="6">
        <v>6941.7</v>
      </c>
      <c r="L51" s="6">
        <v>7437.4</v>
      </c>
      <c r="M51" s="6">
        <v>6729.1</v>
      </c>
      <c r="N51" s="6">
        <v>7295.8</v>
      </c>
      <c r="O51" s="6">
        <f>SUM(C51:N51)</f>
        <v>85000</v>
      </c>
    </row>
    <row r="52" spans="2:15">
      <c r="B52" t="s">
        <v>111</v>
      </c>
      <c r="C52" s="6">
        <v>2355.1999999999998</v>
      </c>
      <c r="D52" s="6">
        <v>2305.6</v>
      </c>
      <c r="E52" s="6">
        <v>2479.1999999999998</v>
      </c>
      <c r="F52" s="6">
        <v>2677.6</v>
      </c>
      <c r="G52" s="6">
        <v>2429.6</v>
      </c>
      <c r="H52" s="6">
        <v>2553.6</v>
      </c>
      <c r="I52" s="6">
        <v>2528.6999999999998</v>
      </c>
      <c r="J52" s="6">
        <v>2479.1</v>
      </c>
      <c r="K52" s="6">
        <v>2429.6</v>
      </c>
      <c r="L52" s="6">
        <v>2603.1999999999998</v>
      </c>
      <c r="M52" s="6">
        <v>2355.1999999999998</v>
      </c>
      <c r="N52" s="6">
        <v>2553.5</v>
      </c>
      <c r="O52" s="6">
        <f>SUM(C52:N52)</f>
        <v>29750.1</v>
      </c>
    </row>
    <row r="53" spans="2:15">
      <c r="B53" t="s">
        <v>112</v>
      </c>
      <c r="C53" s="6">
        <v>-1359</v>
      </c>
      <c r="D53" s="6">
        <v>-1330.3</v>
      </c>
      <c r="E53" s="6">
        <v>-1430.6</v>
      </c>
      <c r="F53" s="6">
        <v>-1545.4</v>
      </c>
      <c r="G53" s="6">
        <v>-1402.1</v>
      </c>
      <c r="H53" s="6">
        <v>-1473.6</v>
      </c>
      <c r="I53" s="6">
        <v>-1459.5</v>
      </c>
      <c r="J53" s="6">
        <v>-1430.6</v>
      </c>
      <c r="K53" s="6">
        <v>-1402.1</v>
      </c>
      <c r="L53" s="6">
        <v>-1502.2</v>
      </c>
      <c r="M53" s="6">
        <v>-1359</v>
      </c>
      <c r="N53" s="6">
        <v>-1473.6</v>
      </c>
      <c r="O53" s="6">
        <f>SUM(C53:N53)</f>
        <v>-17168</v>
      </c>
    </row>
    <row r="54" spans="2:15">
      <c r="B54" t="s">
        <v>113</v>
      </c>
      <c r="C54" s="6">
        <f>C52+C53</f>
        <v>996.19999999999982</v>
      </c>
      <c r="D54" s="6">
        <f>D52+D53</f>
        <v>975.3</v>
      </c>
      <c r="E54" s="6">
        <f>E52+E53</f>
        <v>1048.5999999999999</v>
      </c>
      <c r="F54" s="6">
        <f>F52+F53</f>
        <v>1132.1999999999998</v>
      </c>
      <c r="G54" s="6">
        <f>G52+G53</f>
        <v>1027.5</v>
      </c>
      <c r="H54" s="6">
        <f>H52+H53</f>
        <v>1080</v>
      </c>
      <c r="I54" s="6">
        <f>I52+I53</f>
        <v>1069.1999999999998</v>
      </c>
      <c r="J54" s="6">
        <f>J52+J53</f>
        <v>1048.5</v>
      </c>
      <c r="K54" s="6">
        <f>K52+K53</f>
        <v>1027.5</v>
      </c>
      <c r="L54" s="6">
        <f>L52+L53</f>
        <v>1100.9999999999998</v>
      </c>
      <c r="M54" s="6">
        <f>M52+M53</f>
        <v>996.19999999999982</v>
      </c>
      <c r="N54" s="6">
        <f>N52+N53</f>
        <v>1079.9000000000001</v>
      </c>
      <c r="O54" s="6">
        <f>SUM(C54:N54)</f>
        <v>12582.1</v>
      </c>
    </row>
    <row r="55" spans="2:15">
      <c r="B55" t="s">
        <v>151</v>
      </c>
      <c r="C55" s="6">
        <v>10919.1</v>
      </c>
      <c r="D55" s="6">
        <v>10693.3</v>
      </c>
      <c r="E55" s="6">
        <v>11745.8</v>
      </c>
      <c r="F55" s="6">
        <v>12594.8</v>
      </c>
      <c r="G55" s="6">
        <v>11294.6</v>
      </c>
      <c r="H55" s="6">
        <v>11810.9</v>
      </c>
      <c r="I55" s="6">
        <v>11952</v>
      </c>
      <c r="J55" s="6">
        <v>11486.4</v>
      </c>
      <c r="K55" s="6">
        <v>11511.4</v>
      </c>
      <c r="L55" s="6">
        <v>12042.1</v>
      </c>
      <c r="M55" s="6">
        <v>11002</v>
      </c>
      <c r="N55" s="6">
        <v>11806.1</v>
      </c>
      <c r="O55" s="6">
        <f>N55</f>
        <v>11806.1</v>
      </c>
    </row>
    <row r="56" spans="2:15">
      <c r="B56" t="s">
        <v>152</v>
      </c>
      <c r="C56" s="6">
        <v>10093.6</v>
      </c>
      <c r="D56" s="6">
        <v>9881.4</v>
      </c>
      <c r="E56" s="6">
        <v>10625</v>
      </c>
      <c r="F56" s="6">
        <v>11475.1</v>
      </c>
      <c r="G56" s="6">
        <v>10412.5</v>
      </c>
      <c r="H56" s="6">
        <v>10943.9</v>
      </c>
      <c r="I56" s="6">
        <v>10837.5</v>
      </c>
      <c r="J56" s="6">
        <v>10625</v>
      </c>
      <c r="K56" s="6">
        <v>10412.5</v>
      </c>
      <c r="L56" s="6">
        <v>11156.1</v>
      </c>
      <c r="M56" s="6">
        <v>10093.6</v>
      </c>
      <c r="N56" s="6">
        <v>10943.7</v>
      </c>
      <c r="O56" s="6">
        <f>N56</f>
        <v>10943.7</v>
      </c>
    </row>
    <row r="57" spans="2:15">
      <c r="B57" t="s">
        <v>153</v>
      </c>
      <c r="C57" s="6">
        <v>100.9</v>
      </c>
      <c r="D57" s="6">
        <v>98.8</v>
      </c>
      <c r="E57" s="6">
        <v>106.2</v>
      </c>
      <c r="F57" s="6">
        <v>114.8</v>
      </c>
      <c r="G57" s="6">
        <v>104.1</v>
      </c>
      <c r="H57" s="6">
        <v>109.4</v>
      </c>
      <c r="I57" s="6">
        <v>108.4</v>
      </c>
      <c r="J57" s="6">
        <v>106.2</v>
      </c>
      <c r="K57" s="6">
        <v>104.1</v>
      </c>
      <c r="L57" s="6">
        <v>111.6</v>
      </c>
      <c r="M57" s="6">
        <v>100.9</v>
      </c>
      <c r="N57" s="6">
        <v>109.4</v>
      </c>
      <c r="O57" s="6">
        <f>N57</f>
        <v>109.4</v>
      </c>
    </row>
    <row r="58" spans="2:15">
      <c r="B58" t="s">
        <v>154</v>
      </c>
      <c r="C58" s="6">
        <v>-6123.5</v>
      </c>
      <c r="D58" s="6">
        <v>-5994.8</v>
      </c>
      <c r="E58" s="6">
        <v>-6445.7</v>
      </c>
      <c r="F58" s="6">
        <v>-6961.5</v>
      </c>
      <c r="G58" s="6">
        <v>-6316.9</v>
      </c>
      <c r="H58" s="6">
        <v>-6639.2</v>
      </c>
      <c r="I58" s="6">
        <v>-6574.8</v>
      </c>
      <c r="J58" s="6">
        <v>-6445.9</v>
      </c>
      <c r="K58" s="6">
        <v>-6316.9</v>
      </c>
      <c r="L58" s="6">
        <v>-6767.9</v>
      </c>
      <c r="M58" s="6">
        <v>-6123.5</v>
      </c>
      <c r="N58" s="6">
        <v>-6639.2</v>
      </c>
      <c r="O58" s="6">
        <f>N58</f>
        <v>-6639.2</v>
      </c>
    </row>
    <row r="59" spans="2:15">
      <c r="B59" t="s">
        <v>155</v>
      </c>
      <c r="C59" s="6">
        <v>-201.9</v>
      </c>
      <c r="D59" s="6">
        <v>-197.6</v>
      </c>
      <c r="E59" s="6">
        <v>-212.5</v>
      </c>
      <c r="F59" s="6">
        <v>-229.5</v>
      </c>
      <c r="G59" s="6">
        <v>-208.3</v>
      </c>
      <c r="H59" s="6">
        <v>-218.9</v>
      </c>
      <c r="I59" s="6">
        <v>-216.8</v>
      </c>
      <c r="J59" s="6">
        <v>-212.5</v>
      </c>
      <c r="K59" s="6">
        <v>-208.3</v>
      </c>
      <c r="L59" s="6">
        <v>-223.1</v>
      </c>
      <c r="M59" s="6">
        <v>-201.9</v>
      </c>
      <c r="N59" s="6">
        <v>-218.9</v>
      </c>
      <c r="O59" s="6">
        <f>N59</f>
        <v>-218.9</v>
      </c>
    </row>
    <row r="60" spans="2:15">
      <c r="B60" t="s">
        <v>170</v>
      </c>
      <c r="C60" s="6">
        <f>SUM(C55:C59)</f>
        <v>14788.200000000003</v>
      </c>
      <c r="D60" s="6">
        <f>SUM(D55:D59)</f>
        <v>14481.099999999997</v>
      </c>
      <c r="E60" s="6">
        <f>SUM(E55:E59)</f>
        <v>15818.8</v>
      </c>
      <c r="F60" s="6">
        <f>SUM(F55:F59)</f>
        <v>16993.7</v>
      </c>
      <c r="G60" s="6">
        <f>SUM(G55:G59)</f>
        <v>15285.999999999998</v>
      </c>
      <c r="H60" s="6">
        <f>SUM(H55:H59)</f>
        <v>16006.1</v>
      </c>
      <c r="I60" s="6">
        <f>SUM(I55:I59)</f>
        <v>16106.300000000003</v>
      </c>
      <c r="J60" s="6">
        <f>SUM(J55:J59)</f>
        <v>15559.200000000003</v>
      </c>
      <c r="K60" s="6">
        <f>SUM(K55:K59)</f>
        <v>15502.800000000001</v>
      </c>
      <c r="L60" s="6">
        <f>SUM(L55:L59)</f>
        <v>16318.800000000001</v>
      </c>
      <c r="M60" s="6">
        <f>SUM(M55:M59)</f>
        <v>14871.1</v>
      </c>
      <c r="N60" s="6">
        <f>SUM(N55:N59)</f>
        <v>16001.100000000004</v>
      </c>
      <c r="O60" s="6">
        <f>N60</f>
        <v>16001.100000000004</v>
      </c>
    </row>
    <row r="62" spans="2:15">
      <c r="B62" s="8" t="s">
        <v>173</v>
      </c>
    </row>
    <row r="63" spans="2:15">
      <c r="C63" s="19" t="s">
        <v>70</v>
      </c>
      <c r="D63" s="19" t="s">
        <v>71</v>
      </c>
      <c r="E63" s="19" t="s">
        <v>72</v>
      </c>
      <c r="F63" s="19" t="s">
        <v>73</v>
      </c>
      <c r="G63" s="19" t="s">
        <v>50</v>
      </c>
      <c r="H63" s="19" t="s">
        <v>74</v>
      </c>
      <c r="I63" s="19" t="s">
        <v>75</v>
      </c>
      <c r="J63" s="19" t="s">
        <v>76</v>
      </c>
      <c r="K63" s="19" t="s">
        <v>77</v>
      </c>
      <c r="L63" s="19" t="s">
        <v>78</v>
      </c>
      <c r="M63" s="19" t="s">
        <v>79</v>
      </c>
      <c r="N63" s="19" t="s">
        <v>80</v>
      </c>
      <c r="O63" s="2" t="s">
        <v>165</v>
      </c>
    </row>
    <row r="64" spans="2:15">
      <c r="B64" t="s">
        <v>100</v>
      </c>
      <c r="C64" s="6">
        <v>6299</v>
      </c>
      <c r="D64" s="6">
        <v>6212.2</v>
      </c>
      <c r="E64" s="6">
        <v>6633.1</v>
      </c>
      <c r="F64" s="6">
        <v>7225.1</v>
      </c>
      <c r="G64" s="6">
        <v>6401.6</v>
      </c>
      <c r="H64" s="6">
        <v>6953.4</v>
      </c>
      <c r="I64" s="6">
        <v>6740.8</v>
      </c>
      <c r="J64" s="6">
        <v>6523.8</v>
      </c>
      <c r="K64" s="6">
        <v>6534.3</v>
      </c>
      <c r="L64" s="6">
        <v>6943.3</v>
      </c>
      <c r="M64" s="6">
        <v>6180.7</v>
      </c>
      <c r="N64" s="6">
        <v>6936</v>
      </c>
      <c r="O64" s="6">
        <f>SUM(C64:N64)</f>
        <v>79583.3</v>
      </c>
    </row>
    <row r="65" spans="2:15">
      <c r="B65" t="s">
        <v>111</v>
      </c>
      <c r="C65" s="6">
        <v>2189.8000000000002</v>
      </c>
      <c r="D65" s="6">
        <v>2169.3000000000002</v>
      </c>
      <c r="E65" s="6">
        <v>2271.8000000000002</v>
      </c>
      <c r="F65" s="6">
        <v>2472.1</v>
      </c>
      <c r="G65" s="6">
        <v>2201</v>
      </c>
      <c r="H65" s="6">
        <v>2416.6</v>
      </c>
      <c r="I65" s="6">
        <v>2327.3000000000002</v>
      </c>
      <c r="J65" s="6">
        <v>2263.8000000000002</v>
      </c>
      <c r="K65" s="6">
        <v>2235.3000000000002</v>
      </c>
      <c r="L65" s="6">
        <v>2429.4</v>
      </c>
      <c r="M65" s="6">
        <v>2147.5</v>
      </c>
      <c r="N65" s="6">
        <v>2394.6999999999998</v>
      </c>
      <c r="O65" s="6">
        <f>SUM(C65:N65)</f>
        <v>27518.600000000002</v>
      </c>
    </row>
    <row r="66" spans="2:15">
      <c r="B66" t="s">
        <v>112</v>
      </c>
      <c r="C66" s="6">
        <v>-1293.8</v>
      </c>
      <c r="D66" s="6">
        <v>-1284.0999999999999</v>
      </c>
      <c r="E66" s="6">
        <v>-1371.9</v>
      </c>
      <c r="F66" s="6">
        <v>-1475.9</v>
      </c>
      <c r="G66" s="6">
        <v>-1337.9</v>
      </c>
      <c r="H66" s="6">
        <v>-1425.4</v>
      </c>
      <c r="I66" s="6">
        <v>-1421.1</v>
      </c>
      <c r="J66" s="6">
        <v>-1374.3</v>
      </c>
      <c r="K66" s="6">
        <v>-1345.3</v>
      </c>
      <c r="L66" s="6">
        <v>-1440.8</v>
      </c>
      <c r="M66" s="6">
        <v>-1301.0999999999999</v>
      </c>
      <c r="N66" s="6">
        <v>-1409.2</v>
      </c>
      <c r="O66" s="6">
        <f>SUM(C66:N66)</f>
        <v>-16480.8</v>
      </c>
    </row>
    <row r="67" spans="2:15">
      <c r="B67" t="s">
        <v>113</v>
      </c>
      <c r="C67" s="6">
        <f>C65+C66</f>
        <v>896.00000000000023</v>
      </c>
      <c r="D67" s="6">
        <f>D65+D66</f>
        <v>885.20000000000027</v>
      </c>
      <c r="E67" s="6">
        <f>E65+E66</f>
        <v>899.90000000000009</v>
      </c>
      <c r="F67" s="6">
        <f>F65+F66</f>
        <v>996.19999999999982</v>
      </c>
      <c r="G67" s="6">
        <f>G65+G66</f>
        <v>863.09999999999991</v>
      </c>
      <c r="H67" s="6">
        <f>H65+H66</f>
        <v>991.19999999999982</v>
      </c>
      <c r="I67" s="6">
        <f>I65+I66</f>
        <v>906.20000000000027</v>
      </c>
      <c r="J67" s="6">
        <f>J65+J66</f>
        <v>889.50000000000023</v>
      </c>
      <c r="K67" s="6">
        <f>K65+K66</f>
        <v>890.00000000000023</v>
      </c>
      <c r="L67" s="6">
        <f>L65+L66</f>
        <v>988.60000000000014</v>
      </c>
      <c r="M67" s="6">
        <f>M65+M66</f>
        <v>846.40000000000009</v>
      </c>
      <c r="N67" s="6">
        <f>N65+N66</f>
        <v>985.49999999999977</v>
      </c>
      <c r="O67" s="6">
        <f>SUM(C67:N67)</f>
        <v>11037.8</v>
      </c>
    </row>
    <row r="68" spans="2:15">
      <c r="B68" t="s">
        <v>151</v>
      </c>
      <c r="C68" s="6">
        <v>11352.2</v>
      </c>
      <c r="D68" s="6">
        <v>11212.4</v>
      </c>
      <c r="E68" s="6">
        <v>12250.7</v>
      </c>
      <c r="F68" s="6">
        <v>13290.4</v>
      </c>
      <c r="G68" s="6">
        <v>11646.9</v>
      </c>
      <c r="H68" s="6">
        <v>12941.9</v>
      </c>
      <c r="I68" s="6">
        <v>12533.2</v>
      </c>
      <c r="J68" s="6">
        <v>11892.3</v>
      </c>
      <c r="K68" s="6">
        <v>11986.1</v>
      </c>
      <c r="L68" s="6">
        <v>12885.9</v>
      </c>
      <c r="M68" s="6">
        <v>11212.1</v>
      </c>
      <c r="N68" s="6">
        <v>12676.8</v>
      </c>
      <c r="O68" s="6">
        <f>N68</f>
        <v>12676.8</v>
      </c>
    </row>
    <row r="69" spans="2:15">
      <c r="B69" t="s">
        <v>152</v>
      </c>
      <c r="C69" s="6">
        <v>9658.5</v>
      </c>
      <c r="D69" s="6">
        <v>9525.4</v>
      </c>
      <c r="E69" s="6">
        <v>10170.799999999999</v>
      </c>
      <c r="F69" s="6">
        <v>11078.5</v>
      </c>
      <c r="G69" s="6">
        <v>9815.7999999999993</v>
      </c>
      <c r="H69" s="6">
        <v>10661.9</v>
      </c>
      <c r="I69" s="6">
        <v>10335.9</v>
      </c>
      <c r="J69" s="6">
        <v>10003.200000000001</v>
      </c>
      <c r="K69" s="6">
        <v>10019.299999999999</v>
      </c>
      <c r="L69" s="6">
        <v>10646.4</v>
      </c>
      <c r="M69" s="6">
        <v>9477.1</v>
      </c>
      <c r="N69" s="6">
        <v>10635.2</v>
      </c>
      <c r="O69" s="6">
        <f>N69</f>
        <v>10635.2</v>
      </c>
    </row>
    <row r="70" spans="2:15">
      <c r="B70" t="s">
        <v>153</v>
      </c>
      <c r="C70" s="6">
        <v>94.5</v>
      </c>
      <c r="D70" s="6">
        <v>93.2</v>
      </c>
      <c r="E70" s="6">
        <v>99.5</v>
      </c>
      <c r="F70" s="6">
        <v>108.4</v>
      </c>
      <c r="G70" s="6">
        <v>96</v>
      </c>
      <c r="H70" s="6">
        <v>104.3</v>
      </c>
      <c r="I70" s="6">
        <v>101.1</v>
      </c>
      <c r="J70" s="6">
        <v>97.9</v>
      </c>
      <c r="K70" s="6">
        <v>98</v>
      </c>
      <c r="L70" s="6">
        <v>104.1</v>
      </c>
      <c r="M70" s="6">
        <v>92.7</v>
      </c>
      <c r="N70" s="6">
        <v>104</v>
      </c>
      <c r="O70" s="6">
        <f>N70</f>
        <v>104</v>
      </c>
    </row>
    <row r="71" spans="2:15">
      <c r="B71" t="s">
        <v>154</v>
      </c>
      <c r="C71" s="6">
        <v>-5615.9</v>
      </c>
      <c r="D71" s="6">
        <v>-5525.3</v>
      </c>
      <c r="E71" s="6">
        <v>-5960.4</v>
      </c>
      <c r="F71" s="6">
        <v>-6495.8</v>
      </c>
      <c r="G71" s="6">
        <v>-5740.8</v>
      </c>
      <c r="H71" s="6">
        <v>-6200.3</v>
      </c>
      <c r="I71" s="6">
        <v>-6031.8</v>
      </c>
      <c r="J71" s="6">
        <v>-5822</v>
      </c>
      <c r="K71" s="6">
        <v>-5875.3</v>
      </c>
      <c r="L71" s="6">
        <v>-6169</v>
      </c>
      <c r="M71" s="6">
        <v>-5512</v>
      </c>
      <c r="N71" s="6">
        <v>-6206.4</v>
      </c>
      <c r="O71" s="6">
        <f>N71</f>
        <v>-6206.4</v>
      </c>
    </row>
    <row r="72" spans="2:15">
      <c r="B72" t="s">
        <v>155</v>
      </c>
      <c r="C72" s="6">
        <v>-189</v>
      </c>
      <c r="D72" s="6">
        <v>-186.4</v>
      </c>
      <c r="E72" s="6">
        <v>-199</v>
      </c>
      <c r="F72" s="6">
        <v>-216.8</v>
      </c>
      <c r="G72" s="6">
        <v>-192</v>
      </c>
      <c r="H72" s="6">
        <v>-208.6</v>
      </c>
      <c r="I72" s="6">
        <v>-202.2</v>
      </c>
      <c r="J72" s="6">
        <v>-195.7</v>
      </c>
      <c r="K72" s="6">
        <v>-196</v>
      </c>
      <c r="L72" s="6">
        <v>-208.3</v>
      </c>
      <c r="M72" s="6">
        <v>-185.4</v>
      </c>
      <c r="N72" s="6">
        <v>-208.1</v>
      </c>
      <c r="O72" s="6">
        <f>N72</f>
        <v>-208.1</v>
      </c>
    </row>
    <row r="73" spans="2:15">
      <c r="B73" t="s">
        <v>170</v>
      </c>
      <c r="C73" s="6">
        <f>SUM(C68:C72)</f>
        <v>15300.300000000001</v>
      </c>
      <c r="D73" s="6">
        <f>SUM(D68:D72)</f>
        <v>15119.300000000001</v>
      </c>
      <c r="E73" s="6">
        <f>SUM(E68:E72)</f>
        <v>16361.599999999999</v>
      </c>
      <c r="F73" s="6">
        <f>SUM(F68:F72)</f>
        <v>17764.700000000004</v>
      </c>
      <c r="G73" s="6">
        <f>SUM(G68:G72)</f>
        <v>15625.899999999998</v>
      </c>
      <c r="H73" s="6">
        <f>SUM(H68:H72)</f>
        <v>17299.2</v>
      </c>
      <c r="I73" s="6">
        <f>SUM(I68:I72)</f>
        <v>16736.199999999997</v>
      </c>
      <c r="J73" s="6">
        <f>SUM(J68:J72)</f>
        <v>15975.7</v>
      </c>
      <c r="K73" s="6">
        <f>SUM(K68:K72)</f>
        <v>16032.100000000002</v>
      </c>
      <c r="L73" s="6">
        <f>SUM(L68:L72)</f>
        <v>17259.099999999999</v>
      </c>
      <c r="M73" s="6">
        <f>SUM(M68:M72)</f>
        <v>15084.500000000002</v>
      </c>
      <c r="N73" s="6">
        <f>SUM(N68:N72)</f>
        <v>17001.5</v>
      </c>
      <c r="O73" s="6">
        <f>N73</f>
        <v>17001.5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23"/>
  <sheetViews>
    <sheetView showGridLines="0" workbookViewId="0"/>
  </sheetViews>
  <sheetFormatPr defaultRowHeight="15"/>
  <cols>
    <col min="2" max="2" width="28" customWidth="1"/>
    <col min="3" max="11" width="14" customWidth="1"/>
  </cols>
  <sheetData>
    <row r="1" spans="1:11">
      <c r="A1" t="s">
        <v>27</v>
      </c>
      <c r="B1" t="s">
        <v>32</v>
      </c>
      <c r="D1" s="3" t="s">
        <v>107</v>
      </c>
    </row>
    <row r="2" spans="1:11">
      <c r="A2" t="s">
        <v>28</v>
      </c>
      <c r="B2" t="s">
        <v>37</v>
      </c>
      <c r="D2" s="1" t="s">
        <v>24</v>
      </c>
    </row>
    <row r="4" spans="1:11">
      <c r="C4" s="8" t="s">
        <v>52</v>
      </c>
    </row>
    <row r="5" spans="1:11">
      <c r="C5" s="2" t="s">
        <v>91</v>
      </c>
      <c r="F5" s="2" t="s">
        <v>92</v>
      </c>
      <c r="I5" s="2" t="s">
        <v>81</v>
      </c>
    </row>
    <row r="6" spans="1:11" ht="30" customHeight="1">
      <c r="B6" s="2" t="s">
        <v>93</v>
      </c>
      <c r="C6" s="4" t="s">
        <v>94</v>
      </c>
      <c r="D6" s="4" t="s">
        <v>95</v>
      </c>
      <c r="E6" s="4" t="s">
        <v>96</v>
      </c>
      <c r="F6" s="4" t="s">
        <v>97</v>
      </c>
      <c r="G6" s="4" t="s">
        <v>98</v>
      </c>
      <c r="H6" s="4" t="s">
        <v>99</v>
      </c>
      <c r="I6" s="4" t="s">
        <v>97</v>
      </c>
      <c r="J6" s="4" t="s">
        <v>98</v>
      </c>
      <c r="K6" s="4" t="s">
        <v>99</v>
      </c>
    </row>
    <row r="8" spans="1:11">
      <c r="B8" s="2" t="s">
        <v>100</v>
      </c>
      <c r="C8" s="6">
        <f>Granite!BU28</f>
        <v>-430</v>
      </c>
      <c r="D8" s="6">
        <f>Granite!BV28</f>
        <v>-2792.4000000000015</v>
      </c>
      <c r="E8" s="6">
        <f>Granite!BW28</f>
        <v>-1464.4000000000015</v>
      </c>
      <c r="F8" s="6">
        <f>Granite!BY28</f>
        <v>-750</v>
      </c>
      <c r="G8" s="6">
        <f>Granite!BZ28</f>
        <v>-1450.9000000000015</v>
      </c>
      <c r="H8" s="6">
        <f>Granite!CA28</f>
        <v>-1011.1999999999989</v>
      </c>
      <c r="I8" s="6">
        <f>Granite!CC28</f>
        <v>-1180</v>
      </c>
      <c r="J8" s="6">
        <f>Granite!CD28</f>
        <v>-4243.3000000000029</v>
      </c>
      <c r="K8" s="6">
        <f>Granite!CE28</f>
        <v>-2475.5999999999985</v>
      </c>
    </row>
    <row r="10" spans="1:11">
      <c r="B10" s="2" t="s">
        <v>111</v>
      </c>
      <c r="C10" s="6">
        <f>Granite!BU29</f>
        <v>-265</v>
      </c>
      <c r="D10" s="6">
        <f>Granite!BV29</f>
        <v>-1639.9000000000015</v>
      </c>
      <c r="E10" s="6">
        <f>Granite!BW29</f>
        <v>-1517.3000000000011</v>
      </c>
      <c r="F10" s="6">
        <f>Granite!BY29</f>
        <v>-260</v>
      </c>
      <c r="G10" s="6">
        <f>Granite!BZ29</f>
        <v>-712.20000000000073</v>
      </c>
      <c r="H10" s="6">
        <f>Granite!CA29</f>
        <v>-668.90000000000055</v>
      </c>
      <c r="I10" s="6">
        <f>Granite!CC29</f>
        <v>-525</v>
      </c>
      <c r="J10" s="6">
        <f>Granite!CD29</f>
        <v>-2352.1000000000022</v>
      </c>
      <c r="K10" s="6">
        <f>Granite!CE29</f>
        <v>-2186.2000000000044</v>
      </c>
    </row>
    <row r="12" spans="1:11">
      <c r="B12" s="2" t="s">
        <v>112</v>
      </c>
      <c r="C12" s="6">
        <f>Granite!BU30</f>
        <v>42</v>
      </c>
      <c r="D12" s="6">
        <f>Granite!BV30</f>
        <v>254.5</v>
      </c>
      <c r="E12" s="6">
        <f>Granite!BW30</f>
        <v>48.399999999999636</v>
      </c>
      <c r="F12" s="6">
        <f>Granite!BY30</f>
        <v>132</v>
      </c>
      <c r="G12" s="6">
        <f>Granite!BZ30</f>
        <v>219.70000000000027</v>
      </c>
      <c r="H12" s="6">
        <f>Granite!CA30</f>
        <v>161.40000000000055</v>
      </c>
      <c r="I12" s="6">
        <f>Granite!CC30</f>
        <v>174</v>
      </c>
      <c r="J12" s="6">
        <f>Granite!CD30</f>
        <v>474.20000000000073</v>
      </c>
      <c r="K12" s="6">
        <f>Granite!CE30</f>
        <v>209.79999999999927</v>
      </c>
    </row>
    <row r="14" spans="1:11">
      <c r="B14" s="2" t="s">
        <v>113</v>
      </c>
      <c r="C14" s="6">
        <f>Granite!BU31</f>
        <v>-223</v>
      </c>
      <c r="D14" s="6">
        <f>Granite!BV31</f>
        <v>-1385.4000000000005</v>
      </c>
      <c r="E14" s="6">
        <f>Granite!BW31</f>
        <v>-1468.8999999999996</v>
      </c>
      <c r="F14" s="6">
        <f>Granite!BY31</f>
        <v>-128</v>
      </c>
      <c r="G14" s="6">
        <f>Granite!BZ31</f>
        <v>-492.49999999999977</v>
      </c>
      <c r="H14" s="6">
        <f>Granite!CA31</f>
        <v>-507.49999999999955</v>
      </c>
      <c r="I14" s="6">
        <f>Granite!CC31</f>
        <v>-351</v>
      </c>
      <c r="J14" s="6">
        <f>Granite!CD31</f>
        <v>-1877.9000000000005</v>
      </c>
      <c r="K14" s="6">
        <f>Granite!CE31</f>
        <v>-1976.3999999999996</v>
      </c>
    </row>
    <row r="17" spans="2:11">
      <c r="B17" s="8" t="s">
        <v>126</v>
      </c>
    </row>
    <row r="18" spans="2:11">
      <c r="B18" s="24"/>
      <c r="C18" s="25"/>
      <c r="D18" s="25"/>
      <c r="E18" s="25"/>
      <c r="F18" s="25"/>
      <c r="G18" s="25"/>
      <c r="H18" s="25"/>
      <c r="I18" s="25"/>
      <c r="J18" s="25"/>
      <c r="K18" s="25"/>
    </row>
    <row r="19" spans="2:11">
      <c r="B19" s="24"/>
      <c r="C19" s="25"/>
      <c r="D19" s="25"/>
      <c r="E19" s="25"/>
      <c r="F19" s="25"/>
      <c r="G19" s="25"/>
      <c r="H19" s="25"/>
      <c r="I19" s="25"/>
      <c r="J19" s="25"/>
      <c r="K19" s="25"/>
    </row>
    <row r="20" spans="2:11">
      <c r="B20" s="24"/>
      <c r="C20" s="25"/>
      <c r="D20" s="25"/>
      <c r="E20" s="25"/>
      <c r="F20" s="25"/>
      <c r="G20" s="25"/>
      <c r="H20" s="25"/>
      <c r="I20" s="25"/>
      <c r="J20" s="25"/>
      <c r="K20" s="25"/>
    </row>
    <row r="21" spans="2:11">
      <c r="B21" s="24"/>
      <c r="C21" s="25"/>
      <c r="D21" s="25"/>
      <c r="E21" s="25"/>
      <c r="F21" s="25"/>
      <c r="G21" s="25"/>
      <c r="H21" s="25"/>
      <c r="I21" s="25"/>
      <c r="J21" s="25"/>
      <c r="K21" s="25"/>
    </row>
    <row r="22" spans="2:11">
      <c r="B22" s="24"/>
      <c r="C22" s="25"/>
      <c r="D22" s="25"/>
      <c r="E22" s="25"/>
      <c r="F22" s="25"/>
      <c r="G22" s="25"/>
      <c r="H22" s="25"/>
      <c r="I22" s="25"/>
      <c r="J22" s="25"/>
      <c r="K22" s="25"/>
    </row>
    <row r="23" spans="2:11">
      <c r="B23" s="24"/>
      <c r="C23" s="25"/>
      <c r="D23" s="25"/>
      <c r="E23" s="25"/>
      <c r="F23" s="25"/>
      <c r="G23" s="25"/>
      <c r="H23" s="25"/>
      <c r="I23" s="25"/>
      <c r="J23" s="25"/>
      <c r="K23" s="25"/>
    </row>
  </sheetData>
  <mergeCells count="6">
    <mergeCell ref="B23:K23"/>
    <mergeCell ref="B22:K22"/>
    <mergeCell ref="B18:K18"/>
    <mergeCell ref="B21:K21"/>
    <mergeCell ref="B20:K20"/>
    <mergeCell ref="B19:K1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97"/>
  <sheetViews>
    <sheetView showGridLines="0" workbookViewId="0">
      <pane xSplit="2" ySplit="4" topLeftCell="C5" activePane="bottomRight" state="frozen"/>
      <selection pane="bottomRight"/>
      <selection pane="bottomLeft"/>
      <selection pane="topRight"/>
    </sheetView>
  </sheetViews>
  <sheetFormatPr defaultRowHeight="15"/>
  <cols>
    <col min="1" max="1" width="7" customWidth="1"/>
    <col min="2" max="2" width="52" customWidth="1"/>
    <col min="3" max="15" width="11" customWidth="1"/>
  </cols>
  <sheetData>
    <row r="1" spans="1:15">
      <c r="A1" t="s">
        <v>114</v>
      </c>
      <c r="C1">
        <v>21</v>
      </c>
      <c r="D1">
        <v>20</v>
      </c>
      <c r="E1">
        <v>22</v>
      </c>
      <c r="F1">
        <v>22</v>
      </c>
      <c r="G1">
        <v>20</v>
      </c>
      <c r="H1">
        <v>22</v>
      </c>
      <c r="I1">
        <v>22</v>
      </c>
      <c r="J1">
        <v>21</v>
      </c>
      <c r="K1">
        <v>21</v>
      </c>
      <c r="L1">
        <v>22</v>
      </c>
      <c r="M1">
        <v>19</v>
      </c>
      <c r="N1">
        <v>22</v>
      </c>
      <c r="O1">
        <f>SUM(C1:N1)</f>
        <v>254</v>
      </c>
    </row>
    <row r="2" spans="1:15">
      <c r="B2" s="8" t="s">
        <v>127</v>
      </c>
    </row>
    <row r="3" spans="1:15">
      <c r="B3" s="1" t="s">
        <v>24</v>
      </c>
    </row>
    <row r="4" spans="1:15">
      <c r="C4" s="4" t="s">
        <v>70</v>
      </c>
      <c r="D4" s="4" t="s">
        <v>71</v>
      </c>
      <c r="E4" s="4" t="s">
        <v>72</v>
      </c>
      <c r="F4" s="4" t="s">
        <v>73</v>
      </c>
      <c r="G4" s="4" t="s">
        <v>50</v>
      </c>
      <c r="H4" s="4" t="s">
        <v>74</v>
      </c>
      <c r="I4" s="4" t="s">
        <v>75</v>
      </c>
      <c r="J4" s="4" t="s">
        <v>76</v>
      </c>
      <c r="K4" s="4" t="s">
        <v>77</v>
      </c>
      <c r="L4" s="4" t="s">
        <v>78</v>
      </c>
      <c r="M4" s="4" t="s">
        <v>79</v>
      </c>
      <c r="N4" s="4" t="s">
        <v>80</v>
      </c>
      <c r="O4" s="4" t="s">
        <v>174</v>
      </c>
    </row>
    <row r="5" spans="1:15">
      <c r="B5" s="2" t="s">
        <v>100</v>
      </c>
    </row>
    <row r="6" spans="1:15">
      <c r="B6" t="s">
        <v>200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20">
        <v>-250</v>
      </c>
      <c r="L6" s="20">
        <v>-250</v>
      </c>
      <c r="M6" s="20">
        <v>-200</v>
      </c>
      <c r="N6" s="20">
        <v>0</v>
      </c>
      <c r="O6" s="6">
        <f>SUM(C6:N6)</f>
        <v>-700</v>
      </c>
    </row>
    <row r="7" spans="1:15">
      <c r="B7" t="s">
        <v>201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20">
        <v>-180</v>
      </c>
      <c r="L7" s="20">
        <v>0</v>
      </c>
      <c r="M7" s="20">
        <v>0</v>
      </c>
      <c r="N7" s="20">
        <v>0</v>
      </c>
      <c r="O7" s="6">
        <f>SUM(C7:N7)</f>
        <v>-180</v>
      </c>
    </row>
    <row r="8" spans="1:15">
      <c r="B8" t="s">
        <v>200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20">
        <v>0</v>
      </c>
      <c r="L8" s="20">
        <v>0</v>
      </c>
      <c r="M8" s="20">
        <v>0</v>
      </c>
      <c r="N8" s="20">
        <v>-300</v>
      </c>
      <c r="O8" s="6">
        <f>SUM(C8:N8)</f>
        <v>-300</v>
      </c>
    </row>
    <row r="9" spans="1:15">
      <c r="B9" t="s">
        <v>178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20">
        <v>0</v>
      </c>
      <c r="L9" s="20">
        <v>0</v>
      </c>
      <c r="M9" s="20">
        <v>0</v>
      </c>
      <c r="N9" s="20">
        <v>0</v>
      </c>
      <c r="O9" s="6">
        <f>SUM(C9:N9)</f>
        <v>0</v>
      </c>
    </row>
    <row r="10" spans="1:15">
      <c r="B10" t="s">
        <v>179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20">
        <v>0</v>
      </c>
      <c r="L10" s="20">
        <v>0</v>
      </c>
      <c r="M10" s="20">
        <v>0</v>
      </c>
      <c r="N10" s="20">
        <v>0</v>
      </c>
      <c r="O10" s="6">
        <f>SUM(C10:N10)</f>
        <v>0</v>
      </c>
    </row>
    <row r="11" spans="1:15">
      <c r="B11" t="s">
        <v>180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20">
        <v>0</v>
      </c>
      <c r="L11" s="20">
        <v>0</v>
      </c>
      <c r="M11" s="20">
        <v>0</v>
      </c>
      <c r="N11" s="20">
        <v>0</v>
      </c>
      <c r="O11" s="6">
        <f>SUM(C11:N11)</f>
        <v>0</v>
      </c>
    </row>
    <row r="12" spans="1:15">
      <c r="B12" t="s">
        <v>181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20">
        <v>0</v>
      </c>
      <c r="L12" s="20">
        <v>0</v>
      </c>
      <c r="M12" s="20">
        <v>0</v>
      </c>
      <c r="N12" s="20">
        <v>0</v>
      </c>
      <c r="O12" s="6">
        <f>SUM(C12:N12)</f>
        <v>0</v>
      </c>
    </row>
    <row r="13" spans="1:15">
      <c r="B13" t="s">
        <v>182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20">
        <v>0</v>
      </c>
      <c r="L13" s="20">
        <v>0</v>
      </c>
      <c r="M13" s="20">
        <v>0</v>
      </c>
      <c r="N13" s="20">
        <v>0</v>
      </c>
      <c r="O13" s="6">
        <f>SUM(C13:N13)</f>
        <v>0</v>
      </c>
    </row>
    <row r="14" spans="1:15">
      <c r="B14" s="2" t="s">
        <v>131</v>
      </c>
      <c r="C14" s="9">
        <f>SUM(C6:C13)</f>
        <v>0</v>
      </c>
      <c r="D14" s="9">
        <f>SUM(D6:D13)</f>
        <v>0</v>
      </c>
      <c r="E14" s="9">
        <f>SUM(E6:E13)</f>
        <v>0</v>
      </c>
      <c r="F14" s="9">
        <f>SUM(F6:F13)</f>
        <v>0</v>
      </c>
      <c r="G14" s="9">
        <f>SUM(G6:G13)</f>
        <v>0</v>
      </c>
      <c r="H14" s="9">
        <f>SUM(H6:H13)</f>
        <v>0</v>
      </c>
      <c r="I14" s="9">
        <f>SUM(I6:I13)</f>
        <v>0</v>
      </c>
      <c r="J14" s="9">
        <f>SUM(J6:J13)</f>
        <v>0</v>
      </c>
      <c r="K14" s="9">
        <f>SUM(K6:K13)</f>
        <v>-430</v>
      </c>
      <c r="L14" s="9">
        <f>SUM(L6:L13)</f>
        <v>-250</v>
      </c>
      <c r="M14" s="9">
        <f>SUM(M6:M13)</f>
        <v>-200</v>
      </c>
      <c r="N14" s="9">
        <f>SUM(N6:N13)</f>
        <v>-300</v>
      </c>
      <c r="O14" s="9">
        <f>SUM(O6:O13)</f>
        <v>-1180</v>
      </c>
    </row>
    <row r="16" spans="1:15">
      <c r="B16" s="2" t="s">
        <v>132</v>
      </c>
    </row>
    <row r="17" spans="2:15">
      <c r="B17" t="str">
        <f>B6</f>
        <v>Backorders due to inventory availability</v>
      </c>
      <c r="C17" s="12">
        <f>IFERROR(C28/C6,0)</f>
        <v>0</v>
      </c>
      <c r="D17" s="12">
        <f>IFERROR(D28/D6,0)</f>
        <v>0</v>
      </c>
      <c r="E17" s="12">
        <f>IFERROR(E28/E6,0)</f>
        <v>0</v>
      </c>
      <c r="F17" s="12">
        <f>IFERROR(F28/F6,0)</f>
        <v>0</v>
      </c>
      <c r="G17" s="12">
        <f>IFERROR(G28/G6,0)</f>
        <v>0</v>
      </c>
      <c r="H17" s="12">
        <f>IFERROR(H28/H6,0)</f>
        <v>0</v>
      </c>
      <c r="I17" s="12">
        <f>IFERROR(I28/I6,0)</f>
        <v>0</v>
      </c>
      <c r="J17" s="12">
        <f>IFERROR(J28/J6,0)</f>
        <v>0</v>
      </c>
      <c r="K17" s="12">
        <f>IFERROR(K28/K6,0)</f>
        <v>0.3</v>
      </c>
      <c r="L17" s="12">
        <f>IFERROR(L28/L6,0)</f>
        <v>0.3</v>
      </c>
      <c r="M17" s="12">
        <f>IFERROR(M28/M6,0)</f>
        <v>0.3</v>
      </c>
      <c r="N17" s="12">
        <f>IFERROR(N28/N6,0)</f>
        <v>0</v>
      </c>
      <c r="O17" s="12">
        <f>IFERROR(O28/O6,0)</f>
        <v>0.3</v>
      </c>
    </row>
    <row r="18" spans="2:15">
      <c r="B18" t="str">
        <f>B7</f>
        <v>Rebate true-up - buying group</v>
      </c>
      <c r="C18" s="12">
        <f>IFERROR(C29/C7,0)</f>
        <v>0</v>
      </c>
      <c r="D18" s="12">
        <f>IFERROR(D29/D7,0)</f>
        <v>0</v>
      </c>
      <c r="E18" s="12">
        <f>IFERROR(E29/E7,0)</f>
        <v>0</v>
      </c>
      <c r="F18" s="12">
        <f>IFERROR(F29/F7,0)</f>
        <v>0</v>
      </c>
      <c r="G18" s="12">
        <f>IFERROR(G29/G7,0)</f>
        <v>0</v>
      </c>
      <c r="H18" s="12">
        <f>IFERROR(H29/H7,0)</f>
        <v>0</v>
      </c>
      <c r="I18" s="12">
        <f>IFERROR(I29/I7,0)</f>
        <v>0</v>
      </c>
      <c r="J18" s="12">
        <f>IFERROR(J29/J7,0)</f>
        <v>0</v>
      </c>
      <c r="K18" s="12">
        <f>IFERROR(K29/K7,0)</f>
        <v>1</v>
      </c>
      <c r="L18" s="12">
        <f>IFERROR(L29/L7,0)</f>
        <v>0</v>
      </c>
      <c r="M18" s="12">
        <f>IFERROR(M29/M7,0)</f>
        <v>0</v>
      </c>
      <c r="N18" s="12">
        <f>IFERROR(N29/N7,0)</f>
        <v>0</v>
      </c>
      <c r="O18" s="12">
        <f>IFERROR(O29/O7,0)</f>
        <v>1</v>
      </c>
    </row>
    <row r="19" spans="2:15">
      <c r="B19" t="str">
        <f>B8</f>
        <v>Backorders due to inventory availability</v>
      </c>
      <c r="C19" s="12">
        <f>IFERROR(C30/C8,0)</f>
        <v>0</v>
      </c>
      <c r="D19" s="12">
        <f>IFERROR(D30/D8,0)</f>
        <v>0</v>
      </c>
      <c r="E19" s="12">
        <f>IFERROR(E30/E8,0)</f>
        <v>0</v>
      </c>
      <c r="F19" s="12">
        <f>IFERROR(F30/F8,0)</f>
        <v>0</v>
      </c>
      <c r="G19" s="12">
        <f>IFERROR(G30/G8,0)</f>
        <v>0</v>
      </c>
      <c r="H19" s="12">
        <f>IFERROR(H30/H8,0)</f>
        <v>0</v>
      </c>
      <c r="I19" s="12">
        <f>IFERROR(I30/I8,0)</f>
        <v>0</v>
      </c>
      <c r="J19" s="12">
        <f>IFERROR(J30/J8,0)</f>
        <v>0</v>
      </c>
      <c r="K19" s="12">
        <f>IFERROR(K30/K8,0)</f>
        <v>0</v>
      </c>
      <c r="L19" s="12">
        <f>IFERROR(L30/L8,0)</f>
        <v>0</v>
      </c>
      <c r="M19" s="12">
        <f>IFERROR(M30/M8,0)</f>
        <v>0</v>
      </c>
      <c r="N19" s="12">
        <f>IFERROR(N30/N8,0)</f>
        <v>6.6666666666666666E-2</v>
      </c>
      <c r="O19" s="12">
        <f>IFERROR(O30/O8,0)</f>
        <v>0.3</v>
      </c>
    </row>
    <row r="20" spans="2:15">
      <c r="B20" t="str">
        <f>B9</f>
        <v>Insert Adj. 4</v>
      </c>
      <c r="C20" s="12">
        <f>IFERROR(C31/C9,0)</f>
        <v>0</v>
      </c>
      <c r="D20" s="12">
        <f>IFERROR(D31/D9,0)</f>
        <v>0</v>
      </c>
      <c r="E20" s="12">
        <f>IFERROR(E31/E9,0)</f>
        <v>0</v>
      </c>
      <c r="F20" s="12">
        <f>IFERROR(F31/F9,0)</f>
        <v>0</v>
      </c>
      <c r="G20" s="12">
        <f>IFERROR(G31/G9,0)</f>
        <v>0</v>
      </c>
      <c r="H20" s="12">
        <f>IFERROR(H31/H9,0)</f>
        <v>0</v>
      </c>
      <c r="I20" s="12">
        <f>IFERROR(I31/I9,0)</f>
        <v>0</v>
      </c>
      <c r="J20" s="12">
        <f>IFERROR(J31/J9,0)</f>
        <v>0</v>
      </c>
      <c r="K20" s="12">
        <f>IFERROR(K31/K9,0)</f>
        <v>0</v>
      </c>
      <c r="L20" s="12">
        <f>IFERROR(L31/L9,0)</f>
        <v>0</v>
      </c>
      <c r="M20" s="12">
        <f>IFERROR(M31/M9,0)</f>
        <v>0</v>
      </c>
      <c r="N20" s="12">
        <f>IFERROR(N31/N9,0)</f>
        <v>0</v>
      </c>
      <c r="O20" s="12">
        <f>IFERROR(O31/O9,0)</f>
        <v>0</v>
      </c>
    </row>
    <row r="21" spans="2:15">
      <c r="B21" t="str">
        <f>B10</f>
        <v>Insert Adj. 5</v>
      </c>
      <c r="C21" s="12">
        <f>IFERROR(C32/C10,0)</f>
        <v>0</v>
      </c>
      <c r="D21" s="12">
        <f>IFERROR(D32/D10,0)</f>
        <v>0</v>
      </c>
      <c r="E21" s="12">
        <f>IFERROR(E32/E10,0)</f>
        <v>0</v>
      </c>
      <c r="F21" s="12">
        <f>IFERROR(F32/F10,0)</f>
        <v>0</v>
      </c>
      <c r="G21" s="12">
        <f>IFERROR(G32/G10,0)</f>
        <v>0</v>
      </c>
      <c r="H21" s="12">
        <f>IFERROR(H32/H10,0)</f>
        <v>0</v>
      </c>
      <c r="I21" s="12">
        <f>IFERROR(I32/I10,0)</f>
        <v>0</v>
      </c>
      <c r="J21" s="12">
        <f>IFERROR(J32/J10,0)</f>
        <v>0</v>
      </c>
      <c r="K21" s="12">
        <f>IFERROR(K32/K10,0)</f>
        <v>0</v>
      </c>
      <c r="L21" s="12">
        <f>IFERROR(L32/L10,0)</f>
        <v>0</v>
      </c>
      <c r="M21" s="12">
        <f>IFERROR(M32/M10,0)</f>
        <v>0</v>
      </c>
      <c r="N21" s="12">
        <f>IFERROR(N32/N10,0)</f>
        <v>0</v>
      </c>
      <c r="O21" s="12">
        <f>IFERROR(O32/O10,0)</f>
        <v>0</v>
      </c>
    </row>
    <row r="22" spans="2:15">
      <c r="B22" t="str">
        <f>B11</f>
        <v>Insert Adj. 6</v>
      </c>
      <c r="C22" s="12">
        <f>IFERROR(C33/C11,0)</f>
        <v>0</v>
      </c>
      <c r="D22" s="12">
        <f>IFERROR(D33/D11,0)</f>
        <v>0</v>
      </c>
      <c r="E22" s="12">
        <f>IFERROR(E33/E11,0)</f>
        <v>0</v>
      </c>
      <c r="F22" s="12">
        <f>IFERROR(F33/F11,0)</f>
        <v>0</v>
      </c>
      <c r="G22" s="12">
        <f>IFERROR(G33/G11,0)</f>
        <v>0</v>
      </c>
      <c r="H22" s="12">
        <f>IFERROR(H33/H11,0)</f>
        <v>0</v>
      </c>
      <c r="I22" s="12">
        <f>IFERROR(I33/I11,0)</f>
        <v>0</v>
      </c>
      <c r="J22" s="12">
        <f>IFERROR(J33/J11,0)</f>
        <v>0</v>
      </c>
      <c r="K22" s="12">
        <f>IFERROR(K33/K11,0)</f>
        <v>0</v>
      </c>
      <c r="L22" s="12">
        <f>IFERROR(L33/L11,0)</f>
        <v>0</v>
      </c>
      <c r="M22" s="12">
        <f>IFERROR(M33/M11,0)</f>
        <v>0</v>
      </c>
      <c r="N22" s="12">
        <f>IFERROR(N33/N11,0)</f>
        <v>0</v>
      </c>
      <c r="O22" s="12">
        <f>IFERROR(O33/O11,0)</f>
        <v>0</v>
      </c>
    </row>
    <row r="23" spans="2:15">
      <c r="B23" t="str">
        <f>B12</f>
        <v>Insert Adj. 7</v>
      </c>
      <c r="C23" s="12">
        <f>IFERROR(C34/C12,0)</f>
        <v>0</v>
      </c>
      <c r="D23" s="12">
        <f>IFERROR(D34/D12,0)</f>
        <v>0</v>
      </c>
      <c r="E23" s="12">
        <f>IFERROR(E34/E12,0)</f>
        <v>0</v>
      </c>
      <c r="F23" s="12">
        <f>IFERROR(F34/F12,0)</f>
        <v>0</v>
      </c>
      <c r="G23" s="12">
        <f>IFERROR(G34/G12,0)</f>
        <v>0</v>
      </c>
      <c r="H23" s="12">
        <f>IFERROR(H34/H12,0)</f>
        <v>0</v>
      </c>
      <c r="I23" s="12">
        <f>IFERROR(I34/I12,0)</f>
        <v>0</v>
      </c>
      <c r="J23" s="12">
        <f>IFERROR(J34/J12,0)</f>
        <v>0</v>
      </c>
      <c r="K23" s="12">
        <f>IFERROR(K34/K12,0)</f>
        <v>0</v>
      </c>
      <c r="L23" s="12">
        <f>IFERROR(L34/L12,0)</f>
        <v>0</v>
      </c>
      <c r="M23" s="12">
        <f>IFERROR(M34/M12,0)</f>
        <v>0</v>
      </c>
      <c r="N23" s="12">
        <f>IFERROR(N34/N12,0)</f>
        <v>0</v>
      </c>
      <c r="O23" s="12">
        <f>IFERROR(O34/O12,0)</f>
        <v>0</v>
      </c>
    </row>
    <row r="24" spans="2:15">
      <c r="B24" t="str">
        <f>B13</f>
        <v>Insert Adj. 8</v>
      </c>
      <c r="C24" s="12">
        <f>IFERROR(C35/C13,0)</f>
        <v>0</v>
      </c>
      <c r="D24" s="12">
        <f>IFERROR(D35/D13,0)</f>
        <v>0</v>
      </c>
      <c r="E24" s="12">
        <f>IFERROR(E35/E13,0)</f>
        <v>0</v>
      </c>
      <c r="F24" s="12">
        <f>IFERROR(F35/F13,0)</f>
        <v>0</v>
      </c>
      <c r="G24" s="12">
        <f>IFERROR(G35/G13,0)</f>
        <v>0</v>
      </c>
      <c r="H24" s="12">
        <f>IFERROR(H35/H13,0)</f>
        <v>0</v>
      </c>
      <c r="I24" s="12">
        <f>IFERROR(I35/I13,0)</f>
        <v>0</v>
      </c>
      <c r="J24" s="12">
        <f>IFERROR(J35/J13,0)</f>
        <v>0</v>
      </c>
      <c r="K24" s="12">
        <f>IFERROR(K35/K13,0)</f>
        <v>0</v>
      </c>
      <c r="L24" s="12">
        <f>IFERROR(L35/L13,0)</f>
        <v>0</v>
      </c>
      <c r="M24" s="12">
        <f>IFERROR(M35/M13,0)</f>
        <v>0</v>
      </c>
      <c r="N24" s="12">
        <f>IFERROR(N35/N13,0)</f>
        <v>0</v>
      </c>
      <c r="O24" s="12">
        <f>IFERROR(O35/O13,0)</f>
        <v>0</v>
      </c>
    </row>
    <row r="25" spans="2:15">
      <c r="B25" s="2" t="s">
        <v>133</v>
      </c>
      <c r="C25" s="14">
        <f>IFERROR(C36/C14,0)</f>
        <v>0</v>
      </c>
      <c r="D25" s="14">
        <f>IFERROR(D36/D14,0)</f>
        <v>0</v>
      </c>
      <c r="E25" s="14">
        <f>IFERROR(E36/E14,0)</f>
        <v>0</v>
      </c>
      <c r="F25" s="14">
        <f>IFERROR(F36/F14,0)</f>
        <v>0</v>
      </c>
      <c r="G25" s="14">
        <f>IFERROR(G36/G14,0)</f>
        <v>0</v>
      </c>
      <c r="H25" s="14">
        <f>IFERROR(H36/H14,0)</f>
        <v>0</v>
      </c>
      <c r="I25" s="14">
        <f>IFERROR(I36/I14,0)</f>
        <v>0</v>
      </c>
      <c r="J25" s="14">
        <f>IFERROR(J36/J14,0)</f>
        <v>0</v>
      </c>
      <c r="K25" s="14">
        <f>IFERROR(K36/K14,0)</f>
        <v>0.61627906976744184</v>
      </c>
      <c r="L25" s="14">
        <f>IFERROR(L36/L14,0)</f>
        <v>0.50800000000000001</v>
      </c>
      <c r="M25" s="14">
        <f>IFERROR(M36/M14,0)</f>
        <v>0.51</v>
      </c>
      <c r="N25" s="14">
        <f>IFERROR(N36/N14,0)</f>
        <v>0.10333333333333333</v>
      </c>
      <c r="O25" s="14">
        <f>IFERROR(O36/O14,0)</f>
        <v>0.44491525423728812</v>
      </c>
    </row>
    <row r="27" spans="2:15">
      <c r="B27" s="2" t="s">
        <v>134</v>
      </c>
    </row>
    <row r="28" spans="2:15">
      <c r="B28" t="s">
        <v>200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20">
        <v>-75</v>
      </c>
      <c r="L28" s="20">
        <v>-75</v>
      </c>
      <c r="M28" s="20">
        <v>-60</v>
      </c>
      <c r="N28" s="20">
        <v>0</v>
      </c>
      <c r="O28" s="6">
        <f>SUM(C28:N28)</f>
        <v>-210</v>
      </c>
    </row>
    <row r="29" spans="2:15">
      <c r="B29" t="s">
        <v>201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20">
        <v>-180</v>
      </c>
      <c r="L29" s="20">
        <v>0</v>
      </c>
      <c r="M29" s="20">
        <v>0</v>
      </c>
      <c r="N29" s="20">
        <v>0</v>
      </c>
      <c r="O29" s="6">
        <f>SUM(C29:N29)</f>
        <v>-180</v>
      </c>
    </row>
    <row r="30" spans="2:15">
      <c r="B30" t="s">
        <v>202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20">
        <v>0</v>
      </c>
      <c r="L30" s="20">
        <v>-40</v>
      </c>
      <c r="M30" s="20">
        <v>-30</v>
      </c>
      <c r="N30" s="20">
        <v>-20</v>
      </c>
      <c r="O30" s="6">
        <f>SUM(C30:N30)</f>
        <v>-90</v>
      </c>
    </row>
    <row r="31" spans="2:15">
      <c r="B31" t="s">
        <v>203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20">
        <v>-10</v>
      </c>
      <c r="L31" s="20">
        <v>-12</v>
      </c>
      <c r="M31" s="20">
        <v>-12</v>
      </c>
      <c r="N31" s="20">
        <v>-11</v>
      </c>
      <c r="O31" s="6">
        <f>SUM(C31:N31)</f>
        <v>-45</v>
      </c>
    </row>
    <row r="32" spans="2:15">
      <c r="B32" t="s">
        <v>179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20">
        <v>0</v>
      </c>
      <c r="L32" s="20">
        <v>0</v>
      </c>
      <c r="M32" s="20">
        <v>0</v>
      </c>
      <c r="N32" s="20">
        <v>0</v>
      </c>
      <c r="O32" s="6">
        <f>SUM(C32:N32)</f>
        <v>0</v>
      </c>
    </row>
    <row r="33" spans="2:15">
      <c r="B33" t="s">
        <v>180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20">
        <v>0</v>
      </c>
      <c r="L33" s="20">
        <v>0</v>
      </c>
      <c r="M33" s="20">
        <v>0</v>
      </c>
      <c r="N33" s="20">
        <v>0</v>
      </c>
      <c r="O33" s="6">
        <f>SUM(C33:N33)</f>
        <v>0</v>
      </c>
    </row>
    <row r="34" spans="2:15">
      <c r="B34" t="s">
        <v>181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20">
        <v>0</v>
      </c>
      <c r="L34" s="20">
        <v>0</v>
      </c>
      <c r="M34" s="20">
        <v>0</v>
      </c>
      <c r="N34" s="20">
        <v>0</v>
      </c>
      <c r="O34" s="6">
        <f>SUM(C34:N34)</f>
        <v>0</v>
      </c>
    </row>
    <row r="35" spans="2:15">
      <c r="B35" t="s">
        <v>182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20">
        <v>0</v>
      </c>
      <c r="L35" s="20">
        <v>0</v>
      </c>
      <c r="M35" s="20">
        <v>0</v>
      </c>
      <c r="N35" s="20">
        <v>0</v>
      </c>
      <c r="O35" s="6">
        <f>SUM(C35:N35)</f>
        <v>0</v>
      </c>
    </row>
    <row r="36" spans="2:15">
      <c r="B36" s="2" t="s">
        <v>135</v>
      </c>
      <c r="C36" s="9">
        <f>SUM(C28:C35)</f>
        <v>0</v>
      </c>
      <c r="D36" s="9">
        <f>SUM(D28:D35)</f>
        <v>0</v>
      </c>
      <c r="E36" s="9">
        <f>SUM(E28:E35)</f>
        <v>0</v>
      </c>
      <c r="F36" s="9">
        <f>SUM(F28:F35)</f>
        <v>0</v>
      </c>
      <c r="G36" s="9">
        <f>SUM(G28:G35)</f>
        <v>0</v>
      </c>
      <c r="H36" s="9">
        <f>SUM(H28:H35)</f>
        <v>0</v>
      </c>
      <c r="I36" s="9">
        <f>SUM(I28:I35)</f>
        <v>0</v>
      </c>
      <c r="J36" s="9">
        <f>SUM(J28:J35)</f>
        <v>0</v>
      </c>
      <c r="K36" s="9">
        <f>SUM(K28:K35)</f>
        <v>-265</v>
      </c>
      <c r="L36" s="9">
        <f>SUM(L28:L35)</f>
        <v>-127</v>
      </c>
      <c r="M36" s="9">
        <f>SUM(M28:M35)</f>
        <v>-102</v>
      </c>
      <c r="N36" s="9">
        <f>SUM(N28:N35)</f>
        <v>-31</v>
      </c>
      <c r="O36" s="9">
        <f>SUM(O28:O35)</f>
        <v>-525</v>
      </c>
    </row>
    <row r="38" spans="2:15">
      <c r="B38" s="2" t="s">
        <v>136</v>
      </c>
    </row>
    <row r="39" spans="2:15">
      <c r="B39" t="str">
        <f>B6</f>
        <v>Backorders due to inventory availability</v>
      </c>
      <c r="C39" s="12">
        <f>IFERROR(C50/C6,0)</f>
        <v>0</v>
      </c>
      <c r="D39" s="12">
        <f>IFERROR(D50/D6,0)</f>
        <v>0</v>
      </c>
      <c r="E39" s="12">
        <f>IFERROR(E50/E6,0)</f>
        <v>0</v>
      </c>
      <c r="F39" s="12">
        <f>IFERROR(F50/F6,0)</f>
        <v>0</v>
      </c>
      <c r="G39" s="12">
        <f>IFERROR(G50/G6,0)</f>
        <v>0</v>
      </c>
      <c r="H39" s="12">
        <f>IFERROR(H50/H6,0)</f>
        <v>0</v>
      </c>
      <c r="I39" s="12">
        <f>IFERROR(I50/I6,0)</f>
        <v>0</v>
      </c>
      <c r="J39" s="12">
        <f>IFERROR(J50/J6,0)</f>
        <v>0</v>
      </c>
      <c r="K39" s="12">
        <f>IFERROR(K50/K6,0)</f>
        <v>0.06</v>
      </c>
      <c r="L39" s="12">
        <f>IFERROR(L50/L6,0)</f>
        <v>0.06</v>
      </c>
      <c r="M39" s="12">
        <f>IFERROR(M50/M6,0)</f>
        <v>0.06</v>
      </c>
      <c r="N39" s="12">
        <f>IFERROR(N50/N6,0)</f>
        <v>0</v>
      </c>
      <c r="O39" s="12">
        <f>IFERROR(O50/O6,0)</f>
        <v>8.5714285714285715E-2</v>
      </c>
    </row>
    <row r="40" spans="2:15">
      <c r="B40" t="str">
        <f>B7</f>
        <v>Rebate true-up - buying group</v>
      </c>
      <c r="C40" s="12">
        <f>IFERROR(C51/C7,0)</f>
        <v>0</v>
      </c>
      <c r="D40" s="12">
        <f>IFERROR(D51/D7,0)</f>
        <v>0</v>
      </c>
      <c r="E40" s="12">
        <f>IFERROR(E51/E7,0)</f>
        <v>0</v>
      </c>
      <c r="F40" s="12">
        <f>IFERROR(F51/F7,0)</f>
        <v>0</v>
      </c>
      <c r="G40" s="12">
        <f>IFERROR(G51/G7,0)</f>
        <v>0</v>
      </c>
      <c r="H40" s="12">
        <f>IFERROR(H51/H7,0)</f>
        <v>0</v>
      </c>
      <c r="I40" s="12">
        <f>IFERROR(I51/I7,0)</f>
        <v>0</v>
      </c>
      <c r="J40" s="12">
        <f>IFERROR(J51/J7,0)</f>
        <v>0</v>
      </c>
      <c r="K40" s="12">
        <f>IFERROR(K51/K7,0)</f>
        <v>-6.6666666666666666E-2</v>
      </c>
      <c r="L40" s="12">
        <f>IFERROR(L51/L7,0)</f>
        <v>0</v>
      </c>
      <c r="M40" s="12">
        <f>IFERROR(M51/M7,0)</f>
        <v>0</v>
      </c>
      <c r="N40" s="12">
        <f>IFERROR(N51/N7,0)</f>
        <v>0</v>
      </c>
      <c r="O40" s="12">
        <f>IFERROR(O51/O7,0)</f>
        <v>-0.26666666666666666</v>
      </c>
    </row>
    <row r="41" spans="2:15">
      <c r="B41" t="str">
        <f>B8</f>
        <v>Backorders due to inventory availability</v>
      </c>
      <c r="C41" s="12">
        <f>IFERROR(C52/C8,0)</f>
        <v>0</v>
      </c>
      <c r="D41" s="12">
        <f>IFERROR(D52/D8,0)</f>
        <v>0</v>
      </c>
      <c r="E41" s="12">
        <f>IFERROR(E52/E8,0)</f>
        <v>0</v>
      </c>
      <c r="F41" s="12">
        <f>IFERROR(F52/F8,0)</f>
        <v>0</v>
      </c>
      <c r="G41" s="12">
        <f>IFERROR(G52/G8,0)</f>
        <v>0</v>
      </c>
      <c r="H41" s="12">
        <f>IFERROR(H52/H8,0)</f>
        <v>0</v>
      </c>
      <c r="I41" s="12">
        <f>IFERROR(I52/I8,0)</f>
        <v>0</v>
      </c>
      <c r="J41" s="12">
        <f>IFERROR(J52/J8,0)</f>
        <v>0</v>
      </c>
      <c r="K41" s="12">
        <f>IFERROR(K52/K8,0)</f>
        <v>0</v>
      </c>
      <c r="L41" s="12">
        <f>IFERROR(L52/L8,0)</f>
        <v>0</v>
      </c>
      <c r="M41" s="12">
        <f>IFERROR(M52/M8,0)</f>
        <v>0</v>
      </c>
      <c r="N41" s="12">
        <f>IFERROR(N52/N8,0)</f>
        <v>0.03</v>
      </c>
      <c r="O41" s="12">
        <f>IFERROR(O52/O8,0)</f>
        <v>0.12</v>
      </c>
    </row>
    <row r="42" spans="2:15">
      <c r="B42" t="str">
        <f>B9</f>
        <v>Insert Adj. 4</v>
      </c>
      <c r="C42" s="12">
        <f>IFERROR(C53/C9,0)</f>
        <v>0</v>
      </c>
      <c r="D42" s="12">
        <f>IFERROR(D53/D9,0)</f>
        <v>0</v>
      </c>
      <c r="E42" s="12">
        <f>IFERROR(E53/E9,0)</f>
        <v>0</v>
      </c>
      <c r="F42" s="12">
        <f>IFERROR(F53/F9,0)</f>
        <v>0</v>
      </c>
      <c r="G42" s="12">
        <f>IFERROR(G53/G9,0)</f>
        <v>0</v>
      </c>
      <c r="H42" s="12">
        <f>IFERROR(H53/H9,0)</f>
        <v>0</v>
      </c>
      <c r="I42" s="12">
        <f>IFERROR(I53/I9,0)</f>
        <v>0</v>
      </c>
      <c r="J42" s="12">
        <f>IFERROR(J53/J9,0)</f>
        <v>0</v>
      </c>
      <c r="K42" s="12">
        <f>IFERROR(K53/K9,0)</f>
        <v>0</v>
      </c>
      <c r="L42" s="12">
        <f>IFERROR(L53/L9,0)</f>
        <v>0</v>
      </c>
      <c r="M42" s="12">
        <f>IFERROR(M53/M9,0)</f>
        <v>0</v>
      </c>
      <c r="N42" s="12">
        <f>IFERROR(N53/N9,0)</f>
        <v>0</v>
      </c>
      <c r="O42" s="12">
        <f>IFERROR(O53/O9,0)</f>
        <v>0</v>
      </c>
    </row>
    <row r="43" spans="2:15">
      <c r="B43" t="str">
        <f>B10</f>
        <v>Insert Adj. 5</v>
      </c>
      <c r="C43" s="12">
        <f>IFERROR(C54/C10,0)</f>
        <v>0</v>
      </c>
      <c r="D43" s="12">
        <f>IFERROR(D54/D10,0)</f>
        <v>0</v>
      </c>
      <c r="E43" s="12">
        <f>IFERROR(E54/E10,0)</f>
        <v>0</v>
      </c>
      <c r="F43" s="12">
        <f>IFERROR(F54/F10,0)</f>
        <v>0</v>
      </c>
      <c r="G43" s="12">
        <f>IFERROR(G54/G10,0)</f>
        <v>0</v>
      </c>
      <c r="H43" s="12">
        <f>IFERROR(H54/H10,0)</f>
        <v>0</v>
      </c>
      <c r="I43" s="12">
        <f>IFERROR(I54/I10,0)</f>
        <v>0</v>
      </c>
      <c r="J43" s="12">
        <f>IFERROR(J54/J10,0)</f>
        <v>0</v>
      </c>
      <c r="K43" s="12">
        <f>IFERROR(K54/K10,0)</f>
        <v>0</v>
      </c>
      <c r="L43" s="12">
        <f>IFERROR(L54/L10,0)</f>
        <v>0</v>
      </c>
      <c r="M43" s="12">
        <f>IFERROR(M54/M10,0)</f>
        <v>0</v>
      </c>
      <c r="N43" s="12">
        <f>IFERROR(N54/N10,0)</f>
        <v>0</v>
      </c>
      <c r="O43" s="12">
        <f>IFERROR(O54/O10,0)</f>
        <v>0</v>
      </c>
    </row>
    <row r="44" spans="2:15">
      <c r="B44" t="str">
        <f>B11</f>
        <v>Insert Adj. 6</v>
      </c>
      <c r="C44" s="12">
        <f>IFERROR(C55/C11,0)</f>
        <v>0</v>
      </c>
      <c r="D44" s="12">
        <f>IFERROR(D55/D11,0)</f>
        <v>0</v>
      </c>
      <c r="E44" s="12">
        <f>IFERROR(E55/E11,0)</f>
        <v>0</v>
      </c>
      <c r="F44" s="12">
        <f>IFERROR(F55/F11,0)</f>
        <v>0</v>
      </c>
      <c r="G44" s="12">
        <f>IFERROR(G55/G11,0)</f>
        <v>0</v>
      </c>
      <c r="H44" s="12">
        <f>IFERROR(H55/H11,0)</f>
        <v>0</v>
      </c>
      <c r="I44" s="12">
        <f>IFERROR(I55/I11,0)</f>
        <v>0</v>
      </c>
      <c r="J44" s="12">
        <f>IFERROR(J55/J11,0)</f>
        <v>0</v>
      </c>
      <c r="K44" s="12">
        <f>IFERROR(K55/K11,0)</f>
        <v>0</v>
      </c>
      <c r="L44" s="12">
        <f>IFERROR(L55/L11,0)</f>
        <v>0</v>
      </c>
      <c r="M44" s="12">
        <f>IFERROR(M55/M11,0)</f>
        <v>0</v>
      </c>
      <c r="N44" s="12">
        <f>IFERROR(N55/N11,0)</f>
        <v>0</v>
      </c>
      <c r="O44" s="12">
        <f>IFERROR(O55/O11,0)</f>
        <v>0</v>
      </c>
    </row>
    <row r="45" spans="2:15">
      <c r="B45" t="str">
        <f>B12</f>
        <v>Insert Adj. 7</v>
      </c>
      <c r="C45" s="12">
        <f>IFERROR(C56/C12,0)</f>
        <v>0</v>
      </c>
      <c r="D45" s="12">
        <f>IFERROR(D56/D12,0)</f>
        <v>0</v>
      </c>
      <c r="E45" s="12">
        <f>IFERROR(E56/E12,0)</f>
        <v>0</v>
      </c>
      <c r="F45" s="12">
        <f>IFERROR(F56/F12,0)</f>
        <v>0</v>
      </c>
      <c r="G45" s="12">
        <f>IFERROR(G56/G12,0)</f>
        <v>0</v>
      </c>
      <c r="H45" s="12">
        <f>IFERROR(H56/H12,0)</f>
        <v>0</v>
      </c>
      <c r="I45" s="12">
        <f>IFERROR(I56/I12,0)</f>
        <v>0</v>
      </c>
      <c r="J45" s="12">
        <f>IFERROR(J56/J12,0)</f>
        <v>0</v>
      </c>
      <c r="K45" s="12">
        <f>IFERROR(K56/K12,0)</f>
        <v>0</v>
      </c>
      <c r="L45" s="12">
        <f>IFERROR(L56/L12,0)</f>
        <v>0</v>
      </c>
      <c r="M45" s="12">
        <f>IFERROR(M56/M12,0)</f>
        <v>0</v>
      </c>
      <c r="N45" s="12">
        <f>IFERROR(N56/N12,0)</f>
        <v>0</v>
      </c>
      <c r="O45" s="12">
        <f>IFERROR(O56/O12,0)</f>
        <v>0</v>
      </c>
    </row>
    <row r="46" spans="2:15">
      <c r="B46" t="str">
        <f>B13</f>
        <v>Insert Adj. 8</v>
      </c>
      <c r="C46" s="12">
        <f>IFERROR(C57/C13,0)</f>
        <v>0</v>
      </c>
      <c r="D46" s="12">
        <f>IFERROR(D57/D13,0)</f>
        <v>0</v>
      </c>
      <c r="E46" s="12">
        <f>IFERROR(E57/E13,0)</f>
        <v>0</v>
      </c>
      <c r="F46" s="12">
        <f>IFERROR(F57/F13,0)</f>
        <v>0</v>
      </c>
      <c r="G46" s="12">
        <f>IFERROR(G57/G13,0)</f>
        <v>0</v>
      </c>
      <c r="H46" s="12">
        <f>IFERROR(H57/H13,0)</f>
        <v>0</v>
      </c>
      <c r="I46" s="12">
        <f>IFERROR(I57/I13,0)</f>
        <v>0</v>
      </c>
      <c r="J46" s="12">
        <f>IFERROR(J57/J13,0)</f>
        <v>0</v>
      </c>
      <c r="K46" s="12">
        <f>IFERROR(K57/K13,0)</f>
        <v>0</v>
      </c>
      <c r="L46" s="12">
        <f>IFERROR(L57/L13,0)</f>
        <v>0</v>
      </c>
      <c r="M46" s="12">
        <f>IFERROR(M57/M13,0)</f>
        <v>0</v>
      </c>
      <c r="N46" s="12">
        <f>IFERROR(N57/N13,0)</f>
        <v>0</v>
      </c>
      <c r="O46" s="12">
        <f>IFERROR(O57/O13,0)</f>
        <v>0</v>
      </c>
    </row>
    <row r="47" spans="2:15">
      <c r="B47" s="2" t="s">
        <v>137</v>
      </c>
      <c r="C47" s="14">
        <f>IFERROR(C58/C14,0)</f>
        <v>0</v>
      </c>
      <c r="D47" s="14">
        <f>IFERROR(D58/D14,0)</f>
        <v>0</v>
      </c>
      <c r="E47" s="14">
        <f>IFERROR(E58/E14,0)</f>
        <v>0</v>
      </c>
      <c r="F47" s="14">
        <f>IFERROR(F58/F14,0)</f>
        <v>0</v>
      </c>
      <c r="G47" s="14">
        <f>IFERROR(G58/G14,0)</f>
        <v>0</v>
      </c>
      <c r="H47" s="14">
        <f>IFERROR(H58/H14,0)</f>
        <v>0</v>
      </c>
      <c r="I47" s="14">
        <f>IFERROR(I58/I14,0)</f>
        <v>0</v>
      </c>
      <c r="J47" s="14">
        <f>IFERROR(J58/J14,0)</f>
        <v>0</v>
      </c>
      <c r="K47" s="14">
        <f>IFERROR(K58/K14,0)</f>
        <v>9.7674418604651161E-2</v>
      </c>
      <c r="L47" s="14">
        <f>IFERROR(L58/L14,0)</f>
        <v>0.17599999999999999</v>
      </c>
      <c r="M47" s="14">
        <f>IFERROR(M58/M14,0)</f>
        <v>0.20499999999999999</v>
      </c>
      <c r="N47" s="14">
        <f>IFERROR(N58/N14,0)</f>
        <v>0.15666666666666668</v>
      </c>
      <c r="O47" s="14">
        <f>IFERROR(O58/O14,0)</f>
        <v>0.14745762711864407</v>
      </c>
    </row>
    <row r="49" spans="2:15">
      <c r="B49" s="2" t="s">
        <v>138</v>
      </c>
    </row>
    <row r="50" spans="2:15">
      <c r="B50" t="s">
        <v>204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20">
        <v>-15</v>
      </c>
      <c r="L50" s="20">
        <v>-15</v>
      </c>
      <c r="M50" s="20">
        <v>-12</v>
      </c>
      <c r="N50" s="20">
        <v>-18</v>
      </c>
      <c r="O50" s="6">
        <f>SUM(C50:N50)</f>
        <v>-60</v>
      </c>
    </row>
    <row r="51" spans="2:15">
      <c r="B51" t="s">
        <v>205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20">
        <v>12</v>
      </c>
      <c r="L51" s="20">
        <v>12</v>
      </c>
      <c r="M51" s="20">
        <v>12</v>
      </c>
      <c r="N51" s="20">
        <v>12</v>
      </c>
      <c r="O51" s="6">
        <f>SUM(C51:N51)</f>
        <v>48</v>
      </c>
    </row>
    <row r="52" spans="2:15">
      <c r="B52" t="s">
        <v>206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20">
        <v>-9</v>
      </c>
      <c r="L52" s="20">
        <v>-9</v>
      </c>
      <c r="M52" s="20">
        <v>-9</v>
      </c>
      <c r="N52" s="20">
        <v>-9</v>
      </c>
      <c r="O52" s="6">
        <f>SUM(C52:N52)</f>
        <v>-36</v>
      </c>
    </row>
    <row r="53" spans="2:15">
      <c r="B53" t="s">
        <v>207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20">
        <v>-24</v>
      </c>
      <c r="L53" s="20">
        <v>-24</v>
      </c>
      <c r="M53" s="20">
        <v>-24</v>
      </c>
      <c r="N53" s="20">
        <v>-24</v>
      </c>
      <c r="O53" s="6">
        <f>SUM(C53:N53)</f>
        <v>-96</v>
      </c>
    </row>
    <row r="54" spans="2:15">
      <c r="B54" t="s">
        <v>208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20">
        <v>-6</v>
      </c>
      <c r="L54" s="20">
        <v>-8</v>
      </c>
      <c r="M54" s="20">
        <v>-8</v>
      </c>
      <c r="N54" s="20">
        <v>-8</v>
      </c>
      <c r="O54" s="6">
        <f>SUM(C54:N54)</f>
        <v>-30</v>
      </c>
    </row>
    <row r="55" spans="2:15">
      <c r="B55" t="s">
        <v>180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20">
        <v>0</v>
      </c>
      <c r="L55" s="20">
        <v>0</v>
      </c>
      <c r="M55" s="20">
        <v>0</v>
      </c>
      <c r="N55" s="20">
        <v>0</v>
      </c>
      <c r="O55" s="6">
        <f>SUM(C55:N55)</f>
        <v>0</v>
      </c>
    </row>
    <row r="56" spans="2:15">
      <c r="B56" t="s">
        <v>181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20">
        <v>0</v>
      </c>
      <c r="L56" s="20">
        <v>0</v>
      </c>
      <c r="M56" s="20">
        <v>0</v>
      </c>
      <c r="N56" s="20">
        <v>0</v>
      </c>
      <c r="O56" s="6">
        <f>SUM(C56:N56)</f>
        <v>0</v>
      </c>
    </row>
    <row r="57" spans="2:15">
      <c r="B57" t="s">
        <v>182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20">
        <v>0</v>
      </c>
      <c r="L57" s="20">
        <v>0</v>
      </c>
      <c r="M57" s="20">
        <v>0</v>
      </c>
      <c r="N57" s="20">
        <v>0</v>
      </c>
      <c r="O57" s="6">
        <f>SUM(C57:N57)</f>
        <v>0</v>
      </c>
    </row>
    <row r="58" spans="2:15">
      <c r="B58" s="2" t="s">
        <v>139</v>
      </c>
      <c r="C58" s="9">
        <f>SUM(C50:C57)</f>
        <v>0</v>
      </c>
      <c r="D58" s="9">
        <f>SUM(D50:D57)</f>
        <v>0</v>
      </c>
      <c r="E58" s="9">
        <f>SUM(E50:E57)</f>
        <v>0</v>
      </c>
      <c r="F58" s="9">
        <f>SUM(F50:F57)</f>
        <v>0</v>
      </c>
      <c r="G58" s="9">
        <f>SUM(G50:G57)</f>
        <v>0</v>
      </c>
      <c r="H58" s="9">
        <f>SUM(H50:H57)</f>
        <v>0</v>
      </c>
      <c r="I58" s="9">
        <f>SUM(I50:I57)</f>
        <v>0</v>
      </c>
      <c r="J58" s="9">
        <f>SUM(J50:J57)</f>
        <v>0</v>
      </c>
      <c r="K58" s="9">
        <f>SUM(K50:K57)</f>
        <v>-42</v>
      </c>
      <c r="L58" s="9">
        <f>SUM(L50:L57)</f>
        <v>-44</v>
      </c>
      <c r="M58" s="9">
        <f>SUM(M50:M57)</f>
        <v>-41</v>
      </c>
      <c r="N58" s="9">
        <f>SUM(N50:N57)</f>
        <v>-47</v>
      </c>
      <c r="O58" s="9">
        <f>SUM(O50:O57)</f>
        <v>-174</v>
      </c>
    </row>
    <row r="60" spans="2:15">
      <c r="B60" s="2" t="s">
        <v>113</v>
      </c>
    </row>
    <row r="61" spans="2:15">
      <c r="B61" t="str">
        <f>B6</f>
        <v>Backorders due to inventory availability</v>
      </c>
      <c r="C61" s="6">
        <f>C28-C50</f>
        <v>0</v>
      </c>
      <c r="D61" s="6">
        <f>D28-D50</f>
        <v>0</v>
      </c>
      <c r="E61" s="6">
        <f>E28-E50</f>
        <v>0</v>
      </c>
      <c r="F61" s="6">
        <f>F28-F50</f>
        <v>0</v>
      </c>
      <c r="G61" s="6">
        <f>G28-G50</f>
        <v>0</v>
      </c>
      <c r="H61" s="6">
        <f>H28-H50</f>
        <v>0</v>
      </c>
      <c r="I61" s="6">
        <f>I28-I50</f>
        <v>0</v>
      </c>
      <c r="J61" s="6">
        <f>J28-J50</f>
        <v>0</v>
      </c>
      <c r="K61" s="6">
        <f>K28-K50</f>
        <v>-60</v>
      </c>
      <c r="L61" s="6">
        <f>L28-L50</f>
        <v>-60</v>
      </c>
      <c r="M61" s="6">
        <f>M28-M50</f>
        <v>-48</v>
      </c>
      <c r="N61" s="6">
        <f>N28-N50</f>
        <v>18</v>
      </c>
      <c r="O61" s="6">
        <f>SUM(C61:N61)</f>
        <v>-150</v>
      </c>
    </row>
    <row r="62" spans="2:15">
      <c r="B62" t="str">
        <f>B7</f>
        <v>Rebate true-up - buying group</v>
      </c>
      <c r="C62" s="6">
        <f>C29-C51</f>
        <v>0</v>
      </c>
      <c r="D62" s="6">
        <f>D29-D51</f>
        <v>0</v>
      </c>
      <c r="E62" s="6">
        <f>E29-E51</f>
        <v>0</v>
      </c>
      <c r="F62" s="6">
        <f>F29-F51</f>
        <v>0</v>
      </c>
      <c r="G62" s="6">
        <f>G29-G51</f>
        <v>0</v>
      </c>
      <c r="H62" s="6">
        <f>H29-H51</f>
        <v>0</v>
      </c>
      <c r="I62" s="6">
        <f>I29-I51</f>
        <v>0</v>
      </c>
      <c r="J62" s="6">
        <f>J29-J51</f>
        <v>0</v>
      </c>
      <c r="K62" s="6">
        <f>K29-K51</f>
        <v>-192</v>
      </c>
      <c r="L62" s="6">
        <f>L29-L51</f>
        <v>-12</v>
      </c>
      <c r="M62" s="6">
        <f>M29-M51</f>
        <v>-12</v>
      </c>
      <c r="N62" s="6">
        <f>N29-N51</f>
        <v>-12</v>
      </c>
      <c r="O62" s="6">
        <f>SUM(C62:N62)</f>
        <v>-228</v>
      </c>
    </row>
    <row r="63" spans="2:15">
      <c r="B63" t="str">
        <f>B8</f>
        <v>Backorders due to inventory availability</v>
      </c>
      <c r="C63" s="6">
        <f>C30-C52</f>
        <v>0</v>
      </c>
      <c r="D63" s="6">
        <f>D30-D52</f>
        <v>0</v>
      </c>
      <c r="E63" s="6">
        <f>E30-E52</f>
        <v>0</v>
      </c>
      <c r="F63" s="6">
        <f>F30-F52</f>
        <v>0</v>
      </c>
      <c r="G63" s="6">
        <f>G30-G52</f>
        <v>0</v>
      </c>
      <c r="H63" s="6">
        <f>H30-H52</f>
        <v>0</v>
      </c>
      <c r="I63" s="6">
        <f>I30-I52</f>
        <v>0</v>
      </c>
      <c r="J63" s="6">
        <f>J30-J52</f>
        <v>0</v>
      </c>
      <c r="K63" s="6">
        <f>K30-K52</f>
        <v>9</v>
      </c>
      <c r="L63" s="6">
        <f>L30-L52</f>
        <v>-31</v>
      </c>
      <c r="M63" s="6">
        <f>M30-M52</f>
        <v>-21</v>
      </c>
      <c r="N63" s="6">
        <f>N30-N52</f>
        <v>-11</v>
      </c>
      <c r="O63" s="6">
        <f>SUM(C63:N63)</f>
        <v>-54</v>
      </c>
    </row>
    <row r="64" spans="2:15">
      <c r="B64" t="str">
        <f>B9</f>
        <v>Insert Adj. 4</v>
      </c>
      <c r="C64" s="6">
        <f>C31-C53</f>
        <v>0</v>
      </c>
      <c r="D64" s="6">
        <f>D31-D53</f>
        <v>0</v>
      </c>
      <c r="E64" s="6">
        <f>E31-E53</f>
        <v>0</v>
      </c>
      <c r="F64" s="6">
        <f>F31-F53</f>
        <v>0</v>
      </c>
      <c r="G64" s="6">
        <f>G31-G53</f>
        <v>0</v>
      </c>
      <c r="H64" s="6">
        <f>H31-H53</f>
        <v>0</v>
      </c>
      <c r="I64" s="6">
        <f>I31-I53</f>
        <v>0</v>
      </c>
      <c r="J64" s="6">
        <f>J31-J53</f>
        <v>0</v>
      </c>
      <c r="K64" s="6">
        <f>K31-K53</f>
        <v>14</v>
      </c>
      <c r="L64" s="6">
        <f>L31-L53</f>
        <v>12</v>
      </c>
      <c r="M64" s="6">
        <f>M31-M53</f>
        <v>12</v>
      </c>
      <c r="N64" s="6">
        <f>N31-N53</f>
        <v>13</v>
      </c>
      <c r="O64" s="6">
        <f>SUM(C64:N64)</f>
        <v>51</v>
      </c>
    </row>
    <row r="65" spans="2:15">
      <c r="B65" t="str">
        <f>B10</f>
        <v>Insert Adj. 5</v>
      </c>
      <c r="C65" s="6">
        <f>C32-C54</f>
        <v>0</v>
      </c>
      <c r="D65" s="6">
        <f>D32-D54</f>
        <v>0</v>
      </c>
      <c r="E65" s="6">
        <f>E32-E54</f>
        <v>0</v>
      </c>
      <c r="F65" s="6">
        <f>F32-F54</f>
        <v>0</v>
      </c>
      <c r="G65" s="6">
        <f>G32-G54</f>
        <v>0</v>
      </c>
      <c r="H65" s="6">
        <f>H32-H54</f>
        <v>0</v>
      </c>
      <c r="I65" s="6">
        <f>I32-I54</f>
        <v>0</v>
      </c>
      <c r="J65" s="6">
        <f>J32-J54</f>
        <v>0</v>
      </c>
      <c r="K65" s="6">
        <f>K32-K54</f>
        <v>6</v>
      </c>
      <c r="L65" s="6">
        <f>L32-L54</f>
        <v>8</v>
      </c>
      <c r="M65" s="6">
        <f>M32-M54</f>
        <v>8</v>
      </c>
      <c r="N65" s="6">
        <f>N32-N54</f>
        <v>8</v>
      </c>
      <c r="O65" s="6">
        <f>SUM(C65:N65)</f>
        <v>30</v>
      </c>
    </row>
    <row r="66" spans="2:15">
      <c r="B66" t="str">
        <f>B11</f>
        <v>Insert Adj. 6</v>
      </c>
      <c r="C66" s="6">
        <f>C33-C55</f>
        <v>0</v>
      </c>
      <c r="D66" s="6">
        <f>D33-D55</f>
        <v>0</v>
      </c>
      <c r="E66" s="6">
        <f>E33-E55</f>
        <v>0</v>
      </c>
      <c r="F66" s="6">
        <f>F33-F55</f>
        <v>0</v>
      </c>
      <c r="G66" s="6">
        <f>G33-G55</f>
        <v>0</v>
      </c>
      <c r="H66" s="6">
        <f>H33-H55</f>
        <v>0</v>
      </c>
      <c r="I66" s="6">
        <f>I33-I55</f>
        <v>0</v>
      </c>
      <c r="J66" s="6">
        <f>J33-J55</f>
        <v>0</v>
      </c>
      <c r="K66" s="6">
        <f>K33-K55</f>
        <v>0</v>
      </c>
      <c r="L66" s="6">
        <f>L33-L55</f>
        <v>0</v>
      </c>
      <c r="M66" s="6">
        <f>M33-M55</f>
        <v>0</v>
      </c>
      <c r="N66" s="6">
        <f>N33-N55</f>
        <v>0</v>
      </c>
      <c r="O66" s="6">
        <f>SUM(C66:N66)</f>
        <v>0</v>
      </c>
    </row>
    <row r="67" spans="2:15">
      <c r="B67" t="str">
        <f>B12</f>
        <v>Insert Adj. 7</v>
      </c>
      <c r="C67" s="6">
        <f>C34-C56</f>
        <v>0</v>
      </c>
      <c r="D67" s="6">
        <f>D34-D56</f>
        <v>0</v>
      </c>
      <c r="E67" s="6">
        <f>E34-E56</f>
        <v>0</v>
      </c>
      <c r="F67" s="6">
        <f>F34-F56</f>
        <v>0</v>
      </c>
      <c r="G67" s="6">
        <f>G34-G56</f>
        <v>0</v>
      </c>
      <c r="H67" s="6">
        <f>H34-H56</f>
        <v>0</v>
      </c>
      <c r="I67" s="6">
        <f>I34-I56</f>
        <v>0</v>
      </c>
      <c r="J67" s="6">
        <f>J34-J56</f>
        <v>0</v>
      </c>
      <c r="K67" s="6">
        <f>K34-K56</f>
        <v>0</v>
      </c>
      <c r="L67" s="6">
        <f>L34-L56</f>
        <v>0</v>
      </c>
      <c r="M67" s="6">
        <f>M34-M56</f>
        <v>0</v>
      </c>
      <c r="N67" s="6">
        <f>N34-N56</f>
        <v>0</v>
      </c>
      <c r="O67" s="6">
        <f>SUM(C67:N67)</f>
        <v>0</v>
      </c>
    </row>
    <row r="68" spans="2:15">
      <c r="B68" t="str">
        <f>B13</f>
        <v>Insert Adj. 8</v>
      </c>
      <c r="C68" s="6">
        <f>C35-C57</f>
        <v>0</v>
      </c>
      <c r="D68" s="6">
        <f>D35-D57</f>
        <v>0</v>
      </c>
      <c r="E68" s="6">
        <f>E35-E57</f>
        <v>0</v>
      </c>
      <c r="F68" s="6">
        <f>F35-F57</f>
        <v>0</v>
      </c>
      <c r="G68" s="6">
        <f>G35-G57</f>
        <v>0</v>
      </c>
      <c r="H68" s="6">
        <f>H35-H57</f>
        <v>0</v>
      </c>
      <c r="I68" s="6">
        <f>I35-I57</f>
        <v>0</v>
      </c>
      <c r="J68" s="6">
        <f>J35-J57</f>
        <v>0</v>
      </c>
      <c r="K68" s="6">
        <f>K35-K57</f>
        <v>0</v>
      </c>
      <c r="L68" s="6">
        <f>L35-L57</f>
        <v>0</v>
      </c>
      <c r="M68" s="6">
        <f>M35-M57</f>
        <v>0</v>
      </c>
      <c r="N68" s="6">
        <f>N35-N57</f>
        <v>0</v>
      </c>
      <c r="O68" s="6">
        <f>SUM(C68:N68)</f>
        <v>0</v>
      </c>
    </row>
    <row r="69" spans="2:15">
      <c r="B69" s="2" t="s">
        <v>140</v>
      </c>
      <c r="C69" s="9">
        <f>SUM(C61:C68)</f>
        <v>0</v>
      </c>
      <c r="D69" s="9">
        <f>SUM(D61:D68)</f>
        <v>0</v>
      </c>
      <c r="E69" s="9">
        <f>SUM(E61:E68)</f>
        <v>0</v>
      </c>
      <c r="F69" s="9">
        <f>SUM(F61:F68)</f>
        <v>0</v>
      </c>
      <c r="G69" s="9">
        <f>SUM(G61:G68)</f>
        <v>0</v>
      </c>
      <c r="H69" s="9">
        <f>SUM(H61:H68)</f>
        <v>0</v>
      </c>
      <c r="I69" s="9">
        <f>SUM(I61:I68)</f>
        <v>0</v>
      </c>
      <c r="J69" s="9">
        <f>SUM(J61:J68)</f>
        <v>0</v>
      </c>
      <c r="K69" s="9">
        <f>SUM(K61:K68)</f>
        <v>-223</v>
      </c>
      <c r="L69" s="9">
        <f>SUM(L61:L68)</f>
        <v>-83</v>
      </c>
      <c r="M69" s="9">
        <f>SUM(M61:M68)</f>
        <v>-61</v>
      </c>
      <c r="N69" s="9">
        <f>SUM(N61:N68)</f>
        <v>16</v>
      </c>
      <c r="O69" s="9">
        <f>SUM(O61:O68)</f>
        <v>-351</v>
      </c>
    </row>
    <row r="71" spans="2:15">
      <c r="B71" s="8" t="s">
        <v>141</v>
      </c>
    </row>
    <row r="73" spans="2:15">
      <c r="C73" s="4" t="s">
        <v>70</v>
      </c>
      <c r="D73" s="4" t="s">
        <v>71</v>
      </c>
      <c r="E73" s="4" t="s">
        <v>72</v>
      </c>
      <c r="F73" s="4" t="s">
        <v>73</v>
      </c>
      <c r="G73" s="4" t="s">
        <v>50</v>
      </c>
      <c r="H73" s="4" t="s">
        <v>74</v>
      </c>
      <c r="I73" s="4" t="s">
        <v>75</v>
      </c>
      <c r="J73" s="4" t="s">
        <v>76</v>
      </c>
      <c r="K73" s="4" t="s">
        <v>77</v>
      </c>
      <c r="L73" s="4" t="s">
        <v>78</v>
      </c>
      <c r="M73" s="4" t="s">
        <v>79</v>
      </c>
      <c r="N73" s="4" t="s">
        <v>80</v>
      </c>
      <c r="O73" s="4" t="s">
        <v>174</v>
      </c>
    </row>
    <row r="74" spans="2:15">
      <c r="B74" s="2" t="s">
        <v>111</v>
      </c>
    </row>
    <row r="75" spans="2:15">
      <c r="B75" t="s">
        <v>143</v>
      </c>
      <c r="C75" s="12">
        <f>Granite!C35</f>
        <v>0.28788406747699186</v>
      </c>
      <c r="D75" s="12">
        <f>Granite!D35</f>
        <v>0.28653610516915534</v>
      </c>
      <c r="E75" s="12">
        <f>Granite!E35</f>
        <v>0.28515885795075208</v>
      </c>
      <c r="F75" s="12">
        <f>Granite!F35</f>
        <v>0.28220880808658072</v>
      </c>
      <c r="G75" s="12">
        <f>Granite!G35</f>
        <v>0.28774139546007133</v>
      </c>
      <c r="H75" s="12">
        <f>Granite!H35</f>
        <v>0.28751971756929318</v>
      </c>
      <c r="I75" s="12">
        <f>Granite!I35</f>
        <v>0.28541903678422448</v>
      </c>
      <c r="J75" s="12">
        <f>Granite!J35</f>
        <v>0.28242086169569541</v>
      </c>
      <c r="K75" s="12">
        <f>Granite!K35</f>
        <v>0.28585166722273464</v>
      </c>
      <c r="L75" s="12">
        <f>Granite!L35</f>
        <v>0.28362981476036458</v>
      </c>
      <c r="M75" s="12">
        <f>Granite!M35</f>
        <v>0.28753941613264167</v>
      </c>
      <c r="N75" s="12">
        <f>Granite!N35</f>
        <v>0.28287016285671596</v>
      </c>
      <c r="O75" t="s">
        <v>183</v>
      </c>
    </row>
    <row r="76" spans="2:15">
      <c r="B76" t="s">
        <v>144</v>
      </c>
      <c r="C76" t="s">
        <v>145</v>
      </c>
      <c r="D76" t="s">
        <v>145</v>
      </c>
      <c r="E76" t="s">
        <v>145</v>
      </c>
      <c r="F76" t="s">
        <v>145</v>
      </c>
      <c r="G76" t="s">
        <v>145</v>
      </c>
      <c r="H76" t="s">
        <v>145</v>
      </c>
      <c r="I76" t="s">
        <v>145</v>
      </c>
      <c r="J76" t="s">
        <v>145</v>
      </c>
      <c r="K76" t="s">
        <v>145</v>
      </c>
      <c r="L76" t="s">
        <v>145</v>
      </c>
      <c r="M76" t="s">
        <v>145</v>
      </c>
      <c r="N76" t="s">
        <v>145</v>
      </c>
    </row>
    <row r="77" spans="2:15">
      <c r="B77" t="s">
        <v>146</v>
      </c>
      <c r="C77" s="6">
        <f>IF(C76="None",0,(((Granite!C28*(C75+C76))-Granite!C29)))</f>
        <v>0</v>
      </c>
      <c r="D77" s="6">
        <f>IF(D76="None",0,(((Granite!D28*(D75+D76))-Granite!D29)))</f>
        <v>0</v>
      </c>
      <c r="E77" s="6">
        <f>IF(E76="None",0,(((Granite!E28*(E75+E76))-Granite!E29)))</f>
        <v>0</v>
      </c>
      <c r="F77" s="6">
        <f>IF(F76="None",0,(((Granite!F28*(F75+F76))-Granite!F29)))</f>
        <v>0</v>
      </c>
      <c r="G77" s="6">
        <f>IF(G76="None",0,(((Granite!G28*(G75+G76))-Granite!G29)))</f>
        <v>0</v>
      </c>
      <c r="H77" s="6">
        <f>IF(H76="None",0,(((Granite!H28*(H75+H76))-Granite!H29)))</f>
        <v>0</v>
      </c>
      <c r="I77" s="6">
        <f>IF(I76="None",0,(((Granite!I28*(I75+I76))-Granite!I29)))</f>
        <v>0</v>
      </c>
      <c r="J77" s="6">
        <f>IF(J76="None",0,(((Granite!J28*(J75+J76))-Granite!J29)))</f>
        <v>0</v>
      </c>
      <c r="K77" s="6">
        <f>IF(K76="None",0,(((Granite!K28*(K75+K76))-Granite!K29)))</f>
        <v>0</v>
      </c>
      <c r="L77" s="6">
        <f>IF(L76="None",0,(((Granite!L28*(L75+L76))-Granite!L29)))</f>
        <v>0</v>
      </c>
      <c r="M77" s="6">
        <f>IF(M76="None",0,(((Granite!M28*(M75+M76))-Granite!M29)))</f>
        <v>0</v>
      </c>
      <c r="N77" s="6">
        <f>IF(N76="None",0,(((Granite!N28*(N75+N76))-Granite!N29)))</f>
        <v>0</v>
      </c>
      <c r="O77" s="6">
        <f>SUM(C77:N77)</f>
        <v>0</v>
      </c>
    </row>
    <row r="78" spans="2:15">
      <c r="B78" t="s">
        <v>147</v>
      </c>
      <c r="C78" s="12">
        <f>SUM(C75:C76)</f>
        <v>0.28788406747699186</v>
      </c>
      <c r="D78" s="12">
        <f>SUM(D75:D76)</f>
        <v>0.28653610516915534</v>
      </c>
      <c r="E78" s="12">
        <f>SUM(E75:E76)</f>
        <v>0.28515885795075208</v>
      </c>
      <c r="F78" s="12">
        <f>SUM(F75:F76)</f>
        <v>0.28220880808658072</v>
      </c>
      <c r="G78" s="12">
        <f>SUM(G75:G76)</f>
        <v>0.28774139546007133</v>
      </c>
      <c r="H78" s="12">
        <f>SUM(H75:H76)</f>
        <v>0.28751971756929318</v>
      </c>
      <c r="I78" s="12">
        <f>SUM(I75:I76)</f>
        <v>0.28541903678422448</v>
      </c>
      <c r="J78" s="12">
        <f>SUM(J75:J76)</f>
        <v>0.28242086169569541</v>
      </c>
      <c r="K78" s="12">
        <f>SUM(K75:K76)</f>
        <v>0.28585166722273464</v>
      </c>
      <c r="L78" s="12">
        <f>SUM(L75:L76)</f>
        <v>0.28362981476036458</v>
      </c>
      <c r="M78" s="12">
        <f>SUM(M75:M76)</f>
        <v>0.28753941613264167</v>
      </c>
      <c r="N78" s="12">
        <f>SUM(N75:N76)</f>
        <v>0.28287016285671596</v>
      </c>
      <c r="O78" t="s">
        <v>183</v>
      </c>
    </row>
    <row r="81" spans="1:15">
      <c r="B81" s="2" t="s">
        <v>112</v>
      </c>
    </row>
    <row r="82" spans="1:15">
      <c r="B82" t="s">
        <v>148</v>
      </c>
      <c r="C82" s="12">
        <f>Granite!C36</f>
        <v>-0.21456535552503742</v>
      </c>
      <c r="D82" s="12">
        <f>Granite!D36</f>
        <v>-0.21442960686174739</v>
      </c>
      <c r="E82" s="12">
        <f>Granite!E36</f>
        <v>-0.21929859011114164</v>
      </c>
      <c r="F82" s="12">
        <f>Granite!F36</f>
        <v>-0.21388005857770476</v>
      </c>
      <c r="G82" s="12">
        <f>Granite!G36</f>
        <v>-0.2179086035434562</v>
      </c>
      <c r="H82" s="12">
        <f>Granite!H36</f>
        <v>-0.21490272665815371</v>
      </c>
      <c r="I82" s="12">
        <f>Granite!I36</f>
        <v>-0.21492226014410315</v>
      </c>
      <c r="J82" s="12">
        <f>Granite!J36</f>
        <v>-0.22150923524019425</v>
      </c>
      <c r="K82" s="12">
        <f>Granite!K36</f>
        <v>-0.21407964202304083</v>
      </c>
      <c r="L82" s="12">
        <f>Granite!L36</f>
        <v>-0.21392605116142308</v>
      </c>
      <c r="M82" s="12">
        <f>Granite!M36</f>
        <v>-0.21448479300172921</v>
      </c>
      <c r="N82" s="12">
        <f>Granite!N36</f>
        <v>-0.21311444793067383</v>
      </c>
      <c r="O82" t="s">
        <v>183</v>
      </c>
    </row>
    <row r="83" spans="1:15">
      <c r="B83" t="s">
        <v>144</v>
      </c>
      <c r="C83" t="s">
        <v>145</v>
      </c>
      <c r="D83" t="s">
        <v>145</v>
      </c>
      <c r="E83" t="s">
        <v>145</v>
      </c>
      <c r="F83" t="s">
        <v>145</v>
      </c>
      <c r="G83" t="s">
        <v>145</v>
      </c>
      <c r="H83" t="s">
        <v>145</v>
      </c>
      <c r="I83" t="s">
        <v>145</v>
      </c>
      <c r="J83" t="s">
        <v>145</v>
      </c>
      <c r="K83" t="s">
        <v>145</v>
      </c>
      <c r="L83" t="s">
        <v>145</v>
      </c>
      <c r="M83" t="s">
        <v>145</v>
      </c>
      <c r="N83" t="s">
        <v>145</v>
      </c>
    </row>
    <row r="84" spans="1:15">
      <c r="B84" t="s">
        <v>146</v>
      </c>
      <c r="C84" s="6">
        <f>-IF(C83="None",0,(((Granite!C28*-(C82+C83))-Granite!C30)))</f>
        <v>0</v>
      </c>
      <c r="D84" s="6">
        <f>-IF(D83="None",0,(((Granite!D28*-(D82+D83))-Granite!D30)))</f>
        <v>0</v>
      </c>
      <c r="E84" s="6">
        <f>-IF(E83="None",0,(((Granite!E28*-(E82+E83))-Granite!E30)))</f>
        <v>0</v>
      </c>
      <c r="F84" s="6">
        <f>-IF(F83="None",0,(((Granite!F28*-(F82+F83))-Granite!F30)))</f>
        <v>0</v>
      </c>
      <c r="G84" s="6">
        <f>-IF(G83="None",0,(((Granite!G28*-(G82+G83))-Granite!G30)))</f>
        <v>0</v>
      </c>
      <c r="H84" s="6">
        <f>-IF(H83="None",0,(((Granite!H28*-(H82+H83))-Granite!H30)))</f>
        <v>0</v>
      </c>
      <c r="I84" s="6">
        <f>-IF(I83="None",0,(((Granite!I28*-(I82+I83))-Granite!I30)))</f>
        <v>0</v>
      </c>
      <c r="J84" s="6">
        <f>-IF(J83="None",0,(((Granite!J28*-(J82+J83))-Granite!J30)))</f>
        <v>0</v>
      </c>
      <c r="K84" s="6">
        <f>-IF(K83="None",0,(((Granite!K28*-(K82+K83))-Granite!K30)))</f>
        <v>0</v>
      </c>
      <c r="L84" s="6">
        <f>-IF(L83="None",0,(((Granite!L28*-(L82+L83))-Granite!L30)))</f>
        <v>0</v>
      </c>
      <c r="M84" s="6">
        <f>-IF(M83="None",0,(((Granite!M28*-(M82+M83))-Granite!M30)))</f>
        <v>0</v>
      </c>
      <c r="N84" s="6">
        <f>-IF(N83="None",0,(((Granite!N28*-(N82+N83))-Granite!N30)))</f>
        <v>0</v>
      </c>
      <c r="O84" s="6">
        <f>SUM(C84:N84)</f>
        <v>0</v>
      </c>
    </row>
    <row r="85" spans="1:15">
      <c r="B85" t="s">
        <v>149</v>
      </c>
      <c r="C85" s="12">
        <f>SUM(C82:C83)</f>
        <v>-0.21456535552503742</v>
      </c>
      <c r="D85" s="12">
        <f>SUM(D82:D83)</f>
        <v>-0.21442960686174739</v>
      </c>
      <c r="E85" s="12">
        <f>SUM(E82:E83)</f>
        <v>-0.21929859011114164</v>
      </c>
      <c r="F85" s="12">
        <f>SUM(F82:F83)</f>
        <v>-0.21388005857770476</v>
      </c>
      <c r="G85" s="12">
        <f>SUM(G82:G83)</f>
        <v>-0.2179086035434562</v>
      </c>
      <c r="H85" s="12">
        <f>SUM(H82:H83)</f>
        <v>-0.21490272665815371</v>
      </c>
      <c r="I85" s="12">
        <f>SUM(I82:I83)</f>
        <v>-0.21492226014410315</v>
      </c>
      <c r="J85" s="12">
        <f>SUM(J82:J83)</f>
        <v>-0.22150923524019425</v>
      </c>
      <c r="K85" s="12">
        <f>SUM(K82:K83)</f>
        <v>-0.21407964202304083</v>
      </c>
      <c r="L85" s="12">
        <f>SUM(L82:L83)</f>
        <v>-0.21392605116142308</v>
      </c>
      <c r="M85" s="12">
        <f>SUM(M82:M83)</f>
        <v>-0.21448479300172921</v>
      </c>
      <c r="N85" s="12">
        <f>SUM(N82:N83)</f>
        <v>-0.21311444793067383</v>
      </c>
      <c r="O85" t="s">
        <v>183</v>
      </c>
    </row>
    <row r="87" spans="1:15">
      <c r="B87" s="8" t="s">
        <v>150</v>
      </c>
    </row>
    <row r="89" spans="1:15">
      <c r="C89" s="4" t="s">
        <v>70</v>
      </c>
      <c r="D89" s="4" t="s">
        <v>71</v>
      </c>
      <c r="E89" s="4" t="s">
        <v>72</v>
      </c>
      <c r="F89" s="4" t="s">
        <v>73</v>
      </c>
      <c r="G89" s="4" t="s">
        <v>50</v>
      </c>
      <c r="H89" s="4" t="s">
        <v>74</v>
      </c>
      <c r="I89" s="4" t="s">
        <v>75</v>
      </c>
      <c r="J89" s="4" t="s">
        <v>76</v>
      </c>
      <c r="K89" s="4" t="s">
        <v>77</v>
      </c>
      <c r="L89" s="4" t="s">
        <v>78</v>
      </c>
      <c r="M89" s="4" t="s">
        <v>79</v>
      </c>
      <c r="N89" s="4" t="s">
        <v>80</v>
      </c>
      <c r="O89" s="4" t="s">
        <v>174</v>
      </c>
    </row>
    <row r="90" spans="1:15">
      <c r="A90">
        <v>2090</v>
      </c>
      <c r="B90" t="s">
        <v>151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20">
        <v>400</v>
      </c>
      <c r="L90" s="20">
        <v>600</v>
      </c>
      <c r="M90" s="20">
        <v>300</v>
      </c>
      <c r="N90" s="20">
        <v>0</v>
      </c>
    </row>
    <row r="91" spans="1:15">
      <c r="A91">
        <v>2135</v>
      </c>
      <c r="B91" t="s">
        <v>152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20">
        <v>0</v>
      </c>
      <c r="L91" s="20">
        <v>0</v>
      </c>
      <c r="M91" s="20">
        <v>0</v>
      </c>
      <c r="N91" s="20">
        <v>0</v>
      </c>
    </row>
    <row r="92" spans="1:15">
      <c r="A92">
        <v>2175</v>
      </c>
      <c r="B92" t="s">
        <v>153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20">
        <v>0</v>
      </c>
      <c r="L92" s="20">
        <v>0</v>
      </c>
      <c r="M92" s="20">
        <v>0</v>
      </c>
      <c r="N92" s="20">
        <v>0</v>
      </c>
    </row>
    <row r="93" spans="1:15">
      <c r="A93">
        <v>2140</v>
      </c>
      <c r="B93" t="s">
        <v>154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20">
        <v>0</v>
      </c>
      <c r="L93" s="20">
        <v>0</v>
      </c>
      <c r="M93" s="20">
        <v>0</v>
      </c>
      <c r="N93" s="20">
        <v>0</v>
      </c>
    </row>
    <row r="94" spans="1:15">
      <c r="A94">
        <v>2180</v>
      </c>
      <c r="B94" t="s">
        <v>155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20">
        <v>0</v>
      </c>
      <c r="L94" s="20">
        <v>0</v>
      </c>
      <c r="M94" s="20">
        <v>0</v>
      </c>
      <c r="N94" s="20">
        <v>0</v>
      </c>
    </row>
    <row r="95" spans="1:15">
      <c r="A95">
        <v>2185</v>
      </c>
      <c r="B95" s="2" t="s">
        <v>156</v>
      </c>
      <c r="C95" s="6">
        <f>SUM(C90:C94)</f>
        <v>0</v>
      </c>
      <c r="D95" s="6">
        <f>SUM(D90:D94)</f>
        <v>0</v>
      </c>
      <c r="E95" s="6">
        <f>SUM(E90:E94)</f>
        <v>0</v>
      </c>
      <c r="F95" s="6">
        <f>SUM(F90:F94)</f>
        <v>0</v>
      </c>
      <c r="G95" s="6">
        <f>SUM(G90:G94)</f>
        <v>0</v>
      </c>
      <c r="H95" s="6">
        <f>SUM(H90:H94)</f>
        <v>0</v>
      </c>
      <c r="I95" s="6">
        <f>SUM(I90:I94)</f>
        <v>0</v>
      </c>
      <c r="J95" s="6">
        <f>SUM(J90:J94)</f>
        <v>0</v>
      </c>
      <c r="K95" s="6">
        <f>SUM(K90:K94)</f>
        <v>400</v>
      </c>
      <c r="L95" s="6">
        <f>SUM(L90:L94)</f>
        <v>600</v>
      </c>
      <c r="M95" s="6">
        <f>SUM(M90:M94)</f>
        <v>300</v>
      </c>
      <c r="N95" s="6">
        <f>SUM(N90:N94)</f>
        <v>0</v>
      </c>
    </row>
    <row r="97" spans="2:2">
      <c r="B97" s="21" t="s">
        <v>184</v>
      </c>
    </row>
  </sheetData>
  <dataValidations count="1">
    <dataValidation type="list" allowBlank="1" sqref="C76:N76 C83:N83" xr:uid="{00000000-0002-0000-1A00-000000000000}">
      <formula1>"None,-2.0%,-1.5%,-1.0%,-0.5%,0.5%,1.0%,1.5%,2.0%"</formula1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70C0"/>
  </sheetPr>
  <dimension ref="B1:CE73"/>
  <sheetViews>
    <sheetView showGridLines="0" workbookViewId="0">
      <pane xSplit="2" ySplit="26" topLeftCell="C27" activePane="bottomRight" state="frozen"/>
      <selection pane="bottomRight"/>
      <selection pane="bottomLeft"/>
      <selection pane="topRight"/>
    </sheetView>
  </sheetViews>
  <sheetFormatPr defaultRowHeight="15" outlineLevelRow="1"/>
  <cols>
    <col min="1" max="1" width="2" customWidth="1"/>
    <col min="2" max="2" width="30" customWidth="1"/>
    <col min="3" max="15" width="11" customWidth="1"/>
    <col min="16" max="16" width="2" customWidth="1"/>
    <col min="17" max="29" width="11" customWidth="1"/>
    <col min="30" max="30" width="2" customWidth="1"/>
    <col min="31" max="43" width="11" customWidth="1"/>
    <col min="44" max="44" width="2" customWidth="1"/>
    <col min="45" max="57" width="11" customWidth="1"/>
    <col min="58" max="58" width="2" customWidth="1"/>
    <col min="59" max="71" width="11" customWidth="1"/>
    <col min="72" max="72" width="2" customWidth="1"/>
    <col min="73" max="75" width="11" customWidth="1"/>
    <col min="76" max="76" width="2" customWidth="1"/>
    <col min="77" max="79" width="11" customWidth="1"/>
    <col min="80" max="80" width="2" customWidth="1"/>
    <col min="81" max="83" width="11" customWidth="1"/>
  </cols>
  <sheetData>
    <row r="1" spans="2:14" outlineLevel="1">
      <c r="C1" s="15" t="s">
        <v>34</v>
      </c>
      <c r="D1" s="15" t="s">
        <v>34</v>
      </c>
      <c r="E1" s="15" t="s">
        <v>34</v>
      </c>
      <c r="F1" s="15" t="s">
        <v>34</v>
      </c>
      <c r="G1" s="15" t="s">
        <v>34</v>
      </c>
      <c r="H1" s="15" t="s">
        <v>34</v>
      </c>
      <c r="I1" s="15" t="s">
        <v>34</v>
      </c>
      <c r="J1" s="15" t="s">
        <v>34</v>
      </c>
      <c r="K1" s="15" t="s">
        <v>45</v>
      </c>
      <c r="L1" s="15" t="s">
        <v>45</v>
      </c>
      <c r="M1" s="15" t="s">
        <v>45</v>
      </c>
      <c r="N1" s="15" t="s">
        <v>45</v>
      </c>
    </row>
    <row r="2" spans="2:14" outlineLevel="1">
      <c r="B2" s="15" t="s">
        <v>2</v>
      </c>
      <c r="C2" s="15" t="s">
        <v>34</v>
      </c>
      <c r="D2" s="15" t="s">
        <v>34</v>
      </c>
      <c r="E2" s="15" t="s">
        <v>34</v>
      </c>
      <c r="F2" s="15" t="s">
        <v>34</v>
      </c>
      <c r="G2" s="15" t="s">
        <v>34</v>
      </c>
      <c r="H2" s="15" t="s">
        <v>34</v>
      </c>
      <c r="I2" s="15" t="s">
        <v>34</v>
      </c>
      <c r="J2" s="15" t="s">
        <v>34</v>
      </c>
      <c r="K2" s="15" t="s">
        <v>34</v>
      </c>
      <c r="L2" s="15" t="s">
        <v>34</v>
      </c>
      <c r="M2" s="15" t="s">
        <v>34</v>
      </c>
      <c r="N2" s="15" t="s">
        <v>34</v>
      </c>
    </row>
    <row r="3" spans="2:14" outlineLevel="1"/>
    <row r="4" spans="2:14" outlineLevel="1"/>
    <row r="5" spans="2:14" outlineLevel="1">
      <c r="B5" s="15" t="s">
        <v>4</v>
      </c>
      <c r="C5" s="15">
        <v>2026</v>
      </c>
      <c r="D5" s="15">
        <v>2026</v>
      </c>
      <c r="E5" s="15">
        <v>2026</v>
      </c>
      <c r="F5" s="15">
        <v>2026</v>
      </c>
      <c r="G5" s="15">
        <v>2026</v>
      </c>
      <c r="H5" s="15">
        <v>2026</v>
      </c>
      <c r="I5" s="15">
        <v>2026</v>
      </c>
      <c r="J5" s="15">
        <v>2026</v>
      </c>
      <c r="K5" s="15">
        <v>2026</v>
      </c>
      <c r="L5" s="15">
        <v>2026</v>
      </c>
      <c r="M5" s="15">
        <v>2026</v>
      </c>
      <c r="N5" s="15">
        <v>2026</v>
      </c>
    </row>
    <row r="6" spans="2:14" outlineLevel="1"/>
    <row r="7" spans="2:14" outlineLevel="1"/>
    <row r="8" spans="2:14" outlineLevel="1">
      <c r="B8" s="15" t="s">
        <v>5</v>
      </c>
      <c r="C8" s="15" t="s">
        <v>35</v>
      </c>
      <c r="D8" s="15" t="s">
        <v>39</v>
      </c>
      <c r="E8" s="15" t="s">
        <v>43</v>
      </c>
      <c r="F8" s="15" t="s">
        <v>47</v>
      </c>
      <c r="G8" s="15" t="s">
        <v>51</v>
      </c>
      <c r="H8" s="15" t="s">
        <v>54</v>
      </c>
      <c r="I8" s="15" t="s">
        <v>56</v>
      </c>
      <c r="J8" s="15" t="s">
        <v>58</v>
      </c>
      <c r="K8" s="15" t="s">
        <v>32</v>
      </c>
      <c r="L8" s="15" t="s">
        <v>37</v>
      </c>
      <c r="M8" s="15" t="s">
        <v>66</v>
      </c>
      <c r="N8" s="15" t="s">
        <v>68</v>
      </c>
    </row>
    <row r="9" spans="2:14" outlineLevel="1">
      <c r="B9" s="15" t="s">
        <v>13</v>
      </c>
    </row>
    <row r="10" spans="2:14" outlineLevel="1">
      <c r="B10" s="15" t="s">
        <v>14</v>
      </c>
    </row>
    <row r="11" spans="2:14" outlineLevel="1">
      <c r="B11" s="15" t="s">
        <v>16</v>
      </c>
      <c r="C11" s="15" t="s">
        <v>17</v>
      </c>
      <c r="D11" s="15" t="s">
        <v>17</v>
      </c>
      <c r="E11" s="15" t="s">
        <v>17</v>
      </c>
      <c r="F11" s="15" t="s">
        <v>17</v>
      </c>
      <c r="G11" s="15" t="s">
        <v>17</v>
      </c>
      <c r="H11" s="15" t="s">
        <v>17</v>
      </c>
      <c r="I11" s="15" t="s">
        <v>17</v>
      </c>
      <c r="J11" s="15" t="s">
        <v>17</v>
      </c>
      <c r="K11" s="15" t="s">
        <v>17</v>
      </c>
      <c r="L11" s="15" t="s">
        <v>17</v>
      </c>
      <c r="M11" s="15" t="s">
        <v>17</v>
      </c>
      <c r="N11" s="15" t="s">
        <v>17</v>
      </c>
    </row>
    <row r="12" spans="2:14" outlineLevel="1">
      <c r="B12" s="15" t="s">
        <v>18</v>
      </c>
      <c r="C12" s="15" t="s">
        <v>19</v>
      </c>
      <c r="D12" s="15" t="s">
        <v>19</v>
      </c>
      <c r="E12" s="15" t="s">
        <v>19</v>
      </c>
      <c r="F12" s="15" t="s">
        <v>19</v>
      </c>
      <c r="G12" s="15" t="s">
        <v>19</v>
      </c>
      <c r="H12" s="15" t="s">
        <v>19</v>
      </c>
      <c r="I12" s="15" t="s">
        <v>19</v>
      </c>
      <c r="J12" s="15" t="s">
        <v>19</v>
      </c>
      <c r="K12" s="15" t="s">
        <v>19</v>
      </c>
      <c r="L12" s="15" t="s">
        <v>19</v>
      </c>
      <c r="M12" s="15" t="s">
        <v>19</v>
      </c>
      <c r="N12" s="15" t="s">
        <v>19</v>
      </c>
    </row>
    <row r="13" spans="2:14" outlineLevel="1">
      <c r="B13" s="15" t="s">
        <v>20</v>
      </c>
    </row>
    <row r="14" spans="2:14" outlineLevel="1">
      <c r="B14" s="15" t="s">
        <v>22</v>
      </c>
    </row>
    <row r="15" spans="2:14" outlineLevel="1"/>
    <row r="16" spans="2:14" outlineLevel="1"/>
    <row r="17" spans="2:83" outlineLevel="1"/>
    <row r="18" spans="2:83" outlineLevel="1">
      <c r="B18" s="15" t="s">
        <v>7</v>
      </c>
      <c r="C18" s="15" t="s">
        <v>157</v>
      </c>
      <c r="D18" s="15" t="s">
        <v>157</v>
      </c>
      <c r="E18" s="15" t="s">
        <v>157</v>
      </c>
      <c r="F18" s="15" t="s">
        <v>157</v>
      </c>
      <c r="G18" s="15" t="s">
        <v>157</v>
      </c>
      <c r="H18" s="15" t="s">
        <v>157</v>
      </c>
      <c r="I18" s="15" t="s">
        <v>157</v>
      </c>
      <c r="J18" s="15" t="s">
        <v>157</v>
      </c>
      <c r="K18" s="15" t="s">
        <v>157</v>
      </c>
      <c r="L18" s="15" t="s">
        <v>157</v>
      </c>
      <c r="M18" s="15" t="s">
        <v>157</v>
      </c>
      <c r="N18" s="15" t="s">
        <v>157</v>
      </c>
    </row>
    <row r="19" spans="2:83" outlineLevel="1">
      <c r="B19" s="15" t="s">
        <v>11</v>
      </c>
      <c r="C19" s="15" t="s">
        <v>12</v>
      </c>
      <c r="D19" s="15" t="s">
        <v>12</v>
      </c>
      <c r="E19" s="15" t="s">
        <v>12</v>
      </c>
      <c r="F19" s="15" t="s">
        <v>12</v>
      </c>
      <c r="G19" s="15" t="s">
        <v>12</v>
      </c>
      <c r="H19" s="15" t="s">
        <v>12</v>
      </c>
      <c r="I19" s="15" t="s">
        <v>12</v>
      </c>
      <c r="J19" s="15" t="s">
        <v>12</v>
      </c>
      <c r="K19" s="15" t="s">
        <v>12</v>
      </c>
      <c r="L19" s="15" t="s">
        <v>12</v>
      </c>
      <c r="M19" s="15" t="s">
        <v>12</v>
      </c>
      <c r="N19" s="15" t="s">
        <v>12</v>
      </c>
    </row>
    <row r="21" spans="2:83">
      <c r="B21" s="1" t="s">
        <v>24</v>
      </c>
    </row>
    <row r="22" spans="2:83">
      <c r="B22" s="15" t="s">
        <v>209</v>
      </c>
    </row>
    <row r="23" spans="2:83">
      <c r="B23" s="3" t="s">
        <v>107</v>
      </c>
      <c r="BU23" s="8" t="s">
        <v>158</v>
      </c>
    </row>
    <row r="24" spans="2:83">
      <c r="C24" s="8" t="s">
        <v>159</v>
      </c>
      <c r="Q24" s="8" t="s">
        <v>160</v>
      </c>
      <c r="AE24" s="8" t="s">
        <v>161</v>
      </c>
      <c r="AS24" s="8" t="s">
        <v>162</v>
      </c>
      <c r="BG24" s="8" t="s">
        <v>52</v>
      </c>
      <c r="BU24" s="2" t="s">
        <v>91</v>
      </c>
      <c r="BY24" s="2" t="s">
        <v>92</v>
      </c>
      <c r="CC24" s="2" t="s">
        <v>81</v>
      </c>
    </row>
    <row r="25" spans="2:83"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34</v>
      </c>
      <c r="I25" t="s">
        <v>34</v>
      </c>
      <c r="J25" t="s">
        <v>34</v>
      </c>
      <c r="K25" t="s">
        <v>45</v>
      </c>
      <c r="L25" t="s">
        <v>45</v>
      </c>
      <c r="M25" t="s">
        <v>45</v>
      </c>
      <c r="N25" t="s">
        <v>45</v>
      </c>
      <c r="O25" t="s">
        <v>163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45</v>
      </c>
      <c r="Z25" t="s">
        <v>45</v>
      </c>
      <c r="AA25" t="s">
        <v>45</v>
      </c>
      <c r="AB25" t="s">
        <v>45</v>
      </c>
      <c r="AC25" t="s">
        <v>163</v>
      </c>
      <c r="BG25" t="s">
        <v>34</v>
      </c>
      <c r="BH25" t="s">
        <v>34</v>
      </c>
      <c r="BI25" t="s">
        <v>34</v>
      </c>
      <c r="BJ25" t="s">
        <v>34</v>
      </c>
      <c r="BK25" t="s">
        <v>34</v>
      </c>
      <c r="BL25" t="s">
        <v>34</v>
      </c>
      <c r="BM25" t="s">
        <v>34</v>
      </c>
      <c r="BN25" t="s">
        <v>34</v>
      </c>
      <c r="BO25" t="s">
        <v>34</v>
      </c>
      <c r="BP25" t="s">
        <v>52</v>
      </c>
      <c r="BQ25" t="s">
        <v>52</v>
      </c>
      <c r="BR25" t="s">
        <v>52</v>
      </c>
      <c r="BS25" t="s">
        <v>163</v>
      </c>
    </row>
    <row r="26" spans="2:83" ht="30" customHeight="1">
      <c r="B26" s="2" t="s">
        <v>164</v>
      </c>
      <c r="C26" s="16" t="s">
        <v>70</v>
      </c>
      <c r="D26" s="16" t="s">
        <v>71</v>
      </c>
      <c r="E26" s="16" t="s">
        <v>72</v>
      </c>
      <c r="F26" s="16" t="s">
        <v>73</v>
      </c>
      <c r="G26" s="16" t="s">
        <v>50</v>
      </c>
      <c r="H26" s="16" t="s">
        <v>74</v>
      </c>
      <c r="I26" s="16" t="s">
        <v>75</v>
      </c>
      <c r="J26" s="16" t="s">
        <v>76</v>
      </c>
      <c r="K26" s="16" t="s">
        <v>77</v>
      </c>
      <c r="L26" s="16" t="s">
        <v>78</v>
      </c>
      <c r="M26" s="16" t="s">
        <v>79</v>
      </c>
      <c r="N26" s="16" t="s">
        <v>80</v>
      </c>
      <c r="O26" s="16" t="s">
        <v>165</v>
      </c>
      <c r="Q26" s="16" t="s">
        <v>70</v>
      </c>
      <c r="R26" s="16" t="s">
        <v>71</v>
      </c>
      <c r="S26" s="16" t="s">
        <v>72</v>
      </c>
      <c r="T26" s="16" t="s">
        <v>73</v>
      </c>
      <c r="U26" s="16" t="s">
        <v>50</v>
      </c>
      <c r="V26" s="16" t="s">
        <v>74</v>
      </c>
      <c r="W26" s="16" t="s">
        <v>75</v>
      </c>
      <c r="X26" s="16" t="s">
        <v>76</v>
      </c>
      <c r="Y26" s="16" t="s">
        <v>77</v>
      </c>
      <c r="Z26" s="16" t="s">
        <v>78</v>
      </c>
      <c r="AA26" s="16" t="s">
        <v>79</v>
      </c>
      <c r="AB26" s="16" t="s">
        <v>80</v>
      </c>
      <c r="AC26" s="16" t="s">
        <v>165</v>
      </c>
      <c r="AE26" s="16" t="s">
        <v>70</v>
      </c>
      <c r="AF26" s="16" t="s">
        <v>71</v>
      </c>
      <c r="AG26" s="16" t="s">
        <v>72</v>
      </c>
      <c r="AH26" s="16" t="s">
        <v>73</v>
      </c>
      <c r="AI26" s="16" t="s">
        <v>50</v>
      </c>
      <c r="AJ26" s="16" t="s">
        <v>74</v>
      </c>
      <c r="AK26" s="16" t="s">
        <v>75</v>
      </c>
      <c r="AL26" s="16" t="s">
        <v>76</v>
      </c>
      <c r="AM26" s="16" t="s">
        <v>77</v>
      </c>
      <c r="AN26" s="16" t="s">
        <v>78</v>
      </c>
      <c r="AO26" s="16" t="s">
        <v>79</v>
      </c>
      <c r="AP26" s="16" t="s">
        <v>80</v>
      </c>
      <c r="AQ26" s="16" t="s">
        <v>165</v>
      </c>
      <c r="AS26" s="16" t="s">
        <v>70</v>
      </c>
      <c r="AT26" s="16" t="s">
        <v>71</v>
      </c>
      <c r="AU26" s="16" t="s">
        <v>72</v>
      </c>
      <c r="AV26" s="16" t="s">
        <v>73</v>
      </c>
      <c r="AW26" s="16" t="s">
        <v>50</v>
      </c>
      <c r="AX26" s="16" t="s">
        <v>74</v>
      </c>
      <c r="AY26" s="16" t="s">
        <v>75</v>
      </c>
      <c r="AZ26" s="16" t="s">
        <v>76</v>
      </c>
      <c r="BA26" s="16" t="s">
        <v>77</v>
      </c>
      <c r="BB26" s="16" t="s">
        <v>78</v>
      </c>
      <c r="BC26" s="16" t="s">
        <v>79</v>
      </c>
      <c r="BD26" s="16" t="s">
        <v>80</v>
      </c>
      <c r="BE26" s="16" t="s">
        <v>165</v>
      </c>
      <c r="BG26" s="16" t="s">
        <v>70</v>
      </c>
      <c r="BH26" s="16" t="s">
        <v>71</v>
      </c>
      <c r="BI26" s="16" t="s">
        <v>72</v>
      </c>
      <c r="BJ26" s="16" t="s">
        <v>73</v>
      </c>
      <c r="BK26" s="16" t="s">
        <v>50</v>
      </c>
      <c r="BL26" s="16" t="s">
        <v>74</v>
      </c>
      <c r="BM26" s="16" t="s">
        <v>75</v>
      </c>
      <c r="BN26" s="16" t="s">
        <v>76</v>
      </c>
      <c r="BO26" s="16" t="s">
        <v>77</v>
      </c>
      <c r="BP26" s="16" t="s">
        <v>78</v>
      </c>
      <c r="BQ26" s="16" t="s">
        <v>79</v>
      </c>
      <c r="BR26" s="16" t="s">
        <v>80</v>
      </c>
      <c r="BS26" s="16" t="s">
        <v>165</v>
      </c>
      <c r="BU26" s="17" t="s">
        <v>94</v>
      </c>
      <c r="BV26" s="17" t="s">
        <v>95</v>
      </c>
      <c r="BW26" s="17" t="s">
        <v>96</v>
      </c>
      <c r="BY26" s="17" t="s">
        <v>97</v>
      </c>
      <c r="BZ26" s="17" t="s">
        <v>98</v>
      </c>
      <c r="CA26" s="17" t="s">
        <v>99</v>
      </c>
      <c r="CC26" s="17" t="s">
        <v>97</v>
      </c>
      <c r="CD26" s="17" t="s">
        <v>98</v>
      </c>
      <c r="CE26" s="17" t="s">
        <v>99</v>
      </c>
    </row>
    <row r="28" spans="2:83">
      <c r="B28" s="2" t="s">
        <v>100</v>
      </c>
      <c r="C28" s="6">
        <v>4878.7</v>
      </c>
      <c r="D28" s="6">
        <v>4815.1000000000004</v>
      </c>
      <c r="E28" s="6">
        <v>5092.6000000000004</v>
      </c>
      <c r="F28" s="6">
        <v>5599.4</v>
      </c>
      <c r="G28" s="6">
        <v>5017.7</v>
      </c>
      <c r="H28" s="6">
        <v>5325.2</v>
      </c>
      <c r="I28" s="6">
        <v>5274</v>
      </c>
      <c r="J28" s="6">
        <v>5127.1000000000004</v>
      </c>
      <c r="K28" s="6">
        <v>5095.3</v>
      </c>
      <c r="L28" s="6">
        <v>5441.6</v>
      </c>
      <c r="M28" s="6">
        <v>4915.5</v>
      </c>
      <c r="N28" s="6">
        <v>5354.4</v>
      </c>
      <c r="O28" s="18">
        <f>SUM(C28:N28)</f>
        <v>61936.6</v>
      </c>
      <c r="Q28" s="6">
        <v>4878.7</v>
      </c>
      <c r="R28" s="6">
        <v>4815.1000000000004</v>
      </c>
      <c r="S28" s="6">
        <v>5092.6000000000004</v>
      </c>
      <c r="T28" s="6">
        <v>5599.4</v>
      </c>
      <c r="U28" s="6">
        <v>5017.7</v>
      </c>
      <c r="V28" s="6">
        <v>5325.2</v>
      </c>
      <c r="W28" s="6">
        <v>5274</v>
      </c>
      <c r="X28" s="6">
        <v>5127.1000000000004</v>
      </c>
      <c r="Y28" s="6">
        <v>5095.3</v>
      </c>
      <c r="Z28" s="6">
        <v>5441.6</v>
      </c>
      <c r="AA28" s="6">
        <v>4915.5</v>
      </c>
      <c r="AB28" s="6">
        <v>5354.4</v>
      </c>
      <c r="AC28" s="18">
        <f>SUM(Q28:AB28)</f>
        <v>61936.6</v>
      </c>
      <c r="AE28" s="6">
        <f>Q28-C28</f>
        <v>0</v>
      </c>
      <c r="AF28" s="6">
        <f>R28-D28</f>
        <v>0</v>
      </c>
      <c r="AG28" s="6">
        <f>S28-E28</f>
        <v>0</v>
      </c>
      <c r="AH28" s="6">
        <f>T28-F28</f>
        <v>0</v>
      </c>
      <c r="AI28" s="6">
        <f>U28-G28</f>
        <v>0</v>
      </c>
      <c r="AJ28" s="6">
        <f>V28-H28</f>
        <v>0</v>
      </c>
      <c r="AK28" s="6">
        <f>W28-I28</f>
        <v>0</v>
      </c>
      <c r="AL28" s="6">
        <f>X28-J28</f>
        <v>0</v>
      </c>
      <c r="AM28" s="6">
        <f>Y28-K28</f>
        <v>0</v>
      </c>
      <c r="AN28" s="6">
        <f>Z28-L28</f>
        <v>0</v>
      </c>
      <c r="AO28" s="6">
        <f>AA28-M28</f>
        <v>0</v>
      </c>
      <c r="AP28" s="6">
        <f>AB28-N28</f>
        <v>0</v>
      </c>
      <c r="AQ28" s="18">
        <f>SUM(AE28:AP28)</f>
        <v>0</v>
      </c>
      <c r="AS28" s="6">
        <f>'Granite-Adj'!C14</f>
        <v>0</v>
      </c>
      <c r="AT28" s="6">
        <f>'Granite-Adj'!D14</f>
        <v>0</v>
      </c>
      <c r="AU28" s="6">
        <f>'Granite-Adj'!E14</f>
        <v>0</v>
      </c>
      <c r="AV28" s="6">
        <f>'Granite-Adj'!F14</f>
        <v>0</v>
      </c>
      <c r="AW28" s="6">
        <f>'Granite-Adj'!G14</f>
        <v>0</v>
      </c>
      <c r="AX28" s="6">
        <f>'Granite-Adj'!H14</f>
        <v>0</v>
      </c>
      <c r="AY28" s="6">
        <f>'Granite-Adj'!I14</f>
        <v>0</v>
      </c>
      <c r="AZ28" s="6">
        <f>'Granite-Adj'!J14</f>
        <v>0</v>
      </c>
      <c r="BA28" s="6">
        <f>'Granite-Adj'!K14</f>
        <v>-430</v>
      </c>
      <c r="BB28" s="6">
        <f>'Granite-Adj'!L14</f>
        <v>-250</v>
      </c>
      <c r="BC28" s="6">
        <f>'Granite-Adj'!M14</f>
        <v>-200</v>
      </c>
      <c r="BD28" s="6">
        <f>'Granite-Adj'!N14</f>
        <v>-300</v>
      </c>
      <c r="BE28" s="18">
        <f>SUM(AS28:BD28)</f>
        <v>-1180</v>
      </c>
      <c r="BG28" s="6">
        <f>C28+AE28+AS28</f>
        <v>4878.7</v>
      </c>
      <c r="BH28" s="6">
        <f>D28+AF28+AT28</f>
        <v>4815.1000000000004</v>
      </c>
      <c r="BI28" s="6">
        <f>E28+AG28+AU28</f>
        <v>5092.6000000000004</v>
      </c>
      <c r="BJ28" s="6">
        <f>F28+AH28+AV28</f>
        <v>5599.4</v>
      </c>
      <c r="BK28" s="6">
        <f>G28+AI28+AW28</f>
        <v>5017.7</v>
      </c>
      <c r="BL28" s="6">
        <f>H28+AJ28+AX28</f>
        <v>5325.2</v>
      </c>
      <c r="BM28" s="6">
        <f>I28+AK28+AY28</f>
        <v>5274</v>
      </c>
      <c r="BN28" s="6">
        <f>J28+AL28+AZ28</f>
        <v>5127.1000000000004</v>
      </c>
      <c r="BO28" s="6">
        <f>K28+AM28+BA28</f>
        <v>4665.3</v>
      </c>
      <c r="BP28" s="6">
        <f>L28+AN28+BB28</f>
        <v>5191.6000000000004</v>
      </c>
      <c r="BQ28" s="6">
        <f>M28+AO28+BC28</f>
        <v>4715.5</v>
      </c>
      <c r="BR28" s="6">
        <f>N28+AP28+BD28</f>
        <v>5054.3999999999996</v>
      </c>
      <c r="BS28" s="18">
        <f>SUM(BG28:BR28)</f>
        <v>60756.6</v>
      </c>
      <c r="BU28" s="6">
        <f>SUM(BG28:BO28)-SUM(C28:K28)</f>
        <v>-430</v>
      </c>
      <c r="BV28" s="6">
        <f>SUM(BG28:BO28)-SUM(C51:K51)</f>
        <v>-2792.4000000000015</v>
      </c>
      <c r="BW28" s="6">
        <f>SUM(BG28:BO28)-SUM(C64:K64)</f>
        <v>-1464.4000000000015</v>
      </c>
      <c r="BY28" s="6">
        <f>SUM(BP28:BR28)-SUM(L28:N28)</f>
        <v>-750</v>
      </c>
      <c r="BZ28" s="6">
        <f>SUM(BP28:BR28)-SUM(L51:N51)</f>
        <v>-1450.9000000000015</v>
      </c>
      <c r="CA28" s="6">
        <f>SUM(BP28:BR28)-SUM(L64:N64)</f>
        <v>-1011.1999999999989</v>
      </c>
      <c r="CC28" s="6">
        <f>BS28-O28</f>
        <v>-1180</v>
      </c>
      <c r="CD28" s="6">
        <f>BS28-O51</f>
        <v>-4243.3000000000029</v>
      </c>
      <c r="CE28" s="6">
        <f>BS28-O64</f>
        <v>-2475.5999999999985</v>
      </c>
    </row>
    <row r="29" spans="2:83">
      <c r="B29" s="5" t="s">
        <v>111</v>
      </c>
      <c r="C29" s="6">
        <v>1404.5</v>
      </c>
      <c r="D29" s="6">
        <v>1379.7</v>
      </c>
      <c r="E29" s="6">
        <v>1452.2</v>
      </c>
      <c r="F29" s="6">
        <v>1580.2</v>
      </c>
      <c r="G29" s="6">
        <v>1443.8</v>
      </c>
      <c r="H29" s="6">
        <v>1531.1</v>
      </c>
      <c r="I29" s="6">
        <v>1505.3</v>
      </c>
      <c r="J29" s="6">
        <v>1448</v>
      </c>
      <c r="K29" s="6">
        <v>1456.5</v>
      </c>
      <c r="L29" s="6">
        <v>1543.4</v>
      </c>
      <c r="M29" s="6">
        <v>1413.4</v>
      </c>
      <c r="N29" s="6">
        <v>1514.6</v>
      </c>
      <c r="O29" s="18">
        <f>SUM(C29:N29)</f>
        <v>17672.699999999997</v>
      </c>
      <c r="Q29" s="6">
        <v>1404.5</v>
      </c>
      <c r="R29" s="6">
        <v>1379.7</v>
      </c>
      <c r="S29" s="6">
        <v>1452.2</v>
      </c>
      <c r="T29" s="6">
        <v>1580.2</v>
      </c>
      <c r="U29" s="6">
        <v>1443.8</v>
      </c>
      <c r="V29" s="6">
        <v>1531.1</v>
      </c>
      <c r="W29" s="6">
        <v>1505.3</v>
      </c>
      <c r="X29" s="6">
        <v>1448</v>
      </c>
      <c r="Y29" s="6">
        <v>1456.5</v>
      </c>
      <c r="Z29" s="6">
        <v>1543.4</v>
      </c>
      <c r="AA29" s="6">
        <v>1413.4</v>
      </c>
      <c r="AB29" s="6">
        <v>1514.6</v>
      </c>
      <c r="AC29" s="18">
        <f>SUM(Q29:AB29)</f>
        <v>17672.699999999997</v>
      </c>
      <c r="AE29" s="6">
        <f>Q29-C29</f>
        <v>0</v>
      </c>
      <c r="AF29" s="6">
        <f>R29-D29</f>
        <v>0</v>
      </c>
      <c r="AG29" s="6">
        <f>S29-E29</f>
        <v>0</v>
      </c>
      <c r="AH29" s="6">
        <f>T29-F29</f>
        <v>0</v>
      </c>
      <c r="AI29" s="6">
        <f>U29-G29</f>
        <v>0</v>
      </c>
      <c r="AJ29" s="6">
        <f>V29-H29</f>
        <v>0</v>
      </c>
      <c r="AK29" s="6">
        <f>W29-I29</f>
        <v>0</v>
      </c>
      <c r="AL29" s="6">
        <f>X29-J29</f>
        <v>0</v>
      </c>
      <c r="AM29" s="6">
        <f>Y29-K29</f>
        <v>0</v>
      </c>
      <c r="AN29" s="6">
        <f>Z29-L29</f>
        <v>0</v>
      </c>
      <c r="AO29" s="6">
        <f>AA29-M29</f>
        <v>0</v>
      </c>
      <c r="AP29" s="6">
        <f>AB29-N29</f>
        <v>0</v>
      </c>
      <c r="AQ29" s="18">
        <f>SUM(AE29:AP29)</f>
        <v>0</v>
      </c>
      <c r="AS29" s="6">
        <f>'Granite-Adj'!C36+'Granite-Adj'!C77</f>
        <v>0</v>
      </c>
      <c r="AT29" s="6">
        <f>'Granite-Adj'!D36+'Granite-Adj'!D77</f>
        <v>0</v>
      </c>
      <c r="AU29" s="6">
        <f>'Granite-Adj'!E36+'Granite-Adj'!E77</f>
        <v>0</v>
      </c>
      <c r="AV29" s="6">
        <f>'Granite-Adj'!F36+'Granite-Adj'!F77</f>
        <v>0</v>
      </c>
      <c r="AW29" s="6">
        <f>'Granite-Adj'!G36+'Granite-Adj'!G77</f>
        <v>0</v>
      </c>
      <c r="AX29" s="6">
        <f>'Granite-Adj'!H36+'Granite-Adj'!H77</f>
        <v>0</v>
      </c>
      <c r="AY29" s="6">
        <f>'Granite-Adj'!I36+'Granite-Adj'!I77</f>
        <v>0</v>
      </c>
      <c r="AZ29" s="6">
        <f>'Granite-Adj'!J36+'Granite-Adj'!J77</f>
        <v>0</v>
      </c>
      <c r="BA29" s="6">
        <f>'Granite-Adj'!K36+'Granite-Adj'!K77</f>
        <v>-265</v>
      </c>
      <c r="BB29" s="6">
        <f>'Granite-Adj'!L36+'Granite-Adj'!L77</f>
        <v>-127</v>
      </c>
      <c r="BC29" s="6">
        <f>'Granite-Adj'!M36+'Granite-Adj'!M77</f>
        <v>-102</v>
      </c>
      <c r="BD29" s="6">
        <f>'Granite-Adj'!N36+'Granite-Adj'!N77</f>
        <v>-31</v>
      </c>
      <c r="BE29" s="18">
        <f>SUM(AS29:BD29)</f>
        <v>-525</v>
      </c>
      <c r="BG29" s="6">
        <f>C29+AE29+AS29</f>
        <v>1404.5</v>
      </c>
      <c r="BH29" s="6">
        <f>D29+AF29+AT29</f>
        <v>1379.7</v>
      </c>
      <c r="BI29" s="6">
        <f>E29+AG29+AU29</f>
        <v>1452.2</v>
      </c>
      <c r="BJ29" s="6">
        <f>F29+AH29+AV29</f>
        <v>1580.2</v>
      </c>
      <c r="BK29" s="6">
        <f>G29+AI29+AW29</f>
        <v>1443.8</v>
      </c>
      <c r="BL29" s="6">
        <f>H29+AJ29+AX29</f>
        <v>1531.1</v>
      </c>
      <c r="BM29" s="6">
        <f>I29+AK29+AY29</f>
        <v>1505.3</v>
      </c>
      <c r="BN29" s="6">
        <f>J29+AL29+AZ29</f>
        <v>1448</v>
      </c>
      <c r="BO29" s="6">
        <f>K29+AM29+BA29</f>
        <v>1191.5</v>
      </c>
      <c r="BP29" s="6">
        <f>L29+AN29+BB29</f>
        <v>1416.4</v>
      </c>
      <c r="BQ29" s="6">
        <f>M29+AO29+BC29</f>
        <v>1311.4</v>
      </c>
      <c r="BR29" s="6">
        <f>N29+AP29+BD29</f>
        <v>1483.6</v>
      </c>
      <c r="BS29" s="18">
        <f>SUM(BG29:BR29)</f>
        <v>17147.699999999997</v>
      </c>
      <c r="BU29" s="6">
        <f>SUM(BG29:BO29)-SUM(C29:K29)</f>
        <v>-265</v>
      </c>
      <c r="BV29" s="6">
        <f>SUM(BG29:BO29)-SUM(C52:K52)</f>
        <v>-1639.9000000000015</v>
      </c>
      <c r="BW29" s="6">
        <f>SUM(BG29:BO29)-SUM(C65:K65)</f>
        <v>-1517.3000000000011</v>
      </c>
      <c r="BY29" s="6">
        <f>SUM(BP29:BR29)-SUM(L29:N29)</f>
        <v>-260</v>
      </c>
      <c r="BZ29" s="6">
        <f>SUM(BP29:BR29)-SUM(L52:N52)</f>
        <v>-712.20000000000073</v>
      </c>
      <c r="CA29" s="6">
        <f>SUM(BP29:BR29)-SUM(L65:N65)</f>
        <v>-668.90000000000055</v>
      </c>
      <c r="CC29" s="6">
        <f>BS29-O29</f>
        <v>-525</v>
      </c>
      <c r="CD29" s="6">
        <f>BS29-O52</f>
        <v>-2352.1000000000022</v>
      </c>
      <c r="CE29" s="6">
        <f>BS29-O65</f>
        <v>-2186.2000000000044</v>
      </c>
    </row>
    <row r="30" spans="2:83">
      <c r="B30" s="5" t="s">
        <v>112</v>
      </c>
      <c r="C30" s="6">
        <v>-1046.8</v>
      </c>
      <c r="D30" s="6">
        <v>-1032.5</v>
      </c>
      <c r="E30" s="6">
        <v>-1116.8</v>
      </c>
      <c r="F30" s="6">
        <v>-1197.5999999999999</v>
      </c>
      <c r="G30" s="6">
        <v>-1093.4000000000001</v>
      </c>
      <c r="H30" s="6">
        <v>-1144.4000000000001</v>
      </c>
      <c r="I30" s="6">
        <v>-1133.5</v>
      </c>
      <c r="J30" s="6">
        <v>-1135.7</v>
      </c>
      <c r="K30" s="6">
        <v>-1090.8</v>
      </c>
      <c r="L30" s="6">
        <v>-1164.0999999999999</v>
      </c>
      <c r="M30" s="6">
        <v>-1054.3</v>
      </c>
      <c r="N30" s="6">
        <v>-1141.0999999999999</v>
      </c>
      <c r="O30" s="18">
        <f>SUM(C30:N30)</f>
        <v>-13351</v>
      </c>
      <c r="Q30" s="6">
        <v>-1046.8</v>
      </c>
      <c r="R30" s="6">
        <v>-1032.5</v>
      </c>
      <c r="S30" s="6">
        <v>-1116.8</v>
      </c>
      <c r="T30" s="6">
        <v>-1197.5999999999999</v>
      </c>
      <c r="U30" s="6">
        <v>-1093.4000000000001</v>
      </c>
      <c r="V30" s="6">
        <v>-1144.4000000000001</v>
      </c>
      <c r="W30" s="6">
        <v>-1133.5</v>
      </c>
      <c r="X30" s="6">
        <v>-1135.7</v>
      </c>
      <c r="Y30" s="6">
        <v>-1090.8</v>
      </c>
      <c r="Z30" s="6">
        <v>-1164.0999999999999</v>
      </c>
      <c r="AA30" s="6">
        <v>-1054.3</v>
      </c>
      <c r="AB30" s="6">
        <v>-1141.0999999999999</v>
      </c>
      <c r="AC30" s="18">
        <f>SUM(Q30:AB30)</f>
        <v>-13351</v>
      </c>
      <c r="AE30" s="6">
        <f>Q30-C30</f>
        <v>0</v>
      </c>
      <c r="AF30" s="6">
        <f>R30-D30</f>
        <v>0</v>
      </c>
      <c r="AG30" s="6">
        <f>S30-E30</f>
        <v>0</v>
      </c>
      <c r="AH30" s="6">
        <f>T30-F30</f>
        <v>0</v>
      </c>
      <c r="AI30" s="6">
        <f>U30-G30</f>
        <v>0</v>
      </c>
      <c r="AJ30" s="6">
        <f>V30-H30</f>
        <v>0</v>
      </c>
      <c r="AK30" s="6">
        <f>W30-I30</f>
        <v>0</v>
      </c>
      <c r="AL30" s="6">
        <f>X30-J30</f>
        <v>0</v>
      </c>
      <c r="AM30" s="6">
        <f>Y30-K30</f>
        <v>0</v>
      </c>
      <c r="AN30" s="6">
        <f>Z30-L30</f>
        <v>0</v>
      </c>
      <c r="AO30" s="6">
        <f>AA30-M30</f>
        <v>0</v>
      </c>
      <c r="AP30" s="6">
        <f>AB30-N30</f>
        <v>0</v>
      </c>
      <c r="AQ30" s="18">
        <f>SUM(AE30:AP30)</f>
        <v>0</v>
      </c>
      <c r="AS30" s="6">
        <f>-'Granite-Adj'!C58-'Granite-Adj'!C84</f>
        <v>0</v>
      </c>
      <c r="AT30" s="6">
        <f>-'Granite-Adj'!D58-'Granite-Adj'!D84</f>
        <v>0</v>
      </c>
      <c r="AU30" s="6">
        <f>-'Granite-Adj'!E58-'Granite-Adj'!E84</f>
        <v>0</v>
      </c>
      <c r="AV30" s="6">
        <f>-'Granite-Adj'!F58-'Granite-Adj'!F84</f>
        <v>0</v>
      </c>
      <c r="AW30" s="6">
        <f>-'Granite-Adj'!G58-'Granite-Adj'!G84</f>
        <v>0</v>
      </c>
      <c r="AX30" s="6">
        <f>-'Granite-Adj'!H58-'Granite-Adj'!H84</f>
        <v>0</v>
      </c>
      <c r="AY30" s="6">
        <f>-'Granite-Adj'!I58-'Granite-Adj'!I84</f>
        <v>0</v>
      </c>
      <c r="AZ30" s="6">
        <f>-'Granite-Adj'!J58-'Granite-Adj'!J84</f>
        <v>0</v>
      </c>
      <c r="BA30" s="6">
        <f>-'Granite-Adj'!K58-'Granite-Adj'!K84</f>
        <v>42</v>
      </c>
      <c r="BB30" s="6">
        <f>-'Granite-Adj'!L58-'Granite-Adj'!L84</f>
        <v>44</v>
      </c>
      <c r="BC30" s="6">
        <f>-'Granite-Adj'!M58-'Granite-Adj'!M84</f>
        <v>41</v>
      </c>
      <c r="BD30" s="6">
        <f>-'Granite-Adj'!N58-'Granite-Adj'!N84</f>
        <v>47</v>
      </c>
      <c r="BE30" s="18">
        <f>SUM(AS30:BD30)</f>
        <v>174</v>
      </c>
      <c r="BG30" s="6">
        <f>C30+AE30+AS30</f>
        <v>-1046.8</v>
      </c>
      <c r="BH30" s="6">
        <f>D30+AF30+AT30</f>
        <v>-1032.5</v>
      </c>
      <c r="BI30" s="6">
        <f>E30+AG30+AU30</f>
        <v>-1116.8</v>
      </c>
      <c r="BJ30" s="6">
        <f>F30+AH30+AV30</f>
        <v>-1197.5999999999999</v>
      </c>
      <c r="BK30" s="6">
        <f>G30+AI30+AW30</f>
        <v>-1093.4000000000001</v>
      </c>
      <c r="BL30" s="6">
        <f>H30+AJ30+AX30</f>
        <v>-1144.4000000000001</v>
      </c>
      <c r="BM30" s="6">
        <f>I30+AK30+AY30</f>
        <v>-1133.5</v>
      </c>
      <c r="BN30" s="6">
        <f>J30+AL30+AZ30</f>
        <v>-1135.7</v>
      </c>
      <c r="BO30" s="6">
        <f>K30+AM30+BA30</f>
        <v>-1048.8</v>
      </c>
      <c r="BP30" s="6">
        <f>L30+AN30+BB30</f>
        <v>-1120.0999999999999</v>
      </c>
      <c r="BQ30" s="6">
        <f>M30+AO30+BC30</f>
        <v>-1013.3</v>
      </c>
      <c r="BR30" s="6">
        <f>N30+AP30+BD30</f>
        <v>-1094.0999999999999</v>
      </c>
      <c r="BS30" s="18">
        <f>SUM(BG30:BR30)</f>
        <v>-13177</v>
      </c>
      <c r="BU30" s="6">
        <f>SUM(BG30:BO30)-SUM(C30:K30)</f>
        <v>42</v>
      </c>
      <c r="BV30" s="6">
        <f>SUM(BG30:BO30)-SUM(C53:K53)</f>
        <v>254.5</v>
      </c>
      <c r="BW30" s="6">
        <f>SUM(BG30:BO30)-SUM(C66:K66)</f>
        <v>48.399999999999636</v>
      </c>
      <c r="BY30" s="6">
        <f>SUM(BP30:BR30)-SUM(L30:N30)</f>
        <v>132</v>
      </c>
      <c r="BZ30" s="6">
        <f>SUM(BP30:BR30)-SUM(L53:N53)</f>
        <v>219.70000000000027</v>
      </c>
      <c r="CA30" s="6">
        <f>SUM(BP30:BR30)-SUM(L66:N66)</f>
        <v>161.40000000000055</v>
      </c>
      <c r="CC30" s="6">
        <f>BS30-O30</f>
        <v>174</v>
      </c>
      <c r="CD30" s="6">
        <f>BS30-O53</f>
        <v>474.20000000000073</v>
      </c>
      <c r="CE30" s="6">
        <f>BS30-O66</f>
        <v>209.79999999999927</v>
      </c>
    </row>
    <row r="31" spans="2:83">
      <c r="B31" s="2" t="s">
        <v>113</v>
      </c>
      <c r="C31" s="6">
        <f>C29+C30</f>
        <v>357.70000000000005</v>
      </c>
      <c r="D31" s="6">
        <f>D29+D30</f>
        <v>347.20000000000005</v>
      </c>
      <c r="E31" s="6">
        <f>E29+E30</f>
        <v>335.40000000000009</v>
      </c>
      <c r="F31" s="6">
        <f>F29+F30</f>
        <v>382.60000000000014</v>
      </c>
      <c r="G31" s="6">
        <f>G29+G30</f>
        <v>350.39999999999986</v>
      </c>
      <c r="H31" s="6">
        <f>H29+H30</f>
        <v>386.69999999999982</v>
      </c>
      <c r="I31" s="6">
        <f>I29+I30</f>
        <v>371.79999999999995</v>
      </c>
      <c r="J31" s="6">
        <f>J29+J30</f>
        <v>312.29999999999995</v>
      </c>
      <c r="K31" s="6">
        <f>K29+K30</f>
        <v>365.70000000000005</v>
      </c>
      <c r="L31" s="6">
        <f>L29+L30</f>
        <v>379.30000000000018</v>
      </c>
      <c r="M31" s="6">
        <f>M29+M30</f>
        <v>359.10000000000014</v>
      </c>
      <c r="N31" s="6">
        <f>N29+N30</f>
        <v>373.5</v>
      </c>
      <c r="O31" s="18">
        <f>SUM(C31:N31)</f>
        <v>4321.7000000000007</v>
      </c>
      <c r="Q31" s="6">
        <f>Q29+Q30</f>
        <v>357.70000000000005</v>
      </c>
      <c r="R31" s="6">
        <f>R29+R30</f>
        <v>347.20000000000005</v>
      </c>
      <c r="S31" s="6">
        <f>S29+S30</f>
        <v>335.40000000000009</v>
      </c>
      <c r="T31" s="6">
        <f>T29+T30</f>
        <v>382.60000000000014</v>
      </c>
      <c r="U31" s="6">
        <f>U29+U30</f>
        <v>350.39999999999986</v>
      </c>
      <c r="V31" s="6">
        <f>V29+V30</f>
        <v>386.69999999999982</v>
      </c>
      <c r="W31" s="6">
        <f>W29+W30</f>
        <v>371.79999999999995</v>
      </c>
      <c r="X31" s="6">
        <f>X29+X30</f>
        <v>312.29999999999995</v>
      </c>
      <c r="Y31" s="6">
        <f>Y29+Y30</f>
        <v>365.70000000000005</v>
      </c>
      <c r="Z31" s="6">
        <f>Z29+Z30</f>
        <v>379.30000000000018</v>
      </c>
      <c r="AA31" s="6">
        <f>AA29+AA30</f>
        <v>359.10000000000014</v>
      </c>
      <c r="AB31" s="6">
        <f>AB29+AB30</f>
        <v>373.5</v>
      </c>
      <c r="AC31" s="18">
        <f>SUM(Q31:AB31)</f>
        <v>4321.7000000000007</v>
      </c>
      <c r="AE31" s="6">
        <f>AE29+AE30</f>
        <v>0</v>
      </c>
      <c r="AF31" s="6">
        <f>AF29+AF30</f>
        <v>0</v>
      </c>
      <c r="AG31" s="6">
        <f>AG29+AG30</f>
        <v>0</v>
      </c>
      <c r="AH31" s="6">
        <f>AH29+AH30</f>
        <v>0</v>
      </c>
      <c r="AI31" s="6">
        <f>AI29+AI30</f>
        <v>0</v>
      </c>
      <c r="AJ31" s="6">
        <f>AJ29+AJ30</f>
        <v>0</v>
      </c>
      <c r="AK31" s="6">
        <f>AK29+AK30</f>
        <v>0</v>
      </c>
      <c r="AL31" s="6">
        <f>AL29+AL30</f>
        <v>0</v>
      </c>
      <c r="AM31" s="6">
        <f>AM29+AM30</f>
        <v>0</v>
      </c>
      <c r="AN31" s="6">
        <f>AN29+AN30</f>
        <v>0</v>
      </c>
      <c r="AO31" s="6">
        <f>AO29+AO30</f>
        <v>0</v>
      </c>
      <c r="AP31" s="6">
        <f>AP29+AP30</f>
        <v>0</v>
      </c>
      <c r="AQ31" s="18">
        <f>SUM(AE31:AP31)</f>
        <v>0</v>
      </c>
      <c r="AS31" s="6">
        <f>AS29+AS30</f>
        <v>0</v>
      </c>
      <c r="AT31" s="6">
        <f>AT29+AT30</f>
        <v>0</v>
      </c>
      <c r="AU31" s="6">
        <f>AU29+AU30</f>
        <v>0</v>
      </c>
      <c r="AV31" s="6">
        <f>AV29+AV30</f>
        <v>0</v>
      </c>
      <c r="AW31" s="6">
        <f>AW29+AW30</f>
        <v>0</v>
      </c>
      <c r="AX31" s="6">
        <f>AX29+AX30</f>
        <v>0</v>
      </c>
      <c r="AY31" s="6">
        <f>AY29+AY30</f>
        <v>0</v>
      </c>
      <c r="AZ31" s="6">
        <f>AZ29+AZ30</f>
        <v>0</v>
      </c>
      <c r="BA31" s="6">
        <f>BA29+BA30</f>
        <v>-223</v>
      </c>
      <c r="BB31" s="6">
        <f>BB29+BB30</f>
        <v>-83</v>
      </c>
      <c r="BC31" s="6">
        <f>BC29+BC30</f>
        <v>-61</v>
      </c>
      <c r="BD31" s="6">
        <f>BD29+BD30</f>
        <v>16</v>
      </c>
      <c r="BE31" s="18">
        <f>SUM(AS31:BD31)</f>
        <v>-351</v>
      </c>
      <c r="BG31" s="6">
        <f>BG29+BG30</f>
        <v>357.70000000000005</v>
      </c>
      <c r="BH31" s="6">
        <f>BH29+BH30</f>
        <v>347.20000000000005</v>
      </c>
      <c r="BI31" s="6">
        <f>BI29+BI30</f>
        <v>335.40000000000009</v>
      </c>
      <c r="BJ31" s="6">
        <f>BJ29+BJ30</f>
        <v>382.60000000000014</v>
      </c>
      <c r="BK31" s="6">
        <f>BK29+BK30</f>
        <v>350.39999999999986</v>
      </c>
      <c r="BL31" s="6">
        <f>BL29+BL30</f>
        <v>386.69999999999982</v>
      </c>
      <c r="BM31" s="6">
        <f>BM29+BM30</f>
        <v>371.79999999999995</v>
      </c>
      <c r="BN31" s="6">
        <f>BN29+BN30</f>
        <v>312.29999999999995</v>
      </c>
      <c r="BO31" s="6">
        <f>BO29+BO30</f>
        <v>142.70000000000005</v>
      </c>
      <c r="BP31" s="6">
        <f>BP29+BP30</f>
        <v>296.30000000000018</v>
      </c>
      <c r="BQ31" s="6">
        <f>BQ29+BQ30</f>
        <v>298.10000000000014</v>
      </c>
      <c r="BR31" s="6">
        <f>BR29+BR30</f>
        <v>389.5</v>
      </c>
      <c r="BS31" s="18">
        <f>SUM(BG31:BR31)</f>
        <v>3970.7000000000007</v>
      </c>
      <c r="BU31" s="6">
        <f>SUM(BG31:BO31)-SUM(C31:K31)</f>
        <v>-223</v>
      </c>
      <c r="BV31" s="6">
        <f>SUM(BG31:BO31)-SUM(C54:K54)</f>
        <v>-1385.4000000000005</v>
      </c>
      <c r="BW31" s="6">
        <f>SUM(BG31:BO31)-SUM(C67:K67)</f>
        <v>-1468.8999999999996</v>
      </c>
      <c r="BY31" s="6">
        <f>SUM(BP31:BR31)-SUM(L31:N31)</f>
        <v>-128</v>
      </c>
      <c r="BZ31" s="6">
        <f>SUM(BP31:BR31)-SUM(L54:N54)</f>
        <v>-492.49999999999977</v>
      </c>
      <c r="CA31" s="6">
        <f>SUM(BP31:BR31)-SUM(L67:N67)</f>
        <v>-507.49999999999955</v>
      </c>
      <c r="CC31" s="6">
        <f>BS31-O31</f>
        <v>-351</v>
      </c>
      <c r="CD31" s="6">
        <f>BS31-O54</f>
        <v>-1877.9000000000005</v>
      </c>
      <c r="CE31" s="6">
        <f>BS31-O67</f>
        <v>-1976.3999999999996</v>
      </c>
    </row>
    <row r="35" spans="2:71">
      <c r="B35" s="5" t="s">
        <v>166</v>
      </c>
      <c r="C35" s="12">
        <f>IFERROR(C29/C28,0)</f>
        <v>0.28788406747699186</v>
      </c>
      <c r="D35" s="12">
        <f>IFERROR(D29/D28,0)</f>
        <v>0.28653610516915534</v>
      </c>
      <c r="E35" s="12">
        <f>IFERROR(E29/E28,0)</f>
        <v>0.28515885795075208</v>
      </c>
      <c r="F35" s="12">
        <f>IFERROR(F29/F28,0)</f>
        <v>0.28220880808658072</v>
      </c>
      <c r="G35" s="12">
        <f>IFERROR(G29/G28,0)</f>
        <v>0.28774139546007133</v>
      </c>
      <c r="H35" s="12">
        <f>IFERROR(H29/H28,0)</f>
        <v>0.28751971756929318</v>
      </c>
      <c r="I35" s="12">
        <f>IFERROR(I29/I28,0)</f>
        <v>0.28541903678422448</v>
      </c>
      <c r="J35" s="12">
        <f>IFERROR(J29/J28,0)</f>
        <v>0.28242086169569541</v>
      </c>
      <c r="K35" s="12">
        <f>IFERROR(K29/K28,0)</f>
        <v>0.28585166722273464</v>
      </c>
      <c r="L35" s="12">
        <f>IFERROR(L29/L28,0)</f>
        <v>0.28362981476036458</v>
      </c>
      <c r="M35" s="12">
        <f>IFERROR(M29/M28,0)</f>
        <v>0.28753941613264167</v>
      </c>
      <c r="N35" s="12">
        <f>IFERROR(N29/N28,0)</f>
        <v>0.28287016285671596</v>
      </c>
      <c r="O35" s="12">
        <f>IFERROR(O29/O28,0)</f>
        <v>0.28533532676963214</v>
      </c>
      <c r="Q35" s="12">
        <f>IFERROR(Q29/Q28,0)</f>
        <v>0.28788406747699186</v>
      </c>
      <c r="R35" s="12">
        <f>IFERROR(R29/R28,0)</f>
        <v>0.28653610516915534</v>
      </c>
      <c r="S35" s="12">
        <f>IFERROR(S29/S28,0)</f>
        <v>0.28515885795075208</v>
      </c>
      <c r="T35" s="12">
        <f>IFERROR(T29/T28,0)</f>
        <v>0.28220880808658072</v>
      </c>
      <c r="U35" s="12">
        <f>IFERROR(U29/U28,0)</f>
        <v>0.28774139546007133</v>
      </c>
      <c r="V35" s="12">
        <f>IFERROR(V29/V28,0)</f>
        <v>0.28751971756929318</v>
      </c>
      <c r="W35" s="12">
        <f>IFERROR(W29/W28,0)</f>
        <v>0.28541903678422448</v>
      </c>
      <c r="X35" s="12">
        <f>IFERROR(X29/X28,0)</f>
        <v>0.28242086169569541</v>
      </c>
      <c r="Y35" s="12">
        <f>IFERROR(Y29/Y28,0)</f>
        <v>0.28585166722273464</v>
      </c>
      <c r="Z35" s="12">
        <f>IFERROR(Z29/Z28,0)</f>
        <v>0.28362981476036458</v>
      </c>
      <c r="AA35" s="12">
        <f>IFERROR(AA29/AA28,0)</f>
        <v>0.28753941613264167</v>
      </c>
      <c r="AB35" s="12">
        <f>IFERROR(AB29/AB28,0)</f>
        <v>0.28287016285671596</v>
      </c>
      <c r="AC35" s="12">
        <f>IFERROR(AC29/AC28,0)</f>
        <v>0.28533532676963214</v>
      </c>
      <c r="AE35" s="12">
        <f>IFERROR(AE29/AE28,0)</f>
        <v>0</v>
      </c>
      <c r="AF35" s="12">
        <f>IFERROR(AF29/AF28,0)</f>
        <v>0</v>
      </c>
      <c r="AG35" s="12">
        <f>IFERROR(AG29/AG28,0)</f>
        <v>0</v>
      </c>
      <c r="AH35" s="12">
        <f>IFERROR(AH29/AH28,0)</f>
        <v>0</v>
      </c>
      <c r="AI35" s="12">
        <f>IFERROR(AI29/AI28,0)</f>
        <v>0</v>
      </c>
      <c r="AJ35" s="12">
        <f>IFERROR(AJ29/AJ28,0)</f>
        <v>0</v>
      </c>
      <c r="AK35" s="12">
        <f>IFERROR(AK29/AK28,0)</f>
        <v>0</v>
      </c>
      <c r="AL35" s="12">
        <f>IFERROR(AL29/AL28,0)</f>
        <v>0</v>
      </c>
      <c r="AM35" s="12">
        <f>IFERROR(AM29/AM28,0)</f>
        <v>0</v>
      </c>
      <c r="AN35" s="12">
        <f>IFERROR(AN29/AN28,0)</f>
        <v>0</v>
      </c>
      <c r="AO35" s="12">
        <f>IFERROR(AO29/AO28,0)</f>
        <v>0</v>
      </c>
      <c r="AP35" s="12">
        <f>IFERROR(AP29/AP28,0)</f>
        <v>0</v>
      </c>
      <c r="AQ35" s="12">
        <f>IFERROR(AQ29/AQ28,0)</f>
        <v>0</v>
      </c>
      <c r="AS35" s="12">
        <f>IFERROR(AS29/AS28,0)</f>
        <v>0</v>
      </c>
      <c r="AT35" s="12">
        <f>IFERROR(AT29/AT28,0)</f>
        <v>0</v>
      </c>
      <c r="AU35" s="12">
        <f>IFERROR(AU29/AU28,0)</f>
        <v>0</v>
      </c>
      <c r="AV35" s="12">
        <f>IFERROR(AV29/AV28,0)</f>
        <v>0</v>
      </c>
      <c r="AW35" s="12">
        <f>IFERROR(AW29/AW28,0)</f>
        <v>0</v>
      </c>
      <c r="AX35" s="12">
        <f>IFERROR(AX29/AX28,0)</f>
        <v>0</v>
      </c>
      <c r="AY35" s="12">
        <f>IFERROR(AY29/AY28,0)</f>
        <v>0</v>
      </c>
      <c r="AZ35" s="12">
        <f>IFERROR(AZ29/AZ28,0)</f>
        <v>0</v>
      </c>
      <c r="BA35" s="12">
        <f>IFERROR(BA29/BA28,0)</f>
        <v>0.61627906976744184</v>
      </c>
      <c r="BB35" s="12">
        <f>IFERROR(BB29/BB28,0)</f>
        <v>0.50800000000000001</v>
      </c>
      <c r="BC35" s="12">
        <f>IFERROR(BC29/BC28,0)</f>
        <v>0.51</v>
      </c>
      <c r="BD35" s="12">
        <f>IFERROR(BD29/BD28,0)</f>
        <v>0.10333333333333333</v>
      </c>
      <c r="BE35" s="12">
        <f>IFERROR(BE29/BE28,0)</f>
        <v>0.44491525423728812</v>
      </c>
      <c r="BG35" s="12">
        <f>IFERROR(BG29/BG28,0)</f>
        <v>0.28788406747699186</v>
      </c>
      <c r="BH35" s="12">
        <f>IFERROR(BH29/BH28,0)</f>
        <v>0.28653610516915534</v>
      </c>
      <c r="BI35" s="12">
        <f>IFERROR(BI29/BI28,0)</f>
        <v>0.28515885795075208</v>
      </c>
      <c r="BJ35" s="12">
        <f>IFERROR(BJ29/BJ28,0)</f>
        <v>0.28220880808658072</v>
      </c>
      <c r="BK35" s="12">
        <f>IFERROR(BK29/BK28,0)</f>
        <v>0.28774139546007133</v>
      </c>
      <c r="BL35" s="12">
        <f>IFERROR(BL29/BL28,0)</f>
        <v>0.28751971756929318</v>
      </c>
      <c r="BM35" s="12">
        <f>IFERROR(BM29/BM28,0)</f>
        <v>0.28541903678422448</v>
      </c>
      <c r="BN35" s="12">
        <f>IFERROR(BN29/BN28,0)</f>
        <v>0.28242086169569541</v>
      </c>
      <c r="BO35" s="12">
        <f>IFERROR(BO29/BO28,0)</f>
        <v>0.25539622317964544</v>
      </c>
      <c r="BP35" s="12">
        <f>IFERROR(BP29/BP28,0)</f>
        <v>0.27282533323060326</v>
      </c>
      <c r="BQ35" s="12">
        <f>IFERROR(BQ29/BQ28,0)</f>
        <v>0.27810412469515428</v>
      </c>
      <c r="BR35" s="12">
        <f>IFERROR(BR29/BR28,0)</f>
        <v>0.29352643241532128</v>
      </c>
      <c r="BS35" s="12">
        <f>IFERROR(BS29/BS28,0)</f>
        <v>0.28223600398968995</v>
      </c>
    </row>
    <row r="36" spans="2:71">
      <c r="B36" s="5" t="s">
        <v>167</v>
      </c>
      <c r="C36" s="12">
        <f>IFERROR(C30/C28,0)</f>
        <v>-0.21456535552503742</v>
      </c>
      <c r="D36" s="12">
        <f>IFERROR(D30/D28,0)</f>
        <v>-0.21442960686174739</v>
      </c>
      <c r="E36" s="12">
        <f>IFERROR(E30/E28,0)</f>
        <v>-0.21929859011114164</v>
      </c>
      <c r="F36" s="12">
        <f>IFERROR(F30/F28,0)</f>
        <v>-0.21388005857770476</v>
      </c>
      <c r="G36" s="12">
        <f>IFERROR(G30/G28,0)</f>
        <v>-0.2179086035434562</v>
      </c>
      <c r="H36" s="12">
        <f>IFERROR(H30/H28,0)</f>
        <v>-0.21490272665815371</v>
      </c>
      <c r="I36" s="12">
        <f>IFERROR(I30/I28,0)</f>
        <v>-0.21492226014410315</v>
      </c>
      <c r="J36" s="12">
        <f>IFERROR(J30/J28,0)</f>
        <v>-0.22150923524019425</v>
      </c>
      <c r="K36" s="12">
        <f>IFERROR(K30/K28,0)</f>
        <v>-0.21407964202304083</v>
      </c>
      <c r="L36" s="12">
        <f>IFERROR(L30/L28,0)</f>
        <v>-0.21392605116142308</v>
      </c>
      <c r="M36" s="12">
        <f>IFERROR(M30/M28,0)</f>
        <v>-0.21448479300172921</v>
      </c>
      <c r="N36" s="12">
        <f>IFERROR(N30/N28,0)</f>
        <v>-0.21311444793067383</v>
      </c>
      <c r="O36" s="12">
        <f>IFERROR(O30/O28,0)</f>
        <v>-0.215559136278065</v>
      </c>
      <c r="Q36" s="12">
        <f>IFERROR(Q30/Q28,0)</f>
        <v>-0.21456535552503742</v>
      </c>
      <c r="R36" s="12">
        <f>IFERROR(R30/R28,0)</f>
        <v>-0.21442960686174739</v>
      </c>
      <c r="S36" s="12">
        <f>IFERROR(S30/S28,0)</f>
        <v>-0.21929859011114164</v>
      </c>
      <c r="T36" s="12">
        <f>IFERROR(T30/T28,0)</f>
        <v>-0.21388005857770476</v>
      </c>
      <c r="U36" s="12">
        <f>IFERROR(U30/U28,0)</f>
        <v>-0.2179086035434562</v>
      </c>
      <c r="V36" s="12">
        <f>IFERROR(V30/V28,0)</f>
        <v>-0.21490272665815371</v>
      </c>
      <c r="W36" s="12">
        <f>IFERROR(W30/W28,0)</f>
        <v>-0.21492226014410315</v>
      </c>
      <c r="X36" s="12">
        <f>IFERROR(X30/X28,0)</f>
        <v>-0.22150923524019425</v>
      </c>
      <c r="Y36" s="12">
        <f>IFERROR(Y30/Y28,0)</f>
        <v>-0.21407964202304083</v>
      </c>
      <c r="Z36" s="12">
        <f>IFERROR(Z30/Z28,0)</f>
        <v>-0.21392605116142308</v>
      </c>
      <c r="AA36" s="12">
        <f>IFERROR(AA30/AA28,0)</f>
        <v>-0.21448479300172921</v>
      </c>
      <c r="AB36" s="12">
        <f>IFERROR(AB30/AB28,0)</f>
        <v>-0.21311444793067383</v>
      </c>
      <c r="AC36" s="12">
        <f>IFERROR(AC30/AC28,0)</f>
        <v>-0.215559136278065</v>
      </c>
      <c r="AE36" s="12">
        <f>IFERROR(AE30/AE28,0)</f>
        <v>0</v>
      </c>
      <c r="AF36" s="12">
        <f>IFERROR(AF30/AF28,0)</f>
        <v>0</v>
      </c>
      <c r="AG36" s="12">
        <f>IFERROR(AG30/AG28,0)</f>
        <v>0</v>
      </c>
      <c r="AH36" s="12">
        <f>IFERROR(AH30/AH28,0)</f>
        <v>0</v>
      </c>
      <c r="AI36" s="12">
        <f>IFERROR(AI30/AI28,0)</f>
        <v>0</v>
      </c>
      <c r="AJ36" s="12">
        <f>IFERROR(AJ30/AJ28,0)</f>
        <v>0</v>
      </c>
      <c r="AK36" s="12">
        <f>IFERROR(AK30/AK28,0)</f>
        <v>0</v>
      </c>
      <c r="AL36" s="12">
        <f>IFERROR(AL30/AL28,0)</f>
        <v>0</v>
      </c>
      <c r="AM36" s="12">
        <f>IFERROR(AM30/AM28,0)</f>
        <v>0</v>
      </c>
      <c r="AN36" s="12">
        <f>IFERROR(AN30/AN28,0)</f>
        <v>0</v>
      </c>
      <c r="AO36" s="12">
        <f>IFERROR(AO30/AO28,0)</f>
        <v>0</v>
      </c>
      <c r="AP36" s="12">
        <f>IFERROR(AP30/AP28,0)</f>
        <v>0</v>
      </c>
      <c r="AQ36" s="12">
        <f>IFERROR(AQ30/AQ28,0)</f>
        <v>0</v>
      </c>
      <c r="AS36" s="12">
        <f>IFERROR(AS30/AS28,0)</f>
        <v>0</v>
      </c>
      <c r="AT36" s="12">
        <f>IFERROR(AT30/AT28,0)</f>
        <v>0</v>
      </c>
      <c r="AU36" s="12">
        <f>IFERROR(AU30/AU28,0)</f>
        <v>0</v>
      </c>
      <c r="AV36" s="12">
        <f>IFERROR(AV30/AV28,0)</f>
        <v>0</v>
      </c>
      <c r="AW36" s="12">
        <f>IFERROR(AW30/AW28,0)</f>
        <v>0</v>
      </c>
      <c r="AX36" s="12">
        <f>IFERROR(AX30/AX28,0)</f>
        <v>0</v>
      </c>
      <c r="AY36" s="12">
        <f>IFERROR(AY30/AY28,0)</f>
        <v>0</v>
      </c>
      <c r="AZ36" s="12">
        <f>IFERROR(AZ30/AZ28,0)</f>
        <v>0</v>
      </c>
      <c r="BA36" s="12">
        <f>IFERROR(BA30/BA28,0)</f>
        <v>-9.7674418604651161E-2</v>
      </c>
      <c r="BB36" s="12">
        <f>IFERROR(BB30/BB28,0)</f>
        <v>-0.17599999999999999</v>
      </c>
      <c r="BC36" s="12">
        <f>IFERROR(BC30/BC28,0)</f>
        <v>-0.20499999999999999</v>
      </c>
      <c r="BD36" s="12">
        <f>IFERROR(BD30/BD28,0)</f>
        <v>-0.15666666666666668</v>
      </c>
      <c r="BE36" s="12">
        <f>IFERROR(BE30/BE28,0)</f>
        <v>-0.14745762711864407</v>
      </c>
      <c r="BG36" s="12">
        <f>IFERROR(BG30/BG28,0)</f>
        <v>-0.21456535552503742</v>
      </c>
      <c r="BH36" s="12">
        <f>IFERROR(BH30/BH28,0)</f>
        <v>-0.21442960686174739</v>
      </c>
      <c r="BI36" s="12">
        <f>IFERROR(BI30/BI28,0)</f>
        <v>-0.21929859011114164</v>
      </c>
      <c r="BJ36" s="12">
        <f>IFERROR(BJ30/BJ28,0)</f>
        <v>-0.21388005857770476</v>
      </c>
      <c r="BK36" s="12">
        <f>IFERROR(BK30/BK28,0)</f>
        <v>-0.2179086035434562</v>
      </c>
      <c r="BL36" s="12">
        <f>IFERROR(BL30/BL28,0)</f>
        <v>-0.21490272665815371</v>
      </c>
      <c r="BM36" s="12">
        <f>IFERROR(BM30/BM28,0)</f>
        <v>-0.21492226014410315</v>
      </c>
      <c r="BN36" s="12">
        <f>IFERROR(BN30/BN28,0)</f>
        <v>-0.22150923524019425</v>
      </c>
      <c r="BO36" s="12">
        <f>IFERROR(BO30/BO28,0)</f>
        <v>-0.22480869397466399</v>
      </c>
      <c r="BP36" s="12">
        <f>IFERROR(BP30/BP28,0)</f>
        <v>-0.21575236921180366</v>
      </c>
      <c r="BQ36" s="12">
        <f>IFERROR(BQ30/BQ28,0)</f>
        <v>-0.21488707454140599</v>
      </c>
      <c r="BR36" s="12">
        <f>IFERROR(BR30/BR28,0)</f>
        <v>-0.21646486229819564</v>
      </c>
      <c r="BS36" s="12">
        <f>IFERROR(BS30/BS28,0)</f>
        <v>-0.21688178732845487</v>
      </c>
    </row>
    <row r="37" spans="2:71">
      <c r="B37" s="5" t="s">
        <v>168</v>
      </c>
      <c r="C37" s="12">
        <f>IFERROR(C31/C28,0)</f>
        <v>7.3318711951954427E-2</v>
      </c>
      <c r="D37" s="12">
        <f>IFERROR(D31/D28,0)</f>
        <v>7.2106498307407951E-2</v>
      </c>
      <c r="E37" s="12">
        <f>IFERROR(E31/E28,0)</f>
        <v>6.5860267839610423E-2</v>
      </c>
      <c r="F37" s="12">
        <f>IFERROR(F31/F28,0)</f>
        <v>6.8328749508875977E-2</v>
      </c>
      <c r="G37" s="12">
        <f>IFERROR(G31/G28,0)</f>
        <v>6.9832791916615164E-2</v>
      </c>
      <c r="H37" s="12">
        <f>IFERROR(H31/H28,0)</f>
        <v>7.2616990911139462E-2</v>
      </c>
      <c r="I37" s="12">
        <f>IFERROR(I31/I28,0)</f>
        <v>7.0496776640121342E-2</v>
      </c>
      <c r="J37" s="12">
        <f>IFERROR(J31/J28,0)</f>
        <v>6.0911626455501147E-2</v>
      </c>
      <c r="K37" s="12">
        <f>IFERROR(K31/K28,0)</f>
        <v>7.1772025199693848E-2</v>
      </c>
      <c r="L37" s="12">
        <f>IFERROR(L31/L28,0)</f>
        <v>6.9703763598941523E-2</v>
      </c>
      <c r="M37" s="12">
        <f>IFERROR(M31/M28,0)</f>
        <v>7.3054623130912447E-2</v>
      </c>
      <c r="N37" s="12">
        <f>IFERROR(N31/N28,0)</f>
        <v>6.9755714926042142E-2</v>
      </c>
      <c r="O37" s="12">
        <f>IFERROR(O31/O28,0)</f>
        <v>6.9776190491567192E-2</v>
      </c>
      <c r="Q37" s="12">
        <f>IFERROR(Q31/Q28,0)</f>
        <v>7.3318711951954427E-2</v>
      </c>
      <c r="R37" s="12">
        <f>IFERROR(R31/R28,0)</f>
        <v>7.2106498307407951E-2</v>
      </c>
      <c r="S37" s="12">
        <f>IFERROR(S31/S28,0)</f>
        <v>6.5860267839610423E-2</v>
      </c>
      <c r="T37" s="12">
        <f>IFERROR(T31/T28,0)</f>
        <v>6.8328749508875977E-2</v>
      </c>
      <c r="U37" s="12">
        <f>IFERROR(U31/U28,0)</f>
        <v>6.9832791916615164E-2</v>
      </c>
      <c r="V37" s="12">
        <f>IFERROR(V31/V28,0)</f>
        <v>7.2616990911139462E-2</v>
      </c>
      <c r="W37" s="12">
        <f>IFERROR(W31/W28,0)</f>
        <v>7.0496776640121342E-2</v>
      </c>
      <c r="X37" s="12">
        <f>IFERROR(X31/X28,0)</f>
        <v>6.0911626455501147E-2</v>
      </c>
      <c r="Y37" s="12">
        <f>IFERROR(Y31/Y28,0)</f>
        <v>7.1772025199693848E-2</v>
      </c>
      <c r="Z37" s="12">
        <f>IFERROR(Z31/Z28,0)</f>
        <v>6.9703763598941523E-2</v>
      </c>
      <c r="AA37" s="12">
        <f>IFERROR(AA31/AA28,0)</f>
        <v>7.3054623130912447E-2</v>
      </c>
      <c r="AB37" s="12">
        <f>IFERROR(AB31/AB28,0)</f>
        <v>6.9755714926042142E-2</v>
      </c>
      <c r="AC37" s="12">
        <f>IFERROR(AC31/AC28,0)</f>
        <v>6.9776190491567192E-2</v>
      </c>
      <c r="AE37" s="12">
        <f>IFERROR(AE31/AE28,0)</f>
        <v>0</v>
      </c>
      <c r="AF37" s="12">
        <f>IFERROR(AF31/AF28,0)</f>
        <v>0</v>
      </c>
      <c r="AG37" s="12">
        <f>IFERROR(AG31/AG28,0)</f>
        <v>0</v>
      </c>
      <c r="AH37" s="12">
        <f>IFERROR(AH31/AH28,0)</f>
        <v>0</v>
      </c>
      <c r="AI37" s="12">
        <f>IFERROR(AI31/AI28,0)</f>
        <v>0</v>
      </c>
      <c r="AJ37" s="12">
        <f>IFERROR(AJ31/AJ28,0)</f>
        <v>0</v>
      </c>
      <c r="AK37" s="12">
        <f>IFERROR(AK31/AK28,0)</f>
        <v>0</v>
      </c>
      <c r="AL37" s="12">
        <f>IFERROR(AL31/AL28,0)</f>
        <v>0</v>
      </c>
      <c r="AM37" s="12">
        <f>IFERROR(AM31/AM28,0)</f>
        <v>0</v>
      </c>
      <c r="AN37" s="12">
        <f>IFERROR(AN31/AN28,0)</f>
        <v>0</v>
      </c>
      <c r="AO37" s="12">
        <f>IFERROR(AO31/AO28,0)</f>
        <v>0</v>
      </c>
      <c r="AP37" s="12">
        <f>IFERROR(AP31/AP28,0)</f>
        <v>0</v>
      </c>
      <c r="AQ37" s="12">
        <f>IFERROR(AQ31/AQ28,0)</f>
        <v>0</v>
      </c>
      <c r="AS37" s="12">
        <f>IFERROR(AS31/AS28,0)</f>
        <v>0</v>
      </c>
      <c r="AT37" s="12">
        <f>IFERROR(AT31/AT28,0)</f>
        <v>0</v>
      </c>
      <c r="AU37" s="12">
        <f>IFERROR(AU31/AU28,0)</f>
        <v>0</v>
      </c>
      <c r="AV37" s="12">
        <f>IFERROR(AV31/AV28,0)</f>
        <v>0</v>
      </c>
      <c r="AW37" s="12">
        <f>IFERROR(AW31/AW28,0)</f>
        <v>0</v>
      </c>
      <c r="AX37" s="12">
        <f>IFERROR(AX31/AX28,0)</f>
        <v>0</v>
      </c>
      <c r="AY37" s="12">
        <f>IFERROR(AY31/AY28,0)</f>
        <v>0</v>
      </c>
      <c r="AZ37" s="12">
        <f>IFERROR(AZ31/AZ28,0)</f>
        <v>0</v>
      </c>
      <c r="BA37" s="12">
        <f>IFERROR(BA31/BA28,0)</f>
        <v>0.51860465116279075</v>
      </c>
      <c r="BB37" s="12">
        <f>IFERROR(BB31/BB28,0)</f>
        <v>0.33200000000000002</v>
      </c>
      <c r="BC37" s="12">
        <f>IFERROR(BC31/BC28,0)</f>
        <v>0.30499999999999999</v>
      </c>
      <c r="BD37" s="12">
        <f>IFERROR(BD31/BD28,0)</f>
        <v>-5.3333333333333337E-2</v>
      </c>
      <c r="BE37" s="12">
        <f>IFERROR(BE31/BE28,0)</f>
        <v>0.29745762711864404</v>
      </c>
      <c r="BG37" s="12">
        <f>IFERROR(BG31/BG28,0)</f>
        <v>7.3318711951954427E-2</v>
      </c>
      <c r="BH37" s="12">
        <f>IFERROR(BH31/BH28,0)</f>
        <v>7.2106498307407951E-2</v>
      </c>
      <c r="BI37" s="12">
        <f>IFERROR(BI31/BI28,0)</f>
        <v>6.5860267839610423E-2</v>
      </c>
      <c r="BJ37" s="12">
        <f>IFERROR(BJ31/BJ28,0)</f>
        <v>6.8328749508875977E-2</v>
      </c>
      <c r="BK37" s="12">
        <f>IFERROR(BK31/BK28,0)</f>
        <v>6.9832791916615164E-2</v>
      </c>
      <c r="BL37" s="12">
        <f>IFERROR(BL31/BL28,0)</f>
        <v>7.2616990911139462E-2</v>
      </c>
      <c r="BM37" s="12">
        <f>IFERROR(BM31/BM28,0)</f>
        <v>7.0496776640121342E-2</v>
      </c>
      <c r="BN37" s="12">
        <f>IFERROR(BN31/BN28,0)</f>
        <v>6.0911626455501147E-2</v>
      </c>
      <c r="BO37" s="12">
        <f>IFERROR(BO31/BO28,0)</f>
        <v>3.0587529204981468E-2</v>
      </c>
      <c r="BP37" s="12">
        <f>IFERROR(BP31/BP28,0)</f>
        <v>5.7072964018799632E-2</v>
      </c>
      <c r="BQ37" s="12">
        <f>IFERROR(BQ31/BQ28,0)</f>
        <v>6.3217050153748303E-2</v>
      </c>
      <c r="BR37" s="12">
        <f>IFERROR(BR31/BR28,0)</f>
        <v>7.706157011712568E-2</v>
      </c>
      <c r="BS37" s="12">
        <f>IFERROR(BS31/BS28,0)</f>
        <v>6.535421666123517E-2</v>
      </c>
    </row>
    <row r="38" spans="2:71">
      <c r="B38" s="5" t="s">
        <v>169</v>
      </c>
      <c r="C38" s="6">
        <f>IFERROR(C28/21,0)</f>
        <v>232.31904761904761</v>
      </c>
      <c r="D38" s="6">
        <f>IFERROR(D28/20,0)</f>
        <v>240.75500000000002</v>
      </c>
      <c r="E38" s="6">
        <f>IFERROR(E28/22,0)</f>
        <v>231.4818181818182</v>
      </c>
      <c r="F38" s="6">
        <f>IFERROR(F28/22,0)</f>
        <v>254.5181818181818</v>
      </c>
      <c r="G38" s="6">
        <f>IFERROR(G28/20,0)</f>
        <v>250.88499999999999</v>
      </c>
      <c r="H38" s="6">
        <f>IFERROR(H28/22,0)</f>
        <v>242.05454545454543</v>
      </c>
      <c r="I38" s="6">
        <f>IFERROR(I28/22,0)</f>
        <v>239.72727272727272</v>
      </c>
      <c r="J38" s="6">
        <f>IFERROR(J28/21,0)</f>
        <v>244.14761904761906</v>
      </c>
      <c r="K38" s="6">
        <f>IFERROR(K28/21,0)</f>
        <v>242.63333333333335</v>
      </c>
      <c r="L38" s="6">
        <f>IFERROR(L28/22,0)</f>
        <v>247.34545454545457</v>
      </c>
      <c r="M38" s="6">
        <f>IFERROR(M28/19,0)</f>
        <v>258.71052631578948</v>
      </c>
      <c r="N38" s="6">
        <f>IFERROR(N28/22,0)</f>
        <v>243.38181818181818</v>
      </c>
      <c r="O38" s="6">
        <f>IFERROR(O28/254,0)</f>
        <v>243.84488188976377</v>
      </c>
      <c r="Q38" s="6">
        <f>IFERROR(Q28/21,0)</f>
        <v>232.31904761904761</v>
      </c>
      <c r="R38" s="6">
        <f>IFERROR(R28/20,0)</f>
        <v>240.75500000000002</v>
      </c>
      <c r="S38" s="6">
        <f>IFERROR(S28/22,0)</f>
        <v>231.4818181818182</v>
      </c>
      <c r="T38" s="6">
        <f>IFERROR(T28/22,0)</f>
        <v>254.5181818181818</v>
      </c>
      <c r="U38" s="6">
        <f>IFERROR(U28/20,0)</f>
        <v>250.88499999999999</v>
      </c>
      <c r="V38" s="6">
        <f>IFERROR(V28/22,0)</f>
        <v>242.05454545454543</v>
      </c>
      <c r="W38" s="6">
        <f>IFERROR(W28/22,0)</f>
        <v>239.72727272727272</v>
      </c>
      <c r="X38" s="6">
        <f>IFERROR(X28/21,0)</f>
        <v>244.14761904761906</v>
      </c>
      <c r="Y38" s="6">
        <f>IFERROR(Y28/21,0)</f>
        <v>242.63333333333335</v>
      </c>
      <c r="Z38" s="6">
        <f>IFERROR(Z28/22,0)</f>
        <v>247.34545454545457</v>
      </c>
      <c r="AA38" s="6">
        <f>IFERROR(AA28/19,0)</f>
        <v>258.71052631578948</v>
      </c>
      <c r="AB38" s="6">
        <f>IFERROR(AB28/22,0)</f>
        <v>243.38181818181818</v>
      </c>
      <c r="AC38" s="6">
        <f>IFERROR(AC28/254,0)</f>
        <v>243.84488188976377</v>
      </c>
      <c r="AE38" s="6">
        <f>IFERROR(AE28/21,0)</f>
        <v>0</v>
      </c>
      <c r="AF38" s="6">
        <f>IFERROR(AF28/20,0)</f>
        <v>0</v>
      </c>
      <c r="AG38" s="6">
        <f>IFERROR(AG28/22,0)</f>
        <v>0</v>
      </c>
      <c r="AH38" s="6">
        <f>IFERROR(AH28/22,0)</f>
        <v>0</v>
      </c>
      <c r="AI38" s="6">
        <f>IFERROR(AI28/20,0)</f>
        <v>0</v>
      </c>
      <c r="AJ38" s="6">
        <f>IFERROR(AJ28/22,0)</f>
        <v>0</v>
      </c>
      <c r="AK38" s="6">
        <f>IFERROR(AK28/22,0)</f>
        <v>0</v>
      </c>
      <c r="AL38" s="6">
        <f>IFERROR(AL28/21,0)</f>
        <v>0</v>
      </c>
      <c r="AM38" s="6">
        <f>IFERROR(AM28/21,0)</f>
        <v>0</v>
      </c>
      <c r="AN38" s="6">
        <f>IFERROR(AN28/22,0)</f>
        <v>0</v>
      </c>
      <c r="AO38" s="6">
        <f>IFERROR(AO28/19,0)</f>
        <v>0</v>
      </c>
      <c r="AP38" s="6">
        <f>IFERROR(AP28/22,0)</f>
        <v>0</v>
      </c>
      <c r="AQ38" s="6">
        <f>IFERROR(AQ28/254,0)</f>
        <v>0</v>
      </c>
      <c r="AS38" s="6">
        <f>IFERROR(AS28/21,0)</f>
        <v>0</v>
      </c>
      <c r="AT38" s="6">
        <f>IFERROR(AT28/20,0)</f>
        <v>0</v>
      </c>
      <c r="AU38" s="6">
        <f>IFERROR(AU28/22,0)</f>
        <v>0</v>
      </c>
      <c r="AV38" s="6">
        <f>IFERROR(AV28/22,0)</f>
        <v>0</v>
      </c>
      <c r="AW38" s="6">
        <f>IFERROR(AW28/20,0)</f>
        <v>0</v>
      </c>
      <c r="AX38" s="6">
        <f>IFERROR(AX28/22,0)</f>
        <v>0</v>
      </c>
      <c r="AY38" s="6">
        <f>IFERROR(AY28/22,0)</f>
        <v>0</v>
      </c>
      <c r="AZ38" s="6">
        <f>IFERROR(AZ28/21,0)</f>
        <v>0</v>
      </c>
      <c r="BA38" s="6">
        <f>IFERROR(BA28/21,0)</f>
        <v>-20.476190476190474</v>
      </c>
      <c r="BB38" s="6">
        <f>IFERROR(BB28/22,0)</f>
        <v>-11.363636363636363</v>
      </c>
      <c r="BC38" s="6">
        <f>IFERROR(BC28/19,0)</f>
        <v>-10.526315789473685</v>
      </c>
      <c r="BD38" s="6">
        <f>IFERROR(BD28/22,0)</f>
        <v>-13.636363636363637</v>
      </c>
      <c r="BE38" s="6">
        <f>IFERROR(BE28/254,0)</f>
        <v>-4.6456692913385824</v>
      </c>
      <c r="BG38" s="6">
        <f>IFERROR(BG28/21,0)</f>
        <v>232.31904761904761</v>
      </c>
      <c r="BH38" s="6">
        <f>IFERROR(BH28/20,0)</f>
        <v>240.75500000000002</v>
      </c>
      <c r="BI38" s="6">
        <f>IFERROR(BI28/22,0)</f>
        <v>231.4818181818182</v>
      </c>
      <c r="BJ38" s="6">
        <f>IFERROR(BJ28/22,0)</f>
        <v>254.5181818181818</v>
      </c>
      <c r="BK38" s="6">
        <f>IFERROR(BK28/20,0)</f>
        <v>250.88499999999999</v>
      </c>
      <c r="BL38" s="6">
        <f>IFERROR(BL28/22,0)</f>
        <v>242.05454545454543</v>
      </c>
      <c r="BM38" s="6">
        <f>IFERROR(BM28/22,0)</f>
        <v>239.72727272727272</v>
      </c>
      <c r="BN38" s="6">
        <f>IFERROR(BN28/21,0)</f>
        <v>244.14761904761906</v>
      </c>
      <c r="BO38" s="6">
        <f>IFERROR(BO28/21,0)</f>
        <v>222.15714285714287</v>
      </c>
      <c r="BP38" s="6">
        <f>IFERROR(BP28/22,0)</f>
        <v>235.9818181818182</v>
      </c>
      <c r="BQ38" s="6">
        <f>IFERROR(BQ28/19,0)</f>
        <v>248.18421052631578</v>
      </c>
      <c r="BR38" s="6">
        <f>IFERROR(BR28/22,0)</f>
        <v>229.74545454545452</v>
      </c>
      <c r="BS38" s="6">
        <f>IFERROR(BS28/254,0)</f>
        <v>239.19921259842519</v>
      </c>
    </row>
    <row r="40" spans="2:71">
      <c r="B40" s="5" t="s">
        <v>151</v>
      </c>
      <c r="C40" s="6">
        <v>8938.2000000000007</v>
      </c>
      <c r="D40" s="6">
        <v>8677.6</v>
      </c>
      <c r="E40" s="6">
        <v>9094.9</v>
      </c>
      <c r="F40" s="6">
        <v>10143</v>
      </c>
      <c r="G40" s="6">
        <v>8777.7999999999993</v>
      </c>
      <c r="H40" s="6">
        <v>8884.7999999999993</v>
      </c>
      <c r="I40" s="6">
        <v>8549.7000000000007</v>
      </c>
      <c r="J40" s="6">
        <v>8121.8</v>
      </c>
      <c r="K40" s="6">
        <v>7734</v>
      </c>
      <c r="L40" s="6">
        <v>8363.2000000000007</v>
      </c>
      <c r="M40" s="6">
        <v>7509.9</v>
      </c>
      <c r="N40" s="6">
        <v>7719.4</v>
      </c>
      <c r="O40" s="6">
        <f>N40</f>
        <v>7719.4</v>
      </c>
      <c r="Q40" s="6">
        <v>8938.2000000000007</v>
      </c>
      <c r="R40" s="6">
        <v>8677.6</v>
      </c>
      <c r="S40" s="6">
        <v>9094.9</v>
      </c>
      <c r="T40" s="6">
        <v>10143</v>
      </c>
      <c r="U40" s="6">
        <v>8777.7999999999993</v>
      </c>
      <c r="V40" s="6">
        <v>8884.7999999999993</v>
      </c>
      <c r="W40" s="6">
        <v>8549.7000000000007</v>
      </c>
      <c r="X40" s="6">
        <v>8121.8</v>
      </c>
      <c r="Y40" s="6">
        <v>7734</v>
      </c>
      <c r="Z40" s="6">
        <v>8363.2000000000007</v>
      </c>
      <c r="AA40" s="6">
        <v>7509.9</v>
      </c>
      <c r="AB40" s="6">
        <v>7719.4</v>
      </c>
      <c r="AC40" s="6">
        <f>AB40</f>
        <v>7719.4</v>
      </c>
      <c r="AE40" s="6">
        <f>Q40-C40</f>
        <v>0</v>
      </c>
      <c r="AF40" s="6">
        <f>R40-D40</f>
        <v>0</v>
      </c>
      <c r="AG40" s="6">
        <f>S40-E40</f>
        <v>0</v>
      </c>
      <c r="AH40" s="6">
        <f>T40-F40</f>
        <v>0</v>
      </c>
      <c r="AI40" s="6">
        <f>U40-G40</f>
        <v>0</v>
      </c>
      <c r="AJ40" s="6">
        <f>V40-H40</f>
        <v>0</v>
      </c>
      <c r="AK40" s="6">
        <f>W40-I40</f>
        <v>0</v>
      </c>
      <c r="AL40" s="6">
        <f>X40-J40</f>
        <v>0</v>
      </c>
      <c r="AM40" s="6">
        <f>Y40-K40</f>
        <v>0</v>
      </c>
      <c r="AN40" s="6">
        <f>Z40-L40</f>
        <v>0</v>
      </c>
      <c r="AO40" s="6">
        <f>AA40-M40</f>
        <v>0</v>
      </c>
      <c r="AP40" s="6">
        <f>AB40-N40</f>
        <v>0</v>
      </c>
      <c r="AQ40" s="6">
        <f>AP40</f>
        <v>0</v>
      </c>
      <c r="AS40" s="6">
        <f>'Granite-Adj'!C90</f>
        <v>0</v>
      </c>
      <c r="AT40" s="6">
        <f>'Granite-Adj'!D90</f>
        <v>0</v>
      </c>
      <c r="AU40" s="6">
        <f>'Granite-Adj'!E90</f>
        <v>0</v>
      </c>
      <c r="AV40" s="6">
        <f>'Granite-Adj'!F90</f>
        <v>0</v>
      </c>
      <c r="AW40" s="6">
        <f>'Granite-Adj'!G90</f>
        <v>0</v>
      </c>
      <c r="AX40" s="6">
        <f>'Granite-Adj'!H90</f>
        <v>0</v>
      </c>
      <c r="AY40" s="6">
        <f>'Granite-Adj'!I90</f>
        <v>0</v>
      </c>
      <c r="AZ40" s="6">
        <f>'Granite-Adj'!J90</f>
        <v>0</v>
      </c>
      <c r="BA40" s="6">
        <f>'Granite-Adj'!K90</f>
        <v>400</v>
      </c>
      <c r="BB40" s="6">
        <f>'Granite-Adj'!L90</f>
        <v>600</v>
      </c>
      <c r="BC40" s="6">
        <f>'Granite-Adj'!M90</f>
        <v>300</v>
      </c>
      <c r="BD40" s="6">
        <f>'Granite-Adj'!N90</f>
        <v>0</v>
      </c>
      <c r="BE40" s="6">
        <f>BD40</f>
        <v>0</v>
      </c>
      <c r="BG40" s="6">
        <f>C40+AE40+AS40</f>
        <v>8938.2000000000007</v>
      </c>
      <c r="BH40" s="6">
        <f>D40+AF40+AT40</f>
        <v>8677.6</v>
      </c>
      <c r="BI40" s="6">
        <f>E40+AG40+AU40</f>
        <v>9094.9</v>
      </c>
      <c r="BJ40" s="6">
        <f>F40+AH40+AV40</f>
        <v>10143</v>
      </c>
      <c r="BK40" s="6">
        <f>G40+AI40+AW40</f>
        <v>8777.7999999999993</v>
      </c>
      <c r="BL40" s="6">
        <f>H40+AJ40+AX40</f>
        <v>8884.7999999999993</v>
      </c>
      <c r="BM40" s="6">
        <f>I40+AK40+AY40</f>
        <v>8549.7000000000007</v>
      </c>
      <c r="BN40" s="6">
        <f>J40+AL40+AZ40</f>
        <v>8121.8</v>
      </c>
      <c r="BO40" s="6">
        <f>K40+AM40+BA40</f>
        <v>8134</v>
      </c>
      <c r="BP40" s="6">
        <f>L40+AN40+BB40</f>
        <v>8963.2000000000007</v>
      </c>
      <c r="BQ40" s="6">
        <f>M40+AO40+BC40</f>
        <v>7809.9</v>
      </c>
      <c r="BR40" s="6">
        <f>N40+AP40+BD40</f>
        <v>7719.4</v>
      </c>
      <c r="BS40" s="6">
        <f>BR40</f>
        <v>7719.4</v>
      </c>
    </row>
    <row r="41" spans="2:71">
      <c r="B41" s="5" t="s">
        <v>152</v>
      </c>
      <c r="C41" s="6">
        <v>7399.4</v>
      </c>
      <c r="D41" s="6">
        <v>7302.9</v>
      </c>
      <c r="E41" s="6">
        <v>7723.8</v>
      </c>
      <c r="F41" s="6">
        <v>8492.4</v>
      </c>
      <c r="G41" s="6">
        <v>7610.2</v>
      </c>
      <c r="H41" s="6">
        <v>8076.6</v>
      </c>
      <c r="I41" s="6">
        <v>7998.9</v>
      </c>
      <c r="J41" s="6">
        <v>7776.1</v>
      </c>
      <c r="K41" s="6">
        <v>7075.7</v>
      </c>
      <c r="L41" s="6">
        <v>7873.9</v>
      </c>
      <c r="M41" s="6">
        <v>7151.8</v>
      </c>
      <c r="N41" s="6">
        <v>7665.8</v>
      </c>
      <c r="O41" s="6">
        <f>N41</f>
        <v>7665.8</v>
      </c>
      <c r="Q41" s="6">
        <v>7399.4</v>
      </c>
      <c r="R41" s="6">
        <v>7302.9</v>
      </c>
      <c r="S41" s="6">
        <v>7723.8</v>
      </c>
      <c r="T41" s="6">
        <v>8492.4</v>
      </c>
      <c r="U41" s="6">
        <v>7610.2</v>
      </c>
      <c r="V41" s="6">
        <v>8076.6</v>
      </c>
      <c r="W41" s="6">
        <v>7998.9</v>
      </c>
      <c r="X41" s="6">
        <v>7776.1</v>
      </c>
      <c r="Y41" s="6">
        <v>7075.7</v>
      </c>
      <c r="Z41" s="6">
        <v>7873.9</v>
      </c>
      <c r="AA41" s="6">
        <v>7151.8</v>
      </c>
      <c r="AB41" s="6">
        <v>7665.8</v>
      </c>
      <c r="AC41" s="6">
        <f>AB41</f>
        <v>7665.8</v>
      </c>
      <c r="AE41" s="6">
        <f>Q41-C41</f>
        <v>0</v>
      </c>
      <c r="AF41" s="6">
        <f>R41-D41</f>
        <v>0</v>
      </c>
      <c r="AG41" s="6">
        <f>S41-E41</f>
        <v>0</v>
      </c>
      <c r="AH41" s="6">
        <f>T41-F41</f>
        <v>0</v>
      </c>
      <c r="AI41" s="6">
        <f>U41-G41</f>
        <v>0</v>
      </c>
      <c r="AJ41" s="6">
        <f>V41-H41</f>
        <v>0</v>
      </c>
      <c r="AK41" s="6">
        <f>W41-I41</f>
        <v>0</v>
      </c>
      <c r="AL41" s="6">
        <f>X41-J41</f>
        <v>0</v>
      </c>
      <c r="AM41" s="6">
        <f>Y41-K41</f>
        <v>0</v>
      </c>
      <c r="AN41" s="6">
        <f>Z41-L41</f>
        <v>0</v>
      </c>
      <c r="AO41" s="6">
        <f>AA41-M41</f>
        <v>0</v>
      </c>
      <c r="AP41" s="6">
        <f>AB41-N41</f>
        <v>0</v>
      </c>
      <c r="AQ41" s="6">
        <f>AP41</f>
        <v>0</v>
      </c>
      <c r="AS41" s="6">
        <f>'Granite-Adj'!C91</f>
        <v>0</v>
      </c>
      <c r="AT41" s="6">
        <f>'Granite-Adj'!D91</f>
        <v>0</v>
      </c>
      <c r="AU41" s="6">
        <f>'Granite-Adj'!E91</f>
        <v>0</v>
      </c>
      <c r="AV41" s="6">
        <f>'Granite-Adj'!F91</f>
        <v>0</v>
      </c>
      <c r="AW41" s="6">
        <f>'Granite-Adj'!G91</f>
        <v>0</v>
      </c>
      <c r="AX41" s="6">
        <f>'Granite-Adj'!H91</f>
        <v>0</v>
      </c>
      <c r="AY41" s="6">
        <f>'Granite-Adj'!I91</f>
        <v>0</v>
      </c>
      <c r="AZ41" s="6">
        <f>'Granite-Adj'!J91</f>
        <v>0</v>
      </c>
      <c r="BA41" s="6">
        <f>'Granite-Adj'!K91</f>
        <v>0</v>
      </c>
      <c r="BB41" s="6">
        <f>'Granite-Adj'!L91</f>
        <v>0</v>
      </c>
      <c r="BC41" s="6">
        <f>'Granite-Adj'!M91</f>
        <v>0</v>
      </c>
      <c r="BD41" s="6">
        <f>'Granite-Adj'!N91</f>
        <v>0</v>
      </c>
      <c r="BE41" s="6">
        <f>BD41</f>
        <v>0</v>
      </c>
      <c r="BG41" s="6">
        <f>C41+AE41+AS41</f>
        <v>7399.4</v>
      </c>
      <c r="BH41" s="6">
        <f>D41+AF41+AT41</f>
        <v>7302.9</v>
      </c>
      <c r="BI41" s="6">
        <f>E41+AG41+AU41</f>
        <v>7723.8</v>
      </c>
      <c r="BJ41" s="6">
        <f>F41+AH41+AV41</f>
        <v>8492.4</v>
      </c>
      <c r="BK41" s="6">
        <f>G41+AI41+AW41</f>
        <v>7610.2</v>
      </c>
      <c r="BL41" s="6">
        <f>H41+AJ41+AX41</f>
        <v>8076.6</v>
      </c>
      <c r="BM41" s="6">
        <f>I41+AK41+AY41</f>
        <v>7998.9</v>
      </c>
      <c r="BN41" s="6">
        <f>J41+AL41+AZ41</f>
        <v>7776.1</v>
      </c>
      <c r="BO41" s="6">
        <f>K41+AM41+BA41</f>
        <v>7075.7</v>
      </c>
      <c r="BP41" s="6">
        <f>L41+AN41+BB41</f>
        <v>7873.9</v>
      </c>
      <c r="BQ41" s="6">
        <f>M41+AO41+BC41</f>
        <v>7151.8</v>
      </c>
      <c r="BR41" s="6">
        <f>N41+AP41+BD41</f>
        <v>7665.8</v>
      </c>
      <c r="BS41" s="6">
        <f>BR41</f>
        <v>7665.8</v>
      </c>
    </row>
    <row r="42" spans="2:71">
      <c r="B42" s="5" t="s">
        <v>153</v>
      </c>
      <c r="C42" s="6">
        <v>73.2</v>
      </c>
      <c r="D42" s="6">
        <v>72.2</v>
      </c>
      <c r="E42" s="6">
        <v>76.400000000000006</v>
      </c>
      <c r="F42" s="6">
        <v>84</v>
      </c>
      <c r="G42" s="6">
        <v>75.3</v>
      </c>
      <c r="H42" s="6">
        <v>79.900000000000006</v>
      </c>
      <c r="I42" s="6">
        <v>79.099999999999994</v>
      </c>
      <c r="J42" s="6">
        <v>76.900000000000006</v>
      </c>
      <c r="K42" s="6">
        <v>70</v>
      </c>
      <c r="L42" s="6">
        <v>77.900000000000006</v>
      </c>
      <c r="M42" s="6">
        <v>70.7</v>
      </c>
      <c r="N42" s="6">
        <v>75.8</v>
      </c>
      <c r="O42" s="6">
        <f>N42</f>
        <v>75.8</v>
      </c>
      <c r="Q42" s="6">
        <v>73.2</v>
      </c>
      <c r="R42" s="6">
        <v>72.2</v>
      </c>
      <c r="S42" s="6">
        <v>76.400000000000006</v>
      </c>
      <c r="T42" s="6">
        <v>84</v>
      </c>
      <c r="U42" s="6">
        <v>75.3</v>
      </c>
      <c r="V42" s="6">
        <v>79.900000000000006</v>
      </c>
      <c r="W42" s="6">
        <v>79.099999999999994</v>
      </c>
      <c r="X42" s="6">
        <v>76.900000000000006</v>
      </c>
      <c r="Y42" s="6">
        <v>70</v>
      </c>
      <c r="Z42" s="6">
        <v>77.900000000000006</v>
      </c>
      <c r="AA42" s="6">
        <v>70.7</v>
      </c>
      <c r="AB42" s="6">
        <v>75.8</v>
      </c>
      <c r="AC42" s="6">
        <f>AB42</f>
        <v>75.8</v>
      </c>
      <c r="AE42" s="6">
        <f>Q42-C42</f>
        <v>0</v>
      </c>
      <c r="AF42" s="6">
        <f>R42-D42</f>
        <v>0</v>
      </c>
      <c r="AG42" s="6">
        <f>S42-E42</f>
        <v>0</v>
      </c>
      <c r="AH42" s="6">
        <f>T42-F42</f>
        <v>0</v>
      </c>
      <c r="AI42" s="6">
        <f>U42-G42</f>
        <v>0</v>
      </c>
      <c r="AJ42" s="6">
        <f>V42-H42</f>
        <v>0</v>
      </c>
      <c r="AK42" s="6">
        <f>W42-I42</f>
        <v>0</v>
      </c>
      <c r="AL42" s="6">
        <f>X42-J42</f>
        <v>0</v>
      </c>
      <c r="AM42" s="6">
        <f>Y42-K42</f>
        <v>0</v>
      </c>
      <c r="AN42" s="6">
        <f>Z42-L42</f>
        <v>0</v>
      </c>
      <c r="AO42" s="6">
        <f>AA42-M42</f>
        <v>0</v>
      </c>
      <c r="AP42" s="6">
        <f>AB42-N42</f>
        <v>0</v>
      </c>
      <c r="AQ42" s="6">
        <f>AP42</f>
        <v>0</v>
      </c>
      <c r="AS42" s="6">
        <f>'Granite-Adj'!C92</f>
        <v>0</v>
      </c>
      <c r="AT42" s="6">
        <f>'Granite-Adj'!D92</f>
        <v>0</v>
      </c>
      <c r="AU42" s="6">
        <f>'Granite-Adj'!E92</f>
        <v>0</v>
      </c>
      <c r="AV42" s="6">
        <f>'Granite-Adj'!F92</f>
        <v>0</v>
      </c>
      <c r="AW42" s="6">
        <f>'Granite-Adj'!G92</f>
        <v>0</v>
      </c>
      <c r="AX42" s="6">
        <f>'Granite-Adj'!H92</f>
        <v>0</v>
      </c>
      <c r="AY42" s="6">
        <f>'Granite-Adj'!I92</f>
        <v>0</v>
      </c>
      <c r="AZ42" s="6">
        <f>'Granite-Adj'!J92</f>
        <v>0</v>
      </c>
      <c r="BA42" s="6">
        <f>'Granite-Adj'!K92</f>
        <v>0</v>
      </c>
      <c r="BB42" s="6">
        <f>'Granite-Adj'!L92</f>
        <v>0</v>
      </c>
      <c r="BC42" s="6">
        <f>'Granite-Adj'!M92</f>
        <v>0</v>
      </c>
      <c r="BD42" s="6">
        <f>'Granite-Adj'!N92</f>
        <v>0</v>
      </c>
      <c r="BE42" s="6">
        <f>BD42</f>
        <v>0</v>
      </c>
      <c r="BG42" s="6">
        <f>C42+AE42+AS42</f>
        <v>73.2</v>
      </c>
      <c r="BH42" s="6">
        <f>D42+AF42+AT42</f>
        <v>72.2</v>
      </c>
      <c r="BI42" s="6">
        <f>E42+AG42+AU42</f>
        <v>76.400000000000006</v>
      </c>
      <c r="BJ42" s="6">
        <f>F42+AH42+AV42</f>
        <v>84</v>
      </c>
      <c r="BK42" s="6">
        <f>G42+AI42+AW42</f>
        <v>75.3</v>
      </c>
      <c r="BL42" s="6">
        <f>H42+AJ42+AX42</f>
        <v>79.900000000000006</v>
      </c>
      <c r="BM42" s="6">
        <f>I42+AK42+AY42</f>
        <v>79.099999999999994</v>
      </c>
      <c r="BN42" s="6">
        <f>J42+AL42+AZ42</f>
        <v>76.900000000000006</v>
      </c>
      <c r="BO42" s="6">
        <f>K42+AM42+BA42</f>
        <v>70</v>
      </c>
      <c r="BP42" s="6">
        <f>L42+AN42+BB42</f>
        <v>77.900000000000006</v>
      </c>
      <c r="BQ42" s="6">
        <f>M42+AO42+BC42</f>
        <v>70.7</v>
      </c>
      <c r="BR42" s="6">
        <f>N42+AP42+BD42</f>
        <v>75.8</v>
      </c>
      <c r="BS42" s="6">
        <f>BR42</f>
        <v>75.8</v>
      </c>
    </row>
    <row r="43" spans="2:71">
      <c r="B43" s="5" t="s">
        <v>154</v>
      </c>
      <c r="C43" s="6">
        <v>-4979.7</v>
      </c>
      <c r="D43" s="6">
        <v>-4924.1000000000004</v>
      </c>
      <c r="E43" s="6">
        <v>-5217.8999999999996</v>
      </c>
      <c r="F43" s="6">
        <v>-5760.9</v>
      </c>
      <c r="G43" s="6">
        <v>-5122.6000000000004</v>
      </c>
      <c r="H43" s="6">
        <v>-5438.2</v>
      </c>
      <c r="I43" s="6">
        <v>-5401.8</v>
      </c>
      <c r="J43" s="6">
        <v>-5273.4</v>
      </c>
      <c r="K43" s="6">
        <v>-4979.1000000000004</v>
      </c>
      <c r="L43" s="6">
        <v>-5411.1</v>
      </c>
      <c r="M43" s="6">
        <v>-4879.2</v>
      </c>
      <c r="N43" s="6">
        <v>-5118.1000000000004</v>
      </c>
      <c r="O43" s="6">
        <f>N43</f>
        <v>-5118.1000000000004</v>
      </c>
      <c r="Q43" s="6">
        <v>-4979.7</v>
      </c>
      <c r="R43" s="6">
        <v>-4924.1000000000004</v>
      </c>
      <c r="S43" s="6">
        <v>-5217.8999999999996</v>
      </c>
      <c r="T43" s="6">
        <v>-5760.9</v>
      </c>
      <c r="U43" s="6">
        <v>-5122.6000000000004</v>
      </c>
      <c r="V43" s="6">
        <v>-5438.2</v>
      </c>
      <c r="W43" s="6">
        <v>-5401.8</v>
      </c>
      <c r="X43" s="6">
        <v>-5273.4</v>
      </c>
      <c r="Y43" s="6">
        <v>-4979.1000000000004</v>
      </c>
      <c r="Z43" s="6">
        <v>-5411.1</v>
      </c>
      <c r="AA43" s="6">
        <v>-4879.2</v>
      </c>
      <c r="AB43" s="6">
        <v>-5118.1000000000004</v>
      </c>
      <c r="AC43" s="6">
        <f>AB43</f>
        <v>-5118.1000000000004</v>
      </c>
      <c r="AE43" s="6">
        <f>Q43-C43</f>
        <v>0</v>
      </c>
      <c r="AF43" s="6">
        <f>R43-D43</f>
        <v>0</v>
      </c>
      <c r="AG43" s="6">
        <f>S43-E43</f>
        <v>0</v>
      </c>
      <c r="AH43" s="6">
        <f>T43-F43</f>
        <v>0</v>
      </c>
      <c r="AI43" s="6">
        <f>U43-G43</f>
        <v>0</v>
      </c>
      <c r="AJ43" s="6">
        <f>V43-H43</f>
        <v>0</v>
      </c>
      <c r="AK43" s="6">
        <f>W43-I43</f>
        <v>0</v>
      </c>
      <c r="AL43" s="6">
        <f>X43-J43</f>
        <v>0</v>
      </c>
      <c r="AM43" s="6">
        <f>Y43-K43</f>
        <v>0</v>
      </c>
      <c r="AN43" s="6">
        <f>Z43-L43</f>
        <v>0</v>
      </c>
      <c r="AO43" s="6">
        <f>AA43-M43</f>
        <v>0</v>
      </c>
      <c r="AP43" s="6">
        <f>AB43-N43</f>
        <v>0</v>
      </c>
      <c r="AQ43" s="6">
        <f>AP43</f>
        <v>0</v>
      </c>
      <c r="AS43" s="6">
        <f>'Granite-Adj'!C93</f>
        <v>0</v>
      </c>
      <c r="AT43" s="6">
        <f>'Granite-Adj'!D93</f>
        <v>0</v>
      </c>
      <c r="AU43" s="6">
        <f>'Granite-Adj'!E93</f>
        <v>0</v>
      </c>
      <c r="AV43" s="6">
        <f>'Granite-Adj'!F93</f>
        <v>0</v>
      </c>
      <c r="AW43" s="6">
        <f>'Granite-Adj'!G93</f>
        <v>0</v>
      </c>
      <c r="AX43" s="6">
        <f>'Granite-Adj'!H93</f>
        <v>0</v>
      </c>
      <c r="AY43" s="6">
        <f>'Granite-Adj'!I93</f>
        <v>0</v>
      </c>
      <c r="AZ43" s="6">
        <f>'Granite-Adj'!J93</f>
        <v>0</v>
      </c>
      <c r="BA43" s="6">
        <f>'Granite-Adj'!K93</f>
        <v>0</v>
      </c>
      <c r="BB43" s="6">
        <f>'Granite-Adj'!L93</f>
        <v>0</v>
      </c>
      <c r="BC43" s="6">
        <f>'Granite-Adj'!M93</f>
        <v>0</v>
      </c>
      <c r="BD43" s="6">
        <f>'Granite-Adj'!N93</f>
        <v>0</v>
      </c>
      <c r="BE43" s="6">
        <f>BD43</f>
        <v>0</v>
      </c>
      <c r="BG43" s="6">
        <f>C43+AE43+AS43</f>
        <v>-4979.7</v>
      </c>
      <c r="BH43" s="6">
        <f>D43+AF43+AT43</f>
        <v>-4924.1000000000004</v>
      </c>
      <c r="BI43" s="6">
        <f>E43+AG43+AU43</f>
        <v>-5217.8999999999996</v>
      </c>
      <c r="BJ43" s="6">
        <f>F43+AH43+AV43</f>
        <v>-5760.9</v>
      </c>
      <c r="BK43" s="6">
        <f>G43+AI43+AW43</f>
        <v>-5122.6000000000004</v>
      </c>
      <c r="BL43" s="6">
        <f>H43+AJ43+AX43</f>
        <v>-5438.2</v>
      </c>
      <c r="BM43" s="6">
        <f>I43+AK43+AY43</f>
        <v>-5401.8</v>
      </c>
      <c r="BN43" s="6">
        <f>J43+AL43+AZ43</f>
        <v>-5273.4</v>
      </c>
      <c r="BO43" s="6">
        <f>K43+AM43+BA43</f>
        <v>-4979.1000000000004</v>
      </c>
      <c r="BP43" s="6">
        <f>L43+AN43+BB43</f>
        <v>-5411.1</v>
      </c>
      <c r="BQ43" s="6">
        <f>M43+AO43+BC43</f>
        <v>-4879.2</v>
      </c>
      <c r="BR43" s="6">
        <f>N43+AP43+BD43</f>
        <v>-5118.1000000000004</v>
      </c>
      <c r="BS43" s="6">
        <f>BR43</f>
        <v>-5118.1000000000004</v>
      </c>
    </row>
    <row r="44" spans="2:71">
      <c r="B44" s="5" t="s">
        <v>155</v>
      </c>
      <c r="C44" s="6">
        <v>-146.4</v>
      </c>
      <c r="D44" s="6">
        <v>-144.5</v>
      </c>
      <c r="E44" s="6">
        <v>-152.80000000000001</v>
      </c>
      <c r="F44" s="6">
        <v>-168</v>
      </c>
      <c r="G44" s="6">
        <v>-150.5</v>
      </c>
      <c r="H44" s="6">
        <v>-159.80000000000001</v>
      </c>
      <c r="I44" s="6">
        <v>-158.19999999999999</v>
      </c>
      <c r="J44" s="6">
        <v>-153.80000000000001</v>
      </c>
      <c r="K44" s="6">
        <v>-140</v>
      </c>
      <c r="L44" s="6">
        <v>-155.69999999999999</v>
      </c>
      <c r="M44" s="6">
        <v>-141.5</v>
      </c>
      <c r="N44" s="6">
        <v>-151.6</v>
      </c>
      <c r="O44" s="6">
        <f>N44</f>
        <v>-151.6</v>
      </c>
      <c r="Q44" s="6">
        <v>-146.4</v>
      </c>
      <c r="R44" s="6">
        <v>-144.5</v>
      </c>
      <c r="S44" s="6">
        <v>-152.80000000000001</v>
      </c>
      <c r="T44" s="6">
        <v>-168</v>
      </c>
      <c r="U44" s="6">
        <v>-150.5</v>
      </c>
      <c r="V44" s="6">
        <v>-159.80000000000001</v>
      </c>
      <c r="W44" s="6">
        <v>-158.19999999999999</v>
      </c>
      <c r="X44" s="6">
        <v>-153.80000000000001</v>
      </c>
      <c r="Y44" s="6">
        <v>-140</v>
      </c>
      <c r="Z44" s="6">
        <v>-155.69999999999999</v>
      </c>
      <c r="AA44" s="6">
        <v>-141.5</v>
      </c>
      <c r="AB44" s="6">
        <v>-151.6</v>
      </c>
      <c r="AC44" s="6">
        <f>AB44</f>
        <v>-151.6</v>
      </c>
      <c r="AE44" s="6">
        <f>Q44-C44</f>
        <v>0</v>
      </c>
      <c r="AF44" s="6">
        <f>R44-D44</f>
        <v>0</v>
      </c>
      <c r="AG44" s="6">
        <f>S44-E44</f>
        <v>0</v>
      </c>
      <c r="AH44" s="6">
        <f>T44-F44</f>
        <v>0</v>
      </c>
      <c r="AI44" s="6">
        <f>U44-G44</f>
        <v>0</v>
      </c>
      <c r="AJ44" s="6">
        <f>V44-H44</f>
        <v>0</v>
      </c>
      <c r="AK44" s="6">
        <f>W44-I44</f>
        <v>0</v>
      </c>
      <c r="AL44" s="6">
        <f>X44-J44</f>
        <v>0</v>
      </c>
      <c r="AM44" s="6">
        <f>Y44-K44</f>
        <v>0</v>
      </c>
      <c r="AN44" s="6">
        <f>Z44-L44</f>
        <v>0</v>
      </c>
      <c r="AO44" s="6">
        <f>AA44-M44</f>
        <v>0</v>
      </c>
      <c r="AP44" s="6">
        <f>AB44-N44</f>
        <v>0</v>
      </c>
      <c r="AQ44" s="6">
        <f>AP44</f>
        <v>0</v>
      </c>
      <c r="AS44" s="6">
        <f>'Granite-Adj'!C94</f>
        <v>0</v>
      </c>
      <c r="AT44" s="6">
        <f>'Granite-Adj'!D94</f>
        <v>0</v>
      </c>
      <c r="AU44" s="6">
        <f>'Granite-Adj'!E94</f>
        <v>0</v>
      </c>
      <c r="AV44" s="6">
        <f>'Granite-Adj'!F94</f>
        <v>0</v>
      </c>
      <c r="AW44" s="6">
        <f>'Granite-Adj'!G94</f>
        <v>0</v>
      </c>
      <c r="AX44" s="6">
        <f>'Granite-Adj'!H94</f>
        <v>0</v>
      </c>
      <c r="AY44" s="6">
        <f>'Granite-Adj'!I94</f>
        <v>0</v>
      </c>
      <c r="AZ44" s="6">
        <f>'Granite-Adj'!J94</f>
        <v>0</v>
      </c>
      <c r="BA44" s="6">
        <f>'Granite-Adj'!K94</f>
        <v>0</v>
      </c>
      <c r="BB44" s="6">
        <f>'Granite-Adj'!L94</f>
        <v>0</v>
      </c>
      <c r="BC44" s="6">
        <f>'Granite-Adj'!M94</f>
        <v>0</v>
      </c>
      <c r="BD44" s="6">
        <f>'Granite-Adj'!N94</f>
        <v>0</v>
      </c>
      <c r="BE44" s="6">
        <f>BD44</f>
        <v>0</v>
      </c>
      <c r="BG44" s="6">
        <f>C44+AE44+AS44</f>
        <v>-146.4</v>
      </c>
      <c r="BH44" s="6">
        <f>D44+AF44+AT44</f>
        <v>-144.5</v>
      </c>
      <c r="BI44" s="6">
        <f>E44+AG44+AU44</f>
        <v>-152.80000000000001</v>
      </c>
      <c r="BJ44" s="6">
        <f>F44+AH44+AV44</f>
        <v>-168</v>
      </c>
      <c r="BK44" s="6">
        <f>G44+AI44+AW44</f>
        <v>-150.5</v>
      </c>
      <c r="BL44" s="6">
        <f>H44+AJ44+AX44</f>
        <v>-159.80000000000001</v>
      </c>
      <c r="BM44" s="6">
        <f>I44+AK44+AY44</f>
        <v>-158.19999999999999</v>
      </c>
      <c r="BN44" s="6">
        <f>J44+AL44+AZ44</f>
        <v>-153.80000000000001</v>
      </c>
      <c r="BO44" s="6">
        <f>K44+AM44+BA44</f>
        <v>-140</v>
      </c>
      <c r="BP44" s="6">
        <f>L44+AN44+BB44</f>
        <v>-155.69999999999999</v>
      </c>
      <c r="BQ44" s="6">
        <f>M44+AO44+BC44</f>
        <v>-141.5</v>
      </c>
      <c r="BR44" s="6">
        <f>N44+AP44+BD44</f>
        <v>-151.6</v>
      </c>
      <c r="BS44" s="6">
        <f>BR44</f>
        <v>-151.6</v>
      </c>
    </row>
    <row r="45" spans="2:71">
      <c r="B45" s="2" t="s">
        <v>170</v>
      </c>
      <c r="C45" s="6">
        <f>SUM(C40:C44)</f>
        <v>11284.699999999999</v>
      </c>
      <c r="D45" s="6">
        <f>SUM(D40:D44)</f>
        <v>10984.1</v>
      </c>
      <c r="E45" s="6">
        <f>SUM(E40:E44)</f>
        <v>11524.400000000003</v>
      </c>
      <c r="F45" s="6">
        <f>SUM(F40:F44)</f>
        <v>12790.500000000002</v>
      </c>
      <c r="G45" s="6">
        <f>SUM(G40:G44)</f>
        <v>11190.199999999999</v>
      </c>
      <c r="H45" s="6">
        <f>SUM(H40:H44)</f>
        <v>11443.300000000003</v>
      </c>
      <c r="I45" s="6">
        <f>SUM(I40:I44)</f>
        <v>11067.699999999997</v>
      </c>
      <c r="J45" s="6">
        <f>SUM(J40:J44)</f>
        <v>10547.600000000002</v>
      </c>
      <c r="K45" s="6">
        <f>SUM(K40:K44)</f>
        <v>9760.6</v>
      </c>
      <c r="L45" s="6">
        <f>SUM(L40:L44)</f>
        <v>10748.199999999999</v>
      </c>
      <c r="M45" s="6">
        <f>SUM(M40:M44)</f>
        <v>9711.7000000000007</v>
      </c>
      <c r="N45" s="6">
        <f>SUM(N40:N44)</f>
        <v>10191.299999999999</v>
      </c>
      <c r="O45" s="6">
        <f>N45</f>
        <v>10191.299999999999</v>
      </c>
      <c r="Q45" s="6">
        <f>SUM(Q40:Q44)</f>
        <v>11284.699999999999</v>
      </c>
      <c r="R45" s="6">
        <f>SUM(R40:R44)</f>
        <v>10984.1</v>
      </c>
      <c r="S45" s="6">
        <f>SUM(S40:S44)</f>
        <v>11524.400000000003</v>
      </c>
      <c r="T45" s="6">
        <f>SUM(T40:T44)</f>
        <v>12790.500000000002</v>
      </c>
      <c r="U45" s="6">
        <f>SUM(U40:U44)</f>
        <v>11190.199999999999</v>
      </c>
      <c r="V45" s="6">
        <f>SUM(V40:V44)</f>
        <v>11443.300000000003</v>
      </c>
      <c r="W45" s="6">
        <f>SUM(W40:W44)</f>
        <v>11067.699999999997</v>
      </c>
      <c r="X45" s="6">
        <f>SUM(X40:X44)</f>
        <v>10547.600000000002</v>
      </c>
      <c r="Y45" s="6">
        <f>SUM(Y40:Y44)</f>
        <v>9760.6</v>
      </c>
      <c r="Z45" s="6">
        <f>SUM(Z40:Z44)</f>
        <v>10748.199999999999</v>
      </c>
      <c r="AA45" s="6">
        <f>SUM(AA40:AA44)</f>
        <v>9711.7000000000007</v>
      </c>
      <c r="AB45" s="6">
        <f>SUM(AB40:AB44)</f>
        <v>10191.299999999999</v>
      </c>
      <c r="AC45" s="6">
        <f>AB45</f>
        <v>10191.299999999999</v>
      </c>
      <c r="AE45" s="6">
        <f>SUM(AE40:AE44)</f>
        <v>0</v>
      </c>
      <c r="AF45" s="6">
        <f>SUM(AF40:AF44)</f>
        <v>0</v>
      </c>
      <c r="AG45" s="6">
        <f>SUM(AG40:AG44)</f>
        <v>0</v>
      </c>
      <c r="AH45" s="6">
        <f>SUM(AH40:AH44)</f>
        <v>0</v>
      </c>
      <c r="AI45" s="6">
        <f>SUM(AI40:AI44)</f>
        <v>0</v>
      </c>
      <c r="AJ45" s="6">
        <f>SUM(AJ40:AJ44)</f>
        <v>0</v>
      </c>
      <c r="AK45" s="6">
        <f>SUM(AK40:AK44)</f>
        <v>0</v>
      </c>
      <c r="AL45" s="6">
        <f>SUM(AL40:AL44)</f>
        <v>0</v>
      </c>
      <c r="AM45" s="6">
        <f>SUM(AM40:AM44)</f>
        <v>0</v>
      </c>
      <c r="AN45" s="6">
        <f>SUM(AN40:AN44)</f>
        <v>0</v>
      </c>
      <c r="AO45" s="6">
        <f>SUM(AO40:AO44)</f>
        <v>0</v>
      </c>
      <c r="AP45" s="6">
        <f>SUM(AP40:AP44)</f>
        <v>0</v>
      </c>
      <c r="AQ45" s="6">
        <f>AP45</f>
        <v>0</v>
      </c>
      <c r="AS45" s="6">
        <f>SUM(AS40:AS44)</f>
        <v>0</v>
      </c>
      <c r="AT45" s="6">
        <f>SUM(AT40:AT44)</f>
        <v>0</v>
      </c>
      <c r="AU45" s="6">
        <f>SUM(AU40:AU44)</f>
        <v>0</v>
      </c>
      <c r="AV45" s="6">
        <f>SUM(AV40:AV44)</f>
        <v>0</v>
      </c>
      <c r="AW45" s="6">
        <f>SUM(AW40:AW44)</f>
        <v>0</v>
      </c>
      <c r="AX45" s="6">
        <f>SUM(AX40:AX44)</f>
        <v>0</v>
      </c>
      <c r="AY45" s="6">
        <f>SUM(AY40:AY44)</f>
        <v>0</v>
      </c>
      <c r="AZ45" s="6">
        <f>SUM(AZ40:AZ44)</f>
        <v>0</v>
      </c>
      <c r="BA45" s="6">
        <f>SUM(BA40:BA44)</f>
        <v>400</v>
      </c>
      <c r="BB45" s="6">
        <f>SUM(BB40:BB44)</f>
        <v>600</v>
      </c>
      <c r="BC45" s="6">
        <f>SUM(BC40:BC44)</f>
        <v>300</v>
      </c>
      <c r="BD45" s="6">
        <f>SUM(BD40:BD44)</f>
        <v>0</v>
      </c>
      <c r="BE45" s="6">
        <f>BD45</f>
        <v>0</v>
      </c>
      <c r="BG45" s="6">
        <f>SUM(BG40:BG44)</f>
        <v>11284.699999999999</v>
      </c>
      <c r="BH45" s="6">
        <f>SUM(BH40:BH44)</f>
        <v>10984.1</v>
      </c>
      <c r="BI45" s="6">
        <f>SUM(BI40:BI44)</f>
        <v>11524.400000000003</v>
      </c>
      <c r="BJ45" s="6">
        <f>SUM(BJ40:BJ44)</f>
        <v>12790.500000000002</v>
      </c>
      <c r="BK45" s="6">
        <f>SUM(BK40:BK44)</f>
        <v>11190.199999999999</v>
      </c>
      <c r="BL45" s="6">
        <f>SUM(BL40:BL44)</f>
        <v>11443.300000000003</v>
      </c>
      <c r="BM45" s="6">
        <f>SUM(BM40:BM44)</f>
        <v>11067.699999999997</v>
      </c>
      <c r="BN45" s="6">
        <f>SUM(BN40:BN44)</f>
        <v>10547.600000000002</v>
      </c>
      <c r="BO45" s="6">
        <f>SUM(BO40:BO44)</f>
        <v>10160.6</v>
      </c>
      <c r="BP45" s="6">
        <f>SUM(BP40:BP44)</f>
        <v>11348.199999999999</v>
      </c>
      <c r="BQ45" s="6">
        <f>SUM(BQ40:BQ44)</f>
        <v>10011.700000000001</v>
      </c>
      <c r="BR45" s="6">
        <f>SUM(BR40:BR44)</f>
        <v>10191.299999999999</v>
      </c>
      <c r="BS45" s="6">
        <f>BR45</f>
        <v>10191.299999999999</v>
      </c>
    </row>
    <row r="46" spans="2:71">
      <c r="B46" s="5" t="s">
        <v>171</v>
      </c>
      <c r="C46" s="12">
        <f>IFERROR(C45/(C28*12),0)</f>
        <v>0.1927545589330491</v>
      </c>
      <c r="D46" s="12">
        <f>IFERROR(D45/(D28*12),0)</f>
        <v>0.19009816341647456</v>
      </c>
      <c r="E46" s="12">
        <f>IFERROR(E45/(E28*12),0)</f>
        <v>0.18858081660972134</v>
      </c>
      <c r="F46" s="12">
        <f>IFERROR(F45/(F28*12),0)</f>
        <v>0.19035521663035332</v>
      </c>
      <c r="G46" s="12">
        <f>IFERROR(G45/(G28*12),0)</f>
        <v>0.18584544047405518</v>
      </c>
      <c r="H46" s="12">
        <f>IFERROR(H45/(H28*12),0)</f>
        <v>0.17907465134329859</v>
      </c>
      <c r="I46" s="12">
        <f>IFERROR(I45/(I28*12),0)</f>
        <v>0.17487833396536465</v>
      </c>
      <c r="J46" s="12">
        <f>IFERROR(J45/(J28*12),0)</f>
        <v>0.17143544433825492</v>
      </c>
      <c r="K46" s="12">
        <f>IFERROR(K45/(K28*12),0)</f>
        <v>0.15963404182939833</v>
      </c>
      <c r="L46" s="12">
        <f>IFERROR(L45/(L28*12),0)</f>
        <v>0.16459926002156225</v>
      </c>
      <c r="M46" s="12">
        <f>IFERROR(M45/(M28*12),0)</f>
        <v>0.16464415284982878</v>
      </c>
      <c r="N46" s="12">
        <f>IFERROR(N45/(N28*12),0)</f>
        <v>0.15861254295532645</v>
      </c>
      <c r="Q46" s="12">
        <f>IFERROR(Q45/(Q28*12),0)</f>
        <v>0.1927545589330491</v>
      </c>
      <c r="R46" s="12">
        <f>IFERROR(R45/(R28*12),0)</f>
        <v>0.19009816341647456</v>
      </c>
      <c r="S46" s="12">
        <f>IFERROR(S45/(S28*12),0)</f>
        <v>0.18858081660972134</v>
      </c>
      <c r="T46" s="12">
        <f>IFERROR(T45/(T28*12),0)</f>
        <v>0.19035521663035332</v>
      </c>
      <c r="U46" s="12">
        <f>IFERROR(U45/(U28*12),0)</f>
        <v>0.18584544047405518</v>
      </c>
      <c r="V46" s="12">
        <f>IFERROR(V45/(V28*12),0)</f>
        <v>0.17907465134329859</v>
      </c>
      <c r="W46" s="12">
        <f>IFERROR(W45/(W28*12),0)</f>
        <v>0.17487833396536465</v>
      </c>
      <c r="X46" s="12">
        <f>IFERROR(X45/(X28*12),0)</f>
        <v>0.17143544433825492</v>
      </c>
      <c r="Y46" s="12">
        <f>IFERROR(Y45/(Y28*12),0)</f>
        <v>0.15963404182939833</v>
      </c>
      <c r="Z46" s="12">
        <f>IFERROR(Z45/(Z28*12),0)</f>
        <v>0.16459926002156225</v>
      </c>
      <c r="AA46" s="12">
        <f>IFERROR(AA45/(AA28*12),0)</f>
        <v>0.16464415284982878</v>
      </c>
      <c r="AB46" s="12">
        <f>IFERROR(AB45/(AB28*12),0)</f>
        <v>0.15861254295532645</v>
      </c>
      <c r="AE46" s="12">
        <f>IFERROR(AE45/(AE28*12),0)</f>
        <v>0</v>
      </c>
      <c r="AF46" s="12">
        <f>IFERROR(AF45/(AF28*12),0)</f>
        <v>0</v>
      </c>
      <c r="AG46" s="12">
        <f>IFERROR(AG45/(AG28*12),0)</f>
        <v>0</v>
      </c>
      <c r="AH46" s="12">
        <f>IFERROR(AH45/(AH28*12),0)</f>
        <v>0</v>
      </c>
      <c r="AI46" s="12">
        <f>IFERROR(AI45/(AI28*12),0)</f>
        <v>0</v>
      </c>
      <c r="AJ46" s="12">
        <f>IFERROR(AJ45/(AJ28*12),0)</f>
        <v>0</v>
      </c>
      <c r="AK46" s="12">
        <f>IFERROR(AK45/(AK28*12),0)</f>
        <v>0</v>
      </c>
      <c r="AL46" s="12">
        <f>IFERROR(AL45/(AL28*12),0)</f>
        <v>0</v>
      </c>
      <c r="AM46" s="12">
        <f>IFERROR(AM45/(AM28*12),0)</f>
        <v>0</v>
      </c>
      <c r="AN46" s="12">
        <f>IFERROR(AN45/(AN28*12),0)</f>
        <v>0</v>
      </c>
      <c r="AO46" s="12">
        <f>IFERROR(AO45/(AO28*12),0)</f>
        <v>0</v>
      </c>
      <c r="AP46" s="12">
        <f>IFERROR(AP45/(AP28*12),0)</f>
        <v>0</v>
      </c>
      <c r="AS46" s="12">
        <f>IFERROR(AS45/(AS28*12),0)</f>
        <v>0</v>
      </c>
      <c r="AT46" s="12">
        <f>IFERROR(AT45/(AT28*12),0)</f>
        <v>0</v>
      </c>
      <c r="AU46" s="12">
        <f>IFERROR(AU45/(AU28*12),0)</f>
        <v>0</v>
      </c>
      <c r="AV46" s="12">
        <f>IFERROR(AV45/(AV28*12),0)</f>
        <v>0</v>
      </c>
      <c r="AW46" s="12">
        <f>IFERROR(AW45/(AW28*12),0)</f>
        <v>0</v>
      </c>
      <c r="AX46" s="12">
        <f>IFERROR(AX45/(AX28*12),0)</f>
        <v>0</v>
      </c>
      <c r="AY46" s="12">
        <f>IFERROR(AY45/(AY28*12),0)</f>
        <v>0</v>
      </c>
      <c r="AZ46" s="12">
        <f>IFERROR(AZ45/(AZ28*12),0)</f>
        <v>0</v>
      </c>
      <c r="BA46" s="12">
        <f>IFERROR(BA45/(BA28*12),0)</f>
        <v>-7.7519379844961239E-2</v>
      </c>
      <c r="BB46" s="12">
        <f>IFERROR(BB45/(BB28*12),0)</f>
        <v>-0.2</v>
      </c>
      <c r="BC46" s="12">
        <f>IFERROR(BC45/(BC28*12),0)</f>
        <v>-0.125</v>
      </c>
      <c r="BD46" s="12">
        <f>IFERROR(BD45/(BD28*12),0)</f>
        <v>0</v>
      </c>
      <c r="BG46" s="12">
        <f>IFERROR(BG45/(BG28*12),0)</f>
        <v>0.1927545589330491</v>
      </c>
      <c r="BH46" s="12">
        <f>IFERROR(BH45/(BH28*12),0)</f>
        <v>0.19009816341647456</v>
      </c>
      <c r="BI46" s="12">
        <f>IFERROR(BI45/(BI28*12),0)</f>
        <v>0.18858081660972134</v>
      </c>
      <c r="BJ46" s="12">
        <f>IFERROR(BJ45/(BJ28*12),0)</f>
        <v>0.19035521663035332</v>
      </c>
      <c r="BK46" s="12">
        <f>IFERROR(BK45/(BK28*12),0)</f>
        <v>0.18584544047405518</v>
      </c>
      <c r="BL46" s="12">
        <f>IFERROR(BL45/(BL28*12),0)</f>
        <v>0.17907465134329859</v>
      </c>
      <c r="BM46" s="12">
        <f>IFERROR(BM45/(BM28*12),0)</f>
        <v>0.17487833396536465</v>
      </c>
      <c r="BN46" s="12">
        <f>IFERROR(BN45/(BN28*12),0)</f>
        <v>0.17143544433825492</v>
      </c>
      <c r="BO46" s="12">
        <f>IFERROR(BO45/(BO28*12),0)</f>
        <v>0.18149243707085647</v>
      </c>
      <c r="BP46" s="12">
        <f>IFERROR(BP45/(BP28*12),0)</f>
        <v>0.18215643218532498</v>
      </c>
      <c r="BQ46" s="12">
        <f>IFERROR(BQ45/(BQ28*12),0)</f>
        <v>0.17692892234828403</v>
      </c>
      <c r="BR46" s="12">
        <f>IFERROR(BR45/(BR28*12),0)</f>
        <v>0.16802686767964545</v>
      </c>
    </row>
    <row r="49" spans="2:15">
      <c r="B49" s="8" t="s">
        <v>172</v>
      </c>
    </row>
    <row r="50" spans="2:15">
      <c r="C50" s="19" t="s">
        <v>70</v>
      </c>
      <c r="D50" s="19" t="s">
        <v>71</v>
      </c>
      <c r="E50" s="19" t="s">
        <v>72</v>
      </c>
      <c r="F50" s="19" t="s">
        <v>73</v>
      </c>
      <c r="G50" s="19" t="s">
        <v>50</v>
      </c>
      <c r="H50" s="19" t="s">
        <v>74</v>
      </c>
      <c r="I50" s="19" t="s">
        <v>75</v>
      </c>
      <c r="J50" s="19" t="s">
        <v>76</v>
      </c>
      <c r="K50" s="19" t="s">
        <v>77</v>
      </c>
      <c r="L50" s="19" t="s">
        <v>78</v>
      </c>
      <c r="M50" s="19" t="s">
        <v>79</v>
      </c>
      <c r="N50" s="19" t="s">
        <v>80</v>
      </c>
      <c r="O50" s="2" t="s">
        <v>165</v>
      </c>
    </row>
    <row r="51" spans="2:15">
      <c r="B51" t="s">
        <v>100</v>
      </c>
      <c r="C51" s="6">
        <v>5145.8999999999996</v>
      </c>
      <c r="D51" s="6">
        <v>5037.5</v>
      </c>
      <c r="E51" s="6">
        <v>5416.6</v>
      </c>
      <c r="F51" s="6">
        <v>5849.9</v>
      </c>
      <c r="G51" s="6">
        <v>5308.4</v>
      </c>
      <c r="H51" s="6">
        <v>5579.2</v>
      </c>
      <c r="I51" s="6">
        <v>5525</v>
      </c>
      <c r="J51" s="6">
        <v>5416.7</v>
      </c>
      <c r="K51" s="6">
        <v>5308.3</v>
      </c>
      <c r="L51" s="6">
        <v>5687.4</v>
      </c>
      <c r="M51" s="6">
        <v>5145.8</v>
      </c>
      <c r="N51" s="6">
        <v>5579.2</v>
      </c>
      <c r="O51" s="6">
        <f>SUM(C51:N51)</f>
        <v>64999.9</v>
      </c>
    </row>
    <row r="52" spans="2:15">
      <c r="B52" t="s">
        <v>111</v>
      </c>
      <c r="C52" s="6">
        <v>1543.8</v>
      </c>
      <c r="D52" s="6">
        <v>1511.3</v>
      </c>
      <c r="E52" s="6">
        <v>1624.9</v>
      </c>
      <c r="F52" s="6">
        <v>1754.9</v>
      </c>
      <c r="G52" s="6">
        <v>1592.6</v>
      </c>
      <c r="H52" s="6">
        <v>1673.7</v>
      </c>
      <c r="I52" s="6">
        <v>1657.5</v>
      </c>
      <c r="J52" s="6">
        <v>1625</v>
      </c>
      <c r="K52" s="6">
        <v>1592.5</v>
      </c>
      <c r="L52" s="6">
        <v>1706.3</v>
      </c>
      <c r="M52" s="6">
        <v>1543.7</v>
      </c>
      <c r="N52" s="6">
        <v>1673.6</v>
      </c>
      <c r="O52" s="6">
        <f>SUM(C52:N52)</f>
        <v>19499.8</v>
      </c>
    </row>
    <row r="53" spans="2:15">
      <c r="B53" t="s">
        <v>112</v>
      </c>
      <c r="C53" s="6">
        <v>-1080.5999999999999</v>
      </c>
      <c r="D53" s="6">
        <v>-1057.9000000000001</v>
      </c>
      <c r="E53" s="6">
        <v>-1137.8</v>
      </c>
      <c r="F53" s="6">
        <v>-1228.4000000000001</v>
      </c>
      <c r="G53" s="6">
        <v>-1114.5</v>
      </c>
      <c r="H53" s="6">
        <v>-1172.0999999999999</v>
      </c>
      <c r="I53" s="6">
        <v>-1160.4000000000001</v>
      </c>
      <c r="J53" s="6">
        <v>-1137.8</v>
      </c>
      <c r="K53" s="6">
        <v>-1114.5</v>
      </c>
      <c r="L53" s="6">
        <v>-1194.5</v>
      </c>
      <c r="M53" s="6">
        <v>-1080.5999999999999</v>
      </c>
      <c r="N53" s="6">
        <v>-1172.0999999999999</v>
      </c>
      <c r="O53" s="6">
        <f>SUM(C53:N53)</f>
        <v>-13651.2</v>
      </c>
    </row>
    <row r="54" spans="2:15">
      <c r="B54" t="s">
        <v>113</v>
      </c>
      <c r="C54" s="6">
        <f>C52+C53</f>
        <v>463.20000000000005</v>
      </c>
      <c r="D54" s="6">
        <f>D52+D53</f>
        <v>453.39999999999986</v>
      </c>
      <c r="E54" s="6">
        <f>E52+E53</f>
        <v>487.10000000000014</v>
      </c>
      <c r="F54" s="6">
        <f>F52+F53</f>
        <v>526.5</v>
      </c>
      <c r="G54" s="6">
        <f>G52+G53</f>
        <v>478.09999999999991</v>
      </c>
      <c r="H54" s="6">
        <f>H52+H53</f>
        <v>501.60000000000014</v>
      </c>
      <c r="I54" s="6">
        <f>I52+I53</f>
        <v>497.09999999999991</v>
      </c>
      <c r="J54" s="6">
        <f>J52+J53</f>
        <v>487.20000000000005</v>
      </c>
      <c r="K54" s="6">
        <f>K52+K53</f>
        <v>478</v>
      </c>
      <c r="L54" s="6">
        <f>L52+L53</f>
        <v>511.79999999999995</v>
      </c>
      <c r="M54" s="6">
        <f>M52+M53</f>
        <v>463.10000000000014</v>
      </c>
      <c r="N54" s="6">
        <f>N52+N53</f>
        <v>501.5</v>
      </c>
      <c r="O54" s="6">
        <f>SUM(C54:N54)</f>
        <v>5848.6000000000013</v>
      </c>
    </row>
    <row r="55" spans="2:15">
      <c r="B55" t="s">
        <v>151</v>
      </c>
      <c r="C55" s="6">
        <v>9246.9</v>
      </c>
      <c r="D55" s="6">
        <v>8942</v>
      </c>
      <c r="E55" s="6">
        <v>9593.2999999999993</v>
      </c>
      <c r="F55" s="6">
        <v>10290.1</v>
      </c>
      <c r="G55" s="6">
        <v>9442.9</v>
      </c>
      <c r="H55" s="6">
        <v>9805.7000000000007</v>
      </c>
      <c r="I55" s="6">
        <v>9815.4</v>
      </c>
      <c r="J55" s="6">
        <v>9657.5</v>
      </c>
      <c r="K55" s="6">
        <v>9445.4</v>
      </c>
      <c r="L55" s="6">
        <v>10095.4</v>
      </c>
      <c r="M55" s="6">
        <v>9027.7000000000007</v>
      </c>
      <c r="N55" s="6">
        <v>9790.9</v>
      </c>
      <c r="O55" s="6">
        <f>N55</f>
        <v>9790.9</v>
      </c>
    </row>
    <row r="56" spans="2:15">
      <c r="B56" t="s">
        <v>152</v>
      </c>
      <c r="C56" s="6">
        <v>7718.8</v>
      </c>
      <c r="D56" s="6">
        <v>7556.2</v>
      </c>
      <c r="E56" s="6">
        <v>8124.9</v>
      </c>
      <c r="F56" s="6">
        <v>8774.9</v>
      </c>
      <c r="G56" s="6">
        <v>7962.6</v>
      </c>
      <c r="H56" s="6">
        <v>8368.7999999999993</v>
      </c>
      <c r="I56" s="6">
        <v>8287.5</v>
      </c>
      <c r="J56" s="6">
        <v>8125.1</v>
      </c>
      <c r="K56" s="6">
        <v>7962.4</v>
      </c>
      <c r="L56" s="6">
        <v>8531.1</v>
      </c>
      <c r="M56" s="6">
        <v>7718.7</v>
      </c>
      <c r="N56" s="6">
        <v>8368.7999999999993</v>
      </c>
      <c r="O56" s="6">
        <f>N56</f>
        <v>8368.7999999999993</v>
      </c>
    </row>
    <row r="57" spans="2:15">
      <c r="B57" t="s">
        <v>153</v>
      </c>
      <c r="C57" s="6">
        <v>77.2</v>
      </c>
      <c r="D57" s="6">
        <v>75.599999999999994</v>
      </c>
      <c r="E57" s="6">
        <v>81.2</v>
      </c>
      <c r="F57" s="6">
        <v>87.7</v>
      </c>
      <c r="G57" s="6">
        <v>79.599999999999994</v>
      </c>
      <c r="H57" s="6">
        <v>83.7</v>
      </c>
      <c r="I57" s="6">
        <v>82.9</v>
      </c>
      <c r="J57" s="6">
        <v>81.3</v>
      </c>
      <c r="K57" s="6">
        <v>79.599999999999994</v>
      </c>
      <c r="L57" s="6">
        <v>85.3</v>
      </c>
      <c r="M57" s="6">
        <v>77.2</v>
      </c>
      <c r="N57" s="6">
        <v>83.7</v>
      </c>
      <c r="O57" s="6">
        <f>N57</f>
        <v>83.7</v>
      </c>
    </row>
    <row r="58" spans="2:15">
      <c r="B58" t="s">
        <v>154</v>
      </c>
      <c r="C58" s="6">
        <v>-5042.8999999999996</v>
      </c>
      <c r="D58" s="6">
        <v>-4936.7</v>
      </c>
      <c r="E58" s="6">
        <v>-5308.4</v>
      </c>
      <c r="F58" s="6">
        <v>-5733</v>
      </c>
      <c r="G58" s="6">
        <v>-5202.1000000000004</v>
      </c>
      <c r="H58" s="6">
        <v>-5467.7</v>
      </c>
      <c r="I58" s="6">
        <v>-5414.5</v>
      </c>
      <c r="J58" s="6">
        <v>-5308.4</v>
      </c>
      <c r="K58" s="6">
        <v>-5202.1000000000004</v>
      </c>
      <c r="L58" s="6">
        <v>-5573.5</v>
      </c>
      <c r="M58" s="6">
        <v>-5042.8999999999996</v>
      </c>
      <c r="N58" s="6">
        <v>-5467.8</v>
      </c>
      <c r="O58" s="6">
        <f>N58</f>
        <v>-5467.8</v>
      </c>
    </row>
    <row r="59" spans="2:15">
      <c r="B59" t="s">
        <v>155</v>
      </c>
      <c r="C59" s="6">
        <v>-154.4</v>
      </c>
      <c r="D59" s="6">
        <v>-151.1</v>
      </c>
      <c r="E59" s="6">
        <v>-162.5</v>
      </c>
      <c r="F59" s="6">
        <v>-175.5</v>
      </c>
      <c r="G59" s="6">
        <v>-159.30000000000001</v>
      </c>
      <c r="H59" s="6">
        <v>-167.4</v>
      </c>
      <c r="I59" s="6">
        <v>-165.8</v>
      </c>
      <c r="J59" s="6">
        <v>-162.5</v>
      </c>
      <c r="K59" s="6">
        <v>-159.19999999999999</v>
      </c>
      <c r="L59" s="6">
        <v>-170.6</v>
      </c>
      <c r="M59" s="6">
        <v>-154.4</v>
      </c>
      <c r="N59" s="6">
        <v>-167.4</v>
      </c>
      <c r="O59" s="6">
        <f>N59</f>
        <v>-167.4</v>
      </c>
    </row>
    <row r="60" spans="2:15">
      <c r="B60" t="s">
        <v>170</v>
      </c>
      <c r="C60" s="6">
        <f>SUM(C55:C59)</f>
        <v>11845.600000000002</v>
      </c>
      <c r="D60" s="6">
        <f>SUM(D55:D59)</f>
        <v>11485.999999999998</v>
      </c>
      <c r="E60" s="6">
        <f>SUM(E55:E59)</f>
        <v>12328.499999999998</v>
      </c>
      <c r="F60" s="6">
        <f>SUM(F55:F59)</f>
        <v>13244.2</v>
      </c>
      <c r="G60" s="6">
        <f>SUM(G55:G59)</f>
        <v>12123.699999999999</v>
      </c>
      <c r="H60" s="6">
        <f>SUM(H55:H59)</f>
        <v>12623.1</v>
      </c>
      <c r="I60" s="6">
        <f>SUM(I55:I59)</f>
        <v>12605.500000000004</v>
      </c>
      <c r="J60" s="6">
        <f>SUM(J55:J59)</f>
        <v>12392.999999999998</v>
      </c>
      <c r="K60" s="6">
        <f>SUM(K55:K59)</f>
        <v>12126.099999999997</v>
      </c>
      <c r="L60" s="6">
        <f>SUM(L55:L59)</f>
        <v>12967.699999999999</v>
      </c>
      <c r="M60" s="6">
        <f>SUM(M55:M59)</f>
        <v>11626.300000000003</v>
      </c>
      <c r="N60" s="6">
        <f>SUM(N55:N59)</f>
        <v>12608.199999999999</v>
      </c>
      <c r="O60" s="6">
        <f>N60</f>
        <v>12608.199999999999</v>
      </c>
    </row>
    <row r="62" spans="2:15">
      <c r="B62" s="8" t="s">
        <v>173</v>
      </c>
    </row>
    <row r="63" spans="2:15">
      <c r="C63" s="19" t="s">
        <v>70</v>
      </c>
      <c r="D63" s="19" t="s">
        <v>71</v>
      </c>
      <c r="E63" s="19" t="s">
        <v>72</v>
      </c>
      <c r="F63" s="19" t="s">
        <v>73</v>
      </c>
      <c r="G63" s="19" t="s">
        <v>50</v>
      </c>
      <c r="H63" s="19" t="s">
        <v>74</v>
      </c>
      <c r="I63" s="19" t="s">
        <v>75</v>
      </c>
      <c r="J63" s="19" t="s">
        <v>76</v>
      </c>
      <c r="K63" s="19" t="s">
        <v>77</v>
      </c>
      <c r="L63" s="19" t="s">
        <v>78</v>
      </c>
      <c r="M63" s="19" t="s">
        <v>79</v>
      </c>
      <c r="N63" s="19" t="s">
        <v>80</v>
      </c>
      <c r="O63" s="2" t="s">
        <v>165</v>
      </c>
    </row>
    <row r="64" spans="2:15">
      <c r="B64" t="s">
        <v>100</v>
      </c>
      <c r="C64" s="6">
        <v>5026.5</v>
      </c>
      <c r="D64" s="6">
        <v>4931.5</v>
      </c>
      <c r="E64" s="6">
        <v>5216</v>
      </c>
      <c r="F64" s="6">
        <v>5758.2</v>
      </c>
      <c r="G64" s="6">
        <v>5054.5</v>
      </c>
      <c r="H64" s="6">
        <v>5461.9</v>
      </c>
      <c r="I64" s="6">
        <v>5399.4</v>
      </c>
      <c r="J64" s="6">
        <v>5188.1000000000004</v>
      </c>
      <c r="K64" s="6">
        <v>5223.3999999999996</v>
      </c>
      <c r="L64" s="6">
        <v>5444.6</v>
      </c>
      <c r="M64" s="6">
        <v>5021.7</v>
      </c>
      <c r="N64" s="6">
        <v>5506.4</v>
      </c>
      <c r="O64" s="6">
        <f>SUM(C64:N64)</f>
        <v>63232.2</v>
      </c>
    </row>
    <row r="65" spans="2:15">
      <c r="B65" t="s">
        <v>111</v>
      </c>
      <c r="C65" s="6">
        <v>1544.4</v>
      </c>
      <c r="D65" s="6">
        <v>1517.7</v>
      </c>
      <c r="E65" s="6">
        <v>1594.6</v>
      </c>
      <c r="F65" s="6">
        <v>1761.5</v>
      </c>
      <c r="G65" s="6">
        <v>1553.8</v>
      </c>
      <c r="H65" s="6">
        <v>1660.5</v>
      </c>
      <c r="I65" s="6">
        <v>1640.1</v>
      </c>
      <c r="J65" s="6">
        <v>1601</v>
      </c>
      <c r="K65" s="6">
        <v>1580</v>
      </c>
      <c r="L65" s="6">
        <v>1641.8</v>
      </c>
      <c r="M65" s="6">
        <v>1545.5</v>
      </c>
      <c r="N65" s="6">
        <v>1693</v>
      </c>
      <c r="O65" s="6">
        <f>SUM(C65:N65)</f>
        <v>19333.900000000001</v>
      </c>
    </row>
    <row r="66" spans="2:15">
      <c r="B66" t="s">
        <v>112</v>
      </c>
      <c r="C66" s="6">
        <v>-1067.2</v>
      </c>
      <c r="D66" s="6">
        <v>-1031.7</v>
      </c>
      <c r="E66" s="6">
        <v>-1121.3</v>
      </c>
      <c r="F66" s="6">
        <v>-1191.2</v>
      </c>
      <c r="G66" s="6">
        <v>-1090.8</v>
      </c>
      <c r="H66" s="6">
        <v>-1149.8</v>
      </c>
      <c r="I66" s="6">
        <v>-1130.7</v>
      </c>
      <c r="J66" s="6">
        <v>-1120.5999999999999</v>
      </c>
      <c r="K66" s="6">
        <v>-1094.5999999999999</v>
      </c>
      <c r="L66" s="6">
        <v>-1174.0999999999999</v>
      </c>
      <c r="M66" s="6">
        <v>-1061.9000000000001</v>
      </c>
      <c r="N66" s="6">
        <v>-1152.9000000000001</v>
      </c>
      <c r="O66" s="6">
        <f>SUM(C66:N66)</f>
        <v>-13386.8</v>
      </c>
    </row>
    <row r="67" spans="2:15">
      <c r="B67" t="s">
        <v>113</v>
      </c>
      <c r="C67" s="6">
        <f>C65+C66</f>
        <v>477.20000000000005</v>
      </c>
      <c r="D67" s="6">
        <f>D65+D66</f>
        <v>486</v>
      </c>
      <c r="E67" s="6">
        <f>E65+E66</f>
        <v>473.29999999999995</v>
      </c>
      <c r="F67" s="6">
        <f>F65+F66</f>
        <v>570.29999999999995</v>
      </c>
      <c r="G67" s="6">
        <f>G65+G66</f>
        <v>463</v>
      </c>
      <c r="H67" s="6">
        <f>H65+H66</f>
        <v>510.70000000000005</v>
      </c>
      <c r="I67" s="6">
        <f>I65+I66</f>
        <v>509.39999999999986</v>
      </c>
      <c r="J67" s="6">
        <f>J65+J66</f>
        <v>480.40000000000009</v>
      </c>
      <c r="K67" s="6">
        <f>K65+K66</f>
        <v>485.40000000000009</v>
      </c>
      <c r="L67" s="6">
        <f>L65+L66</f>
        <v>467.70000000000005</v>
      </c>
      <c r="M67" s="6">
        <f>M65+M66</f>
        <v>483.59999999999991</v>
      </c>
      <c r="N67" s="6">
        <f>N65+N66</f>
        <v>540.09999999999991</v>
      </c>
      <c r="O67" s="6">
        <f>SUM(C67:N67)</f>
        <v>5947.1</v>
      </c>
    </row>
    <row r="68" spans="2:15">
      <c r="B68" t="s">
        <v>151</v>
      </c>
      <c r="C68" s="6">
        <v>9691</v>
      </c>
      <c r="D68" s="6">
        <v>9555.5</v>
      </c>
      <c r="E68" s="6">
        <v>10317.299999999999</v>
      </c>
      <c r="F68" s="6">
        <v>11126.5</v>
      </c>
      <c r="G68" s="6">
        <v>9699.5</v>
      </c>
      <c r="H68" s="6">
        <v>10772.5</v>
      </c>
      <c r="I68" s="6">
        <v>10687.3</v>
      </c>
      <c r="J68" s="6">
        <v>10108.799999999999</v>
      </c>
      <c r="K68" s="6">
        <v>10253.9</v>
      </c>
      <c r="L68" s="6">
        <v>10729.5</v>
      </c>
      <c r="M68" s="6">
        <v>9904.5</v>
      </c>
      <c r="N68" s="6">
        <v>10745.7</v>
      </c>
      <c r="O68" s="6">
        <f>N68</f>
        <v>10745.7</v>
      </c>
    </row>
    <row r="69" spans="2:15">
      <c r="B69" t="s">
        <v>152</v>
      </c>
      <c r="C69" s="6">
        <v>7707.3</v>
      </c>
      <c r="D69" s="6">
        <v>7561.6</v>
      </c>
      <c r="E69" s="6">
        <v>7997.9</v>
      </c>
      <c r="F69" s="6">
        <v>8829.2000000000007</v>
      </c>
      <c r="G69" s="6">
        <v>7750.2</v>
      </c>
      <c r="H69" s="6">
        <v>8374.9</v>
      </c>
      <c r="I69" s="6">
        <v>8279.1</v>
      </c>
      <c r="J69" s="6">
        <v>7955.1</v>
      </c>
      <c r="K69" s="6">
        <v>8009.2</v>
      </c>
      <c r="L69" s="6">
        <v>8348.4</v>
      </c>
      <c r="M69" s="6">
        <v>7699.9</v>
      </c>
      <c r="N69" s="6">
        <v>8443.1</v>
      </c>
      <c r="O69" s="6">
        <f>N69</f>
        <v>8443.1</v>
      </c>
    </row>
    <row r="70" spans="2:15">
      <c r="B70" t="s">
        <v>153</v>
      </c>
      <c r="C70" s="6">
        <v>75.400000000000006</v>
      </c>
      <c r="D70" s="6">
        <v>74</v>
      </c>
      <c r="E70" s="6">
        <v>78.2</v>
      </c>
      <c r="F70" s="6">
        <v>86.4</v>
      </c>
      <c r="G70" s="6">
        <v>75.8</v>
      </c>
      <c r="H70" s="6">
        <v>81.900000000000006</v>
      </c>
      <c r="I70" s="6">
        <v>81</v>
      </c>
      <c r="J70" s="6">
        <v>77.8</v>
      </c>
      <c r="K70" s="6">
        <v>78.400000000000006</v>
      </c>
      <c r="L70" s="6">
        <v>81.7</v>
      </c>
      <c r="M70" s="6">
        <v>75.3</v>
      </c>
      <c r="N70" s="6">
        <v>82.6</v>
      </c>
      <c r="O70" s="6">
        <f>N70</f>
        <v>82.6</v>
      </c>
    </row>
    <row r="71" spans="2:15">
      <c r="B71" t="s">
        <v>154</v>
      </c>
      <c r="C71" s="6">
        <v>-4758.8999999999996</v>
      </c>
      <c r="D71" s="6">
        <v>-4665.5</v>
      </c>
      <c r="E71" s="6">
        <v>-4949.2</v>
      </c>
      <c r="F71" s="6">
        <v>-5462.2</v>
      </c>
      <c r="G71" s="6">
        <v>-4784.3</v>
      </c>
      <c r="H71" s="6">
        <v>-5195.2</v>
      </c>
      <c r="I71" s="6">
        <v>-5137.7</v>
      </c>
      <c r="J71" s="6">
        <v>-4902.3999999999996</v>
      </c>
      <c r="K71" s="6">
        <v>-4979.3</v>
      </c>
      <c r="L71" s="6">
        <v>-5197.2</v>
      </c>
      <c r="M71" s="6">
        <v>-4750.8</v>
      </c>
      <c r="N71" s="6">
        <v>-5211.6000000000004</v>
      </c>
      <c r="O71" s="6">
        <f>N71</f>
        <v>-5211.6000000000004</v>
      </c>
    </row>
    <row r="72" spans="2:15">
      <c r="B72" t="s">
        <v>155</v>
      </c>
      <c r="C72" s="6">
        <v>-150.80000000000001</v>
      </c>
      <c r="D72" s="6">
        <v>-147.9</v>
      </c>
      <c r="E72" s="6">
        <v>-156.5</v>
      </c>
      <c r="F72" s="6">
        <v>-172.7</v>
      </c>
      <c r="G72" s="6">
        <v>-151.6</v>
      </c>
      <c r="H72" s="6">
        <v>-163.9</v>
      </c>
      <c r="I72" s="6">
        <v>-162</v>
      </c>
      <c r="J72" s="6">
        <v>-155.6</v>
      </c>
      <c r="K72" s="6">
        <v>-156.69999999999999</v>
      </c>
      <c r="L72" s="6">
        <v>-163.30000000000001</v>
      </c>
      <c r="M72" s="6">
        <v>-150.69999999999999</v>
      </c>
      <c r="N72" s="6">
        <v>-165.2</v>
      </c>
      <c r="O72" s="6">
        <f>N72</f>
        <v>-165.2</v>
      </c>
    </row>
    <row r="73" spans="2:15">
      <c r="B73" t="s">
        <v>170</v>
      </c>
      <c r="C73" s="6">
        <f>SUM(C68:C72)</f>
        <v>12564.000000000002</v>
      </c>
      <c r="D73" s="6">
        <f>SUM(D68:D72)</f>
        <v>12377.699999999999</v>
      </c>
      <c r="E73" s="6">
        <f>SUM(E68:E72)</f>
        <v>13287.699999999997</v>
      </c>
      <c r="F73" s="6">
        <f>SUM(F68:F72)</f>
        <v>14407.2</v>
      </c>
      <c r="G73" s="6">
        <f>SUM(G68:G72)</f>
        <v>12589.6</v>
      </c>
      <c r="H73" s="6">
        <f>SUM(H68:H72)</f>
        <v>13870.200000000003</v>
      </c>
      <c r="I73" s="6">
        <f>SUM(I68:I72)</f>
        <v>13747.7</v>
      </c>
      <c r="J73" s="6">
        <f>SUM(J68:J72)</f>
        <v>13083.7</v>
      </c>
      <c r="K73" s="6">
        <f>SUM(K68:K72)</f>
        <v>13205.5</v>
      </c>
      <c r="L73" s="6">
        <f>SUM(L68:L72)</f>
        <v>13799.100000000002</v>
      </c>
      <c r="M73" s="6">
        <f>SUM(M68:M72)</f>
        <v>12778.2</v>
      </c>
      <c r="N73" s="6">
        <f>SUM(N68:N72)</f>
        <v>13894.6</v>
      </c>
      <c r="O73" s="6">
        <f>N73</f>
        <v>13894.6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23"/>
  <sheetViews>
    <sheetView showGridLines="0" workbookViewId="0"/>
  </sheetViews>
  <sheetFormatPr defaultRowHeight="15"/>
  <cols>
    <col min="2" max="2" width="28" customWidth="1"/>
    <col min="3" max="11" width="14" customWidth="1"/>
  </cols>
  <sheetData>
    <row r="1" spans="1:11">
      <c r="A1" t="s">
        <v>27</v>
      </c>
      <c r="B1" t="s">
        <v>32</v>
      </c>
      <c r="D1" s="3" t="s">
        <v>108</v>
      </c>
    </row>
    <row r="2" spans="1:11">
      <c r="A2" t="s">
        <v>28</v>
      </c>
      <c r="B2" t="s">
        <v>37</v>
      </c>
      <c r="D2" s="1" t="s">
        <v>24</v>
      </c>
    </row>
    <row r="4" spans="1:11">
      <c r="C4" s="8" t="s">
        <v>52</v>
      </c>
    </row>
    <row r="5" spans="1:11">
      <c r="C5" s="2" t="s">
        <v>91</v>
      </c>
      <c r="F5" s="2" t="s">
        <v>92</v>
      </c>
      <c r="I5" s="2" t="s">
        <v>81</v>
      </c>
    </row>
    <row r="6" spans="1:11" ht="30" customHeight="1">
      <c r="B6" s="2" t="s">
        <v>93</v>
      </c>
      <c r="C6" s="4" t="s">
        <v>94</v>
      </c>
      <c r="D6" s="4" t="s">
        <v>95</v>
      </c>
      <c r="E6" s="4" t="s">
        <v>96</v>
      </c>
      <c r="F6" s="4" t="s">
        <v>97</v>
      </c>
      <c r="G6" s="4" t="s">
        <v>98</v>
      </c>
      <c r="H6" s="4" t="s">
        <v>99</v>
      </c>
      <c r="I6" s="4" t="s">
        <v>97</v>
      </c>
      <c r="J6" s="4" t="s">
        <v>98</v>
      </c>
      <c r="K6" s="4" t="s">
        <v>99</v>
      </c>
    </row>
    <row r="8" spans="1:11">
      <c r="B8" s="2" t="s">
        <v>100</v>
      </c>
      <c r="C8" s="6">
        <f>Hollis!BU28</f>
        <v>1655</v>
      </c>
      <c r="D8" s="6">
        <f>Hollis!BV28</f>
        <v>2592.5</v>
      </c>
      <c r="E8" s="6">
        <f>Hollis!BW28</f>
        <v>6538.4000000000087</v>
      </c>
      <c r="F8" s="6">
        <f>Hollis!BY28</f>
        <v>-1235</v>
      </c>
      <c r="G8" s="6">
        <f>Hollis!BZ28</f>
        <v>-811.90000000000146</v>
      </c>
      <c r="H8" s="6">
        <f>Hollis!CA28</f>
        <v>308.89999999999782</v>
      </c>
      <c r="I8" s="6">
        <f>Hollis!CC28</f>
        <v>420</v>
      </c>
      <c r="J8" s="6">
        <f>Hollis!CD28</f>
        <v>1780.5999999999913</v>
      </c>
      <c r="K8" s="6">
        <f>Hollis!CE28</f>
        <v>6847.3000000000029</v>
      </c>
    </row>
    <row r="10" spans="1:11">
      <c r="B10" s="2" t="s">
        <v>111</v>
      </c>
      <c r="C10" s="6">
        <f>Hollis!BU29</f>
        <v>242</v>
      </c>
      <c r="D10" s="6">
        <f>Hollis!BV29</f>
        <v>207.49999999999636</v>
      </c>
      <c r="E10" s="6">
        <f>Hollis!BW29</f>
        <v>1309.9999999999964</v>
      </c>
      <c r="F10" s="6">
        <f>Hollis!BY29</f>
        <v>6</v>
      </c>
      <c r="G10" s="6">
        <f>Hollis!BZ29</f>
        <v>50.000000000000909</v>
      </c>
      <c r="H10" s="6">
        <f>Hollis!CA29</f>
        <v>357.90000000000055</v>
      </c>
      <c r="I10" s="6">
        <f>Hollis!CC29</f>
        <v>248</v>
      </c>
      <c r="J10" s="6">
        <f>Hollis!CD29</f>
        <v>257.49999999999272</v>
      </c>
      <c r="K10" s="6">
        <f>Hollis!CE29</f>
        <v>1667.8999999999942</v>
      </c>
    </row>
    <row r="12" spans="1:11">
      <c r="B12" s="2" t="s">
        <v>112</v>
      </c>
      <c r="C12" s="6">
        <f>Hollis!BU30</f>
        <v>39</v>
      </c>
      <c r="D12" s="6">
        <f>Hollis!BV30</f>
        <v>215.70000000000073</v>
      </c>
      <c r="E12" s="6">
        <f>Hollis!BW30</f>
        <v>-267.19999999999891</v>
      </c>
      <c r="F12" s="6">
        <f>Hollis!BY30</f>
        <v>507</v>
      </c>
      <c r="G12" s="6">
        <f>Hollis!BZ30</f>
        <v>635.29999999999927</v>
      </c>
      <c r="H12" s="6">
        <f>Hollis!CA30</f>
        <v>463.59999999999945</v>
      </c>
      <c r="I12" s="6">
        <f>Hollis!CC30</f>
        <v>546</v>
      </c>
      <c r="J12" s="6">
        <f>Hollis!CD30</f>
        <v>851</v>
      </c>
      <c r="K12" s="6">
        <f>Hollis!CE30</f>
        <v>196.39999999999782</v>
      </c>
    </row>
    <row r="14" spans="1:11">
      <c r="B14" s="2" t="s">
        <v>113</v>
      </c>
      <c r="C14" s="6">
        <f>Hollis!BU31</f>
        <v>281</v>
      </c>
      <c r="D14" s="6">
        <f>Hollis!BV31</f>
        <v>423.19999999999982</v>
      </c>
      <c r="E14" s="6">
        <f>Hollis!BW31</f>
        <v>1042.8000000000002</v>
      </c>
      <c r="F14" s="6">
        <f>Hollis!BY31</f>
        <v>513</v>
      </c>
      <c r="G14" s="6">
        <f>Hollis!BZ31</f>
        <v>685.30000000000018</v>
      </c>
      <c r="H14" s="6">
        <f>Hollis!CA31</f>
        <v>821.5</v>
      </c>
      <c r="I14" s="6">
        <f>Hollis!CC31</f>
        <v>794</v>
      </c>
      <c r="J14" s="6">
        <f>Hollis!CD31</f>
        <v>1108.5</v>
      </c>
      <c r="K14" s="6">
        <f>Hollis!CE31</f>
        <v>1864.2999999999993</v>
      </c>
    </row>
    <row r="17" spans="2:11">
      <c r="B17" s="8" t="s">
        <v>126</v>
      </c>
    </row>
    <row r="18" spans="2:11">
      <c r="B18" s="24"/>
      <c r="C18" s="25"/>
      <c r="D18" s="25"/>
      <c r="E18" s="25"/>
      <c r="F18" s="25"/>
      <c r="G18" s="25"/>
      <c r="H18" s="25"/>
      <c r="I18" s="25"/>
      <c r="J18" s="25"/>
      <c r="K18" s="25"/>
    </row>
    <row r="19" spans="2:11">
      <c r="B19" s="24"/>
      <c r="C19" s="25"/>
      <c r="D19" s="25"/>
      <c r="E19" s="25"/>
      <c r="F19" s="25"/>
      <c r="G19" s="25"/>
      <c r="H19" s="25"/>
      <c r="I19" s="25"/>
      <c r="J19" s="25"/>
      <c r="K19" s="25"/>
    </row>
    <row r="20" spans="2:11">
      <c r="B20" s="24"/>
      <c r="C20" s="25"/>
      <c r="D20" s="25"/>
      <c r="E20" s="25"/>
      <c r="F20" s="25"/>
      <c r="G20" s="25"/>
      <c r="H20" s="25"/>
      <c r="I20" s="25"/>
      <c r="J20" s="25"/>
      <c r="K20" s="25"/>
    </row>
    <row r="21" spans="2:11">
      <c r="B21" s="24"/>
      <c r="C21" s="25"/>
      <c r="D21" s="25"/>
      <c r="E21" s="25"/>
      <c r="F21" s="25"/>
      <c r="G21" s="25"/>
      <c r="H21" s="25"/>
      <c r="I21" s="25"/>
      <c r="J21" s="25"/>
      <c r="K21" s="25"/>
    </row>
    <row r="22" spans="2:11">
      <c r="B22" s="24"/>
      <c r="C22" s="25"/>
      <c r="D22" s="25"/>
      <c r="E22" s="25"/>
      <c r="F22" s="25"/>
      <c r="G22" s="25"/>
      <c r="H22" s="25"/>
      <c r="I22" s="25"/>
      <c r="J22" s="25"/>
      <c r="K22" s="25"/>
    </row>
    <row r="23" spans="2:11">
      <c r="B23" s="24"/>
      <c r="C23" s="25"/>
      <c r="D23" s="25"/>
      <c r="E23" s="25"/>
      <c r="F23" s="25"/>
      <c r="G23" s="25"/>
      <c r="H23" s="25"/>
      <c r="I23" s="25"/>
      <c r="J23" s="25"/>
      <c r="K23" s="25"/>
    </row>
  </sheetData>
  <mergeCells count="6">
    <mergeCell ref="B23:K23"/>
    <mergeCell ref="B22:K22"/>
    <mergeCell ref="B18:K18"/>
    <mergeCell ref="B21:K21"/>
    <mergeCell ref="B20:K20"/>
    <mergeCell ref="B19:K19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O97"/>
  <sheetViews>
    <sheetView showGridLines="0" workbookViewId="0">
      <pane xSplit="2" ySplit="4" topLeftCell="C5" activePane="bottomRight" state="frozen"/>
      <selection pane="bottomRight"/>
      <selection pane="bottomLeft"/>
      <selection pane="topRight"/>
    </sheetView>
  </sheetViews>
  <sheetFormatPr defaultRowHeight="15"/>
  <cols>
    <col min="1" max="1" width="7" customWidth="1"/>
    <col min="2" max="2" width="52" customWidth="1"/>
    <col min="3" max="15" width="11" customWidth="1"/>
  </cols>
  <sheetData>
    <row r="1" spans="1:15">
      <c r="A1" t="s">
        <v>114</v>
      </c>
      <c r="C1">
        <v>21</v>
      </c>
      <c r="D1">
        <v>20</v>
      </c>
      <c r="E1">
        <v>22</v>
      </c>
      <c r="F1">
        <v>22</v>
      </c>
      <c r="G1">
        <v>20</v>
      </c>
      <c r="H1">
        <v>22</v>
      </c>
      <c r="I1">
        <v>22</v>
      </c>
      <c r="J1">
        <v>21</v>
      </c>
      <c r="K1">
        <v>21</v>
      </c>
      <c r="L1">
        <v>22</v>
      </c>
      <c r="M1">
        <v>19</v>
      </c>
      <c r="N1">
        <v>22</v>
      </c>
      <c r="O1">
        <f>SUM(C1:N1)</f>
        <v>254</v>
      </c>
    </row>
    <row r="2" spans="1:15">
      <c r="B2" s="8" t="s">
        <v>127</v>
      </c>
    </row>
    <row r="3" spans="1:15">
      <c r="B3" s="1" t="s">
        <v>24</v>
      </c>
    </row>
    <row r="4" spans="1:15">
      <c r="C4" s="4" t="s">
        <v>70</v>
      </c>
      <c r="D4" s="4" t="s">
        <v>71</v>
      </c>
      <c r="E4" s="4" t="s">
        <v>72</v>
      </c>
      <c r="F4" s="4" t="s">
        <v>73</v>
      </c>
      <c r="G4" s="4" t="s">
        <v>50</v>
      </c>
      <c r="H4" s="4" t="s">
        <v>74</v>
      </c>
      <c r="I4" s="4" t="s">
        <v>75</v>
      </c>
      <c r="J4" s="4" t="s">
        <v>76</v>
      </c>
      <c r="K4" s="4" t="s">
        <v>77</v>
      </c>
      <c r="L4" s="4" t="s">
        <v>78</v>
      </c>
      <c r="M4" s="4" t="s">
        <v>79</v>
      </c>
      <c r="N4" s="4" t="s">
        <v>80</v>
      </c>
      <c r="O4" s="4" t="s">
        <v>174</v>
      </c>
    </row>
    <row r="5" spans="1:15">
      <c r="B5" s="2" t="s">
        <v>100</v>
      </c>
    </row>
    <row r="6" spans="1:15">
      <c r="B6" t="s">
        <v>210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20">
        <v>1700</v>
      </c>
      <c r="L6" s="20">
        <v>-1000</v>
      </c>
      <c r="M6" s="20">
        <v>-700</v>
      </c>
      <c r="N6" s="20">
        <v>0</v>
      </c>
      <c r="O6" s="6">
        <f>SUM(C6:N6)</f>
        <v>0</v>
      </c>
    </row>
    <row r="7" spans="1:15">
      <c r="B7" t="s">
        <v>211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20">
        <v>0</v>
      </c>
      <c r="L7" s="20">
        <v>0</v>
      </c>
      <c r="M7" s="20">
        <v>300</v>
      </c>
      <c r="N7" s="20">
        <v>300</v>
      </c>
      <c r="O7" s="6">
        <f>SUM(C7:N7)</f>
        <v>600</v>
      </c>
    </row>
    <row r="8" spans="1:15">
      <c r="B8" t="s">
        <v>177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20">
        <v>0</v>
      </c>
      <c r="L8" s="20">
        <v>0</v>
      </c>
      <c r="M8" s="20">
        <v>0</v>
      </c>
      <c r="N8" s="20">
        <v>0</v>
      </c>
      <c r="O8" s="6">
        <f>SUM(C8:N8)</f>
        <v>0</v>
      </c>
    </row>
    <row r="9" spans="1:15">
      <c r="B9" t="s">
        <v>178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20">
        <v>0</v>
      </c>
      <c r="L9" s="20">
        <v>0</v>
      </c>
      <c r="M9" s="20">
        <v>0</v>
      </c>
      <c r="N9" s="20">
        <v>0</v>
      </c>
      <c r="O9" s="6">
        <f>SUM(C9:N9)</f>
        <v>0</v>
      </c>
    </row>
    <row r="10" spans="1:15">
      <c r="B10" t="s">
        <v>179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20">
        <v>0</v>
      </c>
      <c r="L10" s="20">
        <v>0</v>
      </c>
      <c r="M10" s="20">
        <v>0</v>
      </c>
      <c r="N10" s="20">
        <v>0</v>
      </c>
      <c r="O10" s="6">
        <f>SUM(C10:N10)</f>
        <v>0</v>
      </c>
    </row>
    <row r="11" spans="1:15">
      <c r="B11" t="s">
        <v>180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20">
        <v>0</v>
      </c>
      <c r="L11" s="20">
        <v>0</v>
      </c>
      <c r="M11" s="20">
        <v>0</v>
      </c>
      <c r="N11" s="20">
        <v>0</v>
      </c>
      <c r="O11" s="6">
        <f>SUM(C11:N11)</f>
        <v>0</v>
      </c>
    </row>
    <row r="12" spans="1:15">
      <c r="B12" t="s">
        <v>181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20">
        <v>0</v>
      </c>
      <c r="L12" s="20">
        <v>0</v>
      </c>
      <c r="M12" s="20">
        <v>0</v>
      </c>
      <c r="N12" s="20">
        <v>0</v>
      </c>
      <c r="O12" s="6">
        <f>SUM(C12:N12)</f>
        <v>0</v>
      </c>
    </row>
    <row r="13" spans="1:15">
      <c r="B13" t="s">
        <v>182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20">
        <v>0</v>
      </c>
      <c r="L13" s="20">
        <v>0</v>
      </c>
      <c r="M13" s="20">
        <v>0</v>
      </c>
      <c r="N13" s="20">
        <v>0</v>
      </c>
      <c r="O13" s="6">
        <f>SUM(C13:N13)</f>
        <v>0</v>
      </c>
    </row>
    <row r="14" spans="1:15">
      <c r="B14" s="2" t="s">
        <v>131</v>
      </c>
      <c r="C14" s="9">
        <f>SUM(C6:C13)</f>
        <v>0</v>
      </c>
      <c r="D14" s="9">
        <f>SUM(D6:D13)</f>
        <v>0</v>
      </c>
      <c r="E14" s="9">
        <f>SUM(E6:E13)</f>
        <v>0</v>
      </c>
      <c r="F14" s="9">
        <f>SUM(F6:F13)</f>
        <v>0</v>
      </c>
      <c r="G14" s="9">
        <f>SUM(G6:G13)</f>
        <v>0</v>
      </c>
      <c r="H14" s="9">
        <f>SUM(H6:H13)</f>
        <v>0</v>
      </c>
      <c r="I14" s="9">
        <f>SUM(I6:I13)</f>
        <v>0</v>
      </c>
      <c r="J14" s="9">
        <f>SUM(J6:J13)</f>
        <v>0</v>
      </c>
      <c r="K14" s="9">
        <f>SUM(K6:K13)</f>
        <v>1700</v>
      </c>
      <c r="L14" s="9">
        <f>SUM(L6:L13)</f>
        <v>-1000</v>
      </c>
      <c r="M14" s="9">
        <f>SUM(M6:M13)</f>
        <v>-400</v>
      </c>
      <c r="N14" s="9">
        <f>SUM(N6:N13)</f>
        <v>300</v>
      </c>
      <c r="O14" s="9">
        <f>SUM(O6:O13)</f>
        <v>600</v>
      </c>
    </row>
    <row r="16" spans="1:15">
      <c r="B16" s="2" t="s">
        <v>132</v>
      </c>
    </row>
    <row r="17" spans="2:15">
      <c r="B17" t="str">
        <f>B6</f>
        <v>Dropship order timing - pulled forward from Q4</v>
      </c>
      <c r="C17" s="12">
        <f>IFERROR(C28/C6,0)</f>
        <v>0</v>
      </c>
      <c r="D17" s="12">
        <f>IFERROR(D28/D6,0)</f>
        <v>0</v>
      </c>
      <c r="E17" s="12">
        <f>IFERROR(E28/E6,0)</f>
        <v>0</v>
      </c>
      <c r="F17" s="12">
        <f>IFERROR(F28/F6,0)</f>
        <v>0</v>
      </c>
      <c r="G17" s="12">
        <f>IFERROR(G28/G6,0)</f>
        <v>0</v>
      </c>
      <c r="H17" s="12">
        <f>IFERROR(H28/H6,0)</f>
        <v>0</v>
      </c>
      <c r="I17" s="12">
        <f>IFERROR(I28/I6,0)</f>
        <v>0</v>
      </c>
      <c r="J17" s="12">
        <f>IFERROR(J28/J6,0)</f>
        <v>0</v>
      </c>
      <c r="K17" s="12">
        <f>IFERROR(K28/K6,0)</f>
        <v>0.15</v>
      </c>
      <c r="L17" s="12">
        <f>IFERROR(L28/L6,0)</f>
        <v>0.15</v>
      </c>
      <c r="M17" s="12">
        <f>IFERROR(M28/M6,0)</f>
        <v>0.15</v>
      </c>
      <c r="N17" s="12">
        <f>IFERROR(N28/N6,0)</f>
        <v>0</v>
      </c>
      <c r="O17" s="12">
        <f>IFERROR(O28/O6,0)</f>
        <v>0</v>
      </c>
    </row>
    <row r="18" spans="2:15">
      <c r="B18" t="str">
        <f>B7</f>
        <v>Year-end customer pull-forward - rainwear</v>
      </c>
      <c r="C18" s="12">
        <f>IFERROR(C29/C7,0)</f>
        <v>0</v>
      </c>
      <c r="D18" s="12">
        <f>IFERROR(D29/D7,0)</f>
        <v>0</v>
      </c>
      <c r="E18" s="12">
        <f>IFERROR(E29/E7,0)</f>
        <v>0</v>
      </c>
      <c r="F18" s="12">
        <f>IFERROR(F29/F7,0)</f>
        <v>0</v>
      </c>
      <c r="G18" s="12">
        <f>IFERROR(G29/G7,0)</f>
        <v>0</v>
      </c>
      <c r="H18" s="12">
        <f>IFERROR(H29/H7,0)</f>
        <v>0</v>
      </c>
      <c r="I18" s="12">
        <f>IFERROR(I29/I7,0)</f>
        <v>0</v>
      </c>
      <c r="J18" s="12">
        <f>IFERROR(J29/J7,0)</f>
        <v>0</v>
      </c>
      <c r="K18" s="12">
        <f>IFERROR(K29/K7,0)</f>
        <v>0</v>
      </c>
      <c r="L18" s="12">
        <f>IFERROR(L29/L7,0)</f>
        <v>0</v>
      </c>
      <c r="M18" s="12">
        <f>IFERROR(M29/M7,0)</f>
        <v>0.3</v>
      </c>
      <c r="N18" s="12">
        <f>IFERROR(N29/N7,0)</f>
        <v>0.7</v>
      </c>
      <c r="O18" s="12">
        <f>IFERROR(O29/O7,0)</f>
        <v>0.5</v>
      </c>
    </row>
    <row r="19" spans="2:15">
      <c r="B19" t="str">
        <f>B8</f>
        <v>Insert Adj. 3</v>
      </c>
      <c r="C19" s="12">
        <f>IFERROR(C30/C8,0)</f>
        <v>0</v>
      </c>
      <c r="D19" s="12">
        <f>IFERROR(D30/D8,0)</f>
        <v>0</v>
      </c>
      <c r="E19" s="12">
        <f>IFERROR(E30/E8,0)</f>
        <v>0</v>
      </c>
      <c r="F19" s="12">
        <f>IFERROR(F30/F8,0)</f>
        <v>0</v>
      </c>
      <c r="G19" s="12">
        <f>IFERROR(G30/G8,0)</f>
        <v>0</v>
      </c>
      <c r="H19" s="12">
        <f>IFERROR(H30/H8,0)</f>
        <v>0</v>
      </c>
      <c r="I19" s="12">
        <f>IFERROR(I30/I8,0)</f>
        <v>0</v>
      </c>
      <c r="J19" s="12">
        <f>IFERROR(J30/J8,0)</f>
        <v>0</v>
      </c>
      <c r="K19" s="12">
        <f>IFERROR(K30/K8,0)</f>
        <v>0</v>
      </c>
      <c r="L19" s="12">
        <f>IFERROR(L30/L8,0)</f>
        <v>0</v>
      </c>
      <c r="M19" s="12">
        <f>IFERROR(M30/M8,0)</f>
        <v>0</v>
      </c>
      <c r="N19" s="12">
        <f>IFERROR(N30/N8,0)</f>
        <v>0</v>
      </c>
      <c r="O19" s="12">
        <f>IFERROR(O30/O8,0)</f>
        <v>0</v>
      </c>
    </row>
    <row r="20" spans="2:15">
      <c r="B20" t="str">
        <f>B9</f>
        <v>Insert Adj. 4</v>
      </c>
      <c r="C20" s="12">
        <f>IFERROR(C31/C9,0)</f>
        <v>0</v>
      </c>
      <c r="D20" s="12">
        <f>IFERROR(D31/D9,0)</f>
        <v>0</v>
      </c>
      <c r="E20" s="12">
        <f>IFERROR(E31/E9,0)</f>
        <v>0</v>
      </c>
      <c r="F20" s="12">
        <f>IFERROR(F31/F9,0)</f>
        <v>0</v>
      </c>
      <c r="G20" s="12">
        <f>IFERROR(G31/G9,0)</f>
        <v>0</v>
      </c>
      <c r="H20" s="12">
        <f>IFERROR(H31/H9,0)</f>
        <v>0</v>
      </c>
      <c r="I20" s="12">
        <f>IFERROR(I31/I9,0)</f>
        <v>0</v>
      </c>
      <c r="J20" s="12">
        <f>IFERROR(J31/J9,0)</f>
        <v>0</v>
      </c>
      <c r="K20" s="12">
        <f>IFERROR(K31/K9,0)</f>
        <v>0</v>
      </c>
      <c r="L20" s="12">
        <f>IFERROR(L31/L9,0)</f>
        <v>0</v>
      </c>
      <c r="M20" s="12">
        <f>IFERROR(M31/M9,0)</f>
        <v>0</v>
      </c>
      <c r="N20" s="12">
        <f>IFERROR(N31/N9,0)</f>
        <v>0</v>
      </c>
      <c r="O20" s="12">
        <f>IFERROR(O31/O9,0)</f>
        <v>0</v>
      </c>
    </row>
    <row r="21" spans="2:15">
      <c r="B21" t="str">
        <f>B10</f>
        <v>Insert Adj. 5</v>
      </c>
      <c r="C21" s="12">
        <f>IFERROR(C32/C10,0)</f>
        <v>0</v>
      </c>
      <c r="D21" s="12">
        <f>IFERROR(D32/D10,0)</f>
        <v>0</v>
      </c>
      <c r="E21" s="12">
        <f>IFERROR(E32/E10,0)</f>
        <v>0</v>
      </c>
      <c r="F21" s="12">
        <f>IFERROR(F32/F10,0)</f>
        <v>0</v>
      </c>
      <c r="G21" s="12">
        <f>IFERROR(G32/G10,0)</f>
        <v>0</v>
      </c>
      <c r="H21" s="12">
        <f>IFERROR(H32/H10,0)</f>
        <v>0</v>
      </c>
      <c r="I21" s="12">
        <f>IFERROR(I32/I10,0)</f>
        <v>0</v>
      </c>
      <c r="J21" s="12">
        <f>IFERROR(J32/J10,0)</f>
        <v>0</v>
      </c>
      <c r="K21" s="12">
        <f>IFERROR(K32/K10,0)</f>
        <v>0</v>
      </c>
      <c r="L21" s="12">
        <f>IFERROR(L32/L10,0)</f>
        <v>0</v>
      </c>
      <c r="M21" s="12">
        <f>IFERROR(M32/M10,0)</f>
        <v>0</v>
      </c>
      <c r="N21" s="12">
        <f>IFERROR(N32/N10,0)</f>
        <v>0</v>
      </c>
      <c r="O21" s="12">
        <f>IFERROR(O32/O10,0)</f>
        <v>0</v>
      </c>
    </row>
    <row r="22" spans="2:15">
      <c r="B22" t="str">
        <f>B11</f>
        <v>Insert Adj. 6</v>
      </c>
      <c r="C22" s="12">
        <f>IFERROR(C33/C11,0)</f>
        <v>0</v>
      </c>
      <c r="D22" s="12">
        <f>IFERROR(D33/D11,0)</f>
        <v>0</v>
      </c>
      <c r="E22" s="12">
        <f>IFERROR(E33/E11,0)</f>
        <v>0</v>
      </c>
      <c r="F22" s="12">
        <f>IFERROR(F33/F11,0)</f>
        <v>0</v>
      </c>
      <c r="G22" s="12">
        <f>IFERROR(G33/G11,0)</f>
        <v>0</v>
      </c>
      <c r="H22" s="12">
        <f>IFERROR(H33/H11,0)</f>
        <v>0</v>
      </c>
      <c r="I22" s="12">
        <f>IFERROR(I33/I11,0)</f>
        <v>0</v>
      </c>
      <c r="J22" s="12">
        <f>IFERROR(J33/J11,0)</f>
        <v>0</v>
      </c>
      <c r="K22" s="12">
        <f>IFERROR(K33/K11,0)</f>
        <v>0</v>
      </c>
      <c r="L22" s="12">
        <f>IFERROR(L33/L11,0)</f>
        <v>0</v>
      </c>
      <c r="M22" s="12">
        <f>IFERROR(M33/M11,0)</f>
        <v>0</v>
      </c>
      <c r="N22" s="12">
        <f>IFERROR(N33/N11,0)</f>
        <v>0</v>
      </c>
      <c r="O22" s="12">
        <f>IFERROR(O33/O11,0)</f>
        <v>0</v>
      </c>
    </row>
    <row r="23" spans="2:15">
      <c r="B23" t="str">
        <f>B12</f>
        <v>Insert Adj. 7</v>
      </c>
      <c r="C23" s="12">
        <f>IFERROR(C34/C12,0)</f>
        <v>0</v>
      </c>
      <c r="D23" s="12">
        <f>IFERROR(D34/D12,0)</f>
        <v>0</v>
      </c>
      <c r="E23" s="12">
        <f>IFERROR(E34/E12,0)</f>
        <v>0</v>
      </c>
      <c r="F23" s="12">
        <f>IFERROR(F34/F12,0)</f>
        <v>0</v>
      </c>
      <c r="G23" s="12">
        <f>IFERROR(G34/G12,0)</f>
        <v>0</v>
      </c>
      <c r="H23" s="12">
        <f>IFERROR(H34/H12,0)</f>
        <v>0</v>
      </c>
      <c r="I23" s="12">
        <f>IFERROR(I34/I12,0)</f>
        <v>0</v>
      </c>
      <c r="J23" s="12">
        <f>IFERROR(J34/J12,0)</f>
        <v>0</v>
      </c>
      <c r="K23" s="12">
        <f>IFERROR(K34/K12,0)</f>
        <v>0</v>
      </c>
      <c r="L23" s="12">
        <f>IFERROR(L34/L12,0)</f>
        <v>0</v>
      </c>
      <c r="M23" s="12">
        <f>IFERROR(M34/M12,0)</f>
        <v>0</v>
      </c>
      <c r="N23" s="12">
        <f>IFERROR(N34/N12,0)</f>
        <v>0</v>
      </c>
      <c r="O23" s="12">
        <f>IFERROR(O34/O12,0)</f>
        <v>0</v>
      </c>
    </row>
    <row r="24" spans="2:15">
      <c r="B24" t="str">
        <f>B13</f>
        <v>Insert Adj. 8</v>
      </c>
      <c r="C24" s="12">
        <f>IFERROR(C35/C13,0)</f>
        <v>0</v>
      </c>
      <c r="D24" s="12">
        <f>IFERROR(D35/D13,0)</f>
        <v>0</v>
      </c>
      <c r="E24" s="12">
        <f>IFERROR(E35/E13,0)</f>
        <v>0</v>
      </c>
      <c r="F24" s="12">
        <f>IFERROR(F35/F13,0)</f>
        <v>0</v>
      </c>
      <c r="G24" s="12">
        <f>IFERROR(G35/G13,0)</f>
        <v>0</v>
      </c>
      <c r="H24" s="12">
        <f>IFERROR(H35/H13,0)</f>
        <v>0</v>
      </c>
      <c r="I24" s="12">
        <f>IFERROR(I35/I13,0)</f>
        <v>0</v>
      </c>
      <c r="J24" s="12">
        <f>IFERROR(J35/J13,0)</f>
        <v>0</v>
      </c>
      <c r="K24" s="12">
        <f>IFERROR(K35/K13,0)</f>
        <v>0</v>
      </c>
      <c r="L24" s="12">
        <f>IFERROR(L35/L13,0)</f>
        <v>0</v>
      </c>
      <c r="M24" s="12">
        <f>IFERROR(M35/M13,0)</f>
        <v>0</v>
      </c>
      <c r="N24" s="12">
        <f>IFERROR(N35/N13,0)</f>
        <v>0</v>
      </c>
      <c r="O24" s="12">
        <f>IFERROR(O35/O13,0)</f>
        <v>0</v>
      </c>
    </row>
    <row r="25" spans="2:15">
      <c r="B25" s="2" t="s">
        <v>133</v>
      </c>
      <c r="C25" s="14">
        <f>IFERROR(C36/C14,0)</f>
        <v>0</v>
      </c>
      <c r="D25" s="14">
        <f>IFERROR(D36/D14,0)</f>
        <v>0</v>
      </c>
      <c r="E25" s="14">
        <f>IFERROR(E36/E14,0)</f>
        <v>0</v>
      </c>
      <c r="F25" s="14">
        <f>IFERROR(F36/F14,0)</f>
        <v>0</v>
      </c>
      <c r="G25" s="14">
        <f>IFERROR(G36/G14,0)</f>
        <v>0</v>
      </c>
      <c r="H25" s="14">
        <f>IFERROR(H36/H14,0)</f>
        <v>0</v>
      </c>
      <c r="I25" s="14">
        <f>IFERROR(I36/I14,0)</f>
        <v>0</v>
      </c>
      <c r="J25" s="14">
        <f>IFERROR(J36/J14,0)</f>
        <v>0</v>
      </c>
      <c r="K25" s="14">
        <f>IFERROR(K36/K14,0)</f>
        <v>0.15</v>
      </c>
      <c r="L25" s="14">
        <f>IFERROR(L36/L14,0)</f>
        <v>0.15</v>
      </c>
      <c r="M25" s="14">
        <f>IFERROR(M36/M14,0)</f>
        <v>3.7499999999999999E-2</v>
      </c>
      <c r="N25" s="14">
        <f>IFERROR(N36/N14,0)</f>
        <v>0.7</v>
      </c>
      <c r="O25" s="14">
        <f>IFERROR(O36/O14,0)</f>
        <v>0.5</v>
      </c>
    </row>
    <row r="27" spans="2:15">
      <c r="B27" s="2" t="s">
        <v>134</v>
      </c>
    </row>
    <row r="28" spans="2:15">
      <c r="B28" t="s">
        <v>212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20">
        <v>255</v>
      </c>
      <c r="L28" s="20">
        <v>-150</v>
      </c>
      <c r="M28" s="20">
        <v>-105</v>
      </c>
      <c r="N28" s="20">
        <v>0</v>
      </c>
      <c r="O28" s="6">
        <f>SUM(C28:N28)</f>
        <v>0</v>
      </c>
    </row>
    <row r="29" spans="2:15">
      <c r="B29" t="s">
        <v>213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20">
        <v>0</v>
      </c>
      <c r="L29" s="20">
        <v>0</v>
      </c>
      <c r="M29" s="20">
        <v>90</v>
      </c>
      <c r="N29" s="20">
        <v>210</v>
      </c>
      <c r="O29" s="6">
        <f>SUM(C29:N29)</f>
        <v>300</v>
      </c>
    </row>
    <row r="30" spans="2:15">
      <c r="B30" t="s">
        <v>177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20">
        <v>0</v>
      </c>
      <c r="L30" s="20">
        <v>0</v>
      </c>
      <c r="M30" s="20">
        <v>0</v>
      </c>
      <c r="N30" s="20">
        <v>0</v>
      </c>
      <c r="O30" s="6">
        <f>SUM(C30:N30)</f>
        <v>0</v>
      </c>
    </row>
    <row r="31" spans="2:15">
      <c r="B31" t="s">
        <v>178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20">
        <v>0</v>
      </c>
      <c r="L31" s="20">
        <v>0</v>
      </c>
      <c r="M31" s="20">
        <v>0</v>
      </c>
      <c r="N31" s="20">
        <v>0</v>
      </c>
      <c r="O31" s="6">
        <f>SUM(C31:N31)</f>
        <v>0</v>
      </c>
    </row>
    <row r="32" spans="2:15">
      <c r="B32" t="s">
        <v>179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20">
        <v>0</v>
      </c>
      <c r="L32" s="20">
        <v>0</v>
      </c>
      <c r="M32" s="20">
        <v>0</v>
      </c>
      <c r="N32" s="20">
        <v>0</v>
      </c>
      <c r="O32" s="6">
        <f>SUM(C32:N32)</f>
        <v>0</v>
      </c>
    </row>
    <row r="33" spans="2:15">
      <c r="B33" t="s">
        <v>180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20">
        <v>0</v>
      </c>
      <c r="L33" s="20">
        <v>0</v>
      </c>
      <c r="M33" s="20">
        <v>0</v>
      </c>
      <c r="N33" s="20">
        <v>0</v>
      </c>
      <c r="O33" s="6">
        <f>SUM(C33:N33)</f>
        <v>0</v>
      </c>
    </row>
    <row r="34" spans="2:15">
      <c r="B34" t="s">
        <v>181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20">
        <v>0</v>
      </c>
      <c r="L34" s="20">
        <v>0</v>
      </c>
      <c r="M34" s="20">
        <v>0</v>
      </c>
      <c r="N34" s="20">
        <v>0</v>
      </c>
      <c r="O34" s="6">
        <f>SUM(C34:N34)</f>
        <v>0</v>
      </c>
    </row>
    <row r="35" spans="2:15">
      <c r="B35" t="s">
        <v>182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20">
        <v>0</v>
      </c>
      <c r="L35" s="20">
        <v>0</v>
      </c>
      <c r="M35" s="20">
        <v>0</v>
      </c>
      <c r="N35" s="20">
        <v>0</v>
      </c>
      <c r="O35" s="6">
        <f>SUM(C35:N35)</f>
        <v>0</v>
      </c>
    </row>
    <row r="36" spans="2:15">
      <c r="B36" s="2" t="s">
        <v>135</v>
      </c>
      <c r="C36" s="9">
        <f>SUM(C28:C35)</f>
        <v>0</v>
      </c>
      <c r="D36" s="9">
        <f>SUM(D28:D35)</f>
        <v>0</v>
      </c>
      <c r="E36" s="9">
        <f>SUM(E28:E35)</f>
        <v>0</v>
      </c>
      <c r="F36" s="9">
        <f>SUM(F28:F35)</f>
        <v>0</v>
      </c>
      <c r="G36" s="9">
        <f>SUM(G28:G35)</f>
        <v>0</v>
      </c>
      <c r="H36" s="9">
        <f>SUM(H28:H35)</f>
        <v>0</v>
      </c>
      <c r="I36" s="9">
        <f>SUM(I28:I35)</f>
        <v>0</v>
      </c>
      <c r="J36" s="9">
        <f>SUM(J28:J35)</f>
        <v>0</v>
      </c>
      <c r="K36" s="9">
        <f>SUM(K28:K35)</f>
        <v>255</v>
      </c>
      <c r="L36" s="9">
        <f>SUM(L28:L35)</f>
        <v>-150</v>
      </c>
      <c r="M36" s="9">
        <f>SUM(M28:M35)</f>
        <v>-15</v>
      </c>
      <c r="N36" s="9">
        <f>SUM(N28:N35)</f>
        <v>210</v>
      </c>
      <c r="O36" s="9">
        <f>SUM(O28:O35)</f>
        <v>300</v>
      </c>
    </row>
    <row r="38" spans="2:15">
      <c r="B38" s="2" t="s">
        <v>136</v>
      </c>
    </row>
    <row r="39" spans="2:15">
      <c r="B39" t="str">
        <f>B6</f>
        <v>Dropship order timing - pulled forward from Q4</v>
      </c>
      <c r="C39" s="12">
        <f>IFERROR(C50/C6,0)</f>
        <v>0</v>
      </c>
      <c r="D39" s="12">
        <f>IFERROR(D50/D6,0)</f>
        <v>0</v>
      </c>
      <c r="E39" s="12">
        <f>IFERROR(E50/E6,0)</f>
        <v>0</v>
      </c>
      <c r="F39" s="12">
        <f>IFERROR(F50/F6,0)</f>
        <v>0</v>
      </c>
      <c r="G39" s="12">
        <f>IFERROR(G50/G6,0)</f>
        <v>0</v>
      </c>
      <c r="H39" s="12">
        <f>IFERROR(H50/H6,0)</f>
        <v>0</v>
      </c>
      <c r="I39" s="12">
        <f>IFERROR(I50/I6,0)</f>
        <v>0</v>
      </c>
      <c r="J39" s="12">
        <f>IFERROR(J50/J6,0)</f>
        <v>0</v>
      </c>
      <c r="K39" s="12">
        <f>IFERROR(K50/K6,0)</f>
        <v>-0.10588235294117647</v>
      </c>
      <c r="L39" s="12">
        <f>IFERROR(L50/L6,0)</f>
        <v>0.18</v>
      </c>
      <c r="M39" s="12">
        <f>IFERROR(M50/M6,0)</f>
        <v>0.25714285714285712</v>
      </c>
      <c r="N39" s="12">
        <f>IFERROR(N50/N6,0)</f>
        <v>0</v>
      </c>
      <c r="O39" s="12">
        <f>IFERROR(O50/O6,0)</f>
        <v>0</v>
      </c>
    </row>
    <row r="40" spans="2:15">
      <c r="B40" t="str">
        <f>B7</f>
        <v>Year-end customer pull-forward - rainwear</v>
      </c>
      <c r="C40" s="12">
        <f>IFERROR(C51/C7,0)</f>
        <v>0</v>
      </c>
      <c r="D40" s="12">
        <f>IFERROR(D51/D7,0)</f>
        <v>0</v>
      </c>
      <c r="E40" s="12">
        <f>IFERROR(E51/E7,0)</f>
        <v>0</v>
      </c>
      <c r="F40" s="12">
        <f>IFERROR(F51/F7,0)</f>
        <v>0</v>
      </c>
      <c r="G40" s="12">
        <f>IFERROR(G51/G7,0)</f>
        <v>0</v>
      </c>
      <c r="H40" s="12">
        <f>IFERROR(H51/H7,0)</f>
        <v>0</v>
      </c>
      <c r="I40" s="12">
        <f>IFERROR(I51/I7,0)</f>
        <v>0</v>
      </c>
      <c r="J40" s="12">
        <f>IFERROR(J51/J7,0)</f>
        <v>0</v>
      </c>
      <c r="K40" s="12">
        <f>IFERROR(K51/K7,0)</f>
        <v>0</v>
      </c>
      <c r="L40" s="12">
        <f>IFERROR(L51/L7,0)</f>
        <v>0</v>
      </c>
      <c r="M40" s="12">
        <f>IFERROR(M51/M7,0)</f>
        <v>0</v>
      </c>
      <c r="N40" s="12">
        <f>IFERROR(N51/N7,0)</f>
        <v>0</v>
      </c>
      <c r="O40" s="12">
        <f>IFERROR(O51/O7,0)</f>
        <v>0.35</v>
      </c>
    </row>
    <row r="41" spans="2:15">
      <c r="B41" t="str">
        <f>B8</f>
        <v>Insert Adj. 3</v>
      </c>
      <c r="C41" s="12">
        <f>IFERROR(C52/C8,0)</f>
        <v>0</v>
      </c>
      <c r="D41" s="12">
        <f>IFERROR(D52/D8,0)</f>
        <v>0</v>
      </c>
      <c r="E41" s="12">
        <f>IFERROR(E52/E8,0)</f>
        <v>0</v>
      </c>
      <c r="F41" s="12">
        <f>IFERROR(F52/F8,0)</f>
        <v>0</v>
      </c>
      <c r="G41" s="12">
        <f>IFERROR(G52/G8,0)</f>
        <v>0</v>
      </c>
      <c r="H41" s="12">
        <f>IFERROR(H52/H8,0)</f>
        <v>0</v>
      </c>
      <c r="I41" s="12">
        <f>IFERROR(I52/I8,0)</f>
        <v>0</v>
      </c>
      <c r="J41" s="12">
        <f>IFERROR(J52/J8,0)</f>
        <v>0</v>
      </c>
      <c r="K41" s="12">
        <f>IFERROR(K52/K8,0)</f>
        <v>0</v>
      </c>
      <c r="L41" s="12">
        <f>IFERROR(L52/L8,0)</f>
        <v>0</v>
      </c>
      <c r="M41" s="12">
        <f>IFERROR(M52/M8,0)</f>
        <v>0</v>
      </c>
      <c r="N41" s="12">
        <f>IFERROR(N52/N8,0)</f>
        <v>0</v>
      </c>
      <c r="O41" s="12">
        <f>IFERROR(O52/O8,0)</f>
        <v>0</v>
      </c>
    </row>
    <row r="42" spans="2:15">
      <c r="B42" t="str">
        <f>B9</f>
        <v>Insert Adj. 4</v>
      </c>
      <c r="C42" s="12">
        <f>IFERROR(C53/C9,0)</f>
        <v>0</v>
      </c>
      <c r="D42" s="12">
        <f>IFERROR(D53/D9,0)</f>
        <v>0</v>
      </c>
      <c r="E42" s="12">
        <f>IFERROR(E53/E9,0)</f>
        <v>0</v>
      </c>
      <c r="F42" s="12">
        <f>IFERROR(F53/F9,0)</f>
        <v>0</v>
      </c>
      <c r="G42" s="12">
        <f>IFERROR(G53/G9,0)</f>
        <v>0</v>
      </c>
      <c r="H42" s="12">
        <f>IFERROR(H53/H9,0)</f>
        <v>0</v>
      </c>
      <c r="I42" s="12">
        <f>IFERROR(I53/I9,0)</f>
        <v>0</v>
      </c>
      <c r="J42" s="12">
        <f>IFERROR(J53/J9,0)</f>
        <v>0</v>
      </c>
      <c r="K42" s="12">
        <f>IFERROR(K53/K9,0)</f>
        <v>0</v>
      </c>
      <c r="L42" s="12">
        <f>IFERROR(L53/L9,0)</f>
        <v>0</v>
      </c>
      <c r="M42" s="12">
        <f>IFERROR(M53/M9,0)</f>
        <v>0</v>
      </c>
      <c r="N42" s="12">
        <f>IFERROR(N53/N9,0)</f>
        <v>0</v>
      </c>
      <c r="O42" s="12">
        <f>IFERROR(O53/O9,0)</f>
        <v>0</v>
      </c>
    </row>
    <row r="43" spans="2:15">
      <c r="B43" t="str">
        <f>B10</f>
        <v>Insert Adj. 5</v>
      </c>
      <c r="C43" s="12">
        <f>IFERROR(C54/C10,0)</f>
        <v>0</v>
      </c>
      <c r="D43" s="12">
        <f>IFERROR(D54/D10,0)</f>
        <v>0</v>
      </c>
      <c r="E43" s="12">
        <f>IFERROR(E54/E10,0)</f>
        <v>0</v>
      </c>
      <c r="F43" s="12">
        <f>IFERROR(F54/F10,0)</f>
        <v>0</v>
      </c>
      <c r="G43" s="12">
        <f>IFERROR(G54/G10,0)</f>
        <v>0</v>
      </c>
      <c r="H43" s="12">
        <f>IFERROR(H54/H10,0)</f>
        <v>0</v>
      </c>
      <c r="I43" s="12">
        <f>IFERROR(I54/I10,0)</f>
        <v>0</v>
      </c>
      <c r="J43" s="12">
        <f>IFERROR(J54/J10,0)</f>
        <v>0</v>
      </c>
      <c r="K43" s="12">
        <f>IFERROR(K54/K10,0)</f>
        <v>0</v>
      </c>
      <c r="L43" s="12">
        <f>IFERROR(L54/L10,0)</f>
        <v>0</v>
      </c>
      <c r="M43" s="12">
        <f>IFERROR(M54/M10,0)</f>
        <v>0</v>
      </c>
      <c r="N43" s="12">
        <f>IFERROR(N54/N10,0)</f>
        <v>0</v>
      </c>
      <c r="O43" s="12">
        <f>IFERROR(O54/O10,0)</f>
        <v>0</v>
      </c>
    </row>
    <row r="44" spans="2:15">
      <c r="B44" t="str">
        <f>B11</f>
        <v>Insert Adj. 6</v>
      </c>
      <c r="C44" s="12">
        <f>IFERROR(C55/C11,0)</f>
        <v>0</v>
      </c>
      <c r="D44" s="12">
        <f>IFERROR(D55/D11,0)</f>
        <v>0</v>
      </c>
      <c r="E44" s="12">
        <f>IFERROR(E55/E11,0)</f>
        <v>0</v>
      </c>
      <c r="F44" s="12">
        <f>IFERROR(F55/F11,0)</f>
        <v>0</v>
      </c>
      <c r="G44" s="12">
        <f>IFERROR(G55/G11,0)</f>
        <v>0</v>
      </c>
      <c r="H44" s="12">
        <f>IFERROR(H55/H11,0)</f>
        <v>0</v>
      </c>
      <c r="I44" s="12">
        <f>IFERROR(I55/I11,0)</f>
        <v>0</v>
      </c>
      <c r="J44" s="12">
        <f>IFERROR(J55/J11,0)</f>
        <v>0</v>
      </c>
      <c r="K44" s="12">
        <f>IFERROR(K55/K11,0)</f>
        <v>0</v>
      </c>
      <c r="L44" s="12">
        <f>IFERROR(L55/L11,0)</f>
        <v>0</v>
      </c>
      <c r="M44" s="12">
        <f>IFERROR(M55/M11,0)</f>
        <v>0</v>
      </c>
      <c r="N44" s="12">
        <f>IFERROR(N55/N11,0)</f>
        <v>0</v>
      </c>
      <c r="O44" s="12">
        <f>IFERROR(O55/O11,0)</f>
        <v>0</v>
      </c>
    </row>
    <row r="45" spans="2:15">
      <c r="B45" t="str">
        <f>B12</f>
        <v>Insert Adj. 7</v>
      </c>
      <c r="C45" s="12">
        <f>IFERROR(C56/C12,0)</f>
        <v>0</v>
      </c>
      <c r="D45" s="12">
        <f>IFERROR(D56/D12,0)</f>
        <v>0</v>
      </c>
      <c r="E45" s="12">
        <f>IFERROR(E56/E12,0)</f>
        <v>0</v>
      </c>
      <c r="F45" s="12">
        <f>IFERROR(F56/F12,0)</f>
        <v>0</v>
      </c>
      <c r="G45" s="12">
        <f>IFERROR(G56/G12,0)</f>
        <v>0</v>
      </c>
      <c r="H45" s="12">
        <f>IFERROR(H56/H12,0)</f>
        <v>0</v>
      </c>
      <c r="I45" s="12">
        <f>IFERROR(I56/I12,0)</f>
        <v>0</v>
      </c>
      <c r="J45" s="12">
        <f>IFERROR(J56/J12,0)</f>
        <v>0</v>
      </c>
      <c r="K45" s="12">
        <f>IFERROR(K56/K12,0)</f>
        <v>0</v>
      </c>
      <c r="L45" s="12">
        <f>IFERROR(L56/L12,0)</f>
        <v>0</v>
      </c>
      <c r="M45" s="12">
        <f>IFERROR(M56/M12,0)</f>
        <v>0</v>
      </c>
      <c r="N45" s="12">
        <f>IFERROR(N56/N12,0)</f>
        <v>0</v>
      </c>
      <c r="O45" s="12">
        <f>IFERROR(O56/O12,0)</f>
        <v>0</v>
      </c>
    </row>
    <row r="46" spans="2:15">
      <c r="B46" t="str">
        <f>B13</f>
        <v>Insert Adj. 8</v>
      </c>
      <c r="C46" s="12">
        <f>IFERROR(C57/C13,0)</f>
        <v>0</v>
      </c>
      <c r="D46" s="12">
        <f>IFERROR(D57/D13,0)</f>
        <v>0</v>
      </c>
      <c r="E46" s="12">
        <f>IFERROR(E57/E13,0)</f>
        <v>0</v>
      </c>
      <c r="F46" s="12">
        <f>IFERROR(F57/F13,0)</f>
        <v>0</v>
      </c>
      <c r="G46" s="12">
        <f>IFERROR(G57/G13,0)</f>
        <v>0</v>
      </c>
      <c r="H46" s="12">
        <f>IFERROR(H57/H13,0)</f>
        <v>0</v>
      </c>
      <c r="I46" s="12">
        <f>IFERROR(I57/I13,0)</f>
        <v>0</v>
      </c>
      <c r="J46" s="12">
        <f>IFERROR(J57/J13,0)</f>
        <v>0</v>
      </c>
      <c r="K46" s="12">
        <f>IFERROR(K57/K13,0)</f>
        <v>0</v>
      </c>
      <c r="L46" s="12">
        <f>IFERROR(L57/L13,0)</f>
        <v>0</v>
      </c>
      <c r="M46" s="12">
        <f>IFERROR(M57/M13,0)</f>
        <v>0</v>
      </c>
      <c r="N46" s="12">
        <f>IFERROR(N57/N13,0)</f>
        <v>0</v>
      </c>
      <c r="O46" s="12">
        <f>IFERROR(O57/O13,0)</f>
        <v>0</v>
      </c>
    </row>
    <row r="47" spans="2:15">
      <c r="B47" s="2" t="s">
        <v>137</v>
      </c>
      <c r="C47" s="14">
        <f>IFERROR(C58/C14,0)</f>
        <v>0</v>
      </c>
      <c r="D47" s="14">
        <f>IFERROR(D58/D14,0)</f>
        <v>0</v>
      </c>
      <c r="E47" s="14">
        <f>IFERROR(E58/E14,0)</f>
        <v>0</v>
      </c>
      <c r="F47" s="14">
        <f>IFERROR(F58/F14,0)</f>
        <v>0</v>
      </c>
      <c r="G47" s="14">
        <f>IFERROR(G58/G14,0)</f>
        <v>0</v>
      </c>
      <c r="H47" s="14">
        <f>IFERROR(H58/H14,0)</f>
        <v>0</v>
      </c>
      <c r="I47" s="14">
        <f>IFERROR(I58/I14,0)</f>
        <v>0</v>
      </c>
      <c r="J47" s="14">
        <f>IFERROR(J58/J14,0)</f>
        <v>0</v>
      </c>
      <c r="K47" s="14">
        <f>IFERROR(K58/K14,0)</f>
        <v>-1.7647058823529412E-2</v>
      </c>
      <c r="L47" s="14">
        <f>IFERROR(L58/L14,0)</f>
        <v>0.12</v>
      </c>
      <c r="M47" s="14">
        <f>IFERROR(M58/M14,0)</f>
        <v>0.45</v>
      </c>
      <c r="N47" s="14">
        <f>IFERROR(N58/N14,0)</f>
        <v>-0.6</v>
      </c>
      <c r="O47" s="14">
        <f>IFERROR(O58/O14,0)</f>
        <v>-0.85</v>
      </c>
    </row>
    <row r="49" spans="2:15">
      <c r="B49" s="2" t="s">
        <v>138</v>
      </c>
    </row>
    <row r="50" spans="2:15">
      <c r="B50" t="s">
        <v>214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20">
        <v>-180</v>
      </c>
      <c r="L50" s="20">
        <v>-180</v>
      </c>
      <c r="M50" s="20">
        <v>-180</v>
      </c>
      <c r="N50" s="20">
        <v>-180</v>
      </c>
      <c r="O50" s="6">
        <f>SUM(C50:N50)</f>
        <v>-720</v>
      </c>
    </row>
    <row r="51" spans="2:15">
      <c r="B51" t="s">
        <v>215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20">
        <v>150</v>
      </c>
      <c r="L51" s="20">
        <v>60</v>
      </c>
      <c r="M51" s="20">
        <v>0</v>
      </c>
      <c r="N51" s="20">
        <v>0</v>
      </c>
      <c r="O51" s="6">
        <f>SUM(C51:N51)</f>
        <v>210</v>
      </c>
    </row>
    <row r="52" spans="2:15">
      <c r="B52" t="s">
        <v>177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20">
        <v>0</v>
      </c>
      <c r="L52" s="20">
        <v>0</v>
      </c>
      <c r="M52" s="20">
        <v>0</v>
      </c>
      <c r="N52" s="20">
        <v>0</v>
      </c>
      <c r="O52" s="6">
        <f>SUM(C52:N52)</f>
        <v>0</v>
      </c>
    </row>
    <row r="53" spans="2:15">
      <c r="B53" t="s">
        <v>178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20">
        <v>0</v>
      </c>
      <c r="L53" s="20">
        <v>0</v>
      </c>
      <c r="M53" s="20">
        <v>0</v>
      </c>
      <c r="N53" s="20">
        <v>0</v>
      </c>
      <c r="O53" s="6">
        <f>SUM(C53:N53)</f>
        <v>0</v>
      </c>
    </row>
    <row r="54" spans="2:15">
      <c r="B54" t="s">
        <v>179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20">
        <v>0</v>
      </c>
      <c r="L54" s="20">
        <v>0</v>
      </c>
      <c r="M54" s="20">
        <v>0</v>
      </c>
      <c r="N54" s="20">
        <v>0</v>
      </c>
      <c r="O54" s="6">
        <f>SUM(C54:N54)</f>
        <v>0</v>
      </c>
    </row>
    <row r="55" spans="2:15">
      <c r="B55" t="s">
        <v>180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20">
        <v>0</v>
      </c>
      <c r="L55" s="20">
        <v>0</v>
      </c>
      <c r="M55" s="20">
        <v>0</v>
      </c>
      <c r="N55" s="20">
        <v>0</v>
      </c>
      <c r="O55" s="6">
        <f>SUM(C55:N55)</f>
        <v>0</v>
      </c>
    </row>
    <row r="56" spans="2:15">
      <c r="B56" t="s">
        <v>181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20">
        <v>0</v>
      </c>
      <c r="L56" s="20">
        <v>0</v>
      </c>
      <c r="M56" s="20">
        <v>0</v>
      </c>
      <c r="N56" s="20">
        <v>0</v>
      </c>
      <c r="O56" s="6">
        <f>SUM(C56:N56)</f>
        <v>0</v>
      </c>
    </row>
    <row r="57" spans="2:15">
      <c r="B57" t="s">
        <v>182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20">
        <v>0</v>
      </c>
      <c r="L57" s="20">
        <v>0</v>
      </c>
      <c r="M57" s="20">
        <v>0</v>
      </c>
      <c r="N57" s="20">
        <v>0</v>
      </c>
      <c r="O57" s="6">
        <f>SUM(C57:N57)</f>
        <v>0</v>
      </c>
    </row>
    <row r="58" spans="2:15">
      <c r="B58" s="2" t="s">
        <v>139</v>
      </c>
      <c r="C58" s="9">
        <f>SUM(C50:C57)</f>
        <v>0</v>
      </c>
      <c r="D58" s="9">
        <f>SUM(D50:D57)</f>
        <v>0</v>
      </c>
      <c r="E58" s="9">
        <f>SUM(E50:E57)</f>
        <v>0</v>
      </c>
      <c r="F58" s="9">
        <f>SUM(F50:F57)</f>
        <v>0</v>
      </c>
      <c r="G58" s="9">
        <f>SUM(G50:G57)</f>
        <v>0</v>
      </c>
      <c r="H58" s="9">
        <f>SUM(H50:H57)</f>
        <v>0</v>
      </c>
      <c r="I58" s="9">
        <f>SUM(I50:I57)</f>
        <v>0</v>
      </c>
      <c r="J58" s="9">
        <f>SUM(J50:J57)</f>
        <v>0</v>
      </c>
      <c r="K58" s="9">
        <f>SUM(K50:K57)</f>
        <v>-30</v>
      </c>
      <c r="L58" s="9">
        <f>SUM(L50:L57)</f>
        <v>-120</v>
      </c>
      <c r="M58" s="9">
        <f>SUM(M50:M57)</f>
        <v>-180</v>
      </c>
      <c r="N58" s="9">
        <f>SUM(N50:N57)</f>
        <v>-180</v>
      </c>
      <c r="O58" s="9">
        <f>SUM(O50:O57)</f>
        <v>-510</v>
      </c>
    </row>
    <row r="60" spans="2:15">
      <c r="B60" s="2" t="s">
        <v>113</v>
      </c>
    </row>
    <row r="61" spans="2:15">
      <c r="B61" t="str">
        <f>B6</f>
        <v>Dropship order timing - pulled forward from Q4</v>
      </c>
      <c r="C61" s="6">
        <f>C28-C50</f>
        <v>0</v>
      </c>
      <c r="D61" s="6">
        <f>D28-D50</f>
        <v>0</v>
      </c>
      <c r="E61" s="6">
        <f>E28-E50</f>
        <v>0</v>
      </c>
      <c r="F61" s="6">
        <f>F28-F50</f>
        <v>0</v>
      </c>
      <c r="G61" s="6">
        <f>G28-G50</f>
        <v>0</v>
      </c>
      <c r="H61" s="6">
        <f>H28-H50</f>
        <v>0</v>
      </c>
      <c r="I61" s="6">
        <f>I28-I50</f>
        <v>0</v>
      </c>
      <c r="J61" s="6">
        <f>J28-J50</f>
        <v>0</v>
      </c>
      <c r="K61" s="6">
        <f>K28-K50</f>
        <v>435</v>
      </c>
      <c r="L61" s="6">
        <f>L28-L50</f>
        <v>30</v>
      </c>
      <c r="M61" s="6">
        <f>M28-M50</f>
        <v>75</v>
      </c>
      <c r="N61" s="6">
        <f>N28-N50</f>
        <v>180</v>
      </c>
      <c r="O61" s="6">
        <f>SUM(C61:N61)</f>
        <v>720</v>
      </c>
    </row>
    <row r="62" spans="2:15">
      <c r="B62" t="str">
        <f>B7</f>
        <v>Year-end customer pull-forward - rainwear</v>
      </c>
      <c r="C62" s="6">
        <f>C29-C51</f>
        <v>0</v>
      </c>
      <c r="D62" s="6">
        <f>D29-D51</f>
        <v>0</v>
      </c>
      <c r="E62" s="6">
        <f>E29-E51</f>
        <v>0</v>
      </c>
      <c r="F62" s="6">
        <f>F29-F51</f>
        <v>0</v>
      </c>
      <c r="G62" s="6">
        <f>G29-G51</f>
        <v>0</v>
      </c>
      <c r="H62" s="6">
        <f>H29-H51</f>
        <v>0</v>
      </c>
      <c r="I62" s="6">
        <f>I29-I51</f>
        <v>0</v>
      </c>
      <c r="J62" s="6">
        <f>J29-J51</f>
        <v>0</v>
      </c>
      <c r="K62" s="6">
        <f>K29-K51</f>
        <v>-150</v>
      </c>
      <c r="L62" s="6">
        <f>L29-L51</f>
        <v>-60</v>
      </c>
      <c r="M62" s="6">
        <f>M29-M51</f>
        <v>90</v>
      </c>
      <c r="N62" s="6">
        <f>N29-N51</f>
        <v>210</v>
      </c>
      <c r="O62" s="6">
        <f>SUM(C62:N62)</f>
        <v>90</v>
      </c>
    </row>
    <row r="63" spans="2:15">
      <c r="B63" t="str">
        <f>B8</f>
        <v>Insert Adj. 3</v>
      </c>
      <c r="C63" s="6">
        <f>C30-C52</f>
        <v>0</v>
      </c>
      <c r="D63" s="6">
        <f>D30-D52</f>
        <v>0</v>
      </c>
      <c r="E63" s="6">
        <f>E30-E52</f>
        <v>0</v>
      </c>
      <c r="F63" s="6">
        <f>F30-F52</f>
        <v>0</v>
      </c>
      <c r="G63" s="6">
        <f>G30-G52</f>
        <v>0</v>
      </c>
      <c r="H63" s="6">
        <f>H30-H52</f>
        <v>0</v>
      </c>
      <c r="I63" s="6">
        <f>I30-I52</f>
        <v>0</v>
      </c>
      <c r="J63" s="6">
        <f>J30-J52</f>
        <v>0</v>
      </c>
      <c r="K63" s="6">
        <f>K30-K52</f>
        <v>0</v>
      </c>
      <c r="L63" s="6">
        <f>L30-L52</f>
        <v>0</v>
      </c>
      <c r="M63" s="6">
        <f>M30-M52</f>
        <v>0</v>
      </c>
      <c r="N63" s="6">
        <f>N30-N52</f>
        <v>0</v>
      </c>
      <c r="O63" s="6">
        <f>SUM(C63:N63)</f>
        <v>0</v>
      </c>
    </row>
    <row r="64" spans="2:15">
      <c r="B64" t="str">
        <f>B9</f>
        <v>Insert Adj. 4</v>
      </c>
      <c r="C64" s="6">
        <f>C31-C53</f>
        <v>0</v>
      </c>
      <c r="D64" s="6">
        <f>D31-D53</f>
        <v>0</v>
      </c>
      <c r="E64" s="6">
        <f>E31-E53</f>
        <v>0</v>
      </c>
      <c r="F64" s="6">
        <f>F31-F53</f>
        <v>0</v>
      </c>
      <c r="G64" s="6">
        <f>G31-G53</f>
        <v>0</v>
      </c>
      <c r="H64" s="6">
        <f>H31-H53</f>
        <v>0</v>
      </c>
      <c r="I64" s="6">
        <f>I31-I53</f>
        <v>0</v>
      </c>
      <c r="J64" s="6">
        <f>J31-J53</f>
        <v>0</v>
      </c>
      <c r="K64" s="6">
        <f>K31-K53</f>
        <v>0</v>
      </c>
      <c r="L64" s="6">
        <f>L31-L53</f>
        <v>0</v>
      </c>
      <c r="M64" s="6">
        <f>M31-M53</f>
        <v>0</v>
      </c>
      <c r="N64" s="6">
        <f>N31-N53</f>
        <v>0</v>
      </c>
      <c r="O64" s="6">
        <f>SUM(C64:N64)</f>
        <v>0</v>
      </c>
    </row>
    <row r="65" spans="2:15">
      <c r="B65" t="str">
        <f>B10</f>
        <v>Insert Adj. 5</v>
      </c>
      <c r="C65" s="6">
        <f>C32-C54</f>
        <v>0</v>
      </c>
      <c r="D65" s="6">
        <f>D32-D54</f>
        <v>0</v>
      </c>
      <c r="E65" s="6">
        <f>E32-E54</f>
        <v>0</v>
      </c>
      <c r="F65" s="6">
        <f>F32-F54</f>
        <v>0</v>
      </c>
      <c r="G65" s="6">
        <f>G32-G54</f>
        <v>0</v>
      </c>
      <c r="H65" s="6">
        <f>H32-H54</f>
        <v>0</v>
      </c>
      <c r="I65" s="6">
        <f>I32-I54</f>
        <v>0</v>
      </c>
      <c r="J65" s="6">
        <f>J32-J54</f>
        <v>0</v>
      </c>
      <c r="K65" s="6">
        <f>K32-K54</f>
        <v>0</v>
      </c>
      <c r="L65" s="6">
        <f>L32-L54</f>
        <v>0</v>
      </c>
      <c r="M65" s="6">
        <f>M32-M54</f>
        <v>0</v>
      </c>
      <c r="N65" s="6">
        <f>N32-N54</f>
        <v>0</v>
      </c>
      <c r="O65" s="6">
        <f>SUM(C65:N65)</f>
        <v>0</v>
      </c>
    </row>
    <row r="66" spans="2:15">
      <c r="B66" t="str">
        <f>B11</f>
        <v>Insert Adj. 6</v>
      </c>
      <c r="C66" s="6">
        <f>C33-C55</f>
        <v>0</v>
      </c>
      <c r="D66" s="6">
        <f>D33-D55</f>
        <v>0</v>
      </c>
      <c r="E66" s="6">
        <f>E33-E55</f>
        <v>0</v>
      </c>
      <c r="F66" s="6">
        <f>F33-F55</f>
        <v>0</v>
      </c>
      <c r="G66" s="6">
        <f>G33-G55</f>
        <v>0</v>
      </c>
      <c r="H66" s="6">
        <f>H33-H55</f>
        <v>0</v>
      </c>
      <c r="I66" s="6">
        <f>I33-I55</f>
        <v>0</v>
      </c>
      <c r="J66" s="6">
        <f>J33-J55</f>
        <v>0</v>
      </c>
      <c r="K66" s="6">
        <f>K33-K55</f>
        <v>0</v>
      </c>
      <c r="L66" s="6">
        <f>L33-L55</f>
        <v>0</v>
      </c>
      <c r="M66" s="6">
        <f>M33-M55</f>
        <v>0</v>
      </c>
      <c r="N66" s="6">
        <f>N33-N55</f>
        <v>0</v>
      </c>
      <c r="O66" s="6">
        <f>SUM(C66:N66)</f>
        <v>0</v>
      </c>
    </row>
    <row r="67" spans="2:15">
      <c r="B67" t="str">
        <f>B12</f>
        <v>Insert Adj. 7</v>
      </c>
      <c r="C67" s="6">
        <f>C34-C56</f>
        <v>0</v>
      </c>
      <c r="D67" s="6">
        <f>D34-D56</f>
        <v>0</v>
      </c>
      <c r="E67" s="6">
        <f>E34-E56</f>
        <v>0</v>
      </c>
      <c r="F67" s="6">
        <f>F34-F56</f>
        <v>0</v>
      </c>
      <c r="G67" s="6">
        <f>G34-G56</f>
        <v>0</v>
      </c>
      <c r="H67" s="6">
        <f>H34-H56</f>
        <v>0</v>
      </c>
      <c r="I67" s="6">
        <f>I34-I56</f>
        <v>0</v>
      </c>
      <c r="J67" s="6">
        <f>J34-J56</f>
        <v>0</v>
      </c>
      <c r="K67" s="6">
        <f>K34-K56</f>
        <v>0</v>
      </c>
      <c r="L67" s="6">
        <f>L34-L56</f>
        <v>0</v>
      </c>
      <c r="M67" s="6">
        <f>M34-M56</f>
        <v>0</v>
      </c>
      <c r="N67" s="6">
        <f>N34-N56</f>
        <v>0</v>
      </c>
      <c r="O67" s="6">
        <f>SUM(C67:N67)</f>
        <v>0</v>
      </c>
    </row>
    <row r="68" spans="2:15">
      <c r="B68" t="str">
        <f>B13</f>
        <v>Insert Adj. 8</v>
      </c>
      <c r="C68" s="6">
        <f>C35-C57</f>
        <v>0</v>
      </c>
      <c r="D68" s="6">
        <f>D35-D57</f>
        <v>0</v>
      </c>
      <c r="E68" s="6">
        <f>E35-E57</f>
        <v>0</v>
      </c>
      <c r="F68" s="6">
        <f>F35-F57</f>
        <v>0</v>
      </c>
      <c r="G68" s="6">
        <f>G35-G57</f>
        <v>0</v>
      </c>
      <c r="H68" s="6">
        <f>H35-H57</f>
        <v>0</v>
      </c>
      <c r="I68" s="6">
        <f>I35-I57</f>
        <v>0</v>
      </c>
      <c r="J68" s="6">
        <f>J35-J57</f>
        <v>0</v>
      </c>
      <c r="K68" s="6">
        <f>K35-K57</f>
        <v>0</v>
      </c>
      <c r="L68" s="6">
        <f>L35-L57</f>
        <v>0</v>
      </c>
      <c r="M68" s="6">
        <f>M35-M57</f>
        <v>0</v>
      </c>
      <c r="N68" s="6">
        <f>N35-N57</f>
        <v>0</v>
      </c>
      <c r="O68" s="6">
        <f>SUM(C68:N68)</f>
        <v>0</v>
      </c>
    </row>
    <row r="69" spans="2:15">
      <c r="B69" s="2" t="s">
        <v>140</v>
      </c>
      <c r="C69" s="9">
        <f>SUM(C61:C68)</f>
        <v>0</v>
      </c>
      <c r="D69" s="9">
        <f>SUM(D61:D68)</f>
        <v>0</v>
      </c>
      <c r="E69" s="9">
        <f>SUM(E61:E68)</f>
        <v>0</v>
      </c>
      <c r="F69" s="9">
        <f>SUM(F61:F68)</f>
        <v>0</v>
      </c>
      <c r="G69" s="9">
        <f>SUM(G61:G68)</f>
        <v>0</v>
      </c>
      <c r="H69" s="9">
        <f>SUM(H61:H68)</f>
        <v>0</v>
      </c>
      <c r="I69" s="9">
        <f>SUM(I61:I68)</f>
        <v>0</v>
      </c>
      <c r="J69" s="9">
        <f>SUM(J61:J68)</f>
        <v>0</v>
      </c>
      <c r="K69" s="9">
        <f>SUM(K61:K68)</f>
        <v>285</v>
      </c>
      <c r="L69" s="9">
        <f>SUM(L61:L68)</f>
        <v>-30</v>
      </c>
      <c r="M69" s="9">
        <f>SUM(M61:M68)</f>
        <v>165</v>
      </c>
      <c r="N69" s="9">
        <f>SUM(N61:N68)</f>
        <v>390</v>
      </c>
      <c r="O69" s="9">
        <f>SUM(O61:O68)</f>
        <v>810</v>
      </c>
    </row>
    <row r="71" spans="2:15">
      <c r="B71" s="8" t="s">
        <v>141</v>
      </c>
    </row>
    <row r="73" spans="2:15">
      <c r="C73" s="4" t="s">
        <v>70</v>
      </c>
      <c r="D73" s="4" t="s">
        <v>71</v>
      </c>
      <c r="E73" s="4" t="s">
        <v>72</v>
      </c>
      <c r="F73" s="4" t="s">
        <v>73</v>
      </c>
      <c r="G73" s="4" t="s">
        <v>50</v>
      </c>
      <c r="H73" s="4" t="s">
        <v>74</v>
      </c>
      <c r="I73" s="4" t="s">
        <v>75</v>
      </c>
      <c r="J73" s="4" t="s">
        <v>76</v>
      </c>
      <c r="K73" s="4" t="s">
        <v>77</v>
      </c>
      <c r="L73" s="4" t="s">
        <v>78</v>
      </c>
      <c r="M73" s="4" t="s">
        <v>79</v>
      </c>
      <c r="N73" s="4" t="s">
        <v>80</v>
      </c>
      <c r="O73" s="4" t="s">
        <v>174</v>
      </c>
    </row>
    <row r="74" spans="2:15">
      <c r="B74" s="2" t="s">
        <v>111</v>
      </c>
    </row>
    <row r="75" spans="2:15">
      <c r="B75" t="s">
        <v>143</v>
      </c>
      <c r="C75" s="12">
        <f>Hollis!C35</f>
        <v>0.28136795928314762</v>
      </c>
      <c r="D75" s="12">
        <f>Hollis!D35</f>
        <v>0.28435877062677767</v>
      </c>
      <c r="E75" s="12">
        <f>Hollis!E35</f>
        <v>0.28111606563054675</v>
      </c>
      <c r="F75" s="12">
        <f>Hollis!F35</f>
        <v>0.28390154564482373</v>
      </c>
      <c r="G75" s="12">
        <f>Hollis!G35</f>
        <v>0.28006317050590862</v>
      </c>
      <c r="H75" s="12">
        <f>Hollis!H35</f>
        <v>0.28049116997792495</v>
      </c>
      <c r="I75" s="12">
        <f>Hollis!I35</f>
        <v>0.27986441534380391</v>
      </c>
      <c r="J75" s="12">
        <f>Hollis!J35</f>
        <v>0.28068105557119044</v>
      </c>
      <c r="K75" s="12">
        <f>Hollis!K35</f>
        <v>0.28055160337090951</v>
      </c>
      <c r="L75" s="12">
        <f>Hollis!L35</f>
        <v>0.28364622231316178</v>
      </c>
      <c r="M75" s="12">
        <f>Hollis!M35</f>
        <v>0.28177415879424339</v>
      </c>
      <c r="N75" s="12">
        <f>Hollis!N35</f>
        <v>0.28136874212723434</v>
      </c>
      <c r="O75" t="s">
        <v>183</v>
      </c>
    </row>
    <row r="76" spans="2:15">
      <c r="B76" t="s">
        <v>144</v>
      </c>
      <c r="C76" t="s">
        <v>145</v>
      </c>
      <c r="D76" t="s">
        <v>145</v>
      </c>
      <c r="E76" t="s">
        <v>145</v>
      </c>
      <c r="F76" t="s">
        <v>145</v>
      </c>
      <c r="G76" t="s">
        <v>145</v>
      </c>
      <c r="H76" t="s">
        <v>145</v>
      </c>
      <c r="I76" t="s">
        <v>145</v>
      </c>
      <c r="J76" t="s">
        <v>145</v>
      </c>
      <c r="K76" t="s">
        <v>145</v>
      </c>
      <c r="L76" t="s">
        <v>145</v>
      </c>
      <c r="M76" t="s">
        <v>145</v>
      </c>
      <c r="N76" t="s">
        <v>145</v>
      </c>
    </row>
    <row r="77" spans="2:15">
      <c r="B77" t="s">
        <v>146</v>
      </c>
      <c r="C77" s="6">
        <f>IF(C76="None",0,(((Hollis!C28*(C75+C76))-Hollis!C29)))</f>
        <v>0</v>
      </c>
      <c r="D77" s="6">
        <f>IF(D76="None",0,(((Hollis!D28*(D75+D76))-Hollis!D29)))</f>
        <v>0</v>
      </c>
      <c r="E77" s="6">
        <f>IF(E76="None",0,(((Hollis!E28*(E75+E76))-Hollis!E29)))</f>
        <v>0</v>
      </c>
      <c r="F77" s="6">
        <f>IF(F76="None",0,(((Hollis!F28*(F75+F76))-Hollis!F29)))</f>
        <v>0</v>
      </c>
      <c r="G77" s="6">
        <f>IF(G76="None",0,(((Hollis!G28*(G75+G76))-Hollis!G29)))</f>
        <v>0</v>
      </c>
      <c r="H77" s="6">
        <f>IF(H76="None",0,(((Hollis!H28*(H75+H76))-Hollis!H29)))</f>
        <v>0</v>
      </c>
      <c r="I77" s="6">
        <f>IF(I76="None",0,(((Hollis!I28*(I75+I76))-Hollis!I29)))</f>
        <v>0</v>
      </c>
      <c r="J77" s="6">
        <f>IF(J76="None",0,(((Hollis!J28*(J75+J76))-Hollis!J29)))</f>
        <v>0</v>
      </c>
      <c r="K77" s="6">
        <f>IF(K76="None",0,(((Hollis!K28*(K75+K76))-Hollis!K29)))</f>
        <v>0</v>
      </c>
      <c r="L77" s="6">
        <f>IF(L76="None",0,(((Hollis!L28*(L75+L76))-Hollis!L29)))</f>
        <v>0</v>
      </c>
      <c r="M77" s="6">
        <f>IF(M76="None",0,(((Hollis!M28*(M75+M76))-Hollis!M29)))</f>
        <v>0</v>
      </c>
      <c r="N77" s="6">
        <f>IF(N76="None",0,(((Hollis!N28*(N75+N76))-Hollis!N29)))</f>
        <v>0</v>
      </c>
      <c r="O77" s="6">
        <f>SUM(C77:N77)</f>
        <v>0</v>
      </c>
    </row>
    <row r="78" spans="2:15">
      <c r="B78" t="s">
        <v>147</v>
      </c>
      <c r="C78" s="12">
        <f>SUM(C75:C76)</f>
        <v>0.28136795928314762</v>
      </c>
      <c r="D78" s="12">
        <f>SUM(D75:D76)</f>
        <v>0.28435877062677767</v>
      </c>
      <c r="E78" s="12">
        <f>SUM(E75:E76)</f>
        <v>0.28111606563054675</v>
      </c>
      <c r="F78" s="12">
        <f>SUM(F75:F76)</f>
        <v>0.28390154564482373</v>
      </c>
      <c r="G78" s="12">
        <f>SUM(G75:G76)</f>
        <v>0.28006317050590862</v>
      </c>
      <c r="H78" s="12">
        <f>SUM(H75:H76)</f>
        <v>0.28049116997792495</v>
      </c>
      <c r="I78" s="12">
        <f>SUM(I75:I76)</f>
        <v>0.27986441534380391</v>
      </c>
      <c r="J78" s="12">
        <f>SUM(J75:J76)</f>
        <v>0.28068105557119044</v>
      </c>
      <c r="K78" s="12">
        <f>SUM(K75:K76)</f>
        <v>0.28055160337090951</v>
      </c>
      <c r="L78" s="12">
        <f>SUM(L75:L76)</f>
        <v>0.28364622231316178</v>
      </c>
      <c r="M78" s="12">
        <f>SUM(M75:M76)</f>
        <v>0.28177415879424339</v>
      </c>
      <c r="N78" s="12">
        <f>SUM(N75:N76)</f>
        <v>0.28136874212723434</v>
      </c>
      <c r="O78" t="s">
        <v>183</v>
      </c>
    </row>
    <row r="81" spans="1:15">
      <c r="B81" s="2" t="s">
        <v>112</v>
      </c>
    </row>
    <row r="82" spans="1:15">
      <c r="B82" t="s">
        <v>148</v>
      </c>
      <c r="C82" s="12">
        <f>Hollis!C36</f>
        <v>-0.19819993425452567</v>
      </c>
      <c r="D82" s="12">
        <f>Hollis!D36</f>
        <v>-0.19753342315265832</v>
      </c>
      <c r="E82" s="12">
        <f>Hollis!E36</f>
        <v>-0.19993289752803151</v>
      </c>
      <c r="F82" s="12">
        <f>Hollis!F36</f>
        <v>-0.19856907100305907</v>
      </c>
      <c r="G82" s="12">
        <f>Hollis!G36</f>
        <v>-0.1965147307084899</v>
      </c>
      <c r="H82" s="12">
        <f>Hollis!H36</f>
        <v>-0.19439845474613687</v>
      </c>
      <c r="I82" s="12">
        <f>Hollis!I36</f>
        <v>-0.19131331845551391</v>
      </c>
      <c r="J82" s="12">
        <f>Hollis!J36</f>
        <v>-0.19233433637131167</v>
      </c>
      <c r="K82" s="12">
        <f>Hollis!K36</f>
        <v>-0.19198861770821934</v>
      </c>
      <c r="L82" s="12">
        <f>Hollis!L36</f>
        <v>-0.19268504782853343</v>
      </c>
      <c r="M82" s="12">
        <f>Hollis!M36</f>
        <v>-0.1918754323689851</v>
      </c>
      <c r="N82" s="12">
        <f>Hollis!N36</f>
        <v>-0.19277735558354761</v>
      </c>
      <c r="O82" t="s">
        <v>183</v>
      </c>
    </row>
    <row r="83" spans="1:15">
      <c r="B83" t="s">
        <v>144</v>
      </c>
      <c r="C83" t="s">
        <v>145</v>
      </c>
      <c r="D83" t="s">
        <v>145</v>
      </c>
      <c r="E83" t="s">
        <v>145</v>
      </c>
      <c r="F83" t="s">
        <v>145</v>
      </c>
      <c r="G83" t="s">
        <v>145</v>
      </c>
      <c r="H83" t="s">
        <v>145</v>
      </c>
      <c r="I83" t="s">
        <v>145</v>
      </c>
      <c r="J83" t="s">
        <v>145</v>
      </c>
      <c r="K83" t="s">
        <v>145</v>
      </c>
      <c r="L83" t="s">
        <v>145</v>
      </c>
      <c r="M83" t="s">
        <v>145</v>
      </c>
      <c r="N83" t="s">
        <v>145</v>
      </c>
    </row>
    <row r="84" spans="1:15">
      <c r="B84" t="s">
        <v>146</v>
      </c>
      <c r="C84" s="6">
        <f>-IF(C83="None",0,(((Hollis!C28*-(C82+C83))-Hollis!C30)))</f>
        <v>0</v>
      </c>
      <c r="D84" s="6">
        <f>-IF(D83="None",0,(((Hollis!D28*-(D82+D83))-Hollis!D30)))</f>
        <v>0</v>
      </c>
      <c r="E84" s="6">
        <f>-IF(E83="None",0,(((Hollis!E28*-(E82+E83))-Hollis!E30)))</f>
        <v>0</v>
      </c>
      <c r="F84" s="6">
        <f>-IF(F83="None",0,(((Hollis!F28*-(F82+F83))-Hollis!F30)))</f>
        <v>0</v>
      </c>
      <c r="G84" s="6">
        <f>-IF(G83="None",0,(((Hollis!G28*-(G82+G83))-Hollis!G30)))</f>
        <v>0</v>
      </c>
      <c r="H84" s="6">
        <f>-IF(H83="None",0,(((Hollis!H28*-(H82+H83))-Hollis!H30)))</f>
        <v>0</v>
      </c>
      <c r="I84" s="6">
        <f>-IF(I83="None",0,(((Hollis!I28*-(I82+I83))-Hollis!I30)))</f>
        <v>0</v>
      </c>
      <c r="J84" s="6">
        <f>-IF(J83="None",0,(((Hollis!J28*-(J82+J83))-Hollis!J30)))</f>
        <v>0</v>
      </c>
      <c r="K84" s="6">
        <f>-IF(K83="None",0,(((Hollis!K28*-(K82+K83))-Hollis!K30)))</f>
        <v>0</v>
      </c>
      <c r="L84" s="6">
        <f>-IF(L83="None",0,(((Hollis!L28*-(L82+L83))-Hollis!L30)))</f>
        <v>0</v>
      </c>
      <c r="M84" s="6">
        <f>-IF(M83="None",0,(((Hollis!M28*-(M82+M83))-Hollis!M30)))</f>
        <v>0</v>
      </c>
      <c r="N84" s="6">
        <f>-IF(N83="None",0,(((Hollis!N28*-(N82+N83))-Hollis!N30)))</f>
        <v>0</v>
      </c>
      <c r="O84" s="6">
        <f>SUM(C84:N84)</f>
        <v>0</v>
      </c>
    </row>
    <row r="85" spans="1:15">
      <c r="B85" t="s">
        <v>149</v>
      </c>
      <c r="C85" s="12">
        <f>SUM(C82:C83)</f>
        <v>-0.19819993425452567</v>
      </c>
      <c r="D85" s="12">
        <f>SUM(D82:D83)</f>
        <v>-0.19753342315265832</v>
      </c>
      <c r="E85" s="12">
        <f>SUM(E82:E83)</f>
        <v>-0.19993289752803151</v>
      </c>
      <c r="F85" s="12">
        <f>SUM(F82:F83)</f>
        <v>-0.19856907100305907</v>
      </c>
      <c r="G85" s="12">
        <f>SUM(G82:G83)</f>
        <v>-0.1965147307084899</v>
      </c>
      <c r="H85" s="12">
        <f>SUM(H82:H83)</f>
        <v>-0.19439845474613687</v>
      </c>
      <c r="I85" s="12">
        <f>SUM(I82:I83)</f>
        <v>-0.19131331845551391</v>
      </c>
      <c r="J85" s="12">
        <f>SUM(J82:J83)</f>
        <v>-0.19233433637131167</v>
      </c>
      <c r="K85" s="12">
        <f>SUM(K82:K83)</f>
        <v>-0.19198861770821934</v>
      </c>
      <c r="L85" s="12">
        <f>SUM(L82:L83)</f>
        <v>-0.19268504782853343</v>
      </c>
      <c r="M85" s="12">
        <f>SUM(M82:M83)</f>
        <v>-0.1918754323689851</v>
      </c>
      <c r="N85" s="12">
        <f>SUM(N82:N83)</f>
        <v>-0.19277735558354761</v>
      </c>
      <c r="O85" t="s">
        <v>183</v>
      </c>
    </row>
    <row r="87" spans="1:15">
      <c r="B87" s="8" t="s">
        <v>150</v>
      </c>
    </row>
    <row r="89" spans="1:15">
      <c r="C89" s="4" t="s">
        <v>70</v>
      </c>
      <c r="D89" s="4" t="s">
        <v>71</v>
      </c>
      <c r="E89" s="4" t="s">
        <v>72</v>
      </c>
      <c r="F89" s="4" t="s">
        <v>73</v>
      </c>
      <c r="G89" s="4" t="s">
        <v>50</v>
      </c>
      <c r="H89" s="4" t="s">
        <v>74</v>
      </c>
      <c r="I89" s="4" t="s">
        <v>75</v>
      </c>
      <c r="J89" s="4" t="s">
        <v>76</v>
      </c>
      <c r="K89" s="4" t="s">
        <v>77</v>
      </c>
      <c r="L89" s="4" t="s">
        <v>78</v>
      </c>
      <c r="M89" s="4" t="s">
        <v>79</v>
      </c>
      <c r="N89" s="4" t="s">
        <v>80</v>
      </c>
      <c r="O89" s="4" t="s">
        <v>174</v>
      </c>
    </row>
    <row r="90" spans="1:15">
      <c r="A90">
        <v>2090</v>
      </c>
      <c r="B90" t="s">
        <v>151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20">
        <v>0</v>
      </c>
      <c r="L90" s="20">
        <v>-800</v>
      </c>
      <c r="M90" s="20">
        <v>-1500</v>
      </c>
      <c r="N90" s="20">
        <v>-1500</v>
      </c>
    </row>
    <row r="91" spans="1:15">
      <c r="A91">
        <v>2135</v>
      </c>
      <c r="B91" t="s">
        <v>152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20">
        <v>600</v>
      </c>
      <c r="L91" s="20">
        <v>-300</v>
      </c>
      <c r="M91" s="20">
        <v>-300</v>
      </c>
      <c r="N91" s="20">
        <v>0</v>
      </c>
    </row>
    <row r="92" spans="1:15">
      <c r="A92">
        <v>2175</v>
      </c>
      <c r="B92" t="s">
        <v>153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20">
        <v>0</v>
      </c>
      <c r="L92" s="20">
        <v>0</v>
      </c>
      <c r="M92" s="20">
        <v>0</v>
      </c>
      <c r="N92" s="20">
        <v>0</v>
      </c>
    </row>
    <row r="93" spans="1:15">
      <c r="A93">
        <v>2140</v>
      </c>
      <c r="B93" t="s">
        <v>154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20">
        <v>0</v>
      </c>
      <c r="L93" s="20">
        <v>0</v>
      </c>
      <c r="M93" s="20">
        <v>0</v>
      </c>
      <c r="N93" s="20">
        <v>0</v>
      </c>
    </row>
    <row r="94" spans="1:15">
      <c r="A94">
        <v>2180</v>
      </c>
      <c r="B94" t="s">
        <v>155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20">
        <v>0</v>
      </c>
      <c r="L94" s="20">
        <v>0</v>
      </c>
      <c r="M94" s="20">
        <v>0</v>
      </c>
      <c r="N94" s="20">
        <v>0</v>
      </c>
    </row>
    <row r="95" spans="1:15">
      <c r="A95">
        <v>2185</v>
      </c>
      <c r="B95" s="2" t="s">
        <v>156</v>
      </c>
      <c r="C95" s="6">
        <f>SUM(C90:C94)</f>
        <v>0</v>
      </c>
      <c r="D95" s="6">
        <f>SUM(D90:D94)</f>
        <v>0</v>
      </c>
      <c r="E95" s="6">
        <f>SUM(E90:E94)</f>
        <v>0</v>
      </c>
      <c r="F95" s="6">
        <f>SUM(F90:F94)</f>
        <v>0</v>
      </c>
      <c r="G95" s="6">
        <f>SUM(G90:G94)</f>
        <v>0</v>
      </c>
      <c r="H95" s="6">
        <f>SUM(H90:H94)</f>
        <v>0</v>
      </c>
      <c r="I95" s="6">
        <f>SUM(I90:I94)</f>
        <v>0</v>
      </c>
      <c r="J95" s="6">
        <f>SUM(J90:J94)</f>
        <v>0</v>
      </c>
      <c r="K95" s="6">
        <f>SUM(K90:K94)</f>
        <v>600</v>
      </c>
      <c r="L95" s="6">
        <f>SUM(L90:L94)</f>
        <v>-1100</v>
      </c>
      <c r="M95" s="6">
        <f>SUM(M90:M94)</f>
        <v>-1800</v>
      </c>
      <c r="N95" s="6">
        <f>SUM(N90:N94)</f>
        <v>-1500</v>
      </c>
    </row>
    <row r="97" spans="2:2">
      <c r="B97" s="21" t="s">
        <v>184</v>
      </c>
    </row>
  </sheetData>
  <dataValidations count="1">
    <dataValidation type="list" allowBlank="1" sqref="C76:N76 C83:N83" xr:uid="{00000000-0002-0000-1D00-000000000000}">
      <formula1>"None,-2.0%,-1.5%,-1.0%,-0.5%,0.5%,1.0%,1.5%,2.0%"</formula1>
    </dataValidation>
  </dataValidation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0070C0"/>
  </sheetPr>
  <dimension ref="B1:CE73"/>
  <sheetViews>
    <sheetView showGridLines="0" workbookViewId="0">
      <pane xSplit="2" ySplit="26" topLeftCell="C27" activePane="bottomRight" state="frozen"/>
      <selection pane="bottomRight"/>
      <selection pane="bottomLeft"/>
      <selection pane="topRight"/>
    </sheetView>
  </sheetViews>
  <sheetFormatPr defaultRowHeight="15" outlineLevelRow="1"/>
  <cols>
    <col min="1" max="1" width="2" customWidth="1"/>
    <col min="2" max="2" width="30" customWidth="1"/>
    <col min="3" max="15" width="11" customWidth="1"/>
    <col min="16" max="16" width="2" customWidth="1"/>
    <col min="17" max="29" width="11" customWidth="1"/>
    <col min="30" max="30" width="2" customWidth="1"/>
    <col min="31" max="43" width="11" customWidth="1"/>
    <col min="44" max="44" width="2" customWidth="1"/>
    <col min="45" max="57" width="11" customWidth="1"/>
    <col min="58" max="58" width="2" customWidth="1"/>
    <col min="59" max="71" width="11" customWidth="1"/>
    <col min="72" max="72" width="2" customWidth="1"/>
    <col min="73" max="75" width="11" customWidth="1"/>
    <col min="76" max="76" width="2" customWidth="1"/>
    <col min="77" max="79" width="11" customWidth="1"/>
    <col min="80" max="80" width="2" customWidth="1"/>
    <col min="81" max="83" width="11" customWidth="1"/>
  </cols>
  <sheetData>
    <row r="1" spans="2:14" outlineLevel="1">
      <c r="C1" s="15" t="s">
        <v>34</v>
      </c>
      <c r="D1" s="15" t="s">
        <v>34</v>
      </c>
      <c r="E1" s="15" t="s">
        <v>34</v>
      </c>
      <c r="F1" s="15" t="s">
        <v>34</v>
      </c>
      <c r="G1" s="15" t="s">
        <v>34</v>
      </c>
      <c r="H1" s="15" t="s">
        <v>34</v>
      </c>
      <c r="I1" s="15" t="s">
        <v>34</v>
      </c>
      <c r="J1" s="15" t="s">
        <v>34</v>
      </c>
      <c r="K1" s="15" t="s">
        <v>45</v>
      </c>
      <c r="L1" s="15" t="s">
        <v>45</v>
      </c>
      <c r="M1" s="15" t="s">
        <v>45</v>
      </c>
      <c r="N1" s="15" t="s">
        <v>45</v>
      </c>
    </row>
    <row r="2" spans="2:14" outlineLevel="1">
      <c r="B2" s="15" t="s">
        <v>2</v>
      </c>
      <c r="C2" s="15" t="s">
        <v>34</v>
      </c>
      <c r="D2" s="15" t="s">
        <v>34</v>
      </c>
      <c r="E2" s="15" t="s">
        <v>34</v>
      </c>
      <c r="F2" s="15" t="s">
        <v>34</v>
      </c>
      <c r="G2" s="15" t="s">
        <v>34</v>
      </c>
      <c r="H2" s="15" t="s">
        <v>34</v>
      </c>
      <c r="I2" s="15" t="s">
        <v>34</v>
      </c>
      <c r="J2" s="15" t="s">
        <v>34</v>
      </c>
      <c r="K2" s="15" t="s">
        <v>34</v>
      </c>
      <c r="L2" s="15" t="s">
        <v>34</v>
      </c>
      <c r="M2" s="15" t="s">
        <v>34</v>
      </c>
      <c r="N2" s="15" t="s">
        <v>34</v>
      </c>
    </row>
    <row r="3" spans="2:14" outlineLevel="1"/>
    <row r="4" spans="2:14" outlineLevel="1"/>
    <row r="5" spans="2:14" outlineLevel="1">
      <c r="B5" s="15" t="s">
        <v>4</v>
      </c>
      <c r="C5" s="15">
        <v>2026</v>
      </c>
      <c r="D5" s="15">
        <v>2026</v>
      </c>
      <c r="E5" s="15">
        <v>2026</v>
      </c>
      <c r="F5" s="15">
        <v>2026</v>
      </c>
      <c r="G5" s="15">
        <v>2026</v>
      </c>
      <c r="H5" s="15">
        <v>2026</v>
      </c>
      <c r="I5" s="15">
        <v>2026</v>
      </c>
      <c r="J5" s="15">
        <v>2026</v>
      </c>
      <c r="K5" s="15">
        <v>2026</v>
      </c>
      <c r="L5" s="15">
        <v>2026</v>
      </c>
      <c r="M5" s="15">
        <v>2026</v>
      </c>
      <c r="N5" s="15">
        <v>2026</v>
      </c>
    </row>
    <row r="6" spans="2:14" outlineLevel="1"/>
    <row r="7" spans="2:14" outlineLevel="1"/>
    <row r="8" spans="2:14" outlineLevel="1">
      <c r="B8" s="15" t="s">
        <v>5</v>
      </c>
      <c r="C8" s="15" t="s">
        <v>35</v>
      </c>
      <c r="D8" s="15" t="s">
        <v>39</v>
      </c>
      <c r="E8" s="15" t="s">
        <v>43</v>
      </c>
      <c r="F8" s="15" t="s">
        <v>47</v>
      </c>
      <c r="G8" s="15" t="s">
        <v>51</v>
      </c>
      <c r="H8" s="15" t="s">
        <v>54</v>
      </c>
      <c r="I8" s="15" t="s">
        <v>56</v>
      </c>
      <c r="J8" s="15" t="s">
        <v>58</v>
      </c>
      <c r="K8" s="15" t="s">
        <v>32</v>
      </c>
      <c r="L8" s="15" t="s">
        <v>37</v>
      </c>
      <c r="M8" s="15" t="s">
        <v>66</v>
      </c>
      <c r="N8" s="15" t="s">
        <v>68</v>
      </c>
    </row>
    <row r="9" spans="2:14" outlineLevel="1">
      <c r="B9" s="15" t="s">
        <v>13</v>
      </c>
    </row>
    <row r="10" spans="2:14" outlineLevel="1">
      <c r="B10" s="15" t="s">
        <v>14</v>
      </c>
    </row>
    <row r="11" spans="2:14" outlineLevel="1">
      <c r="B11" s="15" t="s">
        <v>16</v>
      </c>
      <c r="C11" s="15" t="s">
        <v>17</v>
      </c>
      <c r="D11" s="15" t="s">
        <v>17</v>
      </c>
      <c r="E11" s="15" t="s">
        <v>17</v>
      </c>
      <c r="F11" s="15" t="s">
        <v>17</v>
      </c>
      <c r="G11" s="15" t="s">
        <v>17</v>
      </c>
      <c r="H11" s="15" t="s">
        <v>17</v>
      </c>
      <c r="I11" s="15" t="s">
        <v>17</v>
      </c>
      <c r="J11" s="15" t="s">
        <v>17</v>
      </c>
      <c r="K11" s="15" t="s">
        <v>17</v>
      </c>
      <c r="L11" s="15" t="s">
        <v>17</v>
      </c>
      <c r="M11" s="15" t="s">
        <v>17</v>
      </c>
      <c r="N11" s="15" t="s">
        <v>17</v>
      </c>
    </row>
    <row r="12" spans="2:14" outlineLevel="1">
      <c r="B12" s="15" t="s">
        <v>18</v>
      </c>
      <c r="C12" s="15" t="s">
        <v>19</v>
      </c>
      <c r="D12" s="15" t="s">
        <v>19</v>
      </c>
      <c r="E12" s="15" t="s">
        <v>19</v>
      </c>
      <c r="F12" s="15" t="s">
        <v>19</v>
      </c>
      <c r="G12" s="15" t="s">
        <v>19</v>
      </c>
      <c r="H12" s="15" t="s">
        <v>19</v>
      </c>
      <c r="I12" s="15" t="s">
        <v>19</v>
      </c>
      <c r="J12" s="15" t="s">
        <v>19</v>
      </c>
      <c r="K12" s="15" t="s">
        <v>19</v>
      </c>
      <c r="L12" s="15" t="s">
        <v>19</v>
      </c>
      <c r="M12" s="15" t="s">
        <v>19</v>
      </c>
      <c r="N12" s="15" t="s">
        <v>19</v>
      </c>
    </row>
    <row r="13" spans="2:14" outlineLevel="1">
      <c r="B13" s="15" t="s">
        <v>20</v>
      </c>
    </row>
    <row r="14" spans="2:14" outlineLevel="1">
      <c r="B14" s="15" t="s">
        <v>22</v>
      </c>
    </row>
    <row r="15" spans="2:14" outlineLevel="1"/>
    <row r="16" spans="2:14" outlineLevel="1"/>
    <row r="17" spans="2:83" outlineLevel="1"/>
    <row r="18" spans="2:83" outlineLevel="1">
      <c r="B18" s="15" t="s">
        <v>7</v>
      </c>
      <c r="C18" s="15" t="s">
        <v>157</v>
      </c>
      <c r="D18" s="15" t="s">
        <v>157</v>
      </c>
      <c r="E18" s="15" t="s">
        <v>157</v>
      </c>
      <c r="F18" s="15" t="s">
        <v>157</v>
      </c>
      <c r="G18" s="15" t="s">
        <v>157</v>
      </c>
      <c r="H18" s="15" t="s">
        <v>157</v>
      </c>
      <c r="I18" s="15" t="s">
        <v>157</v>
      </c>
      <c r="J18" s="15" t="s">
        <v>157</v>
      </c>
      <c r="K18" s="15" t="s">
        <v>157</v>
      </c>
      <c r="L18" s="15" t="s">
        <v>157</v>
      </c>
      <c r="M18" s="15" t="s">
        <v>157</v>
      </c>
      <c r="N18" s="15" t="s">
        <v>157</v>
      </c>
    </row>
    <row r="19" spans="2:83" outlineLevel="1">
      <c r="B19" s="15" t="s">
        <v>11</v>
      </c>
      <c r="C19" s="15" t="s">
        <v>12</v>
      </c>
      <c r="D19" s="15" t="s">
        <v>12</v>
      </c>
      <c r="E19" s="15" t="s">
        <v>12</v>
      </c>
      <c r="F19" s="15" t="s">
        <v>12</v>
      </c>
      <c r="G19" s="15" t="s">
        <v>12</v>
      </c>
      <c r="H19" s="15" t="s">
        <v>12</v>
      </c>
      <c r="I19" s="15" t="s">
        <v>12</v>
      </c>
      <c r="J19" s="15" t="s">
        <v>12</v>
      </c>
      <c r="K19" s="15" t="s">
        <v>12</v>
      </c>
      <c r="L19" s="15" t="s">
        <v>12</v>
      </c>
      <c r="M19" s="15" t="s">
        <v>12</v>
      </c>
      <c r="N19" s="15" t="s">
        <v>12</v>
      </c>
    </row>
    <row r="21" spans="2:83">
      <c r="B21" s="1" t="s">
        <v>24</v>
      </c>
    </row>
    <row r="22" spans="2:83">
      <c r="B22" s="15" t="s">
        <v>216</v>
      </c>
    </row>
    <row r="23" spans="2:83">
      <c r="B23" s="3" t="s">
        <v>108</v>
      </c>
      <c r="BU23" s="8" t="s">
        <v>158</v>
      </c>
    </row>
    <row r="24" spans="2:83">
      <c r="C24" s="8" t="s">
        <v>159</v>
      </c>
      <c r="Q24" s="8" t="s">
        <v>160</v>
      </c>
      <c r="AE24" s="8" t="s">
        <v>161</v>
      </c>
      <c r="AS24" s="8" t="s">
        <v>162</v>
      </c>
      <c r="BG24" s="8" t="s">
        <v>52</v>
      </c>
      <c r="BU24" s="2" t="s">
        <v>91</v>
      </c>
      <c r="BY24" s="2" t="s">
        <v>92</v>
      </c>
      <c r="CC24" s="2" t="s">
        <v>81</v>
      </c>
    </row>
    <row r="25" spans="2:83"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34</v>
      </c>
      <c r="I25" t="s">
        <v>34</v>
      </c>
      <c r="J25" t="s">
        <v>34</v>
      </c>
      <c r="K25" t="s">
        <v>45</v>
      </c>
      <c r="L25" t="s">
        <v>45</v>
      </c>
      <c r="M25" t="s">
        <v>45</v>
      </c>
      <c r="N25" t="s">
        <v>45</v>
      </c>
      <c r="O25" t="s">
        <v>163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45</v>
      </c>
      <c r="Z25" t="s">
        <v>45</v>
      </c>
      <c r="AA25" t="s">
        <v>45</v>
      </c>
      <c r="AB25" t="s">
        <v>45</v>
      </c>
      <c r="AC25" t="s">
        <v>163</v>
      </c>
      <c r="BG25" t="s">
        <v>34</v>
      </c>
      <c r="BH25" t="s">
        <v>34</v>
      </c>
      <c r="BI25" t="s">
        <v>34</v>
      </c>
      <c r="BJ25" t="s">
        <v>34</v>
      </c>
      <c r="BK25" t="s">
        <v>34</v>
      </c>
      <c r="BL25" t="s">
        <v>34</v>
      </c>
      <c r="BM25" t="s">
        <v>34</v>
      </c>
      <c r="BN25" t="s">
        <v>34</v>
      </c>
      <c r="BO25" t="s">
        <v>34</v>
      </c>
      <c r="BP25" t="s">
        <v>52</v>
      </c>
      <c r="BQ25" t="s">
        <v>52</v>
      </c>
      <c r="BR25" t="s">
        <v>52</v>
      </c>
      <c r="BS25" t="s">
        <v>163</v>
      </c>
    </row>
    <row r="26" spans="2:83" ht="30" customHeight="1">
      <c r="B26" s="2" t="s">
        <v>164</v>
      </c>
      <c r="C26" s="16" t="s">
        <v>70</v>
      </c>
      <c r="D26" s="16" t="s">
        <v>71</v>
      </c>
      <c r="E26" s="16" t="s">
        <v>72</v>
      </c>
      <c r="F26" s="16" t="s">
        <v>73</v>
      </c>
      <c r="G26" s="16" t="s">
        <v>50</v>
      </c>
      <c r="H26" s="16" t="s">
        <v>74</v>
      </c>
      <c r="I26" s="16" t="s">
        <v>75</v>
      </c>
      <c r="J26" s="16" t="s">
        <v>76</v>
      </c>
      <c r="K26" s="16" t="s">
        <v>77</v>
      </c>
      <c r="L26" s="16" t="s">
        <v>78</v>
      </c>
      <c r="M26" s="16" t="s">
        <v>79</v>
      </c>
      <c r="N26" s="16" t="s">
        <v>80</v>
      </c>
      <c r="O26" s="16" t="s">
        <v>165</v>
      </c>
      <c r="Q26" s="16" t="s">
        <v>70</v>
      </c>
      <c r="R26" s="16" t="s">
        <v>71</v>
      </c>
      <c r="S26" s="16" t="s">
        <v>72</v>
      </c>
      <c r="T26" s="16" t="s">
        <v>73</v>
      </c>
      <c r="U26" s="16" t="s">
        <v>50</v>
      </c>
      <c r="V26" s="16" t="s">
        <v>74</v>
      </c>
      <c r="W26" s="16" t="s">
        <v>75</v>
      </c>
      <c r="X26" s="16" t="s">
        <v>76</v>
      </c>
      <c r="Y26" s="16" t="s">
        <v>77</v>
      </c>
      <c r="Z26" s="16" t="s">
        <v>78</v>
      </c>
      <c r="AA26" s="16" t="s">
        <v>79</v>
      </c>
      <c r="AB26" s="16" t="s">
        <v>80</v>
      </c>
      <c r="AC26" s="16" t="s">
        <v>165</v>
      </c>
      <c r="AE26" s="16" t="s">
        <v>70</v>
      </c>
      <c r="AF26" s="16" t="s">
        <v>71</v>
      </c>
      <c r="AG26" s="16" t="s">
        <v>72</v>
      </c>
      <c r="AH26" s="16" t="s">
        <v>73</v>
      </c>
      <c r="AI26" s="16" t="s">
        <v>50</v>
      </c>
      <c r="AJ26" s="16" t="s">
        <v>74</v>
      </c>
      <c r="AK26" s="16" t="s">
        <v>75</v>
      </c>
      <c r="AL26" s="16" t="s">
        <v>76</v>
      </c>
      <c r="AM26" s="16" t="s">
        <v>77</v>
      </c>
      <c r="AN26" s="16" t="s">
        <v>78</v>
      </c>
      <c r="AO26" s="16" t="s">
        <v>79</v>
      </c>
      <c r="AP26" s="16" t="s">
        <v>80</v>
      </c>
      <c r="AQ26" s="16" t="s">
        <v>165</v>
      </c>
      <c r="AS26" s="16" t="s">
        <v>70</v>
      </c>
      <c r="AT26" s="16" t="s">
        <v>71</v>
      </c>
      <c r="AU26" s="16" t="s">
        <v>72</v>
      </c>
      <c r="AV26" s="16" t="s">
        <v>73</v>
      </c>
      <c r="AW26" s="16" t="s">
        <v>50</v>
      </c>
      <c r="AX26" s="16" t="s">
        <v>74</v>
      </c>
      <c r="AY26" s="16" t="s">
        <v>75</v>
      </c>
      <c r="AZ26" s="16" t="s">
        <v>76</v>
      </c>
      <c r="BA26" s="16" t="s">
        <v>77</v>
      </c>
      <c r="BB26" s="16" t="s">
        <v>78</v>
      </c>
      <c r="BC26" s="16" t="s">
        <v>79</v>
      </c>
      <c r="BD26" s="16" t="s">
        <v>80</v>
      </c>
      <c r="BE26" s="16" t="s">
        <v>165</v>
      </c>
      <c r="BG26" s="16" t="s">
        <v>70</v>
      </c>
      <c r="BH26" s="16" t="s">
        <v>71</v>
      </c>
      <c r="BI26" s="16" t="s">
        <v>72</v>
      </c>
      <c r="BJ26" s="16" t="s">
        <v>73</v>
      </c>
      <c r="BK26" s="16" t="s">
        <v>50</v>
      </c>
      <c r="BL26" s="16" t="s">
        <v>74</v>
      </c>
      <c r="BM26" s="16" t="s">
        <v>75</v>
      </c>
      <c r="BN26" s="16" t="s">
        <v>76</v>
      </c>
      <c r="BO26" s="16" t="s">
        <v>77</v>
      </c>
      <c r="BP26" s="16" t="s">
        <v>78</v>
      </c>
      <c r="BQ26" s="16" t="s">
        <v>79</v>
      </c>
      <c r="BR26" s="16" t="s">
        <v>80</v>
      </c>
      <c r="BS26" s="16" t="s">
        <v>165</v>
      </c>
      <c r="BU26" s="17" t="s">
        <v>94</v>
      </c>
      <c r="BV26" s="17" t="s">
        <v>95</v>
      </c>
      <c r="BW26" s="17" t="s">
        <v>96</v>
      </c>
      <c r="BY26" s="17" t="s">
        <v>97</v>
      </c>
      <c r="BZ26" s="17" t="s">
        <v>98</v>
      </c>
      <c r="CA26" s="17" t="s">
        <v>99</v>
      </c>
      <c r="CC26" s="17" t="s">
        <v>97</v>
      </c>
      <c r="CD26" s="17" t="s">
        <v>98</v>
      </c>
      <c r="CE26" s="17" t="s">
        <v>99</v>
      </c>
    </row>
    <row r="28" spans="2:83">
      <c r="B28" s="2" t="s">
        <v>100</v>
      </c>
      <c r="C28" s="6">
        <v>8821.9</v>
      </c>
      <c r="D28" s="6">
        <v>8684.1</v>
      </c>
      <c r="E28" s="6">
        <v>9239.6</v>
      </c>
      <c r="F28" s="6">
        <v>9937.6</v>
      </c>
      <c r="G28" s="6">
        <v>9181.5</v>
      </c>
      <c r="H28" s="6">
        <v>9422.4</v>
      </c>
      <c r="I28" s="6">
        <v>9499.6</v>
      </c>
      <c r="J28" s="6">
        <v>9238.6</v>
      </c>
      <c r="K28" s="6">
        <v>9137</v>
      </c>
      <c r="L28" s="6">
        <v>9774.5</v>
      </c>
      <c r="M28" s="6">
        <v>8817.7000000000007</v>
      </c>
      <c r="N28" s="6">
        <v>9605.9</v>
      </c>
      <c r="O28" s="18">
        <f>SUM(C28:N28)</f>
        <v>111360.4</v>
      </c>
      <c r="Q28" s="6">
        <v>8821.9</v>
      </c>
      <c r="R28" s="6">
        <v>8684.1</v>
      </c>
      <c r="S28" s="6">
        <v>9239.6</v>
      </c>
      <c r="T28" s="6">
        <v>9937.6</v>
      </c>
      <c r="U28" s="6">
        <v>9181.5</v>
      </c>
      <c r="V28" s="6">
        <v>9422.4</v>
      </c>
      <c r="W28" s="6">
        <v>9499.6</v>
      </c>
      <c r="X28" s="6">
        <v>9238.6</v>
      </c>
      <c r="Y28" s="6">
        <v>9092</v>
      </c>
      <c r="Z28" s="6">
        <v>9729.5</v>
      </c>
      <c r="AA28" s="6">
        <v>8772.7000000000007</v>
      </c>
      <c r="AB28" s="6">
        <v>9560.9</v>
      </c>
      <c r="AC28" s="18">
        <f>SUM(Q28:AB28)</f>
        <v>111180.4</v>
      </c>
      <c r="AE28" s="6">
        <f>Q28-C28</f>
        <v>0</v>
      </c>
      <c r="AF28" s="6">
        <f>R28-D28</f>
        <v>0</v>
      </c>
      <c r="AG28" s="6">
        <f>S28-E28</f>
        <v>0</v>
      </c>
      <c r="AH28" s="6">
        <f>T28-F28</f>
        <v>0</v>
      </c>
      <c r="AI28" s="6">
        <f>U28-G28</f>
        <v>0</v>
      </c>
      <c r="AJ28" s="6">
        <f>V28-H28</f>
        <v>0</v>
      </c>
      <c r="AK28" s="6">
        <f>W28-I28</f>
        <v>0</v>
      </c>
      <c r="AL28" s="6">
        <f>X28-J28</f>
        <v>0</v>
      </c>
      <c r="AM28" s="6">
        <f>Y28-K28</f>
        <v>-45</v>
      </c>
      <c r="AN28" s="6">
        <f>Z28-L28</f>
        <v>-45</v>
      </c>
      <c r="AO28" s="6">
        <f>AA28-M28</f>
        <v>-45</v>
      </c>
      <c r="AP28" s="6">
        <f>AB28-N28</f>
        <v>-45</v>
      </c>
      <c r="AQ28" s="18">
        <f>SUM(AE28:AP28)</f>
        <v>-180</v>
      </c>
      <c r="AS28" s="6">
        <f>'Hollis-Adj'!C14</f>
        <v>0</v>
      </c>
      <c r="AT28" s="6">
        <f>'Hollis-Adj'!D14</f>
        <v>0</v>
      </c>
      <c r="AU28" s="6">
        <f>'Hollis-Adj'!E14</f>
        <v>0</v>
      </c>
      <c r="AV28" s="6">
        <f>'Hollis-Adj'!F14</f>
        <v>0</v>
      </c>
      <c r="AW28" s="6">
        <f>'Hollis-Adj'!G14</f>
        <v>0</v>
      </c>
      <c r="AX28" s="6">
        <f>'Hollis-Adj'!H14</f>
        <v>0</v>
      </c>
      <c r="AY28" s="6">
        <f>'Hollis-Adj'!I14</f>
        <v>0</v>
      </c>
      <c r="AZ28" s="6">
        <f>'Hollis-Adj'!J14</f>
        <v>0</v>
      </c>
      <c r="BA28" s="6">
        <f>'Hollis-Adj'!K14</f>
        <v>1700</v>
      </c>
      <c r="BB28" s="6">
        <f>'Hollis-Adj'!L14</f>
        <v>-1000</v>
      </c>
      <c r="BC28" s="6">
        <f>'Hollis-Adj'!M14</f>
        <v>-400</v>
      </c>
      <c r="BD28" s="6">
        <f>'Hollis-Adj'!N14</f>
        <v>300</v>
      </c>
      <c r="BE28" s="18">
        <f>SUM(AS28:BD28)</f>
        <v>600</v>
      </c>
      <c r="BG28" s="6">
        <f>C28+AE28+AS28</f>
        <v>8821.9</v>
      </c>
      <c r="BH28" s="6">
        <f>D28+AF28+AT28</f>
        <v>8684.1</v>
      </c>
      <c r="BI28" s="6">
        <f>E28+AG28+AU28</f>
        <v>9239.6</v>
      </c>
      <c r="BJ28" s="6">
        <f>F28+AH28+AV28</f>
        <v>9937.6</v>
      </c>
      <c r="BK28" s="6">
        <f>G28+AI28+AW28</f>
        <v>9181.5</v>
      </c>
      <c r="BL28" s="6">
        <f>H28+AJ28+AX28</f>
        <v>9422.4</v>
      </c>
      <c r="BM28" s="6">
        <f>I28+AK28+AY28</f>
        <v>9499.6</v>
      </c>
      <c r="BN28" s="6">
        <f>J28+AL28+AZ28</f>
        <v>9238.6</v>
      </c>
      <c r="BO28" s="6">
        <f>K28+AM28+BA28</f>
        <v>10792</v>
      </c>
      <c r="BP28" s="6">
        <f>L28+AN28+BB28</f>
        <v>8729.5</v>
      </c>
      <c r="BQ28" s="6">
        <f>M28+AO28+BC28</f>
        <v>8372.7000000000007</v>
      </c>
      <c r="BR28" s="6">
        <f>N28+AP28+BD28</f>
        <v>9860.9</v>
      </c>
      <c r="BS28" s="18">
        <f>SUM(BG28:BR28)</f>
        <v>111780.4</v>
      </c>
      <c r="BU28" s="6">
        <f>SUM(BG28:BO28)-SUM(C28:K28)</f>
        <v>1655</v>
      </c>
      <c r="BV28" s="6">
        <f>SUM(BG28:BO28)-SUM(C51:K51)</f>
        <v>2592.5</v>
      </c>
      <c r="BW28" s="6">
        <f>SUM(BG28:BO28)-SUM(C64:K64)</f>
        <v>6538.4000000000087</v>
      </c>
      <c r="BY28" s="6">
        <f>SUM(BP28:BR28)-SUM(L28:N28)</f>
        <v>-1235</v>
      </c>
      <c r="BZ28" s="6">
        <f>SUM(BP28:BR28)-SUM(L51:N51)</f>
        <v>-811.90000000000146</v>
      </c>
      <c r="CA28" s="6">
        <f>SUM(BP28:BR28)-SUM(L64:N64)</f>
        <v>308.89999999999782</v>
      </c>
      <c r="CC28" s="6">
        <f>BS28-O28</f>
        <v>420</v>
      </c>
      <c r="CD28" s="6">
        <f>BS28-O51</f>
        <v>1780.5999999999913</v>
      </c>
      <c r="CE28" s="6">
        <f>BS28-O64</f>
        <v>6847.3000000000029</v>
      </c>
    </row>
    <row r="29" spans="2:83">
      <c r="B29" s="5" t="s">
        <v>111</v>
      </c>
      <c r="C29" s="6">
        <v>2482.1999999999998</v>
      </c>
      <c r="D29" s="6">
        <v>2469.4</v>
      </c>
      <c r="E29" s="6">
        <v>2597.4</v>
      </c>
      <c r="F29" s="6">
        <v>2821.3</v>
      </c>
      <c r="G29" s="6">
        <v>2571.4</v>
      </c>
      <c r="H29" s="6">
        <v>2642.9</v>
      </c>
      <c r="I29" s="6">
        <v>2658.6</v>
      </c>
      <c r="J29" s="6">
        <v>2593.1</v>
      </c>
      <c r="K29" s="6">
        <v>2563.4</v>
      </c>
      <c r="L29" s="6">
        <v>2772.5</v>
      </c>
      <c r="M29" s="6">
        <v>2484.6</v>
      </c>
      <c r="N29" s="6">
        <v>2702.8</v>
      </c>
      <c r="O29" s="18">
        <f>SUM(C29:N29)</f>
        <v>31359.599999999995</v>
      </c>
      <c r="Q29" s="6">
        <v>2482.1999999999998</v>
      </c>
      <c r="R29" s="6">
        <v>2469.4</v>
      </c>
      <c r="S29" s="6">
        <v>2597.4</v>
      </c>
      <c r="T29" s="6">
        <v>2821.3</v>
      </c>
      <c r="U29" s="6">
        <v>2571.4</v>
      </c>
      <c r="V29" s="6">
        <v>2642.9</v>
      </c>
      <c r="W29" s="6">
        <v>2658.6</v>
      </c>
      <c r="X29" s="6">
        <v>2593.1</v>
      </c>
      <c r="Y29" s="6">
        <v>2550.4</v>
      </c>
      <c r="Z29" s="6">
        <v>2759.5</v>
      </c>
      <c r="AA29" s="6">
        <v>2471.6</v>
      </c>
      <c r="AB29" s="6">
        <v>2689.8</v>
      </c>
      <c r="AC29" s="18">
        <f>SUM(Q29:AB29)</f>
        <v>31307.599999999995</v>
      </c>
      <c r="AE29" s="6">
        <f>Q29-C29</f>
        <v>0</v>
      </c>
      <c r="AF29" s="6">
        <f>R29-D29</f>
        <v>0</v>
      </c>
      <c r="AG29" s="6">
        <f>S29-E29</f>
        <v>0</v>
      </c>
      <c r="AH29" s="6">
        <f>T29-F29</f>
        <v>0</v>
      </c>
      <c r="AI29" s="6">
        <f>U29-G29</f>
        <v>0</v>
      </c>
      <c r="AJ29" s="6">
        <f>V29-H29</f>
        <v>0</v>
      </c>
      <c r="AK29" s="6">
        <f>W29-I29</f>
        <v>0</v>
      </c>
      <c r="AL29" s="6">
        <f>X29-J29</f>
        <v>0</v>
      </c>
      <c r="AM29" s="6">
        <f>Y29-K29</f>
        <v>-13</v>
      </c>
      <c r="AN29" s="6">
        <f>Z29-L29</f>
        <v>-13</v>
      </c>
      <c r="AO29" s="6">
        <f>AA29-M29</f>
        <v>-13</v>
      </c>
      <c r="AP29" s="6">
        <f>AB29-N29</f>
        <v>-13</v>
      </c>
      <c r="AQ29" s="18">
        <f>SUM(AE29:AP29)</f>
        <v>-52</v>
      </c>
      <c r="AS29" s="6">
        <f>'Hollis-Adj'!C36+'Hollis-Adj'!C77</f>
        <v>0</v>
      </c>
      <c r="AT29" s="6">
        <f>'Hollis-Adj'!D36+'Hollis-Adj'!D77</f>
        <v>0</v>
      </c>
      <c r="AU29" s="6">
        <f>'Hollis-Adj'!E36+'Hollis-Adj'!E77</f>
        <v>0</v>
      </c>
      <c r="AV29" s="6">
        <f>'Hollis-Adj'!F36+'Hollis-Adj'!F77</f>
        <v>0</v>
      </c>
      <c r="AW29" s="6">
        <f>'Hollis-Adj'!G36+'Hollis-Adj'!G77</f>
        <v>0</v>
      </c>
      <c r="AX29" s="6">
        <f>'Hollis-Adj'!H36+'Hollis-Adj'!H77</f>
        <v>0</v>
      </c>
      <c r="AY29" s="6">
        <f>'Hollis-Adj'!I36+'Hollis-Adj'!I77</f>
        <v>0</v>
      </c>
      <c r="AZ29" s="6">
        <f>'Hollis-Adj'!J36+'Hollis-Adj'!J77</f>
        <v>0</v>
      </c>
      <c r="BA29" s="6">
        <f>'Hollis-Adj'!K36+'Hollis-Adj'!K77</f>
        <v>255</v>
      </c>
      <c r="BB29" s="6">
        <f>'Hollis-Adj'!L36+'Hollis-Adj'!L77</f>
        <v>-150</v>
      </c>
      <c r="BC29" s="6">
        <f>'Hollis-Adj'!M36+'Hollis-Adj'!M77</f>
        <v>-15</v>
      </c>
      <c r="BD29" s="6">
        <f>'Hollis-Adj'!N36+'Hollis-Adj'!N77</f>
        <v>210</v>
      </c>
      <c r="BE29" s="18">
        <f>SUM(AS29:BD29)</f>
        <v>300</v>
      </c>
      <c r="BG29" s="6">
        <f>C29+AE29+AS29</f>
        <v>2482.1999999999998</v>
      </c>
      <c r="BH29" s="6">
        <f>D29+AF29+AT29</f>
        <v>2469.4</v>
      </c>
      <c r="BI29" s="6">
        <f>E29+AG29+AU29</f>
        <v>2597.4</v>
      </c>
      <c r="BJ29" s="6">
        <f>F29+AH29+AV29</f>
        <v>2821.3</v>
      </c>
      <c r="BK29" s="6">
        <f>G29+AI29+AW29</f>
        <v>2571.4</v>
      </c>
      <c r="BL29" s="6">
        <f>H29+AJ29+AX29</f>
        <v>2642.9</v>
      </c>
      <c r="BM29" s="6">
        <f>I29+AK29+AY29</f>
        <v>2658.6</v>
      </c>
      <c r="BN29" s="6">
        <f>J29+AL29+AZ29</f>
        <v>2593.1</v>
      </c>
      <c r="BO29" s="6">
        <f>K29+AM29+BA29</f>
        <v>2805.4</v>
      </c>
      <c r="BP29" s="6">
        <f>L29+AN29+BB29</f>
        <v>2609.5</v>
      </c>
      <c r="BQ29" s="6">
        <f>M29+AO29+BC29</f>
        <v>2456.6</v>
      </c>
      <c r="BR29" s="6">
        <f>N29+AP29+BD29</f>
        <v>2899.8</v>
      </c>
      <c r="BS29" s="18">
        <f>SUM(BG29:BR29)</f>
        <v>31607.599999999995</v>
      </c>
      <c r="BU29" s="6">
        <f>SUM(BG29:BO29)-SUM(C29:K29)</f>
        <v>242</v>
      </c>
      <c r="BV29" s="6">
        <f>SUM(BG29:BO29)-SUM(C52:K52)</f>
        <v>207.49999999999636</v>
      </c>
      <c r="BW29" s="6">
        <f>SUM(BG29:BO29)-SUM(C65:K65)</f>
        <v>1309.9999999999964</v>
      </c>
      <c r="BY29" s="6">
        <f>SUM(BP29:BR29)-SUM(L29:N29)</f>
        <v>6</v>
      </c>
      <c r="BZ29" s="6">
        <f>SUM(BP29:BR29)-SUM(L52:N52)</f>
        <v>50.000000000000909</v>
      </c>
      <c r="CA29" s="6">
        <f>SUM(BP29:BR29)-SUM(L65:N65)</f>
        <v>357.90000000000055</v>
      </c>
      <c r="CC29" s="6">
        <f>BS29-O29</f>
        <v>248</v>
      </c>
      <c r="CD29" s="6">
        <f>BS29-O52</f>
        <v>257.49999999999272</v>
      </c>
      <c r="CE29" s="6">
        <f>BS29-O65</f>
        <v>1667.8999999999942</v>
      </c>
    </row>
    <row r="30" spans="2:83">
      <c r="B30" s="5" t="s">
        <v>112</v>
      </c>
      <c r="C30" s="6">
        <v>-1748.5</v>
      </c>
      <c r="D30" s="6">
        <v>-1715.4</v>
      </c>
      <c r="E30" s="6">
        <v>-1847.3</v>
      </c>
      <c r="F30" s="6">
        <v>-1973.3</v>
      </c>
      <c r="G30" s="6">
        <v>-1804.3</v>
      </c>
      <c r="H30" s="6">
        <v>-1831.7</v>
      </c>
      <c r="I30" s="6">
        <v>-1817.4</v>
      </c>
      <c r="J30" s="6">
        <v>-1776.9</v>
      </c>
      <c r="K30" s="6">
        <v>-1754.2</v>
      </c>
      <c r="L30" s="6">
        <v>-1883.4</v>
      </c>
      <c r="M30" s="6">
        <v>-1691.9</v>
      </c>
      <c r="N30" s="6">
        <v>-1851.8</v>
      </c>
      <c r="O30" s="18">
        <f>SUM(C30:N30)</f>
        <v>-21696.100000000002</v>
      </c>
      <c r="Q30" s="6">
        <v>-1748.5</v>
      </c>
      <c r="R30" s="6">
        <v>-1715.4</v>
      </c>
      <c r="S30" s="6">
        <v>-1847.3</v>
      </c>
      <c r="T30" s="6">
        <v>-1973.3</v>
      </c>
      <c r="U30" s="6">
        <v>-1804.3</v>
      </c>
      <c r="V30" s="6">
        <v>-1831.7</v>
      </c>
      <c r="W30" s="6">
        <v>-1817.4</v>
      </c>
      <c r="X30" s="6">
        <v>-1776.9</v>
      </c>
      <c r="Y30" s="6">
        <v>-1745.2</v>
      </c>
      <c r="Z30" s="6">
        <v>-1874.4</v>
      </c>
      <c r="AA30" s="6">
        <v>-1682.9</v>
      </c>
      <c r="AB30" s="6">
        <v>-1842.8</v>
      </c>
      <c r="AC30" s="18">
        <f>SUM(Q30:AB30)</f>
        <v>-21660.100000000002</v>
      </c>
      <c r="AE30" s="6">
        <f>Q30-C30</f>
        <v>0</v>
      </c>
      <c r="AF30" s="6">
        <f>R30-D30</f>
        <v>0</v>
      </c>
      <c r="AG30" s="6">
        <f>S30-E30</f>
        <v>0</v>
      </c>
      <c r="AH30" s="6">
        <f>T30-F30</f>
        <v>0</v>
      </c>
      <c r="AI30" s="6">
        <f>U30-G30</f>
        <v>0</v>
      </c>
      <c r="AJ30" s="6">
        <f>V30-H30</f>
        <v>0</v>
      </c>
      <c r="AK30" s="6">
        <f>W30-I30</f>
        <v>0</v>
      </c>
      <c r="AL30" s="6">
        <f>X30-J30</f>
        <v>0</v>
      </c>
      <c r="AM30" s="6">
        <f>Y30-K30</f>
        <v>9</v>
      </c>
      <c r="AN30" s="6">
        <f>Z30-L30</f>
        <v>9</v>
      </c>
      <c r="AO30" s="6">
        <f>AA30-M30</f>
        <v>9</v>
      </c>
      <c r="AP30" s="6">
        <f>AB30-N30</f>
        <v>9</v>
      </c>
      <c r="AQ30" s="18">
        <f>SUM(AE30:AP30)</f>
        <v>36</v>
      </c>
      <c r="AS30" s="6">
        <f>-'Hollis-Adj'!C58-'Hollis-Adj'!C84</f>
        <v>0</v>
      </c>
      <c r="AT30" s="6">
        <f>-'Hollis-Adj'!D58-'Hollis-Adj'!D84</f>
        <v>0</v>
      </c>
      <c r="AU30" s="6">
        <f>-'Hollis-Adj'!E58-'Hollis-Adj'!E84</f>
        <v>0</v>
      </c>
      <c r="AV30" s="6">
        <f>-'Hollis-Adj'!F58-'Hollis-Adj'!F84</f>
        <v>0</v>
      </c>
      <c r="AW30" s="6">
        <f>-'Hollis-Adj'!G58-'Hollis-Adj'!G84</f>
        <v>0</v>
      </c>
      <c r="AX30" s="6">
        <f>-'Hollis-Adj'!H58-'Hollis-Adj'!H84</f>
        <v>0</v>
      </c>
      <c r="AY30" s="6">
        <f>-'Hollis-Adj'!I58-'Hollis-Adj'!I84</f>
        <v>0</v>
      </c>
      <c r="AZ30" s="6">
        <f>-'Hollis-Adj'!J58-'Hollis-Adj'!J84</f>
        <v>0</v>
      </c>
      <c r="BA30" s="6">
        <f>-'Hollis-Adj'!K58-'Hollis-Adj'!K84</f>
        <v>30</v>
      </c>
      <c r="BB30" s="6">
        <f>-'Hollis-Adj'!L58-'Hollis-Adj'!L84</f>
        <v>120</v>
      </c>
      <c r="BC30" s="6">
        <f>-'Hollis-Adj'!M58-'Hollis-Adj'!M84</f>
        <v>180</v>
      </c>
      <c r="BD30" s="6">
        <f>-'Hollis-Adj'!N58-'Hollis-Adj'!N84</f>
        <v>180</v>
      </c>
      <c r="BE30" s="18">
        <f>SUM(AS30:BD30)</f>
        <v>510</v>
      </c>
      <c r="BG30" s="6">
        <f>C30+AE30+AS30</f>
        <v>-1748.5</v>
      </c>
      <c r="BH30" s="6">
        <f>D30+AF30+AT30</f>
        <v>-1715.4</v>
      </c>
      <c r="BI30" s="6">
        <f>E30+AG30+AU30</f>
        <v>-1847.3</v>
      </c>
      <c r="BJ30" s="6">
        <f>F30+AH30+AV30</f>
        <v>-1973.3</v>
      </c>
      <c r="BK30" s="6">
        <f>G30+AI30+AW30</f>
        <v>-1804.3</v>
      </c>
      <c r="BL30" s="6">
        <f>H30+AJ30+AX30</f>
        <v>-1831.7</v>
      </c>
      <c r="BM30" s="6">
        <f>I30+AK30+AY30</f>
        <v>-1817.4</v>
      </c>
      <c r="BN30" s="6">
        <f>J30+AL30+AZ30</f>
        <v>-1776.9</v>
      </c>
      <c r="BO30" s="6">
        <f>K30+AM30+BA30</f>
        <v>-1715.2</v>
      </c>
      <c r="BP30" s="6">
        <f>L30+AN30+BB30</f>
        <v>-1754.4</v>
      </c>
      <c r="BQ30" s="6">
        <f>M30+AO30+BC30</f>
        <v>-1502.9</v>
      </c>
      <c r="BR30" s="6">
        <f>N30+AP30+BD30</f>
        <v>-1662.8</v>
      </c>
      <c r="BS30" s="18">
        <f>SUM(BG30:BR30)</f>
        <v>-21150.100000000002</v>
      </c>
      <c r="BU30" s="6">
        <f>SUM(BG30:BO30)-SUM(C30:K30)</f>
        <v>39</v>
      </c>
      <c r="BV30" s="6">
        <f>SUM(BG30:BO30)-SUM(C53:K53)</f>
        <v>215.70000000000073</v>
      </c>
      <c r="BW30" s="6">
        <f>SUM(BG30:BO30)-SUM(C66:K66)</f>
        <v>-267.19999999999891</v>
      </c>
      <c r="BY30" s="6">
        <f>SUM(BP30:BR30)-SUM(L30:N30)</f>
        <v>507</v>
      </c>
      <c r="BZ30" s="6">
        <f>SUM(BP30:BR30)-SUM(L53:N53)</f>
        <v>635.29999999999927</v>
      </c>
      <c r="CA30" s="6">
        <f>SUM(BP30:BR30)-SUM(L66:N66)</f>
        <v>463.59999999999945</v>
      </c>
      <c r="CC30" s="6">
        <f>BS30-O30</f>
        <v>546</v>
      </c>
      <c r="CD30" s="6">
        <f>BS30-O53</f>
        <v>851</v>
      </c>
      <c r="CE30" s="6">
        <f>BS30-O66</f>
        <v>196.39999999999782</v>
      </c>
    </row>
    <row r="31" spans="2:83">
      <c r="B31" s="2" t="s">
        <v>113</v>
      </c>
      <c r="C31" s="6">
        <f>C29+C30</f>
        <v>733.69999999999982</v>
      </c>
      <c r="D31" s="6">
        <f>D29+D30</f>
        <v>754</v>
      </c>
      <c r="E31" s="6">
        <f>E29+E30</f>
        <v>750.10000000000014</v>
      </c>
      <c r="F31" s="6">
        <f>F29+F30</f>
        <v>848.00000000000023</v>
      </c>
      <c r="G31" s="6">
        <f>G29+G30</f>
        <v>767.10000000000014</v>
      </c>
      <c r="H31" s="6">
        <f>H29+H30</f>
        <v>811.2</v>
      </c>
      <c r="I31" s="6">
        <f>I29+I30</f>
        <v>841.19999999999982</v>
      </c>
      <c r="J31" s="6">
        <f>J29+J30</f>
        <v>816.19999999999982</v>
      </c>
      <c r="K31" s="6">
        <f>K29+K30</f>
        <v>809.2</v>
      </c>
      <c r="L31" s="6">
        <f>L29+L30</f>
        <v>889.09999999999991</v>
      </c>
      <c r="M31" s="6">
        <f>M29+M30</f>
        <v>792.69999999999982</v>
      </c>
      <c r="N31" s="6">
        <f>N29+N30</f>
        <v>851.00000000000023</v>
      </c>
      <c r="O31" s="18">
        <f>SUM(C31:N31)</f>
        <v>9663.5</v>
      </c>
      <c r="Q31" s="6">
        <f>Q29+Q30</f>
        <v>733.69999999999982</v>
      </c>
      <c r="R31" s="6">
        <f>R29+R30</f>
        <v>754</v>
      </c>
      <c r="S31" s="6">
        <f>S29+S30</f>
        <v>750.10000000000014</v>
      </c>
      <c r="T31" s="6">
        <f>T29+T30</f>
        <v>848.00000000000023</v>
      </c>
      <c r="U31" s="6">
        <f>U29+U30</f>
        <v>767.10000000000014</v>
      </c>
      <c r="V31" s="6">
        <f>V29+V30</f>
        <v>811.2</v>
      </c>
      <c r="W31" s="6">
        <f>W29+W30</f>
        <v>841.19999999999982</v>
      </c>
      <c r="X31" s="6">
        <f>X29+X30</f>
        <v>816.19999999999982</v>
      </c>
      <c r="Y31" s="6">
        <f>Y29+Y30</f>
        <v>805.2</v>
      </c>
      <c r="Z31" s="6">
        <f>Z29+Z30</f>
        <v>885.09999999999991</v>
      </c>
      <c r="AA31" s="6">
        <f>AA29+AA30</f>
        <v>788.69999999999982</v>
      </c>
      <c r="AB31" s="6">
        <f>AB29+AB30</f>
        <v>847.00000000000023</v>
      </c>
      <c r="AC31" s="18">
        <f>SUM(Q31:AB31)</f>
        <v>9647.5</v>
      </c>
      <c r="AE31" s="6">
        <f>AE29+AE30</f>
        <v>0</v>
      </c>
      <c r="AF31" s="6">
        <f>AF29+AF30</f>
        <v>0</v>
      </c>
      <c r="AG31" s="6">
        <f>AG29+AG30</f>
        <v>0</v>
      </c>
      <c r="AH31" s="6">
        <f>AH29+AH30</f>
        <v>0</v>
      </c>
      <c r="AI31" s="6">
        <f>AI29+AI30</f>
        <v>0</v>
      </c>
      <c r="AJ31" s="6">
        <f>AJ29+AJ30</f>
        <v>0</v>
      </c>
      <c r="AK31" s="6">
        <f>AK29+AK30</f>
        <v>0</v>
      </c>
      <c r="AL31" s="6">
        <f>AL29+AL30</f>
        <v>0</v>
      </c>
      <c r="AM31" s="6">
        <f>AM29+AM30</f>
        <v>-4</v>
      </c>
      <c r="AN31" s="6">
        <f>AN29+AN30</f>
        <v>-4</v>
      </c>
      <c r="AO31" s="6">
        <f>AO29+AO30</f>
        <v>-4</v>
      </c>
      <c r="AP31" s="6">
        <f>AP29+AP30</f>
        <v>-4</v>
      </c>
      <c r="AQ31" s="18">
        <f>SUM(AE31:AP31)</f>
        <v>-16</v>
      </c>
      <c r="AS31" s="6">
        <f>AS29+AS30</f>
        <v>0</v>
      </c>
      <c r="AT31" s="6">
        <f>AT29+AT30</f>
        <v>0</v>
      </c>
      <c r="AU31" s="6">
        <f>AU29+AU30</f>
        <v>0</v>
      </c>
      <c r="AV31" s="6">
        <f>AV29+AV30</f>
        <v>0</v>
      </c>
      <c r="AW31" s="6">
        <f>AW29+AW30</f>
        <v>0</v>
      </c>
      <c r="AX31" s="6">
        <f>AX29+AX30</f>
        <v>0</v>
      </c>
      <c r="AY31" s="6">
        <f>AY29+AY30</f>
        <v>0</v>
      </c>
      <c r="AZ31" s="6">
        <f>AZ29+AZ30</f>
        <v>0</v>
      </c>
      <c r="BA31" s="6">
        <f>BA29+BA30</f>
        <v>285</v>
      </c>
      <c r="BB31" s="6">
        <f>BB29+BB30</f>
        <v>-30</v>
      </c>
      <c r="BC31" s="6">
        <f>BC29+BC30</f>
        <v>165</v>
      </c>
      <c r="BD31" s="6">
        <f>BD29+BD30</f>
        <v>390</v>
      </c>
      <c r="BE31" s="18">
        <f>SUM(AS31:BD31)</f>
        <v>810</v>
      </c>
      <c r="BG31" s="6">
        <f>BG29+BG30</f>
        <v>733.69999999999982</v>
      </c>
      <c r="BH31" s="6">
        <f>BH29+BH30</f>
        <v>754</v>
      </c>
      <c r="BI31" s="6">
        <f>BI29+BI30</f>
        <v>750.10000000000014</v>
      </c>
      <c r="BJ31" s="6">
        <f>BJ29+BJ30</f>
        <v>848.00000000000023</v>
      </c>
      <c r="BK31" s="6">
        <f>BK29+BK30</f>
        <v>767.10000000000014</v>
      </c>
      <c r="BL31" s="6">
        <f>BL29+BL30</f>
        <v>811.2</v>
      </c>
      <c r="BM31" s="6">
        <f>BM29+BM30</f>
        <v>841.19999999999982</v>
      </c>
      <c r="BN31" s="6">
        <f>BN29+BN30</f>
        <v>816.19999999999982</v>
      </c>
      <c r="BO31" s="6">
        <f>BO29+BO30</f>
        <v>1090.2</v>
      </c>
      <c r="BP31" s="6">
        <f>BP29+BP30</f>
        <v>855.09999999999991</v>
      </c>
      <c r="BQ31" s="6">
        <f>BQ29+BQ30</f>
        <v>953.69999999999982</v>
      </c>
      <c r="BR31" s="6">
        <f>BR29+BR30</f>
        <v>1237.0000000000002</v>
      </c>
      <c r="BS31" s="18">
        <f>SUM(BG31:BR31)</f>
        <v>10457.5</v>
      </c>
      <c r="BU31" s="6">
        <f>SUM(BG31:BO31)-SUM(C31:K31)</f>
        <v>281</v>
      </c>
      <c r="BV31" s="6">
        <f>SUM(BG31:BO31)-SUM(C54:K54)</f>
        <v>423.19999999999982</v>
      </c>
      <c r="BW31" s="6">
        <f>SUM(BG31:BO31)-SUM(C67:K67)</f>
        <v>1042.8000000000002</v>
      </c>
      <c r="BY31" s="6">
        <f>SUM(BP31:BR31)-SUM(L31:N31)</f>
        <v>513</v>
      </c>
      <c r="BZ31" s="6">
        <f>SUM(BP31:BR31)-SUM(L54:N54)</f>
        <v>685.30000000000018</v>
      </c>
      <c r="CA31" s="6">
        <f>SUM(BP31:BR31)-SUM(L67:N67)</f>
        <v>821.5</v>
      </c>
      <c r="CC31" s="6">
        <f>BS31-O31</f>
        <v>794</v>
      </c>
      <c r="CD31" s="6">
        <f>BS31-O54</f>
        <v>1108.5</v>
      </c>
      <c r="CE31" s="6">
        <f>BS31-O67</f>
        <v>1864.2999999999993</v>
      </c>
    </row>
    <row r="35" spans="2:71">
      <c r="B35" s="5" t="s">
        <v>166</v>
      </c>
      <c r="C35" s="12">
        <f>IFERROR(C29/C28,0)</f>
        <v>0.28136795928314762</v>
      </c>
      <c r="D35" s="12">
        <f>IFERROR(D29/D28,0)</f>
        <v>0.28435877062677767</v>
      </c>
      <c r="E35" s="12">
        <f>IFERROR(E29/E28,0)</f>
        <v>0.28111606563054675</v>
      </c>
      <c r="F35" s="12">
        <f>IFERROR(F29/F28,0)</f>
        <v>0.28390154564482373</v>
      </c>
      <c r="G35" s="12">
        <f>IFERROR(G29/G28,0)</f>
        <v>0.28006317050590862</v>
      </c>
      <c r="H35" s="12">
        <f>IFERROR(H29/H28,0)</f>
        <v>0.28049116997792495</v>
      </c>
      <c r="I35" s="12">
        <f>IFERROR(I29/I28,0)</f>
        <v>0.27986441534380391</v>
      </c>
      <c r="J35" s="12">
        <f>IFERROR(J29/J28,0)</f>
        <v>0.28068105557119044</v>
      </c>
      <c r="K35" s="12">
        <f>IFERROR(K29/K28,0)</f>
        <v>0.28055160337090951</v>
      </c>
      <c r="L35" s="12">
        <f>IFERROR(L29/L28,0)</f>
        <v>0.28364622231316178</v>
      </c>
      <c r="M35" s="12">
        <f>IFERROR(M29/M28,0)</f>
        <v>0.28177415879424339</v>
      </c>
      <c r="N35" s="12">
        <f>IFERROR(N29/N28,0)</f>
        <v>0.28136874212723434</v>
      </c>
      <c r="O35" s="12">
        <f>IFERROR(O29/O28,0)</f>
        <v>0.2816045919375289</v>
      </c>
      <c r="Q35" s="12">
        <f>IFERROR(Q29/Q28,0)</f>
        <v>0.28136795928314762</v>
      </c>
      <c r="R35" s="12">
        <f>IFERROR(R29/R28,0)</f>
        <v>0.28435877062677767</v>
      </c>
      <c r="S35" s="12">
        <f>IFERROR(S29/S28,0)</f>
        <v>0.28111606563054675</v>
      </c>
      <c r="T35" s="12">
        <f>IFERROR(T29/T28,0)</f>
        <v>0.28390154564482373</v>
      </c>
      <c r="U35" s="12">
        <f>IFERROR(U29/U28,0)</f>
        <v>0.28006317050590862</v>
      </c>
      <c r="V35" s="12">
        <f>IFERROR(V29/V28,0)</f>
        <v>0.28049116997792495</v>
      </c>
      <c r="W35" s="12">
        <f>IFERROR(W29/W28,0)</f>
        <v>0.27986441534380391</v>
      </c>
      <c r="X35" s="12">
        <f>IFERROR(X29/X28,0)</f>
        <v>0.28068105557119044</v>
      </c>
      <c r="Y35" s="12">
        <f>IFERROR(Y29/Y28,0)</f>
        <v>0.28051033875934889</v>
      </c>
      <c r="Z35" s="12">
        <f>IFERROR(Z29/Z28,0)</f>
        <v>0.28362197440772907</v>
      </c>
      <c r="AA35" s="12">
        <f>IFERROR(AA29/AA28,0)</f>
        <v>0.28173766343315054</v>
      </c>
      <c r="AB35" s="12">
        <f>IFERROR(AB29/AB28,0)</f>
        <v>0.28133334727902187</v>
      </c>
      <c r="AC35" s="12">
        <f>IFERROR(AC29/AC28,0)</f>
        <v>0.28159279873071152</v>
      </c>
      <c r="AE35" s="12">
        <f>IFERROR(AE29/AE28,0)</f>
        <v>0</v>
      </c>
      <c r="AF35" s="12">
        <f>IFERROR(AF29/AF28,0)</f>
        <v>0</v>
      </c>
      <c r="AG35" s="12">
        <f>IFERROR(AG29/AG28,0)</f>
        <v>0</v>
      </c>
      <c r="AH35" s="12">
        <f>IFERROR(AH29/AH28,0)</f>
        <v>0</v>
      </c>
      <c r="AI35" s="12">
        <f>IFERROR(AI29/AI28,0)</f>
        <v>0</v>
      </c>
      <c r="AJ35" s="12">
        <f>IFERROR(AJ29/AJ28,0)</f>
        <v>0</v>
      </c>
      <c r="AK35" s="12">
        <f>IFERROR(AK29/AK28,0)</f>
        <v>0</v>
      </c>
      <c r="AL35" s="12">
        <f>IFERROR(AL29/AL28,0)</f>
        <v>0</v>
      </c>
      <c r="AM35" s="12">
        <f>IFERROR(AM29/AM28,0)</f>
        <v>0.28888888888888886</v>
      </c>
      <c r="AN35" s="12">
        <f>IFERROR(AN29/AN28,0)</f>
        <v>0.28888888888888886</v>
      </c>
      <c r="AO35" s="12">
        <f>IFERROR(AO29/AO28,0)</f>
        <v>0.28888888888888886</v>
      </c>
      <c r="AP35" s="12">
        <f>IFERROR(AP29/AP28,0)</f>
        <v>0.28888888888888886</v>
      </c>
      <c r="AQ35" s="12">
        <f>IFERROR(AQ29/AQ28,0)</f>
        <v>0.28888888888888886</v>
      </c>
      <c r="AS35" s="12">
        <f>IFERROR(AS29/AS28,0)</f>
        <v>0</v>
      </c>
      <c r="AT35" s="12">
        <f>IFERROR(AT29/AT28,0)</f>
        <v>0</v>
      </c>
      <c r="AU35" s="12">
        <f>IFERROR(AU29/AU28,0)</f>
        <v>0</v>
      </c>
      <c r="AV35" s="12">
        <f>IFERROR(AV29/AV28,0)</f>
        <v>0</v>
      </c>
      <c r="AW35" s="12">
        <f>IFERROR(AW29/AW28,0)</f>
        <v>0</v>
      </c>
      <c r="AX35" s="12">
        <f>IFERROR(AX29/AX28,0)</f>
        <v>0</v>
      </c>
      <c r="AY35" s="12">
        <f>IFERROR(AY29/AY28,0)</f>
        <v>0</v>
      </c>
      <c r="AZ35" s="12">
        <f>IFERROR(AZ29/AZ28,0)</f>
        <v>0</v>
      </c>
      <c r="BA35" s="12">
        <f>IFERROR(BA29/BA28,0)</f>
        <v>0.15</v>
      </c>
      <c r="BB35" s="12">
        <f>IFERROR(BB29/BB28,0)</f>
        <v>0.15</v>
      </c>
      <c r="BC35" s="12">
        <f>IFERROR(BC29/BC28,0)</f>
        <v>3.7499999999999999E-2</v>
      </c>
      <c r="BD35" s="12">
        <f>IFERROR(BD29/BD28,0)</f>
        <v>0.7</v>
      </c>
      <c r="BE35" s="12">
        <f>IFERROR(BE29/BE28,0)</f>
        <v>0.5</v>
      </c>
      <c r="BG35" s="12">
        <f>IFERROR(BG29/BG28,0)</f>
        <v>0.28136795928314762</v>
      </c>
      <c r="BH35" s="12">
        <f>IFERROR(BH29/BH28,0)</f>
        <v>0.28435877062677767</v>
      </c>
      <c r="BI35" s="12">
        <f>IFERROR(BI29/BI28,0)</f>
        <v>0.28111606563054675</v>
      </c>
      <c r="BJ35" s="12">
        <f>IFERROR(BJ29/BJ28,0)</f>
        <v>0.28390154564482373</v>
      </c>
      <c r="BK35" s="12">
        <f>IFERROR(BK29/BK28,0)</f>
        <v>0.28006317050590862</v>
      </c>
      <c r="BL35" s="12">
        <f>IFERROR(BL29/BL28,0)</f>
        <v>0.28049116997792495</v>
      </c>
      <c r="BM35" s="12">
        <f>IFERROR(BM29/BM28,0)</f>
        <v>0.27986441534380391</v>
      </c>
      <c r="BN35" s="12">
        <f>IFERROR(BN29/BN28,0)</f>
        <v>0.28068105557119044</v>
      </c>
      <c r="BO35" s="12">
        <f>IFERROR(BO29/BO28,0)</f>
        <v>0.25995181616011859</v>
      </c>
      <c r="BP35" s="12">
        <f>IFERROR(BP29/BP28,0)</f>
        <v>0.29892891918208375</v>
      </c>
      <c r="BQ35" s="12">
        <f>IFERROR(BQ29/BQ28,0)</f>
        <v>0.29340595029082611</v>
      </c>
      <c r="BR35" s="12">
        <f>IFERROR(BR29/BR28,0)</f>
        <v>0.29407052094636393</v>
      </c>
      <c r="BS35" s="12">
        <f>IFERROR(BS29/BS28,0)</f>
        <v>0.28276513592722874</v>
      </c>
    </row>
    <row r="36" spans="2:71">
      <c r="B36" s="5" t="s">
        <v>167</v>
      </c>
      <c r="C36" s="12">
        <f>IFERROR(C30/C28,0)</f>
        <v>-0.19819993425452567</v>
      </c>
      <c r="D36" s="12">
        <f>IFERROR(D30/D28,0)</f>
        <v>-0.19753342315265832</v>
      </c>
      <c r="E36" s="12">
        <f>IFERROR(E30/E28,0)</f>
        <v>-0.19993289752803151</v>
      </c>
      <c r="F36" s="12">
        <f>IFERROR(F30/F28,0)</f>
        <v>-0.19856907100305907</v>
      </c>
      <c r="G36" s="12">
        <f>IFERROR(G30/G28,0)</f>
        <v>-0.1965147307084899</v>
      </c>
      <c r="H36" s="12">
        <f>IFERROR(H30/H28,0)</f>
        <v>-0.19439845474613687</v>
      </c>
      <c r="I36" s="12">
        <f>IFERROR(I30/I28,0)</f>
        <v>-0.19131331845551391</v>
      </c>
      <c r="J36" s="12">
        <f>IFERROR(J30/J28,0)</f>
        <v>-0.19233433637131167</v>
      </c>
      <c r="K36" s="12">
        <f>IFERROR(K30/K28,0)</f>
        <v>-0.19198861770821934</v>
      </c>
      <c r="L36" s="12">
        <f>IFERROR(L30/L28,0)</f>
        <v>-0.19268504782853343</v>
      </c>
      <c r="M36" s="12">
        <f>IFERROR(M30/M28,0)</f>
        <v>-0.1918754323689851</v>
      </c>
      <c r="N36" s="12">
        <f>IFERROR(N30/N28,0)</f>
        <v>-0.19277735558354761</v>
      </c>
      <c r="O36" s="12">
        <f>IFERROR(O30/O28,0)</f>
        <v>-0.19482778438295842</v>
      </c>
      <c r="Q36" s="12">
        <f>IFERROR(Q30/Q28,0)</f>
        <v>-0.19819993425452567</v>
      </c>
      <c r="R36" s="12">
        <f>IFERROR(R30/R28,0)</f>
        <v>-0.19753342315265832</v>
      </c>
      <c r="S36" s="12">
        <f>IFERROR(S30/S28,0)</f>
        <v>-0.19993289752803151</v>
      </c>
      <c r="T36" s="12">
        <f>IFERROR(T30/T28,0)</f>
        <v>-0.19856907100305907</v>
      </c>
      <c r="U36" s="12">
        <f>IFERROR(U30/U28,0)</f>
        <v>-0.1965147307084899</v>
      </c>
      <c r="V36" s="12">
        <f>IFERROR(V30/V28,0)</f>
        <v>-0.19439845474613687</v>
      </c>
      <c r="W36" s="12">
        <f>IFERROR(W30/W28,0)</f>
        <v>-0.19131331845551391</v>
      </c>
      <c r="X36" s="12">
        <f>IFERROR(X30/X28,0)</f>
        <v>-0.19233433637131167</v>
      </c>
      <c r="Y36" s="12">
        <f>IFERROR(Y30/Y28,0)</f>
        <v>-0.19194896612406512</v>
      </c>
      <c r="Z36" s="12">
        <f>IFERROR(Z30/Z28,0)</f>
        <v>-0.19265121537591862</v>
      </c>
      <c r="AA36" s="12">
        <f>IFERROR(AA30/AA28,0)</f>
        <v>-0.19183375699613572</v>
      </c>
      <c r="AB36" s="12">
        <f>IFERROR(AB30/AB28,0)</f>
        <v>-0.19274336098066083</v>
      </c>
      <c r="AC36" s="12">
        <f>IFERROR(AC30/AC28,0)</f>
        <v>-0.19481941061554017</v>
      </c>
      <c r="AE36" s="12">
        <f>IFERROR(AE30/AE28,0)</f>
        <v>0</v>
      </c>
      <c r="AF36" s="12">
        <f>IFERROR(AF30/AF28,0)</f>
        <v>0</v>
      </c>
      <c r="AG36" s="12">
        <f>IFERROR(AG30/AG28,0)</f>
        <v>0</v>
      </c>
      <c r="AH36" s="12">
        <f>IFERROR(AH30/AH28,0)</f>
        <v>0</v>
      </c>
      <c r="AI36" s="12">
        <f>IFERROR(AI30/AI28,0)</f>
        <v>0</v>
      </c>
      <c r="AJ36" s="12">
        <f>IFERROR(AJ30/AJ28,0)</f>
        <v>0</v>
      </c>
      <c r="AK36" s="12">
        <f>IFERROR(AK30/AK28,0)</f>
        <v>0</v>
      </c>
      <c r="AL36" s="12">
        <f>IFERROR(AL30/AL28,0)</f>
        <v>0</v>
      </c>
      <c r="AM36" s="12">
        <f>IFERROR(AM30/AM28,0)</f>
        <v>-0.2</v>
      </c>
      <c r="AN36" s="12">
        <f>IFERROR(AN30/AN28,0)</f>
        <v>-0.2</v>
      </c>
      <c r="AO36" s="12">
        <f>IFERROR(AO30/AO28,0)</f>
        <v>-0.2</v>
      </c>
      <c r="AP36" s="12">
        <f>IFERROR(AP30/AP28,0)</f>
        <v>-0.2</v>
      </c>
      <c r="AQ36" s="12">
        <f>IFERROR(AQ30/AQ28,0)</f>
        <v>-0.2</v>
      </c>
      <c r="AS36" s="12">
        <f>IFERROR(AS30/AS28,0)</f>
        <v>0</v>
      </c>
      <c r="AT36" s="12">
        <f>IFERROR(AT30/AT28,0)</f>
        <v>0</v>
      </c>
      <c r="AU36" s="12">
        <f>IFERROR(AU30/AU28,0)</f>
        <v>0</v>
      </c>
      <c r="AV36" s="12">
        <f>IFERROR(AV30/AV28,0)</f>
        <v>0</v>
      </c>
      <c r="AW36" s="12">
        <f>IFERROR(AW30/AW28,0)</f>
        <v>0</v>
      </c>
      <c r="AX36" s="12">
        <f>IFERROR(AX30/AX28,0)</f>
        <v>0</v>
      </c>
      <c r="AY36" s="12">
        <f>IFERROR(AY30/AY28,0)</f>
        <v>0</v>
      </c>
      <c r="AZ36" s="12">
        <f>IFERROR(AZ30/AZ28,0)</f>
        <v>0</v>
      </c>
      <c r="BA36" s="12">
        <f>IFERROR(BA30/BA28,0)</f>
        <v>1.7647058823529412E-2</v>
      </c>
      <c r="BB36" s="12">
        <f>IFERROR(BB30/BB28,0)</f>
        <v>-0.12</v>
      </c>
      <c r="BC36" s="12">
        <f>IFERROR(BC30/BC28,0)</f>
        <v>-0.45</v>
      </c>
      <c r="BD36" s="12">
        <f>IFERROR(BD30/BD28,0)</f>
        <v>0.6</v>
      </c>
      <c r="BE36" s="12">
        <f>IFERROR(BE30/BE28,0)</f>
        <v>0.85</v>
      </c>
      <c r="BG36" s="12">
        <f>IFERROR(BG30/BG28,0)</f>
        <v>-0.19819993425452567</v>
      </c>
      <c r="BH36" s="12">
        <f>IFERROR(BH30/BH28,0)</f>
        <v>-0.19753342315265832</v>
      </c>
      <c r="BI36" s="12">
        <f>IFERROR(BI30/BI28,0)</f>
        <v>-0.19993289752803151</v>
      </c>
      <c r="BJ36" s="12">
        <f>IFERROR(BJ30/BJ28,0)</f>
        <v>-0.19856907100305907</v>
      </c>
      <c r="BK36" s="12">
        <f>IFERROR(BK30/BK28,0)</f>
        <v>-0.1965147307084899</v>
      </c>
      <c r="BL36" s="12">
        <f>IFERROR(BL30/BL28,0)</f>
        <v>-0.19439845474613687</v>
      </c>
      <c r="BM36" s="12">
        <f>IFERROR(BM30/BM28,0)</f>
        <v>-0.19131331845551391</v>
      </c>
      <c r="BN36" s="12">
        <f>IFERROR(BN30/BN28,0)</f>
        <v>-0.19233433637131167</v>
      </c>
      <c r="BO36" s="12">
        <f>IFERROR(BO30/BO28,0)</f>
        <v>-0.15893254262416606</v>
      </c>
      <c r="BP36" s="12">
        <f>IFERROR(BP30/BP28,0)</f>
        <v>-0.20097370983446933</v>
      </c>
      <c r="BQ36" s="12">
        <f>IFERROR(BQ30/BQ28,0)</f>
        <v>-0.17950004180252488</v>
      </c>
      <c r="BR36" s="12">
        <f>IFERROR(BR30/BR28,0)</f>
        <v>-0.16862558184344228</v>
      </c>
      <c r="BS36" s="12">
        <f>IFERROR(BS30/BS28,0)</f>
        <v>-0.18921116761077975</v>
      </c>
    </row>
    <row r="37" spans="2:71">
      <c r="B37" s="5" t="s">
        <v>168</v>
      </c>
      <c r="C37" s="12">
        <f>IFERROR(C31/C28,0)</f>
        <v>8.3168025028621931E-2</v>
      </c>
      <c r="D37" s="12">
        <f>IFERROR(D31/D28,0)</f>
        <v>8.6825347474119366E-2</v>
      </c>
      <c r="E37" s="12">
        <f>IFERROR(E31/E28,0)</f>
        <v>8.1183168102515274E-2</v>
      </c>
      <c r="F37" s="12">
        <f>IFERROR(F31/F28,0)</f>
        <v>8.5332474641764633E-2</v>
      </c>
      <c r="G37" s="12">
        <f>IFERROR(G31/G28,0)</f>
        <v>8.354843979741873E-2</v>
      </c>
      <c r="H37" s="12">
        <f>IFERROR(H31/H28,0)</f>
        <v>8.6092715231788089E-2</v>
      </c>
      <c r="I37" s="12">
        <f>IFERROR(I31/I28,0)</f>
        <v>8.8551096888290007E-2</v>
      </c>
      <c r="J37" s="12">
        <f>IFERROR(J31/J28,0)</f>
        <v>8.8346719199878743E-2</v>
      </c>
      <c r="K37" s="12">
        <f>IFERROR(K31/K28,0)</f>
        <v>8.8562985662690163E-2</v>
      </c>
      <c r="L37" s="12">
        <f>IFERROR(L31/L28,0)</f>
        <v>9.0961174484628357E-2</v>
      </c>
      <c r="M37" s="12">
        <f>IFERROR(M31/M28,0)</f>
        <v>8.9898726425258257E-2</v>
      </c>
      <c r="N37" s="12">
        <f>IFERROR(N31/N28,0)</f>
        <v>8.8591386543686715E-2</v>
      </c>
      <c r="O37" s="12">
        <f>IFERROR(O31/O28,0)</f>
        <v>8.6776807554570567E-2</v>
      </c>
      <c r="Q37" s="12">
        <f>IFERROR(Q31/Q28,0)</f>
        <v>8.3168025028621931E-2</v>
      </c>
      <c r="R37" s="12">
        <f>IFERROR(R31/R28,0)</f>
        <v>8.6825347474119366E-2</v>
      </c>
      <c r="S37" s="12">
        <f>IFERROR(S31/S28,0)</f>
        <v>8.1183168102515274E-2</v>
      </c>
      <c r="T37" s="12">
        <f>IFERROR(T31/T28,0)</f>
        <v>8.5332474641764633E-2</v>
      </c>
      <c r="U37" s="12">
        <f>IFERROR(U31/U28,0)</f>
        <v>8.354843979741873E-2</v>
      </c>
      <c r="V37" s="12">
        <f>IFERROR(V31/V28,0)</f>
        <v>8.6092715231788089E-2</v>
      </c>
      <c r="W37" s="12">
        <f>IFERROR(W31/W28,0)</f>
        <v>8.8551096888290007E-2</v>
      </c>
      <c r="X37" s="12">
        <f>IFERROR(X31/X28,0)</f>
        <v>8.8346719199878743E-2</v>
      </c>
      <c r="Y37" s="12">
        <f>IFERROR(Y31/Y28,0)</f>
        <v>8.8561372635283769E-2</v>
      </c>
      <c r="Z37" s="12">
        <f>IFERROR(Z31/Z28,0)</f>
        <v>9.0970759031810469E-2</v>
      </c>
      <c r="AA37" s="12">
        <f>IFERROR(AA31/AA28,0)</f>
        <v>8.9903906437014805E-2</v>
      </c>
      <c r="AB37" s="12">
        <f>IFERROR(AB31/AB28,0)</f>
        <v>8.8589986298361054E-2</v>
      </c>
      <c r="AC37" s="12">
        <f>IFERROR(AC31/AC28,0)</f>
        <v>8.6773388115171379E-2</v>
      </c>
      <c r="AE37" s="12">
        <f>IFERROR(AE31/AE28,0)</f>
        <v>0</v>
      </c>
      <c r="AF37" s="12">
        <f>IFERROR(AF31/AF28,0)</f>
        <v>0</v>
      </c>
      <c r="AG37" s="12">
        <f>IFERROR(AG31/AG28,0)</f>
        <v>0</v>
      </c>
      <c r="AH37" s="12">
        <f>IFERROR(AH31/AH28,0)</f>
        <v>0</v>
      </c>
      <c r="AI37" s="12">
        <f>IFERROR(AI31/AI28,0)</f>
        <v>0</v>
      </c>
      <c r="AJ37" s="12">
        <f>IFERROR(AJ31/AJ28,0)</f>
        <v>0</v>
      </c>
      <c r="AK37" s="12">
        <f>IFERROR(AK31/AK28,0)</f>
        <v>0</v>
      </c>
      <c r="AL37" s="12">
        <f>IFERROR(AL31/AL28,0)</f>
        <v>0</v>
      </c>
      <c r="AM37" s="12">
        <f>IFERROR(AM31/AM28,0)</f>
        <v>8.8888888888888892E-2</v>
      </c>
      <c r="AN37" s="12">
        <f>IFERROR(AN31/AN28,0)</f>
        <v>8.8888888888888892E-2</v>
      </c>
      <c r="AO37" s="12">
        <f>IFERROR(AO31/AO28,0)</f>
        <v>8.8888888888888892E-2</v>
      </c>
      <c r="AP37" s="12">
        <f>IFERROR(AP31/AP28,0)</f>
        <v>8.8888888888888892E-2</v>
      </c>
      <c r="AQ37" s="12">
        <f>IFERROR(AQ31/AQ28,0)</f>
        <v>8.8888888888888892E-2</v>
      </c>
      <c r="AS37" s="12">
        <f>IFERROR(AS31/AS28,0)</f>
        <v>0</v>
      </c>
      <c r="AT37" s="12">
        <f>IFERROR(AT31/AT28,0)</f>
        <v>0</v>
      </c>
      <c r="AU37" s="12">
        <f>IFERROR(AU31/AU28,0)</f>
        <v>0</v>
      </c>
      <c r="AV37" s="12">
        <f>IFERROR(AV31/AV28,0)</f>
        <v>0</v>
      </c>
      <c r="AW37" s="12">
        <f>IFERROR(AW31/AW28,0)</f>
        <v>0</v>
      </c>
      <c r="AX37" s="12">
        <f>IFERROR(AX31/AX28,0)</f>
        <v>0</v>
      </c>
      <c r="AY37" s="12">
        <f>IFERROR(AY31/AY28,0)</f>
        <v>0</v>
      </c>
      <c r="AZ37" s="12">
        <f>IFERROR(AZ31/AZ28,0)</f>
        <v>0</v>
      </c>
      <c r="BA37" s="12">
        <f>IFERROR(BA31/BA28,0)</f>
        <v>0.1676470588235294</v>
      </c>
      <c r="BB37" s="12">
        <f>IFERROR(BB31/BB28,0)</f>
        <v>0.03</v>
      </c>
      <c r="BC37" s="12">
        <f>IFERROR(BC31/BC28,0)</f>
        <v>-0.41249999999999998</v>
      </c>
      <c r="BD37" s="12">
        <f>IFERROR(BD31/BD28,0)</f>
        <v>1.3</v>
      </c>
      <c r="BE37" s="12">
        <f>IFERROR(BE31/BE28,0)</f>
        <v>1.35</v>
      </c>
      <c r="BG37" s="12">
        <f>IFERROR(BG31/BG28,0)</f>
        <v>8.3168025028621931E-2</v>
      </c>
      <c r="BH37" s="12">
        <f>IFERROR(BH31/BH28,0)</f>
        <v>8.6825347474119366E-2</v>
      </c>
      <c r="BI37" s="12">
        <f>IFERROR(BI31/BI28,0)</f>
        <v>8.1183168102515274E-2</v>
      </c>
      <c r="BJ37" s="12">
        <f>IFERROR(BJ31/BJ28,0)</f>
        <v>8.5332474641764633E-2</v>
      </c>
      <c r="BK37" s="12">
        <f>IFERROR(BK31/BK28,0)</f>
        <v>8.354843979741873E-2</v>
      </c>
      <c r="BL37" s="12">
        <f>IFERROR(BL31/BL28,0)</f>
        <v>8.6092715231788089E-2</v>
      </c>
      <c r="BM37" s="12">
        <f>IFERROR(BM31/BM28,0)</f>
        <v>8.8551096888290007E-2</v>
      </c>
      <c r="BN37" s="12">
        <f>IFERROR(BN31/BN28,0)</f>
        <v>8.8346719199878743E-2</v>
      </c>
      <c r="BO37" s="12">
        <f>IFERROR(BO31/BO28,0)</f>
        <v>0.10101927353595257</v>
      </c>
      <c r="BP37" s="12">
        <f>IFERROR(BP31/BP28,0)</f>
        <v>9.7955209347614397E-2</v>
      </c>
      <c r="BQ37" s="12">
        <f>IFERROR(BQ31/BQ28,0)</f>
        <v>0.11390590848830123</v>
      </c>
      <c r="BR37" s="12">
        <f>IFERROR(BR31/BR28,0)</f>
        <v>0.12544493910292168</v>
      </c>
      <c r="BS37" s="12">
        <f>IFERROR(BS31/BS28,0)</f>
        <v>9.3553968316449049E-2</v>
      </c>
    </row>
    <row r="38" spans="2:71">
      <c r="B38" s="5" t="s">
        <v>169</v>
      </c>
      <c r="C38" s="6">
        <f>IFERROR(C28/21,0)</f>
        <v>420.09047619047618</v>
      </c>
      <c r="D38" s="6">
        <f>IFERROR(D28/20,0)</f>
        <v>434.20500000000004</v>
      </c>
      <c r="E38" s="6">
        <f>IFERROR(E28/22,0)</f>
        <v>419.9818181818182</v>
      </c>
      <c r="F38" s="6">
        <f>IFERROR(F28/22,0)</f>
        <v>451.70909090909095</v>
      </c>
      <c r="G38" s="6">
        <f>IFERROR(G28/20,0)</f>
        <v>459.07499999999999</v>
      </c>
      <c r="H38" s="6">
        <f>IFERROR(H28/22,0)</f>
        <v>428.29090909090905</v>
      </c>
      <c r="I38" s="6">
        <f>IFERROR(I28/22,0)</f>
        <v>431.8</v>
      </c>
      <c r="J38" s="6">
        <f>IFERROR(J28/21,0)</f>
        <v>439.93333333333334</v>
      </c>
      <c r="K38" s="6">
        <f>IFERROR(K28/21,0)</f>
        <v>435.09523809523807</v>
      </c>
      <c r="L38" s="6">
        <f>IFERROR(L28/22,0)</f>
        <v>444.29545454545456</v>
      </c>
      <c r="M38" s="6">
        <f>IFERROR(M28/19,0)</f>
        <v>464.08947368421059</v>
      </c>
      <c r="N38" s="6">
        <f>IFERROR(N28/22,0)</f>
        <v>436.63181818181818</v>
      </c>
      <c r="O38" s="6">
        <f>IFERROR(O28/254,0)</f>
        <v>438.42677165354331</v>
      </c>
      <c r="Q38" s="6">
        <f>IFERROR(Q28/21,0)</f>
        <v>420.09047619047618</v>
      </c>
      <c r="R38" s="6">
        <f>IFERROR(R28/20,0)</f>
        <v>434.20500000000004</v>
      </c>
      <c r="S38" s="6">
        <f>IFERROR(S28/22,0)</f>
        <v>419.9818181818182</v>
      </c>
      <c r="T38" s="6">
        <f>IFERROR(T28/22,0)</f>
        <v>451.70909090909095</v>
      </c>
      <c r="U38" s="6">
        <f>IFERROR(U28/20,0)</f>
        <v>459.07499999999999</v>
      </c>
      <c r="V38" s="6">
        <f>IFERROR(V28/22,0)</f>
        <v>428.29090909090905</v>
      </c>
      <c r="W38" s="6">
        <f>IFERROR(W28/22,0)</f>
        <v>431.8</v>
      </c>
      <c r="X38" s="6">
        <f>IFERROR(X28/21,0)</f>
        <v>439.93333333333334</v>
      </c>
      <c r="Y38" s="6">
        <f>IFERROR(Y28/21,0)</f>
        <v>432.95238095238096</v>
      </c>
      <c r="Z38" s="6">
        <f>IFERROR(Z28/22,0)</f>
        <v>442.25</v>
      </c>
      <c r="AA38" s="6">
        <f>IFERROR(AA28/19,0)</f>
        <v>461.72105263157897</v>
      </c>
      <c r="AB38" s="6">
        <f>IFERROR(AB28/22,0)</f>
        <v>434.58636363636361</v>
      </c>
      <c r="AC38" s="6">
        <f>IFERROR(AC28/254,0)</f>
        <v>437.71811023622047</v>
      </c>
      <c r="AE38" s="6">
        <f>IFERROR(AE28/21,0)</f>
        <v>0</v>
      </c>
      <c r="AF38" s="6">
        <f>IFERROR(AF28/20,0)</f>
        <v>0</v>
      </c>
      <c r="AG38" s="6">
        <f>IFERROR(AG28/22,0)</f>
        <v>0</v>
      </c>
      <c r="AH38" s="6">
        <f>IFERROR(AH28/22,0)</f>
        <v>0</v>
      </c>
      <c r="AI38" s="6">
        <f>IFERROR(AI28/20,0)</f>
        <v>0</v>
      </c>
      <c r="AJ38" s="6">
        <f>IFERROR(AJ28/22,0)</f>
        <v>0</v>
      </c>
      <c r="AK38" s="6">
        <f>IFERROR(AK28/22,0)</f>
        <v>0</v>
      </c>
      <c r="AL38" s="6">
        <f>IFERROR(AL28/21,0)</f>
        <v>0</v>
      </c>
      <c r="AM38" s="6">
        <f>IFERROR(AM28/21,0)</f>
        <v>-2.1428571428571428</v>
      </c>
      <c r="AN38" s="6">
        <f>IFERROR(AN28/22,0)</f>
        <v>-2.0454545454545454</v>
      </c>
      <c r="AO38" s="6">
        <f>IFERROR(AO28/19,0)</f>
        <v>-2.3684210526315788</v>
      </c>
      <c r="AP38" s="6">
        <f>IFERROR(AP28/22,0)</f>
        <v>-2.0454545454545454</v>
      </c>
      <c r="AQ38" s="6">
        <f>IFERROR(AQ28/254,0)</f>
        <v>-0.70866141732283461</v>
      </c>
      <c r="AS38" s="6">
        <f>IFERROR(AS28/21,0)</f>
        <v>0</v>
      </c>
      <c r="AT38" s="6">
        <f>IFERROR(AT28/20,0)</f>
        <v>0</v>
      </c>
      <c r="AU38" s="6">
        <f>IFERROR(AU28/22,0)</f>
        <v>0</v>
      </c>
      <c r="AV38" s="6">
        <f>IFERROR(AV28/22,0)</f>
        <v>0</v>
      </c>
      <c r="AW38" s="6">
        <f>IFERROR(AW28/20,0)</f>
        <v>0</v>
      </c>
      <c r="AX38" s="6">
        <f>IFERROR(AX28/22,0)</f>
        <v>0</v>
      </c>
      <c r="AY38" s="6">
        <f>IFERROR(AY28/22,0)</f>
        <v>0</v>
      </c>
      <c r="AZ38" s="6">
        <f>IFERROR(AZ28/21,0)</f>
        <v>0</v>
      </c>
      <c r="BA38" s="6">
        <f>IFERROR(BA28/21,0)</f>
        <v>80.952380952380949</v>
      </c>
      <c r="BB38" s="6">
        <f>IFERROR(BB28/22,0)</f>
        <v>-45.454545454545453</v>
      </c>
      <c r="BC38" s="6">
        <f>IFERROR(BC28/19,0)</f>
        <v>-21.05263157894737</v>
      </c>
      <c r="BD38" s="6">
        <f>IFERROR(BD28/22,0)</f>
        <v>13.636363636363637</v>
      </c>
      <c r="BE38" s="6">
        <f>IFERROR(BE28/254,0)</f>
        <v>2.3622047244094486</v>
      </c>
      <c r="BG38" s="6">
        <f>IFERROR(BG28/21,0)</f>
        <v>420.09047619047618</v>
      </c>
      <c r="BH38" s="6">
        <f>IFERROR(BH28/20,0)</f>
        <v>434.20500000000004</v>
      </c>
      <c r="BI38" s="6">
        <f>IFERROR(BI28/22,0)</f>
        <v>419.9818181818182</v>
      </c>
      <c r="BJ38" s="6">
        <f>IFERROR(BJ28/22,0)</f>
        <v>451.70909090909095</v>
      </c>
      <c r="BK38" s="6">
        <f>IFERROR(BK28/20,0)</f>
        <v>459.07499999999999</v>
      </c>
      <c r="BL38" s="6">
        <f>IFERROR(BL28/22,0)</f>
        <v>428.29090909090905</v>
      </c>
      <c r="BM38" s="6">
        <f>IFERROR(BM28/22,0)</f>
        <v>431.8</v>
      </c>
      <c r="BN38" s="6">
        <f>IFERROR(BN28/21,0)</f>
        <v>439.93333333333334</v>
      </c>
      <c r="BO38" s="6">
        <f>IFERROR(BO28/21,0)</f>
        <v>513.90476190476193</v>
      </c>
      <c r="BP38" s="6">
        <f>IFERROR(BP28/22,0)</f>
        <v>396.79545454545456</v>
      </c>
      <c r="BQ38" s="6">
        <f>IFERROR(BQ28/19,0)</f>
        <v>440.66842105263163</v>
      </c>
      <c r="BR38" s="6">
        <f>IFERROR(BR28/22,0)</f>
        <v>448.22272727272724</v>
      </c>
      <c r="BS38" s="6">
        <f>IFERROR(BS28/254,0)</f>
        <v>440.08031496062989</v>
      </c>
    </row>
    <row r="40" spans="2:71">
      <c r="B40" s="5" t="s">
        <v>151</v>
      </c>
      <c r="C40" s="6">
        <v>15798.6</v>
      </c>
      <c r="D40" s="6">
        <v>15660.9</v>
      </c>
      <c r="E40" s="6">
        <v>16687.5</v>
      </c>
      <c r="F40" s="6">
        <v>17704.900000000001</v>
      </c>
      <c r="G40" s="6">
        <v>16552.099999999999</v>
      </c>
      <c r="H40" s="6">
        <v>15965.1</v>
      </c>
      <c r="I40" s="6">
        <v>15790.5</v>
      </c>
      <c r="J40" s="6">
        <v>14626.3</v>
      </c>
      <c r="K40" s="6">
        <v>17838.099999999999</v>
      </c>
      <c r="L40" s="6">
        <v>13564.6</v>
      </c>
      <c r="M40" s="6">
        <v>13149.8</v>
      </c>
      <c r="N40" s="6">
        <v>15406.6</v>
      </c>
      <c r="O40" s="6">
        <f>N40</f>
        <v>15406.6</v>
      </c>
      <c r="Q40" s="6">
        <v>15798.6</v>
      </c>
      <c r="R40" s="6">
        <v>15660.9</v>
      </c>
      <c r="S40" s="6">
        <v>16687.5</v>
      </c>
      <c r="T40" s="6">
        <v>17704.900000000001</v>
      </c>
      <c r="U40" s="6">
        <v>16552.099999999999</v>
      </c>
      <c r="V40" s="6">
        <v>15965.1</v>
      </c>
      <c r="W40" s="6">
        <v>15790.5</v>
      </c>
      <c r="X40" s="6">
        <v>14626.3</v>
      </c>
      <c r="Y40" s="6">
        <v>17838.099999999999</v>
      </c>
      <c r="Z40" s="6">
        <v>13564.6</v>
      </c>
      <c r="AA40" s="6">
        <v>13149.8</v>
      </c>
      <c r="AB40" s="6">
        <v>15406.6</v>
      </c>
      <c r="AC40" s="6">
        <f>AB40</f>
        <v>15406.6</v>
      </c>
      <c r="AE40" s="6">
        <f>Q40-C40</f>
        <v>0</v>
      </c>
      <c r="AF40" s="6">
        <f>R40-D40</f>
        <v>0</v>
      </c>
      <c r="AG40" s="6">
        <f>S40-E40</f>
        <v>0</v>
      </c>
      <c r="AH40" s="6">
        <f>T40-F40</f>
        <v>0</v>
      </c>
      <c r="AI40" s="6">
        <f>U40-G40</f>
        <v>0</v>
      </c>
      <c r="AJ40" s="6">
        <f>V40-H40</f>
        <v>0</v>
      </c>
      <c r="AK40" s="6">
        <f>W40-I40</f>
        <v>0</v>
      </c>
      <c r="AL40" s="6">
        <f>X40-J40</f>
        <v>0</v>
      </c>
      <c r="AM40" s="6">
        <f>Y40-K40</f>
        <v>0</v>
      </c>
      <c r="AN40" s="6">
        <f>Z40-L40</f>
        <v>0</v>
      </c>
      <c r="AO40" s="6">
        <f>AA40-M40</f>
        <v>0</v>
      </c>
      <c r="AP40" s="6">
        <f>AB40-N40</f>
        <v>0</v>
      </c>
      <c r="AQ40" s="6">
        <f>AP40</f>
        <v>0</v>
      </c>
      <c r="AS40" s="6">
        <f>'Hollis-Adj'!C90</f>
        <v>0</v>
      </c>
      <c r="AT40" s="6">
        <f>'Hollis-Adj'!D90</f>
        <v>0</v>
      </c>
      <c r="AU40" s="6">
        <f>'Hollis-Adj'!E90</f>
        <v>0</v>
      </c>
      <c r="AV40" s="6">
        <f>'Hollis-Adj'!F90</f>
        <v>0</v>
      </c>
      <c r="AW40" s="6">
        <f>'Hollis-Adj'!G90</f>
        <v>0</v>
      </c>
      <c r="AX40" s="6">
        <f>'Hollis-Adj'!H90</f>
        <v>0</v>
      </c>
      <c r="AY40" s="6">
        <f>'Hollis-Adj'!I90</f>
        <v>0</v>
      </c>
      <c r="AZ40" s="6">
        <f>'Hollis-Adj'!J90</f>
        <v>0</v>
      </c>
      <c r="BA40" s="6">
        <f>'Hollis-Adj'!K90</f>
        <v>0</v>
      </c>
      <c r="BB40" s="6">
        <f>'Hollis-Adj'!L90</f>
        <v>-800</v>
      </c>
      <c r="BC40" s="6">
        <f>'Hollis-Adj'!M90</f>
        <v>-1500</v>
      </c>
      <c r="BD40" s="6">
        <f>'Hollis-Adj'!N90</f>
        <v>-1500</v>
      </c>
      <c r="BE40" s="6">
        <f>BD40</f>
        <v>-1500</v>
      </c>
      <c r="BG40" s="6">
        <f>C40+AE40+AS40</f>
        <v>15798.6</v>
      </c>
      <c r="BH40" s="6">
        <f>D40+AF40+AT40</f>
        <v>15660.9</v>
      </c>
      <c r="BI40" s="6">
        <f>E40+AG40+AU40</f>
        <v>16687.5</v>
      </c>
      <c r="BJ40" s="6">
        <f>F40+AH40+AV40</f>
        <v>17704.900000000001</v>
      </c>
      <c r="BK40" s="6">
        <f>G40+AI40+AW40</f>
        <v>16552.099999999999</v>
      </c>
      <c r="BL40" s="6">
        <f>H40+AJ40+AX40</f>
        <v>15965.1</v>
      </c>
      <c r="BM40" s="6">
        <f>I40+AK40+AY40</f>
        <v>15790.5</v>
      </c>
      <c r="BN40" s="6">
        <f>J40+AL40+AZ40</f>
        <v>14626.3</v>
      </c>
      <c r="BO40" s="6">
        <f>K40+AM40+BA40</f>
        <v>17838.099999999999</v>
      </c>
      <c r="BP40" s="6">
        <f>L40+AN40+BB40</f>
        <v>12764.6</v>
      </c>
      <c r="BQ40" s="6">
        <f>M40+AO40+BC40</f>
        <v>11649.8</v>
      </c>
      <c r="BR40" s="6">
        <f>N40+AP40+BD40</f>
        <v>13906.6</v>
      </c>
      <c r="BS40" s="6">
        <f>BR40</f>
        <v>13906.6</v>
      </c>
    </row>
    <row r="41" spans="2:71">
      <c r="B41" s="5" t="s">
        <v>152</v>
      </c>
      <c r="C41" s="6">
        <v>13379.9</v>
      </c>
      <c r="D41" s="6">
        <v>13170.9</v>
      </c>
      <c r="E41" s="6">
        <v>14013.4</v>
      </c>
      <c r="F41" s="6">
        <v>15072</v>
      </c>
      <c r="G41" s="6">
        <v>13925.3</v>
      </c>
      <c r="H41" s="6">
        <v>14290.6</v>
      </c>
      <c r="I41" s="6">
        <v>14407.7</v>
      </c>
      <c r="J41" s="6">
        <v>14011.9</v>
      </c>
      <c r="K41" s="6">
        <v>16367.9</v>
      </c>
      <c r="L41" s="6">
        <v>13239.7</v>
      </c>
      <c r="M41" s="6">
        <v>12698.6</v>
      </c>
      <c r="N41" s="6">
        <v>14955.7</v>
      </c>
      <c r="O41" s="6">
        <f>N41</f>
        <v>14955.7</v>
      </c>
      <c r="Q41" s="6">
        <v>13379.9</v>
      </c>
      <c r="R41" s="6">
        <v>13170.9</v>
      </c>
      <c r="S41" s="6">
        <v>14013.4</v>
      </c>
      <c r="T41" s="6">
        <v>15072</v>
      </c>
      <c r="U41" s="6">
        <v>13925.3</v>
      </c>
      <c r="V41" s="6">
        <v>14290.6</v>
      </c>
      <c r="W41" s="6">
        <v>14407.7</v>
      </c>
      <c r="X41" s="6">
        <v>14011.9</v>
      </c>
      <c r="Y41" s="6">
        <v>16367.9</v>
      </c>
      <c r="Z41" s="6">
        <v>13239.7</v>
      </c>
      <c r="AA41" s="6">
        <v>12698.6</v>
      </c>
      <c r="AB41" s="6">
        <v>14955.7</v>
      </c>
      <c r="AC41" s="6">
        <f>AB41</f>
        <v>14955.7</v>
      </c>
      <c r="AE41" s="6">
        <f>Q41-C41</f>
        <v>0</v>
      </c>
      <c r="AF41" s="6">
        <f>R41-D41</f>
        <v>0</v>
      </c>
      <c r="AG41" s="6">
        <f>S41-E41</f>
        <v>0</v>
      </c>
      <c r="AH41" s="6">
        <f>T41-F41</f>
        <v>0</v>
      </c>
      <c r="AI41" s="6">
        <f>U41-G41</f>
        <v>0</v>
      </c>
      <c r="AJ41" s="6">
        <f>V41-H41</f>
        <v>0</v>
      </c>
      <c r="AK41" s="6">
        <f>W41-I41</f>
        <v>0</v>
      </c>
      <c r="AL41" s="6">
        <f>X41-J41</f>
        <v>0</v>
      </c>
      <c r="AM41" s="6">
        <f>Y41-K41</f>
        <v>0</v>
      </c>
      <c r="AN41" s="6">
        <f>Z41-L41</f>
        <v>0</v>
      </c>
      <c r="AO41" s="6">
        <f>AA41-M41</f>
        <v>0</v>
      </c>
      <c r="AP41" s="6">
        <f>AB41-N41</f>
        <v>0</v>
      </c>
      <c r="AQ41" s="6">
        <f>AP41</f>
        <v>0</v>
      </c>
      <c r="AS41" s="6">
        <f>'Hollis-Adj'!C91</f>
        <v>0</v>
      </c>
      <c r="AT41" s="6">
        <f>'Hollis-Adj'!D91</f>
        <v>0</v>
      </c>
      <c r="AU41" s="6">
        <f>'Hollis-Adj'!E91</f>
        <v>0</v>
      </c>
      <c r="AV41" s="6">
        <f>'Hollis-Adj'!F91</f>
        <v>0</v>
      </c>
      <c r="AW41" s="6">
        <f>'Hollis-Adj'!G91</f>
        <v>0</v>
      </c>
      <c r="AX41" s="6">
        <f>'Hollis-Adj'!H91</f>
        <v>0</v>
      </c>
      <c r="AY41" s="6">
        <f>'Hollis-Adj'!I91</f>
        <v>0</v>
      </c>
      <c r="AZ41" s="6">
        <f>'Hollis-Adj'!J91</f>
        <v>0</v>
      </c>
      <c r="BA41" s="6">
        <f>'Hollis-Adj'!K91</f>
        <v>600</v>
      </c>
      <c r="BB41" s="6">
        <f>'Hollis-Adj'!L91</f>
        <v>-300</v>
      </c>
      <c r="BC41" s="6">
        <f>'Hollis-Adj'!M91</f>
        <v>-300</v>
      </c>
      <c r="BD41" s="6">
        <f>'Hollis-Adj'!N91</f>
        <v>0</v>
      </c>
      <c r="BE41" s="6">
        <f>BD41</f>
        <v>0</v>
      </c>
      <c r="BG41" s="6">
        <f>C41+AE41+AS41</f>
        <v>13379.9</v>
      </c>
      <c r="BH41" s="6">
        <f>D41+AF41+AT41</f>
        <v>13170.9</v>
      </c>
      <c r="BI41" s="6">
        <f>E41+AG41+AU41</f>
        <v>14013.4</v>
      </c>
      <c r="BJ41" s="6">
        <f>F41+AH41+AV41</f>
        <v>15072</v>
      </c>
      <c r="BK41" s="6">
        <f>G41+AI41+AW41</f>
        <v>13925.3</v>
      </c>
      <c r="BL41" s="6">
        <f>H41+AJ41+AX41</f>
        <v>14290.6</v>
      </c>
      <c r="BM41" s="6">
        <f>I41+AK41+AY41</f>
        <v>14407.7</v>
      </c>
      <c r="BN41" s="6">
        <f>J41+AL41+AZ41</f>
        <v>14011.9</v>
      </c>
      <c r="BO41" s="6">
        <f>K41+AM41+BA41</f>
        <v>16967.900000000001</v>
      </c>
      <c r="BP41" s="6">
        <f>L41+AN41+BB41</f>
        <v>12939.7</v>
      </c>
      <c r="BQ41" s="6">
        <f>M41+AO41+BC41</f>
        <v>12398.6</v>
      </c>
      <c r="BR41" s="6">
        <f>N41+AP41+BD41</f>
        <v>14955.7</v>
      </c>
      <c r="BS41" s="6">
        <f>BR41</f>
        <v>14955.7</v>
      </c>
    </row>
    <row r="42" spans="2:71">
      <c r="B42" s="5" t="s">
        <v>153</v>
      </c>
      <c r="C42" s="6">
        <v>132.30000000000001</v>
      </c>
      <c r="D42" s="6">
        <v>130.30000000000001</v>
      </c>
      <c r="E42" s="6">
        <v>138.6</v>
      </c>
      <c r="F42" s="6">
        <v>149.1</v>
      </c>
      <c r="G42" s="6">
        <v>137.69999999999999</v>
      </c>
      <c r="H42" s="6">
        <v>141.30000000000001</v>
      </c>
      <c r="I42" s="6">
        <v>142.5</v>
      </c>
      <c r="J42" s="6">
        <v>138.6</v>
      </c>
      <c r="K42" s="6">
        <v>161.9</v>
      </c>
      <c r="L42" s="6">
        <v>130.9</v>
      </c>
      <c r="M42" s="6">
        <v>125.6</v>
      </c>
      <c r="N42" s="6">
        <v>147.9</v>
      </c>
      <c r="O42" s="6">
        <f>N42</f>
        <v>147.9</v>
      </c>
      <c r="Q42" s="6">
        <v>132.30000000000001</v>
      </c>
      <c r="R42" s="6">
        <v>130.30000000000001</v>
      </c>
      <c r="S42" s="6">
        <v>138.6</v>
      </c>
      <c r="T42" s="6">
        <v>149.1</v>
      </c>
      <c r="U42" s="6">
        <v>137.69999999999999</v>
      </c>
      <c r="V42" s="6">
        <v>141.30000000000001</v>
      </c>
      <c r="W42" s="6">
        <v>142.5</v>
      </c>
      <c r="X42" s="6">
        <v>138.6</v>
      </c>
      <c r="Y42" s="6">
        <v>161.9</v>
      </c>
      <c r="Z42" s="6">
        <v>130.9</v>
      </c>
      <c r="AA42" s="6">
        <v>125.6</v>
      </c>
      <c r="AB42" s="6">
        <v>147.9</v>
      </c>
      <c r="AC42" s="6">
        <f>AB42</f>
        <v>147.9</v>
      </c>
      <c r="AE42" s="6">
        <f>Q42-C42</f>
        <v>0</v>
      </c>
      <c r="AF42" s="6">
        <f>R42-D42</f>
        <v>0</v>
      </c>
      <c r="AG42" s="6">
        <f>S42-E42</f>
        <v>0</v>
      </c>
      <c r="AH42" s="6">
        <f>T42-F42</f>
        <v>0</v>
      </c>
      <c r="AI42" s="6">
        <f>U42-G42</f>
        <v>0</v>
      </c>
      <c r="AJ42" s="6">
        <f>V42-H42</f>
        <v>0</v>
      </c>
      <c r="AK42" s="6">
        <f>W42-I42</f>
        <v>0</v>
      </c>
      <c r="AL42" s="6">
        <f>X42-J42</f>
        <v>0</v>
      </c>
      <c r="AM42" s="6">
        <f>Y42-K42</f>
        <v>0</v>
      </c>
      <c r="AN42" s="6">
        <f>Z42-L42</f>
        <v>0</v>
      </c>
      <c r="AO42" s="6">
        <f>AA42-M42</f>
        <v>0</v>
      </c>
      <c r="AP42" s="6">
        <f>AB42-N42</f>
        <v>0</v>
      </c>
      <c r="AQ42" s="6">
        <f>AP42</f>
        <v>0</v>
      </c>
      <c r="AS42" s="6">
        <f>'Hollis-Adj'!C92</f>
        <v>0</v>
      </c>
      <c r="AT42" s="6">
        <f>'Hollis-Adj'!D92</f>
        <v>0</v>
      </c>
      <c r="AU42" s="6">
        <f>'Hollis-Adj'!E92</f>
        <v>0</v>
      </c>
      <c r="AV42" s="6">
        <f>'Hollis-Adj'!F92</f>
        <v>0</v>
      </c>
      <c r="AW42" s="6">
        <f>'Hollis-Adj'!G92</f>
        <v>0</v>
      </c>
      <c r="AX42" s="6">
        <f>'Hollis-Adj'!H92</f>
        <v>0</v>
      </c>
      <c r="AY42" s="6">
        <f>'Hollis-Adj'!I92</f>
        <v>0</v>
      </c>
      <c r="AZ42" s="6">
        <f>'Hollis-Adj'!J92</f>
        <v>0</v>
      </c>
      <c r="BA42" s="6">
        <f>'Hollis-Adj'!K92</f>
        <v>0</v>
      </c>
      <c r="BB42" s="6">
        <f>'Hollis-Adj'!L92</f>
        <v>0</v>
      </c>
      <c r="BC42" s="6">
        <f>'Hollis-Adj'!M92</f>
        <v>0</v>
      </c>
      <c r="BD42" s="6">
        <f>'Hollis-Adj'!N92</f>
        <v>0</v>
      </c>
      <c r="BE42" s="6">
        <f>BD42</f>
        <v>0</v>
      </c>
      <c r="BG42" s="6">
        <f>C42+AE42+AS42</f>
        <v>132.30000000000001</v>
      </c>
      <c r="BH42" s="6">
        <f>D42+AF42+AT42</f>
        <v>130.30000000000001</v>
      </c>
      <c r="BI42" s="6">
        <f>E42+AG42+AU42</f>
        <v>138.6</v>
      </c>
      <c r="BJ42" s="6">
        <f>F42+AH42+AV42</f>
        <v>149.1</v>
      </c>
      <c r="BK42" s="6">
        <f>G42+AI42+AW42</f>
        <v>137.69999999999999</v>
      </c>
      <c r="BL42" s="6">
        <f>H42+AJ42+AX42</f>
        <v>141.30000000000001</v>
      </c>
      <c r="BM42" s="6">
        <f>I42+AK42+AY42</f>
        <v>142.5</v>
      </c>
      <c r="BN42" s="6">
        <f>J42+AL42+AZ42</f>
        <v>138.6</v>
      </c>
      <c r="BO42" s="6">
        <f>K42+AM42+BA42</f>
        <v>161.9</v>
      </c>
      <c r="BP42" s="6">
        <f>L42+AN42+BB42</f>
        <v>130.9</v>
      </c>
      <c r="BQ42" s="6">
        <f>M42+AO42+BC42</f>
        <v>125.6</v>
      </c>
      <c r="BR42" s="6">
        <f>N42+AP42+BD42</f>
        <v>147.9</v>
      </c>
      <c r="BS42" s="6">
        <f>BR42</f>
        <v>147.9</v>
      </c>
    </row>
    <row r="43" spans="2:71">
      <c r="B43" s="5" t="s">
        <v>154</v>
      </c>
      <c r="C43" s="6">
        <v>-9086.9</v>
      </c>
      <c r="D43" s="6">
        <v>-8907.7000000000007</v>
      </c>
      <c r="E43" s="6">
        <v>-9520.5</v>
      </c>
      <c r="F43" s="6">
        <v>-10200</v>
      </c>
      <c r="G43" s="6">
        <v>-9474.5</v>
      </c>
      <c r="H43" s="6">
        <v>-9717.2999999999993</v>
      </c>
      <c r="I43" s="6">
        <v>-9805.4</v>
      </c>
      <c r="J43" s="6">
        <v>-9525.2000000000007</v>
      </c>
      <c r="K43" s="6">
        <v>-11447.5</v>
      </c>
      <c r="L43" s="6">
        <v>-8772</v>
      </c>
      <c r="M43" s="6">
        <v>-8479.7000000000007</v>
      </c>
      <c r="N43" s="6">
        <v>-9977.6</v>
      </c>
      <c r="O43" s="6">
        <f>N43</f>
        <v>-9977.6</v>
      </c>
      <c r="Q43" s="6">
        <v>-9086.9</v>
      </c>
      <c r="R43" s="6">
        <v>-8907.7000000000007</v>
      </c>
      <c r="S43" s="6">
        <v>-9520.5</v>
      </c>
      <c r="T43" s="6">
        <v>-10200</v>
      </c>
      <c r="U43" s="6">
        <v>-9474.5</v>
      </c>
      <c r="V43" s="6">
        <v>-9717.2999999999993</v>
      </c>
      <c r="W43" s="6">
        <v>-9805.4</v>
      </c>
      <c r="X43" s="6">
        <v>-9525.2000000000007</v>
      </c>
      <c r="Y43" s="6">
        <v>-11447.5</v>
      </c>
      <c r="Z43" s="6">
        <v>-8772</v>
      </c>
      <c r="AA43" s="6">
        <v>-8479.7000000000007</v>
      </c>
      <c r="AB43" s="6">
        <v>-9977.6</v>
      </c>
      <c r="AC43" s="6">
        <f>AB43</f>
        <v>-9977.6</v>
      </c>
      <c r="AE43" s="6">
        <f>Q43-C43</f>
        <v>0</v>
      </c>
      <c r="AF43" s="6">
        <f>R43-D43</f>
        <v>0</v>
      </c>
      <c r="AG43" s="6">
        <f>S43-E43</f>
        <v>0</v>
      </c>
      <c r="AH43" s="6">
        <f>T43-F43</f>
        <v>0</v>
      </c>
      <c r="AI43" s="6">
        <f>U43-G43</f>
        <v>0</v>
      </c>
      <c r="AJ43" s="6">
        <f>V43-H43</f>
        <v>0</v>
      </c>
      <c r="AK43" s="6">
        <f>W43-I43</f>
        <v>0</v>
      </c>
      <c r="AL43" s="6">
        <f>X43-J43</f>
        <v>0</v>
      </c>
      <c r="AM43" s="6">
        <f>Y43-K43</f>
        <v>0</v>
      </c>
      <c r="AN43" s="6">
        <f>Z43-L43</f>
        <v>0</v>
      </c>
      <c r="AO43" s="6">
        <f>AA43-M43</f>
        <v>0</v>
      </c>
      <c r="AP43" s="6">
        <f>AB43-N43</f>
        <v>0</v>
      </c>
      <c r="AQ43" s="6">
        <f>AP43</f>
        <v>0</v>
      </c>
      <c r="AS43" s="6">
        <f>'Hollis-Adj'!C93</f>
        <v>0</v>
      </c>
      <c r="AT43" s="6">
        <f>'Hollis-Adj'!D93</f>
        <v>0</v>
      </c>
      <c r="AU43" s="6">
        <f>'Hollis-Adj'!E93</f>
        <v>0</v>
      </c>
      <c r="AV43" s="6">
        <f>'Hollis-Adj'!F93</f>
        <v>0</v>
      </c>
      <c r="AW43" s="6">
        <f>'Hollis-Adj'!G93</f>
        <v>0</v>
      </c>
      <c r="AX43" s="6">
        <f>'Hollis-Adj'!H93</f>
        <v>0</v>
      </c>
      <c r="AY43" s="6">
        <f>'Hollis-Adj'!I93</f>
        <v>0</v>
      </c>
      <c r="AZ43" s="6">
        <f>'Hollis-Adj'!J93</f>
        <v>0</v>
      </c>
      <c r="BA43" s="6">
        <f>'Hollis-Adj'!K93</f>
        <v>0</v>
      </c>
      <c r="BB43" s="6">
        <f>'Hollis-Adj'!L93</f>
        <v>0</v>
      </c>
      <c r="BC43" s="6">
        <f>'Hollis-Adj'!M93</f>
        <v>0</v>
      </c>
      <c r="BD43" s="6">
        <f>'Hollis-Adj'!N93</f>
        <v>0</v>
      </c>
      <c r="BE43" s="6">
        <f>BD43</f>
        <v>0</v>
      </c>
      <c r="BG43" s="6">
        <f>C43+AE43+AS43</f>
        <v>-9086.9</v>
      </c>
      <c r="BH43" s="6">
        <f>D43+AF43+AT43</f>
        <v>-8907.7000000000007</v>
      </c>
      <c r="BI43" s="6">
        <f>E43+AG43+AU43</f>
        <v>-9520.5</v>
      </c>
      <c r="BJ43" s="6">
        <f>F43+AH43+AV43</f>
        <v>-10200</v>
      </c>
      <c r="BK43" s="6">
        <f>G43+AI43+AW43</f>
        <v>-9474.5</v>
      </c>
      <c r="BL43" s="6">
        <f>H43+AJ43+AX43</f>
        <v>-9717.2999999999993</v>
      </c>
      <c r="BM43" s="6">
        <f>I43+AK43+AY43</f>
        <v>-9805.4</v>
      </c>
      <c r="BN43" s="6">
        <f>J43+AL43+AZ43</f>
        <v>-9525.2000000000007</v>
      </c>
      <c r="BO43" s="6">
        <f>K43+AM43+BA43</f>
        <v>-11447.5</v>
      </c>
      <c r="BP43" s="6">
        <f>L43+AN43+BB43</f>
        <v>-8772</v>
      </c>
      <c r="BQ43" s="6">
        <f>M43+AO43+BC43</f>
        <v>-8479.7000000000007</v>
      </c>
      <c r="BR43" s="6">
        <f>N43+AP43+BD43</f>
        <v>-9977.6</v>
      </c>
      <c r="BS43" s="6">
        <f>BR43</f>
        <v>-9977.6</v>
      </c>
    </row>
    <row r="44" spans="2:71">
      <c r="B44" s="5" t="s">
        <v>155</v>
      </c>
      <c r="C44" s="6">
        <v>-264.7</v>
      </c>
      <c r="D44" s="6">
        <v>-260.5</v>
      </c>
      <c r="E44" s="6">
        <v>-277.2</v>
      </c>
      <c r="F44" s="6">
        <v>-298.10000000000002</v>
      </c>
      <c r="G44" s="6">
        <v>-275.39999999999998</v>
      </c>
      <c r="H44" s="6">
        <v>-282.7</v>
      </c>
      <c r="I44" s="6">
        <v>-285</v>
      </c>
      <c r="J44" s="6">
        <v>-277.2</v>
      </c>
      <c r="K44" s="6">
        <v>-323.8</v>
      </c>
      <c r="L44" s="6">
        <v>-261.89999999999998</v>
      </c>
      <c r="M44" s="6">
        <v>-251.2</v>
      </c>
      <c r="N44" s="6">
        <v>-295.8</v>
      </c>
      <c r="O44" s="6">
        <f>N44</f>
        <v>-295.8</v>
      </c>
      <c r="Q44" s="6">
        <v>-264.7</v>
      </c>
      <c r="R44" s="6">
        <v>-260.5</v>
      </c>
      <c r="S44" s="6">
        <v>-277.2</v>
      </c>
      <c r="T44" s="6">
        <v>-298.10000000000002</v>
      </c>
      <c r="U44" s="6">
        <v>-275.39999999999998</v>
      </c>
      <c r="V44" s="6">
        <v>-282.7</v>
      </c>
      <c r="W44" s="6">
        <v>-285</v>
      </c>
      <c r="X44" s="6">
        <v>-277.2</v>
      </c>
      <c r="Y44" s="6">
        <v>-323.8</v>
      </c>
      <c r="Z44" s="6">
        <v>-261.89999999999998</v>
      </c>
      <c r="AA44" s="6">
        <v>-251.2</v>
      </c>
      <c r="AB44" s="6">
        <v>-295.8</v>
      </c>
      <c r="AC44" s="6">
        <f>AB44</f>
        <v>-295.8</v>
      </c>
      <c r="AE44" s="6">
        <f>Q44-C44</f>
        <v>0</v>
      </c>
      <c r="AF44" s="6">
        <f>R44-D44</f>
        <v>0</v>
      </c>
      <c r="AG44" s="6">
        <f>S44-E44</f>
        <v>0</v>
      </c>
      <c r="AH44" s="6">
        <f>T44-F44</f>
        <v>0</v>
      </c>
      <c r="AI44" s="6">
        <f>U44-G44</f>
        <v>0</v>
      </c>
      <c r="AJ44" s="6">
        <f>V44-H44</f>
        <v>0</v>
      </c>
      <c r="AK44" s="6">
        <f>W44-I44</f>
        <v>0</v>
      </c>
      <c r="AL44" s="6">
        <f>X44-J44</f>
        <v>0</v>
      </c>
      <c r="AM44" s="6">
        <f>Y44-K44</f>
        <v>0</v>
      </c>
      <c r="AN44" s="6">
        <f>Z44-L44</f>
        <v>0</v>
      </c>
      <c r="AO44" s="6">
        <f>AA44-M44</f>
        <v>0</v>
      </c>
      <c r="AP44" s="6">
        <f>AB44-N44</f>
        <v>0</v>
      </c>
      <c r="AQ44" s="6">
        <f>AP44</f>
        <v>0</v>
      </c>
      <c r="AS44" s="6">
        <f>'Hollis-Adj'!C94</f>
        <v>0</v>
      </c>
      <c r="AT44" s="6">
        <f>'Hollis-Adj'!D94</f>
        <v>0</v>
      </c>
      <c r="AU44" s="6">
        <f>'Hollis-Adj'!E94</f>
        <v>0</v>
      </c>
      <c r="AV44" s="6">
        <f>'Hollis-Adj'!F94</f>
        <v>0</v>
      </c>
      <c r="AW44" s="6">
        <f>'Hollis-Adj'!G94</f>
        <v>0</v>
      </c>
      <c r="AX44" s="6">
        <f>'Hollis-Adj'!H94</f>
        <v>0</v>
      </c>
      <c r="AY44" s="6">
        <f>'Hollis-Adj'!I94</f>
        <v>0</v>
      </c>
      <c r="AZ44" s="6">
        <f>'Hollis-Adj'!J94</f>
        <v>0</v>
      </c>
      <c r="BA44" s="6">
        <f>'Hollis-Adj'!K94</f>
        <v>0</v>
      </c>
      <c r="BB44" s="6">
        <f>'Hollis-Adj'!L94</f>
        <v>0</v>
      </c>
      <c r="BC44" s="6">
        <f>'Hollis-Adj'!M94</f>
        <v>0</v>
      </c>
      <c r="BD44" s="6">
        <f>'Hollis-Adj'!N94</f>
        <v>0</v>
      </c>
      <c r="BE44" s="6">
        <f>BD44</f>
        <v>0</v>
      </c>
      <c r="BG44" s="6">
        <f>C44+AE44+AS44</f>
        <v>-264.7</v>
      </c>
      <c r="BH44" s="6">
        <f>D44+AF44+AT44</f>
        <v>-260.5</v>
      </c>
      <c r="BI44" s="6">
        <f>E44+AG44+AU44</f>
        <v>-277.2</v>
      </c>
      <c r="BJ44" s="6">
        <f>F44+AH44+AV44</f>
        <v>-298.10000000000002</v>
      </c>
      <c r="BK44" s="6">
        <f>G44+AI44+AW44</f>
        <v>-275.39999999999998</v>
      </c>
      <c r="BL44" s="6">
        <f>H44+AJ44+AX44</f>
        <v>-282.7</v>
      </c>
      <c r="BM44" s="6">
        <f>I44+AK44+AY44</f>
        <v>-285</v>
      </c>
      <c r="BN44" s="6">
        <f>J44+AL44+AZ44</f>
        <v>-277.2</v>
      </c>
      <c r="BO44" s="6">
        <f>K44+AM44+BA44</f>
        <v>-323.8</v>
      </c>
      <c r="BP44" s="6">
        <f>L44+AN44+BB44</f>
        <v>-261.89999999999998</v>
      </c>
      <c r="BQ44" s="6">
        <f>M44+AO44+BC44</f>
        <v>-251.2</v>
      </c>
      <c r="BR44" s="6">
        <f>N44+AP44+BD44</f>
        <v>-295.8</v>
      </c>
      <c r="BS44" s="6">
        <f>BR44</f>
        <v>-295.8</v>
      </c>
    </row>
    <row r="45" spans="2:71">
      <c r="B45" s="2" t="s">
        <v>170</v>
      </c>
      <c r="C45" s="6">
        <f>SUM(C40:C44)</f>
        <v>19959.2</v>
      </c>
      <c r="D45" s="6">
        <f>SUM(D40:D44)</f>
        <v>19793.899999999998</v>
      </c>
      <c r="E45" s="6">
        <f>SUM(E40:E44)</f>
        <v>21041.8</v>
      </c>
      <c r="F45" s="6">
        <f>SUM(F40:F44)</f>
        <v>22427.9</v>
      </c>
      <c r="G45" s="6">
        <f>SUM(G40:G44)</f>
        <v>20865.199999999997</v>
      </c>
      <c r="H45" s="6">
        <f>SUM(H40:H44)</f>
        <v>20397</v>
      </c>
      <c r="I45" s="6">
        <f>SUM(I40:I44)</f>
        <v>20250.300000000003</v>
      </c>
      <c r="J45" s="6">
        <f>SUM(J40:J44)</f>
        <v>18974.399999999994</v>
      </c>
      <c r="K45" s="6">
        <f>SUM(K40:K44)</f>
        <v>22596.600000000002</v>
      </c>
      <c r="L45" s="6">
        <f>SUM(L40:L44)</f>
        <v>17901.300000000003</v>
      </c>
      <c r="M45" s="6">
        <f>SUM(M40:M44)</f>
        <v>17243.099999999999</v>
      </c>
      <c r="N45" s="6">
        <f>SUM(N40:N44)</f>
        <v>20236.800000000007</v>
      </c>
      <c r="O45" s="6">
        <f>N45</f>
        <v>20236.800000000007</v>
      </c>
      <c r="Q45" s="6">
        <f>SUM(Q40:Q44)</f>
        <v>19959.2</v>
      </c>
      <c r="R45" s="6">
        <f>SUM(R40:R44)</f>
        <v>19793.899999999998</v>
      </c>
      <c r="S45" s="6">
        <f>SUM(S40:S44)</f>
        <v>21041.8</v>
      </c>
      <c r="T45" s="6">
        <f>SUM(T40:T44)</f>
        <v>22427.9</v>
      </c>
      <c r="U45" s="6">
        <f>SUM(U40:U44)</f>
        <v>20865.199999999997</v>
      </c>
      <c r="V45" s="6">
        <f>SUM(V40:V44)</f>
        <v>20397</v>
      </c>
      <c r="W45" s="6">
        <f>SUM(W40:W44)</f>
        <v>20250.300000000003</v>
      </c>
      <c r="X45" s="6">
        <f>SUM(X40:X44)</f>
        <v>18974.399999999994</v>
      </c>
      <c r="Y45" s="6">
        <f>SUM(Y40:Y44)</f>
        <v>22596.600000000002</v>
      </c>
      <c r="Z45" s="6">
        <f>SUM(Z40:Z44)</f>
        <v>17901.300000000003</v>
      </c>
      <c r="AA45" s="6">
        <f>SUM(AA40:AA44)</f>
        <v>17243.099999999999</v>
      </c>
      <c r="AB45" s="6">
        <f>SUM(AB40:AB44)</f>
        <v>20236.800000000007</v>
      </c>
      <c r="AC45" s="6">
        <f>AB45</f>
        <v>20236.800000000007</v>
      </c>
      <c r="AE45" s="6">
        <f>SUM(AE40:AE44)</f>
        <v>0</v>
      </c>
      <c r="AF45" s="6">
        <f>SUM(AF40:AF44)</f>
        <v>0</v>
      </c>
      <c r="AG45" s="6">
        <f>SUM(AG40:AG44)</f>
        <v>0</v>
      </c>
      <c r="AH45" s="6">
        <f>SUM(AH40:AH44)</f>
        <v>0</v>
      </c>
      <c r="AI45" s="6">
        <f>SUM(AI40:AI44)</f>
        <v>0</v>
      </c>
      <c r="AJ45" s="6">
        <f>SUM(AJ40:AJ44)</f>
        <v>0</v>
      </c>
      <c r="AK45" s="6">
        <f>SUM(AK40:AK44)</f>
        <v>0</v>
      </c>
      <c r="AL45" s="6">
        <f>SUM(AL40:AL44)</f>
        <v>0</v>
      </c>
      <c r="AM45" s="6">
        <f>SUM(AM40:AM44)</f>
        <v>0</v>
      </c>
      <c r="AN45" s="6">
        <f>SUM(AN40:AN44)</f>
        <v>0</v>
      </c>
      <c r="AO45" s="6">
        <f>SUM(AO40:AO44)</f>
        <v>0</v>
      </c>
      <c r="AP45" s="6">
        <f>SUM(AP40:AP44)</f>
        <v>0</v>
      </c>
      <c r="AQ45" s="6">
        <f>AP45</f>
        <v>0</v>
      </c>
      <c r="AS45" s="6">
        <f>SUM(AS40:AS44)</f>
        <v>0</v>
      </c>
      <c r="AT45" s="6">
        <f>SUM(AT40:AT44)</f>
        <v>0</v>
      </c>
      <c r="AU45" s="6">
        <f>SUM(AU40:AU44)</f>
        <v>0</v>
      </c>
      <c r="AV45" s="6">
        <f>SUM(AV40:AV44)</f>
        <v>0</v>
      </c>
      <c r="AW45" s="6">
        <f>SUM(AW40:AW44)</f>
        <v>0</v>
      </c>
      <c r="AX45" s="6">
        <f>SUM(AX40:AX44)</f>
        <v>0</v>
      </c>
      <c r="AY45" s="6">
        <f>SUM(AY40:AY44)</f>
        <v>0</v>
      </c>
      <c r="AZ45" s="6">
        <f>SUM(AZ40:AZ44)</f>
        <v>0</v>
      </c>
      <c r="BA45" s="6">
        <f>SUM(BA40:BA44)</f>
        <v>600</v>
      </c>
      <c r="BB45" s="6">
        <f>SUM(BB40:BB44)</f>
        <v>-1100</v>
      </c>
      <c r="BC45" s="6">
        <f>SUM(BC40:BC44)</f>
        <v>-1800</v>
      </c>
      <c r="BD45" s="6">
        <f>SUM(BD40:BD44)</f>
        <v>-1500</v>
      </c>
      <c r="BE45" s="6">
        <f>BD45</f>
        <v>-1500</v>
      </c>
      <c r="BG45" s="6">
        <f>SUM(BG40:BG44)</f>
        <v>19959.2</v>
      </c>
      <c r="BH45" s="6">
        <f>SUM(BH40:BH44)</f>
        <v>19793.899999999998</v>
      </c>
      <c r="BI45" s="6">
        <f>SUM(BI40:BI44)</f>
        <v>21041.8</v>
      </c>
      <c r="BJ45" s="6">
        <f>SUM(BJ40:BJ44)</f>
        <v>22427.9</v>
      </c>
      <c r="BK45" s="6">
        <f>SUM(BK40:BK44)</f>
        <v>20865.199999999997</v>
      </c>
      <c r="BL45" s="6">
        <f>SUM(BL40:BL44)</f>
        <v>20397</v>
      </c>
      <c r="BM45" s="6">
        <f>SUM(BM40:BM44)</f>
        <v>20250.300000000003</v>
      </c>
      <c r="BN45" s="6">
        <f>SUM(BN40:BN44)</f>
        <v>18974.399999999994</v>
      </c>
      <c r="BO45" s="6">
        <f>SUM(BO40:BO44)</f>
        <v>23196.600000000002</v>
      </c>
      <c r="BP45" s="6">
        <f>SUM(BP40:BP44)</f>
        <v>16801.300000000003</v>
      </c>
      <c r="BQ45" s="6">
        <f>SUM(BQ40:BQ44)</f>
        <v>15443.099999999999</v>
      </c>
      <c r="BR45" s="6">
        <f>SUM(BR40:BR44)</f>
        <v>18736.800000000007</v>
      </c>
      <c r="BS45" s="6">
        <f>BR45</f>
        <v>18736.800000000007</v>
      </c>
    </row>
    <row r="46" spans="2:71">
      <c r="B46" s="5" t="s">
        <v>171</v>
      </c>
      <c r="C46" s="12">
        <f>IFERROR(C45/(C28*12),0)</f>
        <v>0.18853837230830853</v>
      </c>
      <c r="D46" s="12">
        <f>IFERROR(D45/(D28*12),0)</f>
        <v>0.18994388211405513</v>
      </c>
      <c r="E46" s="12">
        <f>IFERROR(E45/(E28*12),0)</f>
        <v>0.18977913906806929</v>
      </c>
      <c r="F46" s="12">
        <f>IFERROR(F45/(F28*12),0)</f>
        <v>0.18807274056780979</v>
      </c>
      <c r="G46" s="12">
        <f>IFERROR(G45/(G28*12),0)</f>
        <v>0.1893771896385848</v>
      </c>
      <c r="H46" s="12">
        <f>IFERROR(H45/(H28*12),0)</f>
        <v>0.18039459161147905</v>
      </c>
      <c r="I46" s="12">
        <f>IFERROR(I45/(I28*12),0)</f>
        <v>0.1776416901764285</v>
      </c>
      <c r="J46" s="12">
        <f>IFERROR(J45/(J28*12),0)</f>
        <v>0.17115147316693</v>
      </c>
      <c r="K46" s="12">
        <f>IFERROR(K45/(K28*12),0)</f>
        <v>0.20609062055379229</v>
      </c>
      <c r="L46" s="12">
        <f>IFERROR(L45/(L28*12),0)</f>
        <v>0.15261905979845519</v>
      </c>
      <c r="M46" s="12">
        <f>IFERROR(M45/(M28*12),0)</f>
        <v>0.16295916168615396</v>
      </c>
      <c r="N46" s="12">
        <f>IFERROR(N45/(N28*12),0)</f>
        <v>0.17555877117188401</v>
      </c>
      <c r="Q46" s="12">
        <f>IFERROR(Q45/(Q28*12),0)</f>
        <v>0.18853837230830853</v>
      </c>
      <c r="R46" s="12">
        <f>IFERROR(R45/(R28*12),0)</f>
        <v>0.18994388211405513</v>
      </c>
      <c r="S46" s="12">
        <f>IFERROR(S45/(S28*12),0)</f>
        <v>0.18977913906806929</v>
      </c>
      <c r="T46" s="12">
        <f>IFERROR(T45/(T28*12),0)</f>
        <v>0.18807274056780979</v>
      </c>
      <c r="U46" s="12">
        <f>IFERROR(U45/(U28*12),0)</f>
        <v>0.1893771896385848</v>
      </c>
      <c r="V46" s="12">
        <f>IFERROR(V45/(V28*12),0)</f>
        <v>0.18039459161147905</v>
      </c>
      <c r="W46" s="12">
        <f>IFERROR(W45/(W28*12),0)</f>
        <v>0.1776416901764285</v>
      </c>
      <c r="X46" s="12">
        <f>IFERROR(X45/(X28*12),0)</f>
        <v>0.17115147316693</v>
      </c>
      <c r="Y46" s="12">
        <f>IFERROR(Y45/(Y28*12),0)</f>
        <v>0.20711064672239332</v>
      </c>
      <c r="Z46" s="12">
        <f>IFERROR(Z45/(Z28*12),0)</f>
        <v>0.15332493961662985</v>
      </c>
      <c r="AA46" s="12">
        <f>IFERROR(AA45/(AA28*12),0)</f>
        <v>0.16379506879295996</v>
      </c>
      <c r="AB46" s="12">
        <f>IFERROR(AB45/(AB28*12),0)</f>
        <v>0.17638506835130591</v>
      </c>
      <c r="AE46" s="12">
        <f>IFERROR(AE45/(AE28*12),0)</f>
        <v>0</v>
      </c>
      <c r="AF46" s="12">
        <f>IFERROR(AF45/(AF28*12),0)</f>
        <v>0</v>
      </c>
      <c r="AG46" s="12">
        <f>IFERROR(AG45/(AG28*12),0)</f>
        <v>0</v>
      </c>
      <c r="AH46" s="12">
        <f>IFERROR(AH45/(AH28*12),0)</f>
        <v>0</v>
      </c>
      <c r="AI46" s="12">
        <f>IFERROR(AI45/(AI28*12),0)</f>
        <v>0</v>
      </c>
      <c r="AJ46" s="12">
        <f>IFERROR(AJ45/(AJ28*12),0)</f>
        <v>0</v>
      </c>
      <c r="AK46" s="12">
        <f>IFERROR(AK45/(AK28*12),0)</f>
        <v>0</v>
      </c>
      <c r="AL46" s="12">
        <f>IFERROR(AL45/(AL28*12),0)</f>
        <v>0</v>
      </c>
      <c r="AM46" s="12">
        <f>IFERROR(AM45/(AM28*12),0)</f>
        <v>0</v>
      </c>
      <c r="AN46" s="12">
        <f>IFERROR(AN45/(AN28*12),0)</f>
        <v>0</v>
      </c>
      <c r="AO46" s="12">
        <f>IFERROR(AO45/(AO28*12),0)</f>
        <v>0</v>
      </c>
      <c r="AP46" s="12">
        <f>IFERROR(AP45/(AP28*12),0)</f>
        <v>0</v>
      </c>
      <c r="AS46" s="12">
        <f>IFERROR(AS45/(AS28*12),0)</f>
        <v>0</v>
      </c>
      <c r="AT46" s="12">
        <f>IFERROR(AT45/(AT28*12),0)</f>
        <v>0</v>
      </c>
      <c r="AU46" s="12">
        <f>IFERROR(AU45/(AU28*12),0)</f>
        <v>0</v>
      </c>
      <c r="AV46" s="12">
        <f>IFERROR(AV45/(AV28*12),0)</f>
        <v>0</v>
      </c>
      <c r="AW46" s="12">
        <f>IFERROR(AW45/(AW28*12),0)</f>
        <v>0</v>
      </c>
      <c r="AX46" s="12">
        <f>IFERROR(AX45/(AX28*12),0)</f>
        <v>0</v>
      </c>
      <c r="AY46" s="12">
        <f>IFERROR(AY45/(AY28*12),0)</f>
        <v>0</v>
      </c>
      <c r="AZ46" s="12">
        <f>IFERROR(AZ45/(AZ28*12),0)</f>
        <v>0</v>
      </c>
      <c r="BA46" s="12">
        <f>IFERROR(BA45/(BA28*12),0)</f>
        <v>2.9411764705882353E-2</v>
      </c>
      <c r="BB46" s="12">
        <f>IFERROR(BB45/(BB28*12),0)</f>
        <v>9.166666666666666E-2</v>
      </c>
      <c r="BC46" s="12">
        <f>IFERROR(BC45/(BC28*12),0)</f>
        <v>0.375</v>
      </c>
      <c r="BD46" s="12">
        <f>IFERROR(BD45/(BD28*12),0)</f>
        <v>-0.41666666666666669</v>
      </c>
      <c r="BG46" s="12">
        <f>IFERROR(BG45/(BG28*12),0)</f>
        <v>0.18853837230830853</v>
      </c>
      <c r="BH46" s="12">
        <f>IFERROR(BH45/(BH28*12),0)</f>
        <v>0.18994388211405513</v>
      </c>
      <c r="BI46" s="12">
        <f>IFERROR(BI45/(BI28*12),0)</f>
        <v>0.18977913906806929</v>
      </c>
      <c r="BJ46" s="12">
        <f>IFERROR(BJ45/(BJ28*12),0)</f>
        <v>0.18807274056780979</v>
      </c>
      <c r="BK46" s="12">
        <f>IFERROR(BK45/(BK28*12),0)</f>
        <v>0.1893771896385848</v>
      </c>
      <c r="BL46" s="12">
        <f>IFERROR(BL45/(BL28*12),0)</f>
        <v>0.18039459161147905</v>
      </c>
      <c r="BM46" s="12">
        <f>IFERROR(BM45/(BM28*12),0)</f>
        <v>0.1776416901764285</v>
      </c>
      <c r="BN46" s="12">
        <f>IFERROR(BN45/(BN28*12),0)</f>
        <v>0.17115147316693</v>
      </c>
      <c r="BO46" s="12">
        <f>IFERROR(BO45/(BO28*12),0)</f>
        <v>0.17911879169755376</v>
      </c>
      <c r="BP46" s="12">
        <f>IFERROR(BP45/(BP28*12),0)</f>
        <v>0.16038814746930907</v>
      </c>
      <c r="BQ46" s="12">
        <f>IFERROR(BQ45/(BQ28*12),0)</f>
        <v>0.15370489806155718</v>
      </c>
      <c r="BR46" s="12">
        <f>IFERROR(BR45/(BR28*12),0)</f>
        <v>0.15834254479814222</v>
      </c>
    </row>
    <row r="49" spans="2:15">
      <c r="B49" s="8" t="s">
        <v>172</v>
      </c>
    </row>
    <row r="50" spans="2:15">
      <c r="C50" s="19" t="s">
        <v>70</v>
      </c>
      <c r="D50" s="19" t="s">
        <v>71</v>
      </c>
      <c r="E50" s="19" t="s">
        <v>72</v>
      </c>
      <c r="F50" s="19" t="s">
        <v>73</v>
      </c>
      <c r="G50" s="19" t="s">
        <v>50</v>
      </c>
      <c r="H50" s="19" t="s">
        <v>74</v>
      </c>
      <c r="I50" s="19" t="s">
        <v>75</v>
      </c>
      <c r="J50" s="19" t="s">
        <v>76</v>
      </c>
      <c r="K50" s="19" t="s">
        <v>77</v>
      </c>
      <c r="L50" s="19" t="s">
        <v>78</v>
      </c>
      <c r="M50" s="19" t="s">
        <v>79</v>
      </c>
      <c r="N50" s="19" t="s">
        <v>80</v>
      </c>
      <c r="O50" s="2" t="s">
        <v>165</v>
      </c>
    </row>
    <row r="51" spans="2:15">
      <c r="B51" t="s">
        <v>100</v>
      </c>
      <c r="C51" s="6">
        <v>8708.2000000000007</v>
      </c>
      <c r="D51" s="6">
        <v>8525.1</v>
      </c>
      <c r="E51" s="6">
        <v>9166.6</v>
      </c>
      <c r="F51" s="6">
        <v>9900</v>
      </c>
      <c r="G51" s="6">
        <v>8983.4</v>
      </c>
      <c r="H51" s="6">
        <v>9441.7999999999993</v>
      </c>
      <c r="I51" s="6">
        <v>9349.9</v>
      </c>
      <c r="J51" s="6">
        <v>9166.5</v>
      </c>
      <c r="K51" s="6">
        <v>8983.2999999999993</v>
      </c>
      <c r="L51" s="6">
        <v>9625</v>
      </c>
      <c r="M51" s="6">
        <v>8708.2999999999993</v>
      </c>
      <c r="N51" s="6">
        <v>9441.7000000000007</v>
      </c>
      <c r="O51" s="6">
        <f>SUM(C51:N51)</f>
        <v>109999.8</v>
      </c>
    </row>
    <row r="52" spans="2:15">
      <c r="B52" t="s">
        <v>111</v>
      </c>
      <c r="C52" s="6">
        <v>2481.6999999999998</v>
      </c>
      <c r="D52" s="6">
        <v>2429.6999999999998</v>
      </c>
      <c r="E52" s="6">
        <v>2612.5</v>
      </c>
      <c r="F52" s="6">
        <v>2821.5</v>
      </c>
      <c r="G52" s="6">
        <v>2560.4</v>
      </c>
      <c r="H52" s="6">
        <v>2691.1</v>
      </c>
      <c r="I52" s="6">
        <v>2664.6</v>
      </c>
      <c r="J52" s="6">
        <v>2612.4</v>
      </c>
      <c r="K52" s="6">
        <v>2560.3000000000002</v>
      </c>
      <c r="L52" s="6">
        <v>2743.1</v>
      </c>
      <c r="M52" s="6">
        <v>2481.9</v>
      </c>
      <c r="N52" s="6">
        <v>2690.9</v>
      </c>
      <c r="O52" s="6">
        <f>SUM(C52:N52)</f>
        <v>31350.100000000002</v>
      </c>
    </row>
    <row r="53" spans="2:15">
      <c r="B53" t="s">
        <v>112</v>
      </c>
      <c r="C53" s="6">
        <v>-1741.9</v>
      </c>
      <c r="D53" s="6">
        <v>-1705.1</v>
      </c>
      <c r="E53" s="6">
        <v>-1833.2</v>
      </c>
      <c r="F53" s="6">
        <v>-1980.1</v>
      </c>
      <c r="G53" s="6">
        <v>-1796.9</v>
      </c>
      <c r="H53" s="6">
        <v>-1888.6</v>
      </c>
      <c r="I53" s="6">
        <v>-1869.8</v>
      </c>
      <c r="J53" s="6">
        <v>-1833.2</v>
      </c>
      <c r="K53" s="6">
        <v>-1796.9</v>
      </c>
      <c r="L53" s="6">
        <v>-1924.9</v>
      </c>
      <c r="M53" s="6">
        <v>-1741.9</v>
      </c>
      <c r="N53" s="6">
        <v>-1888.6</v>
      </c>
      <c r="O53" s="6">
        <f>SUM(C53:N53)</f>
        <v>-22001.100000000002</v>
      </c>
    </row>
    <row r="54" spans="2:15">
      <c r="B54" t="s">
        <v>113</v>
      </c>
      <c r="C54" s="6">
        <f>C52+C53</f>
        <v>739.79999999999973</v>
      </c>
      <c r="D54" s="6">
        <f>D52+D53</f>
        <v>724.59999999999991</v>
      </c>
      <c r="E54" s="6">
        <f>E52+E53</f>
        <v>779.3</v>
      </c>
      <c r="F54" s="6">
        <f>F52+F53</f>
        <v>841.40000000000009</v>
      </c>
      <c r="G54" s="6">
        <f>G52+G53</f>
        <v>763.5</v>
      </c>
      <c r="H54" s="6">
        <f>H52+H53</f>
        <v>802.5</v>
      </c>
      <c r="I54" s="6">
        <f>I52+I53</f>
        <v>794.8</v>
      </c>
      <c r="J54" s="6">
        <f>J52+J53</f>
        <v>779.2</v>
      </c>
      <c r="K54" s="6">
        <f>K52+K53</f>
        <v>763.40000000000009</v>
      </c>
      <c r="L54" s="6">
        <f>L52+L53</f>
        <v>818.19999999999982</v>
      </c>
      <c r="M54" s="6">
        <f>M52+M53</f>
        <v>740</v>
      </c>
      <c r="N54" s="6">
        <f>N52+N53</f>
        <v>802.30000000000018</v>
      </c>
      <c r="O54" s="6">
        <f>SUM(C54:N54)</f>
        <v>9349</v>
      </c>
    </row>
    <row r="55" spans="2:15">
      <c r="B55" t="s">
        <v>151</v>
      </c>
      <c r="C55" s="6">
        <v>15865.6</v>
      </c>
      <c r="D55" s="6">
        <v>15490.2</v>
      </c>
      <c r="E55" s="6">
        <v>16750.8</v>
      </c>
      <c r="F55" s="6">
        <v>17677.900000000001</v>
      </c>
      <c r="G55" s="6">
        <v>16004.3</v>
      </c>
      <c r="H55" s="6">
        <v>17289.599999999999</v>
      </c>
      <c r="I55" s="6">
        <v>16826.7</v>
      </c>
      <c r="J55" s="6">
        <v>16914.599999999999</v>
      </c>
      <c r="K55" s="6">
        <v>16168.1</v>
      </c>
      <c r="L55" s="6">
        <v>17250.2</v>
      </c>
      <c r="M55" s="6">
        <v>15562.5</v>
      </c>
      <c r="N55" s="6">
        <v>16916.400000000001</v>
      </c>
      <c r="O55" s="6">
        <f>N55</f>
        <v>16916.400000000001</v>
      </c>
    </row>
    <row r="56" spans="2:15">
      <c r="B56" t="s">
        <v>152</v>
      </c>
      <c r="C56" s="6">
        <v>13062.3</v>
      </c>
      <c r="D56" s="6">
        <v>12787.6</v>
      </c>
      <c r="E56" s="6">
        <v>13749.9</v>
      </c>
      <c r="F56" s="6">
        <v>14850</v>
      </c>
      <c r="G56" s="6">
        <v>13475.1</v>
      </c>
      <c r="H56" s="6">
        <v>14162.7</v>
      </c>
      <c r="I56" s="6">
        <v>14024.9</v>
      </c>
      <c r="J56" s="6">
        <v>13749.8</v>
      </c>
      <c r="K56" s="6">
        <v>13474.9</v>
      </c>
      <c r="L56" s="6">
        <v>14437.5</v>
      </c>
      <c r="M56" s="6">
        <v>13062.4</v>
      </c>
      <c r="N56" s="6">
        <v>14162.6</v>
      </c>
      <c r="O56" s="6">
        <f>N56</f>
        <v>14162.6</v>
      </c>
    </row>
    <row r="57" spans="2:15">
      <c r="B57" t="s">
        <v>153</v>
      </c>
      <c r="C57" s="6">
        <v>130.6</v>
      </c>
      <c r="D57" s="6">
        <v>127.9</v>
      </c>
      <c r="E57" s="6">
        <v>137.5</v>
      </c>
      <c r="F57" s="6">
        <v>148.5</v>
      </c>
      <c r="G57" s="6">
        <v>134.80000000000001</v>
      </c>
      <c r="H57" s="6">
        <v>141.6</v>
      </c>
      <c r="I57" s="6">
        <v>140.19999999999999</v>
      </c>
      <c r="J57" s="6">
        <v>137.5</v>
      </c>
      <c r="K57" s="6">
        <v>134.69999999999999</v>
      </c>
      <c r="L57" s="6">
        <v>144.4</v>
      </c>
      <c r="M57" s="6">
        <v>130.6</v>
      </c>
      <c r="N57" s="6">
        <v>141.6</v>
      </c>
      <c r="O57" s="6">
        <f>N57</f>
        <v>141.6</v>
      </c>
    </row>
    <row r="58" spans="2:15">
      <c r="B58" t="s">
        <v>154</v>
      </c>
      <c r="C58" s="6">
        <v>-8717.1</v>
      </c>
      <c r="D58" s="6">
        <v>-8533.6</v>
      </c>
      <c r="E58" s="6">
        <v>-9175.7000000000007</v>
      </c>
      <c r="F58" s="6">
        <v>-9909.9</v>
      </c>
      <c r="G58" s="6">
        <v>-8992.2000000000007</v>
      </c>
      <c r="H58" s="6">
        <v>-9451</v>
      </c>
      <c r="I58" s="6">
        <v>-9359.4</v>
      </c>
      <c r="J58" s="6">
        <v>-9175.7000000000007</v>
      </c>
      <c r="K58" s="6">
        <v>-8992.2000000000007</v>
      </c>
      <c r="L58" s="6">
        <v>-9634.7000000000007</v>
      </c>
      <c r="M58" s="6">
        <v>-8717</v>
      </c>
      <c r="N58" s="6">
        <v>-9451.1</v>
      </c>
      <c r="O58" s="6">
        <f>N58</f>
        <v>-9451.1</v>
      </c>
    </row>
    <row r="59" spans="2:15">
      <c r="B59" t="s">
        <v>155</v>
      </c>
      <c r="C59" s="6">
        <v>-261.2</v>
      </c>
      <c r="D59" s="6">
        <v>-255.8</v>
      </c>
      <c r="E59" s="6">
        <v>-275</v>
      </c>
      <c r="F59" s="6">
        <v>-297</v>
      </c>
      <c r="G59" s="6">
        <v>-269.5</v>
      </c>
      <c r="H59" s="6">
        <v>-283.3</v>
      </c>
      <c r="I59" s="6">
        <v>-280.5</v>
      </c>
      <c r="J59" s="6">
        <v>-275</v>
      </c>
      <c r="K59" s="6">
        <v>-269.5</v>
      </c>
      <c r="L59" s="6">
        <v>-288.8</v>
      </c>
      <c r="M59" s="6">
        <v>-261.2</v>
      </c>
      <c r="N59" s="6">
        <v>-283.3</v>
      </c>
      <c r="O59" s="6">
        <f>N59</f>
        <v>-283.3</v>
      </c>
    </row>
    <row r="60" spans="2:15">
      <c r="B60" t="s">
        <v>170</v>
      </c>
      <c r="C60" s="6">
        <f>SUM(C55:C59)</f>
        <v>20080.2</v>
      </c>
      <c r="D60" s="6">
        <f>SUM(D55:D59)</f>
        <v>19616.300000000007</v>
      </c>
      <c r="E60" s="6">
        <f>SUM(E55:E59)</f>
        <v>21187.499999999996</v>
      </c>
      <c r="F60" s="6">
        <f>SUM(F55:F59)</f>
        <v>22469.5</v>
      </c>
      <c r="G60" s="6">
        <f>SUM(G55:G59)</f>
        <v>20352.5</v>
      </c>
      <c r="H60" s="6">
        <f>SUM(H55:H59)</f>
        <v>21859.599999999999</v>
      </c>
      <c r="I60" s="6">
        <f>SUM(I55:I59)</f>
        <v>21351.9</v>
      </c>
      <c r="J60" s="6">
        <f>SUM(J55:J59)</f>
        <v>21351.199999999997</v>
      </c>
      <c r="K60" s="6">
        <f>SUM(K55:K59)</f>
        <v>20516</v>
      </c>
      <c r="L60" s="6">
        <f>SUM(L55:L59)</f>
        <v>21908.600000000002</v>
      </c>
      <c r="M60" s="6">
        <f>SUM(M55:M59)</f>
        <v>19777.3</v>
      </c>
      <c r="N60" s="6">
        <f>SUM(N55:N59)</f>
        <v>21486.2</v>
      </c>
      <c r="O60" s="6">
        <f>N60</f>
        <v>21486.2</v>
      </c>
    </row>
    <row r="62" spans="2:15">
      <c r="B62" s="8" t="s">
        <v>173</v>
      </c>
    </row>
    <row r="63" spans="2:15">
      <c r="C63" s="19" t="s">
        <v>70</v>
      </c>
      <c r="D63" s="19" t="s">
        <v>71</v>
      </c>
      <c r="E63" s="19" t="s">
        <v>72</v>
      </c>
      <c r="F63" s="19" t="s">
        <v>73</v>
      </c>
      <c r="G63" s="19" t="s">
        <v>50</v>
      </c>
      <c r="H63" s="19" t="s">
        <v>74</v>
      </c>
      <c r="I63" s="19" t="s">
        <v>75</v>
      </c>
      <c r="J63" s="19" t="s">
        <v>76</v>
      </c>
      <c r="K63" s="19" t="s">
        <v>77</v>
      </c>
      <c r="L63" s="19" t="s">
        <v>78</v>
      </c>
      <c r="M63" s="19" t="s">
        <v>79</v>
      </c>
      <c r="N63" s="19" t="s">
        <v>80</v>
      </c>
      <c r="O63" s="2" t="s">
        <v>165</v>
      </c>
    </row>
    <row r="64" spans="2:15">
      <c r="B64" t="s">
        <v>100</v>
      </c>
      <c r="C64" s="6">
        <v>8371.7000000000007</v>
      </c>
      <c r="D64" s="6">
        <v>8064.5</v>
      </c>
      <c r="E64" s="6">
        <v>8699.4</v>
      </c>
      <c r="F64" s="6">
        <v>9392.1</v>
      </c>
      <c r="G64" s="6">
        <v>8631.5</v>
      </c>
      <c r="H64" s="6">
        <v>9163.5</v>
      </c>
      <c r="I64" s="6">
        <v>8895</v>
      </c>
      <c r="J64" s="6">
        <v>8608.7000000000007</v>
      </c>
      <c r="K64" s="6">
        <v>8452.5</v>
      </c>
      <c r="L64" s="6">
        <v>9245</v>
      </c>
      <c r="M64" s="6">
        <v>8398.9</v>
      </c>
      <c r="N64" s="6">
        <v>9010.2999999999993</v>
      </c>
      <c r="O64" s="6">
        <f>SUM(C64:N64)</f>
        <v>104933.09999999999</v>
      </c>
    </row>
    <row r="65" spans="2:15">
      <c r="B65" t="s">
        <v>111</v>
      </c>
      <c r="C65" s="6">
        <v>2374.4</v>
      </c>
      <c r="D65" s="6">
        <v>2295</v>
      </c>
      <c r="E65" s="6">
        <v>2502.6999999999998</v>
      </c>
      <c r="F65" s="6">
        <v>2681.8</v>
      </c>
      <c r="G65" s="6">
        <v>2491.9</v>
      </c>
      <c r="H65" s="6">
        <v>2596.6999999999998</v>
      </c>
      <c r="I65" s="6">
        <v>2518.6</v>
      </c>
      <c r="J65" s="6">
        <v>2445.1999999999998</v>
      </c>
      <c r="K65" s="6">
        <v>2425.4</v>
      </c>
      <c r="L65" s="6">
        <v>2661.7</v>
      </c>
      <c r="M65" s="6">
        <v>2379.3000000000002</v>
      </c>
      <c r="N65" s="6">
        <v>2567</v>
      </c>
      <c r="O65" s="6">
        <f>SUM(C65:N65)</f>
        <v>29939.7</v>
      </c>
    </row>
    <row r="66" spans="2:15">
      <c r="B66" t="s">
        <v>112</v>
      </c>
      <c r="C66" s="6">
        <v>-1689.6</v>
      </c>
      <c r="D66" s="6">
        <v>-1668.9</v>
      </c>
      <c r="E66" s="6">
        <v>-1764</v>
      </c>
      <c r="F66" s="6">
        <v>-1912</v>
      </c>
      <c r="G66" s="6">
        <v>-1736.1</v>
      </c>
      <c r="H66" s="6">
        <v>-1838.6</v>
      </c>
      <c r="I66" s="6">
        <v>-1812.9</v>
      </c>
      <c r="J66" s="6">
        <v>-1788.5</v>
      </c>
      <c r="K66" s="6">
        <v>-1752.2</v>
      </c>
      <c r="L66" s="6">
        <v>-1862.7</v>
      </c>
      <c r="M66" s="6">
        <v>-1680</v>
      </c>
      <c r="N66" s="6">
        <v>-1841</v>
      </c>
      <c r="O66" s="6">
        <f>SUM(C66:N66)</f>
        <v>-21346.5</v>
      </c>
    </row>
    <row r="67" spans="2:15">
      <c r="B67" t="s">
        <v>113</v>
      </c>
      <c r="C67" s="6">
        <f>C65+C66</f>
        <v>684.80000000000018</v>
      </c>
      <c r="D67" s="6">
        <f>D65+D66</f>
        <v>626.09999999999991</v>
      </c>
      <c r="E67" s="6">
        <f>E65+E66</f>
        <v>738.69999999999982</v>
      </c>
      <c r="F67" s="6">
        <f>F65+F66</f>
        <v>769.80000000000018</v>
      </c>
      <c r="G67" s="6">
        <f>G65+G66</f>
        <v>755.80000000000018</v>
      </c>
      <c r="H67" s="6">
        <f>H65+H66</f>
        <v>758.09999999999991</v>
      </c>
      <c r="I67" s="6">
        <f>I65+I66</f>
        <v>705.69999999999982</v>
      </c>
      <c r="J67" s="6">
        <f>J65+J66</f>
        <v>656.69999999999982</v>
      </c>
      <c r="K67" s="6">
        <f>K65+K66</f>
        <v>673.2</v>
      </c>
      <c r="L67" s="6">
        <f>L65+L66</f>
        <v>798.99999999999977</v>
      </c>
      <c r="M67" s="6">
        <f>M65+M66</f>
        <v>699.30000000000018</v>
      </c>
      <c r="N67" s="6">
        <f>N65+N66</f>
        <v>726</v>
      </c>
      <c r="O67" s="6">
        <f>SUM(C67:N67)</f>
        <v>8593.2000000000007</v>
      </c>
    </row>
    <row r="68" spans="2:15">
      <c r="B68" t="s">
        <v>151</v>
      </c>
      <c r="C68" s="6">
        <v>16999.099999999999</v>
      </c>
      <c r="D68" s="6">
        <v>16016.9</v>
      </c>
      <c r="E68" s="6">
        <v>17107.099999999999</v>
      </c>
      <c r="F68" s="6">
        <v>19108.5</v>
      </c>
      <c r="G68" s="6">
        <v>17372.5</v>
      </c>
      <c r="H68" s="6">
        <v>18626.599999999999</v>
      </c>
      <c r="I68" s="6">
        <v>18058.8</v>
      </c>
      <c r="J68" s="6">
        <v>17389.7</v>
      </c>
      <c r="K68" s="6">
        <v>17161.8</v>
      </c>
      <c r="L68" s="6">
        <v>18494.3</v>
      </c>
      <c r="M68" s="6">
        <v>16630.2</v>
      </c>
      <c r="N68" s="6">
        <v>18353.2</v>
      </c>
      <c r="O68" s="6">
        <f>N68</f>
        <v>18353.2</v>
      </c>
    </row>
    <row r="69" spans="2:15">
      <c r="B69" t="s">
        <v>152</v>
      </c>
      <c r="C69" s="6">
        <v>12836.6</v>
      </c>
      <c r="D69" s="6">
        <v>12365.6</v>
      </c>
      <c r="E69" s="6">
        <v>13339.1</v>
      </c>
      <c r="F69" s="6">
        <v>14401.2</v>
      </c>
      <c r="G69" s="6">
        <v>13235</v>
      </c>
      <c r="H69" s="6">
        <v>14050.7</v>
      </c>
      <c r="I69" s="6">
        <v>13639</v>
      </c>
      <c r="J69" s="6">
        <v>13200</v>
      </c>
      <c r="K69" s="6">
        <v>12960.5</v>
      </c>
      <c r="L69" s="6">
        <v>14175.7</v>
      </c>
      <c r="M69" s="6">
        <v>12878.3</v>
      </c>
      <c r="N69" s="6">
        <v>13815.8</v>
      </c>
      <c r="O69" s="6">
        <f>N69</f>
        <v>13815.8</v>
      </c>
    </row>
    <row r="70" spans="2:15">
      <c r="B70" t="s">
        <v>153</v>
      </c>
      <c r="C70" s="6">
        <v>125.6</v>
      </c>
      <c r="D70" s="6">
        <v>121</v>
      </c>
      <c r="E70" s="6">
        <v>130.5</v>
      </c>
      <c r="F70" s="6">
        <v>140.9</v>
      </c>
      <c r="G70" s="6">
        <v>129.5</v>
      </c>
      <c r="H70" s="6">
        <v>137.5</v>
      </c>
      <c r="I70" s="6">
        <v>133.4</v>
      </c>
      <c r="J70" s="6">
        <v>129.1</v>
      </c>
      <c r="K70" s="6">
        <v>126.8</v>
      </c>
      <c r="L70" s="6">
        <v>138.69999999999999</v>
      </c>
      <c r="M70" s="6">
        <v>126</v>
      </c>
      <c r="N70" s="6">
        <v>135.19999999999999</v>
      </c>
      <c r="O70" s="6">
        <f>N70</f>
        <v>135.19999999999999</v>
      </c>
    </row>
    <row r="71" spans="2:15">
      <c r="B71" t="s">
        <v>154</v>
      </c>
      <c r="C71" s="6">
        <v>-8196.2999999999993</v>
      </c>
      <c r="D71" s="6">
        <v>-7885</v>
      </c>
      <c r="E71" s="6">
        <v>-8468.7999999999993</v>
      </c>
      <c r="F71" s="6">
        <v>-9170.7000000000007</v>
      </c>
      <c r="G71" s="6">
        <v>-8390.7999999999993</v>
      </c>
      <c r="H71" s="6">
        <v>-8974.6</v>
      </c>
      <c r="I71" s="6">
        <v>-8714.4</v>
      </c>
      <c r="J71" s="6">
        <v>-8423.5</v>
      </c>
      <c r="K71" s="6">
        <v>-8237</v>
      </c>
      <c r="L71" s="6">
        <v>-8997.2000000000007</v>
      </c>
      <c r="M71" s="6">
        <v>-8226.7999999999993</v>
      </c>
      <c r="N71" s="6">
        <v>-8805.7999999999993</v>
      </c>
      <c r="O71" s="6">
        <f>N71</f>
        <v>-8805.7999999999993</v>
      </c>
    </row>
    <row r="72" spans="2:15">
      <c r="B72" t="s">
        <v>155</v>
      </c>
      <c r="C72" s="6">
        <v>-251.2</v>
      </c>
      <c r="D72" s="6">
        <v>-241.9</v>
      </c>
      <c r="E72" s="6">
        <v>-261</v>
      </c>
      <c r="F72" s="6">
        <v>-281.8</v>
      </c>
      <c r="G72" s="6">
        <v>-258.89999999999998</v>
      </c>
      <c r="H72" s="6">
        <v>-274.89999999999998</v>
      </c>
      <c r="I72" s="6">
        <v>-266.8</v>
      </c>
      <c r="J72" s="6">
        <v>-258.3</v>
      </c>
      <c r="K72" s="6">
        <v>-253.6</v>
      </c>
      <c r="L72" s="6">
        <v>-277.3</v>
      </c>
      <c r="M72" s="6">
        <v>-252</v>
      </c>
      <c r="N72" s="6">
        <v>-270.3</v>
      </c>
      <c r="O72" s="6">
        <f>N72</f>
        <v>-270.3</v>
      </c>
    </row>
    <row r="73" spans="2:15">
      <c r="B73" t="s">
        <v>170</v>
      </c>
      <c r="C73" s="6">
        <f>SUM(C68:C72)</f>
        <v>21513.799999999996</v>
      </c>
      <c r="D73" s="6">
        <f>SUM(D68:D72)</f>
        <v>20376.599999999999</v>
      </c>
      <c r="E73" s="6">
        <f>SUM(E68:E72)</f>
        <v>21846.899999999998</v>
      </c>
      <c r="F73" s="6">
        <f>SUM(F68:F72)</f>
        <v>24198.1</v>
      </c>
      <c r="G73" s="6">
        <f>SUM(G68:G72)</f>
        <v>22087.3</v>
      </c>
      <c r="H73" s="6">
        <f>SUM(H68:H72)</f>
        <v>23565.300000000003</v>
      </c>
      <c r="I73" s="6">
        <f>SUM(I68:I72)</f>
        <v>22850.000000000004</v>
      </c>
      <c r="J73" s="6">
        <f>SUM(J68:J72)</f>
        <v>22037</v>
      </c>
      <c r="K73" s="6">
        <f>SUM(K68:K72)</f>
        <v>21758.5</v>
      </c>
      <c r="L73" s="6">
        <f>SUM(L68:L72)</f>
        <v>23534.199999999997</v>
      </c>
      <c r="M73" s="6">
        <f>SUM(M68:M72)</f>
        <v>21155.7</v>
      </c>
      <c r="N73" s="6">
        <f>SUM(N68:N72)</f>
        <v>23228.100000000002</v>
      </c>
      <c r="O73" s="6">
        <f>N73</f>
        <v>23228.100000000002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23"/>
  <sheetViews>
    <sheetView showGridLines="0" workbookViewId="0"/>
  </sheetViews>
  <sheetFormatPr defaultRowHeight="15"/>
  <cols>
    <col min="2" max="2" width="28" customWidth="1"/>
    <col min="3" max="11" width="14" customWidth="1"/>
  </cols>
  <sheetData>
    <row r="1" spans="1:11">
      <c r="A1" t="s">
        <v>27</v>
      </c>
      <c r="B1" t="s">
        <v>32</v>
      </c>
      <c r="D1" s="3" t="s">
        <v>109</v>
      </c>
    </row>
    <row r="2" spans="1:11">
      <c r="A2" t="s">
        <v>28</v>
      </c>
      <c r="B2" t="s">
        <v>37</v>
      </c>
      <c r="D2" s="1" t="s">
        <v>24</v>
      </c>
    </row>
    <row r="4" spans="1:11">
      <c r="C4" s="8" t="s">
        <v>52</v>
      </c>
    </row>
    <row r="5" spans="1:11">
      <c r="C5" s="2" t="s">
        <v>91</v>
      </c>
      <c r="F5" s="2" t="s">
        <v>92</v>
      </c>
      <c r="I5" s="2" t="s">
        <v>81</v>
      </c>
    </row>
    <row r="6" spans="1:11" ht="30" customHeight="1">
      <c r="B6" s="2" t="s">
        <v>93</v>
      </c>
      <c r="C6" s="4" t="s">
        <v>94</v>
      </c>
      <c r="D6" s="4" t="s">
        <v>95</v>
      </c>
      <c r="E6" s="4" t="s">
        <v>96</v>
      </c>
      <c r="F6" s="4" t="s">
        <v>97</v>
      </c>
      <c r="G6" s="4" t="s">
        <v>98</v>
      </c>
      <c r="H6" s="4" t="s">
        <v>99</v>
      </c>
      <c r="I6" s="4" t="s">
        <v>97</v>
      </c>
      <c r="J6" s="4" t="s">
        <v>98</v>
      </c>
      <c r="K6" s="4" t="s">
        <v>99</v>
      </c>
    </row>
    <row r="8" spans="1:11">
      <c r="B8" s="2" t="s">
        <v>100</v>
      </c>
      <c r="C8" s="6">
        <f>SAFEREG!BU28</f>
        <v>0</v>
      </c>
      <c r="D8" s="6">
        <f>SAFEREG!BV28</f>
        <v>0</v>
      </c>
      <c r="E8" s="6">
        <f>SAFEREG!BW28</f>
        <v>0</v>
      </c>
      <c r="F8" s="6">
        <f>SAFEREG!BY28</f>
        <v>0</v>
      </c>
      <c r="G8" s="6">
        <f>SAFEREG!BZ28</f>
        <v>0</v>
      </c>
      <c r="H8" s="6">
        <f>SAFEREG!CA28</f>
        <v>0</v>
      </c>
      <c r="I8" s="6">
        <f>SAFEREG!CC28</f>
        <v>0</v>
      </c>
      <c r="J8" s="6">
        <f>SAFEREG!CD28</f>
        <v>0</v>
      </c>
      <c r="K8" s="6">
        <f>SAFEREG!CE28</f>
        <v>0</v>
      </c>
    </row>
    <row r="10" spans="1:11">
      <c r="B10" s="2" t="s">
        <v>111</v>
      </c>
      <c r="C10" s="6">
        <f>SAFEREG!BU29</f>
        <v>0</v>
      </c>
      <c r="D10" s="6">
        <f>SAFEREG!BV29</f>
        <v>0</v>
      </c>
      <c r="E10" s="6">
        <f>SAFEREG!BW29</f>
        <v>0</v>
      </c>
      <c r="F10" s="6">
        <f>SAFEREG!BY29</f>
        <v>0</v>
      </c>
      <c r="G10" s="6">
        <f>SAFEREG!BZ29</f>
        <v>0</v>
      </c>
      <c r="H10" s="6">
        <f>SAFEREG!CA29</f>
        <v>0</v>
      </c>
      <c r="I10" s="6">
        <f>SAFEREG!CC29</f>
        <v>0</v>
      </c>
      <c r="J10" s="6">
        <f>SAFEREG!CD29</f>
        <v>0</v>
      </c>
      <c r="K10" s="6">
        <f>SAFEREG!CE29</f>
        <v>0</v>
      </c>
    </row>
    <row r="12" spans="1:11">
      <c r="B12" s="2" t="s">
        <v>112</v>
      </c>
      <c r="C12" s="6">
        <f>SAFEREG!BU30</f>
        <v>0</v>
      </c>
      <c r="D12" s="6">
        <f>SAFEREG!BV30</f>
        <v>1.7999999999997272</v>
      </c>
      <c r="E12" s="6">
        <f>SAFEREG!BW30</f>
        <v>-94.800000000000182</v>
      </c>
      <c r="F12" s="6">
        <f>SAFEREG!BY30</f>
        <v>0</v>
      </c>
      <c r="G12" s="6">
        <f>SAFEREG!BZ30</f>
        <v>2.7999999999999545</v>
      </c>
      <c r="H12" s="6">
        <f>SAFEREG!CA30</f>
        <v>-36.800000000000068</v>
      </c>
      <c r="I12" s="6">
        <f>SAFEREG!CC30</f>
        <v>0</v>
      </c>
      <c r="J12" s="6">
        <f>SAFEREG!CD30</f>
        <v>4.5999999999994543</v>
      </c>
      <c r="K12" s="6">
        <f>SAFEREG!CE30</f>
        <v>-131.60000000000036</v>
      </c>
    </row>
    <row r="14" spans="1:11">
      <c r="B14" s="2" t="s">
        <v>113</v>
      </c>
      <c r="C14" s="6">
        <f>SAFEREG!BU31</f>
        <v>0</v>
      </c>
      <c r="D14" s="6">
        <f>SAFEREG!BV31</f>
        <v>1.7999999999997272</v>
      </c>
      <c r="E14" s="6">
        <f>SAFEREG!BW31</f>
        <v>-94.800000000000182</v>
      </c>
      <c r="F14" s="6">
        <f>SAFEREG!BY31</f>
        <v>0</v>
      </c>
      <c r="G14" s="6">
        <f>SAFEREG!BZ31</f>
        <v>2.7999999999999545</v>
      </c>
      <c r="H14" s="6">
        <f>SAFEREG!CA31</f>
        <v>-36.800000000000068</v>
      </c>
      <c r="I14" s="6">
        <f>SAFEREG!CC31</f>
        <v>0</v>
      </c>
      <c r="J14" s="6">
        <f>SAFEREG!CD31</f>
        <v>4.5999999999994543</v>
      </c>
      <c r="K14" s="6">
        <f>SAFEREG!CE31</f>
        <v>-131.60000000000036</v>
      </c>
    </row>
    <row r="17" spans="2:11">
      <c r="B17" s="8" t="s">
        <v>126</v>
      </c>
    </row>
    <row r="18" spans="2:11">
      <c r="B18" s="24"/>
      <c r="C18" s="25"/>
      <c r="D18" s="25"/>
      <c r="E18" s="25"/>
      <c r="F18" s="25"/>
      <c r="G18" s="25"/>
      <c r="H18" s="25"/>
      <c r="I18" s="25"/>
      <c r="J18" s="25"/>
      <c r="K18" s="25"/>
    </row>
    <row r="19" spans="2:11">
      <c r="B19" s="24"/>
      <c r="C19" s="25"/>
      <c r="D19" s="25"/>
      <c r="E19" s="25"/>
      <c r="F19" s="25"/>
      <c r="G19" s="25"/>
      <c r="H19" s="25"/>
      <c r="I19" s="25"/>
      <c r="J19" s="25"/>
      <c r="K19" s="25"/>
    </row>
    <row r="20" spans="2:11">
      <c r="B20" s="24"/>
      <c r="C20" s="25"/>
      <c r="D20" s="25"/>
      <c r="E20" s="25"/>
      <c r="F20" s="25"/>
      <c r="G20" s="25"/>
      <c r="H20" s="25"/>
      <c r="I20" s="25"/>
      <c r="J20" s="25"/>
      <c r="K20" s="25"/>
    </row>
    <row r="21" spans="2:11">
      <c r="B21" s="24"/>
      <c r="C21" s="25"/>
      <c r="D21" s="25"/>
      <c r="E21" s="25"/>
      <c r="F21" s="25"/>
      <c r="G21" s="25"/>
      <c r="H21" s="25"/>
      <c r="I21" s="25"/>
      <c r="J21" s="25"/>
      <c r="K21" s="25"/>
    </row>
    <row r="22" spans="2:11">
      <c r="B22" s="24"/>
      <c r="C22" s="25"/>
      <c r="D22" s="25"/>
      <c r="E22" s="25"/>
      <c r="F22" s="25"/>
      <c r="G22" s="25"/>
      <c r="H22" s="25"/>
      <c r="I22" s="25"/>
      <c r="J22" s="25"/>
      <c r="K22" s="25"/>
    </row>
    <row r="23" spans="2:11">
      <c r="B23" s="24"/>
      <c r="C23" s="25"/>
      <c r="D23" s="25"/>
      <c r="E23" s="25"/>
      <c r="F23" s="25"/>
      <c r="G23" s="25"/>
      <c r="H23" s="25"/>
      <c r="I23" s="25"/>
      <c r="J23" s="25"/>
      <c r="K23" s="25"/>
    </row>
  </sheetData>
  <mergeCells count="6">
    <mergeCell ref="B23:K23"/>
    <mergeCell ref="B22:K22"/>
    <mergeCell ref="B18:K18"/>
    <mergeCell ref="B21:K21"/>
    <mergeCell ref="B20:K20"/>
    <mergeCell ref="B19:K19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O97"/>
  <sheetViews>
    <sheetView showGridLines="0" workbookViewId="0">
      <pane xSplit="2" ySplit="4" topLeftCell="C5" activePane="bottomRight" state="frozen"/>
      <selection pane="bottomRight"/>
      <selection pane="bottomLeft"/>
      <selection pane="topRight"/>
    </sheetView>
  </sheetViews>
  <sheetFormatPr defaultRowHeight="15"/>
  <cols>
    <col min="1" max="1" width="7" customWidth="1"/>
    <col min="2" max="2" width="52" customWidth="1"/>
    <col min="3" max="15" width="11" customWidth="1"/>
  </cols>
  <sheetData>
    <row r="1" spans="1:15">
      <c r="A1" t="s">
        <v>114</v>
      </c>
      <c r="C1">
        <v>21</v>
      </c>
      <c r="D1">
        <v>20</v>
      </c>
      <c r="E1">
        <v>22</v>
      </c>
      <c r="F1">
        <v>22</v>
      </c>
      <c r="G1">
        <v>20</v>
      </c>
      <c r="H1">
        <v>22</v>
      </c>
      <c r="I1">
        <v>22</v>
      </c>
      <c r="J1">
        <v>21</v>
      </c>
      <c r="K1">
        <v>21</v>
      </c>
      <c r="L1">
        <v>22</v>
      </c>
      <c r="M1">
        <v>19</v>
      </c>
      <c r="N1">
        <v>22</v>
      </c>
      <c r="O1">
        <f>SUM(C1:N1)</f>
        <v>254</v>
      </c>
    </row>
    <row r="2" spans="1:15">
      <c r="B2" s="8" t="s">
        <v>127</v>
      </c>
    </row>
    <row r="3" spans="1:15">
      <c r="B3" s="1" t="s">
        <v>24</v>
      </c>
    </row>
    <row r="4" spans="1:15">
      <c r="C4" s="4" t="s">
        <v>70</v>
      </c>
      <c r="D4" s="4" t="s">
        <v>71</v>
      </c>
      <c r="E4" s="4" t="s">
        <v>72</v>
      </c>
      <c r="F4" s="4" t="s">
        <v>73</v>
      </c>
      <c r="G4" s="4" t="s">
        <v>50</v>
      </c>
      <c r="H4" s="4" t="s">
        <v>74</v>
      </c>
      <c r="I4" s="4" t="s">
        <v>75</v>
      </c>
      <c r="J4" s="4" t="s">
        <v>76</v>
      </c>
      <c r="K4" s="4" t="s">
        <v>77</v>
      </c>
      <c r="L4" s="4" t="s">
        <v>78</v>
      </c>
      <c r="M4" s="4" t="s">
        <v>79</v>
      </c>
      <c r="N4" s="4" t="s">
        <v>80</v>
      </c>
      <c r="O4" s="4" t="s">
        <v>174</v>
      </c>
    </row>
    <row r="5" spans="1:15">
      <c r="B5" s="2" t="s">
        <v>100</v>
      </c>
    </row>
    <row r="6" spans="1:15">
      <c r="B6" t="s">
        <v>175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20">
        <v>0</v>
      </c>
      <c r="L6" s="20">
        <v>0</v>
      </c>
      <c r="M6" s="20">
        <v>0</v>
      </c>
      <c r="N6" s="20">
        <v>0</v>
      </c>
      <c r="O6" s="6">
        <f>SUM(C6:N6)</f>
        <v>0</v>
      </c>
    </row>
    <row r="7" spans="1:15">
      <c r="B7" t="s">
        <v>176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20">
        <v>0</v>
      </c>
      <c r="L7" s="20">
        <v>0</v>
      </c>
      <c r="M7" s="20">
        <v>0</v>
      </c>
      <c r="N7" s="20">
        <v>0</v>
      </c>
      <c r="O7" s="6">
        <f>SUM(C7:N7)</f>
        <v>0</v>
      </c>
    </row>
    <row r="8" spans="1:15">
      <c r="B8" t="s">
        <v>177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20">
        <v>0</v>
      </c>
      <c r="L8" s="20">
        <v>0</v>
      </c>
      <c r="M8" s="20">
        <v>0</v>
      </c>
      <c r="N8" s="20">
        <v>0</v>
      </c>
      <c r="O8" s="6">
        <f>SUM(C8:N8)</f>
        <v>0</v>
      </c>
    </row>
    <row r="9" spans="1:15">
      <c r="B9" t="s">
        <v>178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20">
        <v>0</v>
      </c>
      <c r="L9" s="20">
        <v>0</v>
      </c>
      <c r="M9" s="20">
        <v>0</v>
      </c>
      <c r="N9" s="20">
        <v>0</v>
      </c>
      <c r="O9" s="6">
        <f>SUM(C9:N9)</f>
        <v>0</v>
      </c>
    </row>
    <row r="10" spans="1:15">
      <c r="B10" t="s">
        <v>179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20">
        <v>0</v>
      </c>
      <c r="L10" s="20">
        <v>0</v>
      </c>
      <c r="M10" s="20">
        <v>0</v>
      </c>
      <c r="N10" s="20">
        <v>0</v>
      </c>
      <c r="O10" s="6">
        <f>SUM(C10:N10)</f>
        <v>0</v>
      </c>
    </row>
    <row r="11" spans="1:15">
      <c r="B11" t="s">
        <v>180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20">
        <v>0</v>
      </c>
      <c r="L11" s="20">
        <v>0</v>
      </c>
      <c r="M11" s="20">
        <v>0</v>
      </c>
      <c r="N11" s="20">
        <v>0</v>
      </c>
      <c r="O11" s="6">
        <f>SUM(C11:N11)</f>
        <v>0</v>
      </c>
    </row>
    <row r="12" spans="1:15">
      <c r="B12" t="s">
        <v>181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20">
        <v>0</v>
      </c>
      <c r="L12" s="20">
        <v>0</v>
      </c>
      <c r="M12" s="20">
        <v>0</v>
      </c>
      <c r="N12" s="20">
        <v>0</v>
      </c>
      <c r="O12" s="6">
        <f>SUM(C12:N12)</f>
        <v>0</v>
      </c>
    </row>
    <row r="13" spans="1:15">
      <c r="B13" t="s">
        <v>182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20">
        <v>0</v>
      </c>
      <c r="L13" s="20">
        <v>0</v>
      </c>
      <c r="M13" s="20">
        <v>0</v>
      </c>
      <c r="N13" s="20">
        <v>0</v>
      </c>
      <c r="O13" s="6">
        <f>SUM(C13:N13)</f>
        <v>0</v>
      </c>
    </row>
    <row r="14" spans="1:15">
      <c r="B14" s="2" t="s">
        <v>131</v>
      </c>
      <c r="C14" s="9">
        <f>SUM(C6:C13)</f>
        <v>0</v>
      </c>
      <c r="D14" s="9">
        <f>SUM(D6:D13)</f>
        <v>0</v>
      </c>
      <c r="E14" s="9">
        <f>SUM(E6:E13)</f>
        <v>0</v>
      </c>
      <c r="F14" s="9">
        <f>SUM(F6:F13)</f>
        <v>0</v>
      </c>
      <c r="G14" s="9">
        <f>SUM(G6:G13)</f>
        <v>0</v>
      </c>
      <c r="H14" s="9">
        <f>SUM(H6:H13)</f>
        <v>0</v>
      </c>
      <c r="I14" s="9">
        <f>SUM(I6:I13)</f>
        <v>0</v>
      </c>
      <c r="J14" s="9">
        <f>SUM(J6:J13)</f>
        <v>0</v>
      </c>
      <c r="K14" s="9">
        <f>SUM(K6:K13)</f>
        <v>0</v>
      </c>
      <c r="L14" s="9">
        <f>SUM(L6:L13)</f>
        <v>0</v>
      </c>
      <c r="M14" s="9">
        <f>SUM(M6:M13)</f>
        <v>0</v>
      </c>
      <c r="N14" s="9">
        <f>SUM(N6:N13)</f>
        <v>0</v>
      </c>
      <c r="O14" s="9">
        <f>SUM(O6:O13)</f>
        <v>0</v>
      </c>
    </row>
    <row r="16" spans="1:15">
      <c r="B16" s="2" t="s">
        <v>132</v>
      </c>
    </row>
    <row r="17" spans="2:15">
      <c r="B17" t="str">
        <f>B6</f>
        <v>Insert Adj. 1</v>
      </c>
      <c r="C17" s="12">
        <f>IFERROR(C28/C6,0)</f>
        <v>0</v>
      </c>
      <c r="D17" s="12">
        <f>IFERROR(D28/D6,0)</f>
        <v>0</v>
      </c>
      <c r="E17" s="12">
        <f>IFERROR(E28/E6,0)</f>
        <v>0</v>
      </c>
      <c r="F17" s="12">
        <f>IFERROR(F28/F6,0)</f>
        <v>0</v>
      </c>
      <c r="G17" s="12">
        <f>IFERROR(G28/G6,0)</f>
        <v>0</v>
      </c>
      <c r="H17" s="12">
        <f>IFERROR(H28/H6,0)</f>
        <v>0</v>
      </c>
      <c r="I17" s="12">
        <f>IFERROR(I28/I6,0)</f>
        <v>0</v>
      </c>
      <c r="J17" s="12">
        <f>IFERROR(J28/J6,0)</f>
        <v>0</v>
      </c>
      <c r="K17" s="12">
        <f>IFERROR(K28/K6,0)</f>
        <v>0</v>
      </c>
      <c r="L17" s="12">
        <f>IFERROR(L28/L6,0)</f>
        <v>0</v>
      </c>
      <c r="M17" s="12">
        <f>IFERROR(M28/M6,0)</f>
        <v>0</v>
      </c>
      <c r="N17" s="12">
        <f>IFERROR(N28/N6,0)</f>
        <v>0</v>
      </c>
      <c r="O17" s="12">
        <f>IFERROR(O28/O6,0)</f>
        <v>0</v>
      </c>
    </row>
    <row r="18" spans="2:15">
      <c r="B18" t="str">
        <f>B7</f>
        <v>Insert Adj. 2</v>
      </c>
      <c r="C18" s="12">
        <f>IFERROR(C29/C7,0)</f>
        <v>0</v>
      </c>
      <c r="D18" s="12">
        <f>IFERROR(D29/D7,0)</f>
        <v>0</v>
      </c>
      <c r="E18" s="12">
        <f>IFERROR(E29/E7,0)</f>
        <v>0</v>
      </c>
      <c r="F18" s="12">
        <f>IFERROR(F29/F7,0)</f>
        <v>0</v>
      </c>
      <c r="G18" s="12">
        <f>IFERROR(G29/G7,0)</f>
        <v>0</v>
      </c>
      <c r="H18" s="12">
        <f>IFERROR(H29/H7,0)</f>
        <v>0</v>
      </c>
      <c r="I18" s="12">
        <f>IFERROR(I29/I7,0)</f>
        <v>0</v>
      </c>
      <c r="J18" s="12">
        <f>IFERROR(J29/J7,0)</f>
        <v>0</v>
      </c>
      <c r="K18" s="12">
        <f>IFERROR(K29/K7,0)</f>
        <v>0</v>
      </c>
      <c r="L18" s="12">
        <f>IFERROR(L29/L7,0)</f>
        <v>0</v>
      </c>
      <c r="M18" s="12">
        <f>IFERROR(M29/M7,0)</f>
        <v>0</v>
      </c>
      <c r="N18" s="12">
        <f>IFERROR(N29/N7,0)</f>
        <v>0</v>
      </c>
      <c r="O18" s="12">
        <f>IFERROR(O29/O7,0)</f>
        <v>0</v>
      </c>
    </row>
    <row r="19" spans="2:15">
      <c r="B19" t="str">
        <f>B8</f>
        <v>Insert Adj. 3</v>
      </c>
      <c r="C19" s="12">
        <f>IFERROR(C30/C8,0)</f>
        <v>0</v>
      </c>
      <c r="D19" s="12">
        <f>IFERROR(D30/D8,0)</f>
        <v>0</v>
      </c>
      <c r="E19" s="12">
        <f>IFERROR(E30/E8,0)</f>
        <v>0</v>
      </c>
      <c r="F19" s="12">
        <f>IFERROR(F30/F8,0)</f>
        <v>0</v>
      </c>
      <c r="G19" s="12">
        <f>IFERROR(G30/G8,0)</f>
        <v>0</v>
      </c>
      <c r="H19" s="12">
        <f>IFERROR(H30/H8,0)</f>
        <v>0</v>
      </c>
      <c r="I19" s="12">
        <f>IFERROR(I30/I8,0)</f>
        <v>0</v>
      </c>
      <c r="J19" s="12">
        <f>IFERROR(J30/J8,0)</f>
        <v>0</v>
      </c>
      <c r="K19" s="12">
        <f>IFERROR(K30/K8,0)</f>
        <v>0</v>
      </c>
      <c r="L19" s="12">
        <f>IFERROR(L30/L8,0)</f>
        <v>0</v>
      </c>
      <c r="M19" s="12">
        <f>IFERROR(M30/M8,0)</f>
        <v>0</v>
      </c>
      <c r="N19" s="12">
        <f>IFERROR(N30/N8,0)</f>
        <v>0</v>
      </c>
      <c r="O19" s="12">
        <f>IFERROR(O30/O8,0)</f>
        <v>0</v>
      </c>
    </row>
    <row r="20" spans="2:15">
      <c r="B20" t="str">
        <f>B9</f>
        <v>Insert Adj. 4</v>
      </c>
      <c r="C20" s="12">
        <f>IFERROR(C31/C9,0)</f>
        <v>0</v>
      </c>
      <c r="D20" s="12">
        <f>IFERROR(D31/D9,0)</f>
        <v>0</v>
      </c>
      <c r="E20" s="12">
        <f>IFERROR(E31/E9,0)</f>
        <v>0</v>
      </c>
      <c r="F20" s="12">
        <f>IFERROR(F31/F9,0)</f>
        <v>0</v>
      </c>
      <c r="G20" s="12">
        <f>IFERROR(G31/G9,0)</f>
        <v>0</v>
      </c>
      <c r="H20" s="12">
        <f>IFERROR(H31/H9,0)</f>
        <v>0</v>
      </c>
      <c r="I20" s="12">
        <f>IFERROR(I31/I9,0)</f>
        <v>0</v>
      </c>
      <c r="J20" s="12">
        <f>IFERROR(J31/J9,0)</f>
        <v>0</v>
      </c>
      <c r="K20" s="12">
        <f>IFERROR(K31/K9,0)</f>
        <v>0</v>
      </c>
      <c r="L20" s="12">
        <f>IFERROR(L31/L9,0)</f>
        <v>0</v>
      </c>
      <c r="M20" s="12">
        <f>IFERROR(M31/M9,0)</f>
        <v>0</v>
      </c>
      <c r="N20" s="12">
        <f>IFERROR(N31/N9,0)</f>
        <v>0</v>
      </c>
      <c r="O20" s="12">
        <f>IFERROR(O31/O9,0)</f>
        <v>0</v>
      </c>
    </row>
    <row r="21" spans="2:15">
      <c r="B21" t="str">
        <f>B10</f>
        <v>Insert Adj. 5</v>
      </c>
      <c r="C21" s="12">
        <f>IFERROR(C32/C10,0)</f>
        <v>0</v>
      </c>
      <c r="D21" s="12">
        <f>IFERROR(D32/D10,0)</f>
        <v>0</v>
      </c>
      <c r="E21" s="12">
        <f>IFERROR(E32/E10,0)</f>
        <v>0</v>
      </c>
      <c r="F21" s="12">
        <f>IFERROR(F32/F10,0)</f>
        <v>0</v>
      </c>
      <c r="G21" s="12">
        <f>IFERROR(G32/G10,0)</f>
        <v>0</v>
      </c>
      <c r="H21" s="12">
        <f>IFERROR(H32/H10,0)</f>
        <v>0</v>
      </c>
      <c r="I21" s="12">
        <f>IFERROR(I32/I10,0)</f>
        <v>0</v>
      </c>
      <c r="J21" s="12">
        <f>IFERROR(J32/J10,0)</f>
        <v>0</v>
      </c>
      <c r="K21" s="12">
        <f>IFERROR(K32/K10,0)</f>
        <v>0</v>
      </c>
      <c r="L21" s="12">
        <f>IFERROR(L32/L10,0)</f>
        <v>0</v>
      </c>
      <c r="M21" s="12">
        <f>IFERROR(M32/M10,0)</f>
        <v>0</v>
      </c>
      <c r="N21" s="12">
        <f>IFERROR(N32/N10,0)</f>
        <v>0</v>
      </c>
      <c r="O21" s="12">
        <f>IFERROR(O32/O10,0)</f>
        <v>0</v>
      </c>
    </row>
    <row r="22" spans="2:15">
      <c r="B22" t="str">
        <f>B11</f>
        <v>Insert Adj. 6</v>
      </c>
      <c r="C22" s="12">
        <f>IFERROR(C33/C11,0)</f>
        <v>0</v>
      </c>
      <c r="D22" s="12">
        <f>IFERROR(D33/D11,0)</f>
        <v>0</v>
      </c>
      <c r="E22" s="12">
        <f>IFERROR(E33/E11,0)</f>
        <v>0</v>
      </c>
      <c r="F22" s="12">
        <f>IFERROR(F33/F11,0)</f>
        <v>0</v>
      </c>
      <c r="G22" s="12">
        <f>IFERROR(G33/G11,0)</f>
        <v>0</v>
      </c>
      <c r="H22" s="12">
        <f>IFERROR(H33/H11,0)</f>
        <v>0</v>
      </c>
      <c r="I22" s="12">
        <f>IFERROR(I33/I11,0)</f>
        <v>0</v>
      </c>
      <c r="J22" s="12">
        <f>IFERROR(J33/J11,0)</f>
        <v>0</v>
      </c>
      <c r="K22" s="12">
        <f>IFERROR(K33/K11,0)</f>
        <v>0</v>
      </c>
      <c r="L22" s="12">
        <f>IFERROR(L33/L11,0)</f>
        <v>0</v>
      </c>
      <c r="M22" s="12">
        <f>IFERROR(M33/M11,0)</f>
        <v>0</v>
      </c>
      <c r="N22" s="12">
        <f>IFERROR(N33/N11,0)</f>
        <v>0</v>
      </c>
      <c r="O22" s="12">
        <f>IFERROR(O33/O11,0)</f>
        <v>0</v>
      </c>
    </row>
    <row r="23" spans="2:15">
      <c r="B23" t="str">
        <f>B12</f>
        <v>Insert Adj. 7</v>
      </c>
      <c r="C23" s="12">
        <f>IFERROR(C34/C12,0)</f>
        <v>0</v>
      </c>
      <c r="D23" s="12">
        <f>IFERROR(D34/D12,0)</f>
        <v>0</v>
      </c>
      <c r="E23" s="12">
        <f>IFERROR(E34/E12,0)</f>
        <v>0</v>
      </c>
      <c r="F23" s="12">
        <f>IFERROR(F34/F12,0)</f>
        <v>0</v>
      </c>
      <c r="G23" s="12">
        <f>IFERROR(G34/G12,0)</f>
        <v>0</v>
      </c>
      <c r="H23" s="12">
        <f>IFERROR(H34/H12,0)</f>
        <v>0</v>
      </c>
      <c r="I23" s="12">
        <f>IFERROR(I34/I12,0)</f>
        <v>0</v>
      </c>
      <c r="J23" s="12">
        <f>IFERROR(J34/J12,0)</f>
        <v>0</v>
      </c>
      <c r="K23" s="12">
        <f>IFERROR(K34/K12,0)</f>
        <v>0</v>
      </c>
      <c r="L23" s="12">
        <f>IFERROR(L34/L12,0)</f>
        <v>0</v>
      </c>
      <c r="M23" s="12">
        <f>IFERROR(M34/M12,0)</f>
        <v>0</v>
      </c>
      <c r="N23" s="12">
        <f>IFERROR(N34/N12,0)</f>
        <v>0</v>
      </c>
      <c r="O23" s="12">
        <f>IFERROR(O34/O12,0)</f>
        <v>0</v>
      </c>
    </row>
    <row r="24" spans="2:15">
      <c r="B24" t="str">
        <f>B13</f>
        <v>Insert Adj. 8</v>
      </c>
      <c r="C24" s="12">
        <f>IFERROR(C35/C13,0)</f>
        <v>0</v>
      </c>
      <c r="D24" s="12">
        <f>IFERROR(D35/D13,0)</f>
        <v>0</v>
      </c>
      <c r="E24" s="12">
        <f>IFERROR(E35/E13,0)</f>
        <v>0</v>
      </c>
      <c r="F24" s="12">
        <f>IFERROR(F35/F13,0)</f>
        <v>0</v>
      </c>
      <c r="G24" s="12">
        <f>IFERROR(G35/G13,0)</f>
        <v>0</v>
      </c>
      <c r="H24" s="12">
        <f>IFERROR(H35/H13,0)</f>
        <v>0</v>
      </c>
      <c r="I24" s="12">
        <f>IFERROR(I35/I13,0)</f>
        <v>0</v>
      </c>
      <c r="J24" s="12">
        <f>IFERROR(J35/J13,0)</f>
        <v>0</v>
      </c>
      <c r="K24" s="12">
        <f>IFERROR(K35/K13,0)</f>
        <v>0</v>
      </c>
      <c r="L24" s="12">
        <f>IFERROR(L35/L13,0)</f>
        <v>0</v>
      </c>
      <c r="M24" s="12">
        <f>IFERROR(M35/M13,0)</f>
        <v>0</v>
      </c>
      <c r="N24" s="12">
        <f>IFERROR(N35/N13,0)</f>
        <v>0</v>
      </c>
      <c r="O24" s="12">
        <f>IFERROR(O35/O13,0)</f>
        <v>0</v>
      </c>
    </row>
    <row r="25" spans="2:15">
      <c r="B25" s="2" t="s">
        <v>133</v>
      </c>
      <c r="C25" s="14">
        <f>IFERROR(C36/C14,0)</f>
        <v>0</v>
      </c>
      <c r="D25" s="14">
        <f>IFERROR(D36/D14,0)</f>
        <v>0</v>
      </c>
      <c r="E25" s="14">
        <f>IFERROR(E36/E14,0)</f>
        <v>0</v>
      </c>
      <c r="F25" s="14">
        <f>IFERROR(F36/F14,0)</f>
        <v>0</v>
      </c>
      <c r="G25" s="14">
        <f>IFERROR(G36/G14,0)</f>
        <v>0</v>
      </c>
      <c r="H25" s="14">
        <f>IFERROR(H36/H14,0)</f>
        <v>0</v>
      </c>
      <c r="I25" s="14">
        <f>IFERROR(I36/I14,0)</f>
        <v>0</v>
      </c>
      <c r="J25" s="14">
        <f>IFERROR(J36/J14,0)</f>
        <v>0</v>
      </c>
      <c r="K25" s="14">
        <f>IFERROR(K36/K14,0)</f>
        <v>0</v>
      </c>
      <c r="L25" s="14">
        <f>IFERROR(L36/L14,0)</f>
        <v>0</v>
      </c>
      <c r="M25" s="14">
        <f>IFERROR(M36/M14,0)</f>
        <v>0</v>
      </c>
      <c r="N25" s="14">
        <f>IFERROR(N36/N14,0)</f>
        <v>0</v>
      </c>
      <c r="O25" s="14">
        <f>IFERROR(O36/O14,0)</f>
        <v>0</v>
      </c>
    </row>
    <row r="27" spans="2:15">
      <c r="B27" s="2" t="s">
        <v>134</v>
      </c>
    </row>
    <row r="28" spans="2:15">
      <c r="B28" t="s">
        <v>175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20">
        <v>0</v>
      </c>
      <c r="L28" s="20">
        <v>0</v>
      </c>
      <c r="M28" s="20">
        <v>0</v>
      </c>
      <c r="N28" s="20">
        <v>0</v>
      </c>
      <c r="O28" s="6">
        <f>SUM(C28:N28)</f>
        <v>0</v>
      </c>
    </row>
    <row r="29" spans="2:15">
      <c r="B29" t="s">
        <v>176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20">
        <v>0</v>
      </c>
      <c r="L29" s="20">
        <v>0</v>
      </c>
      <c r="M29" s="20">
        <v>0</v>
      </c>
      <c r="N29" s="20">
        <v>0</v>
      </c>
      <c r="O29" s="6">
        <f>SUM(C29:N29)</f>
        <v>0</v>
      </c>
    </row>
    <row r="30" spans="2:15">
      <c r="B30" t="s">
        <v>177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20">
        <v>0</v>
      </c>
      <c r="L30" s="20">
        <v>0</v>
      </c>
      <c r="M30" s="20">
        <v>0</v>
      </c>
      <c r="N30" s="20">
        <v>0</v>
      </c>
      <c r="O30" s="6">
        <f>SUM(C30:N30)</f>
        <v>0</v>
      </c>
    </row>
    <row r="31" spans="2:15">
      <c r="B31" t="s">
        <v>178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20">
        <v>0</v>
      </c>
      <c r="L31" s="20">
        <v>0</v>
      </c>
      <c r="M31" s="20">
        <v>0</v>
      </c>
      <c r="N31" s="20">
        <v>0</v>
      </c>
      <c r="O31" s="6">
        <f>SUM(C31:N31)</f>
        <v>0</v>
      </c>
    </row>
    <row r="32" spans="2:15">
      <c r="B32" t="s">
        <v>179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20">
        <v>0</v>
      </c>
      <c r="L32" s="20">
        <v>0</v>
      </c>
      <c r="M32" s="20">
        <v>0</v>
      </c>
      <c r="N32" s="20">
        <v>0</v>
      </c>
      <c r="O32" s="6">
        <f>SUM(C32:N32)</f>
        <v>0</v>
      </c>
    </row>
    <row r="33" spans="2:15">
      <c r="B33" t="s">
        <v>180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20">
        <v>0</v>
      </c>
      <c r="L33" s="20">
        <v>0</v>
      </c>
      <c r="M33" s="20">
        <v>0</v>
      </c>
      <c r="N33" s="20">
        <v>0</v>
      </c>
      <c r="O33" s="6">
        <f>SUM(C33:N33)</f>
        <v>0</v>
      </c>
    </row>
    <row r="34" spans="2:15">
      <c r="B34" t="s">
        <v>181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20">
        <v>0</v>
      </c>
      <c r="L34" s="20">
        <v>0</v>
      </c>
      <c r="M34" s="20">
        <v>0</v>
      </c>
      <c r="N34" s="20">
        <v>0</v>
      </c>
      <c r="O34" s="6">
        <f>SUM(C34:N34)</f>
        <v>0</v>
      </c>
    </row>
    <row r="35" spans="2:15">
      <c r="B35" t="s">
        <v>182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20">
        <v>0</v>
      </c>
      <c r="L35" s="20">
        <v>0</v>
      </c>
      <c r="M35" s="20">
        <v>0</v>
      </c>
      <c r="N35" s="20">
        <v>0</v>
      </c>
      <c r="O35" s="6">
        <f>SUM(C35:N35)</f>
        <v>0</v>
      </c>
    </row>
    <row r="36" spans="2:15">
      <c r="B36" s="2" t="s">
        <v>135</v>
      </c>
      <c r="C36" s="9">
        <f>SUM(C28:C35)</f>
        <v>0</v>
      </c>
      <c r="D36" s="9">
        <f>SUM(D28:D35)</f>
        <v>0</v>
      </c>
      <c r="E36" s="9">
        <f>SUM(E28:E35)</f>
        <v>0</v>
      </c>
      <c r="F36" s="9">
        <f>SUM(F28:F35)</f>
        <v>0</v>
      </c>
      <c r="G36" s="9">
        <f>SUM(G28:G35)</f>
        <v>0</v>
      </c>
      <c r="H36" s="9">
        <f>SUM(H28:H35)</f>
        <v>0</v>
      </c>
      <c r="I36" s="9">
        <f>SUM(I28:I35)</f>
        <v>0</v>
      </c>
      <c r="J36" s="9">
        <f>SUM(J28:J35)</f>
        <v>0</v>
      </c>
      <c r="K36" s="9">
        <f>SUM(K28:K35)</f>
        <v>0</v>
      </c>
      <c r="L36" s="9">
        <f>SUM(L28:L35)</f>
        <v>0</v>
      </c>
      <c r="M36" s="9">
        <f>SUM(M28:M35)</f>
        <v>0</v>
      </c>
      <c r="N36" s="9">
        <f>SUM(N28:N35)</f>
        <v>0</v>
      </c>
      <c r="O36" s="9">
        <f>SUM(O28:O35)</f>
        <v>0</v>
      </c>
    </row>
    <row r="38" spans="2:15">
      <c r="B38" s="2" t="s">
        <v>136</v>
      </c>
    </row>
    <row r="39" spans="2:15">
      <c r="B39" t="str">
        <f>B6</f>
        <v>Insert Adj. 1</v>
      </c>
      <c r="C39" s="12">
        <f>IFERROR(C50/C6,0)</f>
        <v>0</v>
      </c>
      <c r="D39" s="12">
        <f>IFERROR(D50/D6,0)</f>
        <v>0</v>
      </c>
      <c r="E39" s="12">
        <f>IFERROR(E50/E6,0)</f>
        <v>0</v>
      </c>
      <c r="F39" s="12">
        <f>IFERROR(F50/F6,0)</f>
        <v>0</v>
      </c>
      <c r="G39" s="12">
        <f>IFERROR(G50/G6,0)</f>
        <v>0</v>
      </c>
      <c r="H39" s="12">
        <f>IFERROR(H50/H6,0)</f>
        <v>0</v>
      </c>
      <c r="I39" s="12">
        <f>IFERROR(I50/I6,0)</f>
        <v>0</v>
      </c>
      <c r="J39" s="12">
        <f>IFERROR(J50/J6,0)</f>
        <v>0</v>
      </c>
      <c r="K39" s="12">
        <f>IFERROR(K50/K6,0)</f>
        <v>0</v>
      </c>
      <c r="L39" s="12">
        <f>IFERROR(L50/L6,0)</f>
        <v>0</v>
      </c>
      <c r="M39" s="12">
        <f>IFERROR(M50/M6,0)</f>
        <v>0</v>
      </c>
      <c r="N39" s="12">
        <f>IFERROR(N50/N6,0)</f>
        <v>0</v>
      </c>
      <c r="O39" s="12">
        <f>IFERROR(O50/O6,0)</f>
        <v>0</v>
      </c>
    </row>
    <row r="40" spans="2:15">
      <c r="B40" t="str">
        <f>B7</f>
        <v>Insert Adj. 2</v>
      </c>
      <c r="C40" s="12">
        <f>IFERROR(C51/C7,0)</f>
        <v>0</v>
      </c>
      <c r="D40" s="12">
        <f>IFERROR(D51/D7,0)</f>
        <v>0</v>
      </c>
      <c r="E40" s="12">
        <f>IFERROR(E51/E7,0)</f>
        <v>0</v>
      </c>
      <c r="F40" s="12">
        <f>IFERROR(F51/F7,0)</f>
        <v>0</v>
      </c>
      <c r="G40" s="12">
        <f>IFERROR(G51/G7,0)</f>
        <v>0</v>
      </c>
      <c r="H40" s="12">
        <f>IFERROR(H51/H7,0)</f>
        <v>0</v>
      </c>
      <c r="I40" s="12">
        <f>IFERROR(I51/I7,0)</f>
        <v>0</v>
      </c>
      <c r="J40" s="12">
        <f>IFERROR(J51/J7,0)</f>
        <v>0</v>
      </c>
      <c r="K40" s="12">
        <f>IFERROR(K51/K7,0)</f>
        <v>0</v>
      </c>
      <c r="L40" s="12">
        <f>IFERROR(L51/L7,0)</f>
        <v>0</v>
      </c>
      <c r="M40" s="12">
        <f>IFERROR(M51/M7,0)</f>
        <v>0</v>
      </c>
      <c r="N40" s="12">
        <f>IFERROR(N51/N7,0)</f>
        <v>0</v>
      </c>
      <c r="O40" s="12">
        <f>IFERROR(O51/O7,0)</f>
        <v>0</v>
      </c>
    </row>
    <row r="41" spans="2:15">
      <c r="B41" t="str">
        <f>B8</f>
        <v>Insert Adj. 3</v>
      </c>
      <c r="C41" s="12">
        <f>IFERROR(C52/C8,0)</f>
        <v>0</v>
      </c>
      <c r="D41" s="12">
        <f>IFERROR(D52/D8,0)</f>
        <v>0</v>
      </c>
      <c r="E41" s="12">
        <f>IFERROR(E52/E8,0)</f>
        <v>0</v>
      </c>
      <c r="F41" s="12">
        <f>IFERROR(F52/F8,0)</f>
        <v>0</v>
      </c>
      <c r="G41" s="12">
        <f>IFERROR(G52/G8,0)</f>
        <v>0</v>
      </c>
      <c r="H41" s="12">
        <f>IFERROR(H52/H8,0)</f>
        <v>0</v>
      </c>
      <c r="I41" s="12">
        <f>IFERROR(I52/I8,0)</f>
        <v>0</v>
      </c>
      <c r="J41" s="12">
        <f>IFERROR(J52/J8,0)</f>
        <v>0</v>
      </c>
      <c r="K41" s="12">
        <f>IFERROR(K52/K8,0)</f>
        <v>0</v>
      </c>
      <c r="L41" s="12">
        <f>IFERROR(L52/L8,0)</f>
        <v>0</v>
      </c>
      <c r="M41" s="12">
        <f>IFERROR(M52/M8,0)</f>
        <v>0</v>
      </c>
      <c r="N41" s="12">
        <f>IFERROR(N52/N8,0)</f>
        <v>0</v>
      </c>
      <c r="O41" s="12">
        <f>IFERROR(O52/O8,0)</f>
        <v>0</v>
      </c>
    </row>
    <row r="42" spans="2:15">
      <c r="B42" t="str">
        <f>B9</f>
        <v>Insert Adj. 4</v>
      </c>
      <c r="C42" s="12">
        <f>IFERROR(C53/C9,0)</f>
        <v>0</v>
      </c>
      <c r="D42" s="12">
        <f>IFERROR(D53/D9,0)</f>
        <v>0</v>
      </c>
      <c r="E42" s="12">
        <f>IFERROR(E53/E9,0)</f>
        <v>0</v>
      </c>
      <c r="F42" s="12">
        <f>IFERROR(F53/F9,0)</f>
        <v>0</v>
      </c>
      <c r="G42" s="12">
        <f>IFERROR(G53/G9,0)</f>
        <v>0</v>
      </c>
      <c r="H42" s="12">
        <f>IFERROR(H53/H9,0)</f>
        <v>0</v>
      </c>
      <c r="I42" s="12">
        <f>IFERROR(I53/I9,0)</f>
        <v>0</v>
      </c>
      <c r="J42" s="12">
        <f>IFERROR(J53/J9,0)</f>
        <v>0</v>
      </c>
      <c r="K42" s="12">
        <f>IFERROR(K53/K9,0)</f>
        <v>0</v>
      </c>
      <c r="L42" s="12">
        <f>IFERROR(L53/L9,0)</f>
        <v>0</v>
      </c>
      <c r="M42" s="12">
        <f>IFERROR(M53/M9,0)</f>
        <v>0</v>
      </c>
      <c r="N42" s="12">
        <f>IFERROR(N53/N9,0)</f>
        <v>0</v>
      </c>
      <c r="O42" s="12">
        <f>IFERROR(O53/O9,0)</f>
        <v>0</v>
      </c>
    </row>
    <row r="43" spans="2:15">
      <c r="B43" t="str">
        <f>B10</f>
        <v>Insert Adj. 5</v>
      </c>
      <c r="C43" s="12">
        <f>IFERROR(C54/C10,0)</f>
        <v>0</v>
      </c>
      <c r="D43" s="12">
        <f>IFERROR(D54/D10,0)</f>
        <v>0</v>
      </c>
      <c r="E43" s="12">
        <f>IFERROR(E54/E10,0)</f>
        <v>0</v>
      </c>
      <c r="F43" s="12">
        <f>IFERROR(F54/F10,0)</f>
        <v>0</v>
      </c>
      <c r="G43" s="12">
        <f>IFERROR(G54/G10,0)</f>
        <v>0</v>
      </c>
      <c r="H43" s="12">
        <f>IFERROR(H54/H10,0)</f>
        <v>0</v>
      </c>
      <c r="I43" s="12">
        <f>IFERROR(I54/I10,0)</f>
        <v>0</v>
      </c>
      <c r="J43" s="12">
        <f>IFERROR(J54/J10,0)</f>
        <v>0</v>
      </c>
      <c r="K43" s="12">
        <f>IFERROR(K54/K10,0)</f>
        <v>0</v>
      </c>
      <c r="L43" s="12">
        <f>IFERROR(L54/L10,0)</f>
        <v>0</v>
      </c>
      <c r="M43" s="12">
        <f>IFERROR(M54/M10,0)</f>
        <v>0</v>
      </c>
      <c r="N43" s="12">
        <f>IFERROR(N54/N10,0)</f>
        <v>0</v>
      </c>
      <c r="O43" s="12">
        <f>IFERROR(O54/O10,0)</f>
        <v>0</v>
      </c>
    </row>
    <row r="44" spans="2:15">
      <c r="B44" t="str">
        <f>B11</f>
        <v>Insert Adj. 6</v>
      </c>
      <c r="C44" s="12">
        <f>IFERROR(C55/C11,0)</f>
        <v>0</v>
      </c>
      <c r="D44" s="12">
        <f>IFERROR(D55/D11,0)</f>
        <v>0</v>
      </c>
      <c r="E44" s="12">
        <f>IFERROR(E55/E11,0)</f>
        <v>0</v>
      </c>
      <c r="F44" s="12">
        <f>IFERROR(F55/F11,0)</f>
        <v>0</v>
      </c>
      <c r="G44" s="12">
        <f>IFERROR(G55/G11,0)</f>
        <v>0</v>
      </c>
      <c r="H44" s="12">
        <f>IFERROR(H55/H11,0)</f>
        <v>0</v>
      </c>
      <c r="I44" s="12">
        <f>IFERROR(I55/I11,0)</f>
        <v>0</v>
      </c>
      <c r="J44" s="12">
        <f>IFERROR(J55/J11,0)</f>
        <v>0</v>
      </c>
      <c r="K44" s="12">
        <f>IFERROR(K55/K11,0)</f>
        <v>0</v>
      </c>
      <c r="L44" s="12">
        <f>IFERROR(L55/L11,0)</f>
        <v>0</v>
      </c>
      <c r="M44" s="12">
        <f>IFERROR(M55/M11,0)</f>
        <v>0</v>
      </c>
      <c r="N44" s="12">
        <f>IFERROR(N55/N11,0)</f>
        <v>0</v>
      </c>
      <c r="O44" s="12">
        <f>IFERROR(O55/O11,0)</f>
        <v>0</v>
      </c>
    </row>
    <row r="45" spans="2:15">
      <c r="B45" t="str">
        <f>B12</f>
        <v>Insert Adj. 7</v>
      </c>
      <c r="C45" s="12">
        <f>IFERROR(C56/C12,0)</f>
        <v>0</v>
      </c>
      <c r="D45" s="12">
        <f>IFERROR(D56/D12,0)</f>
        <v>0</v>
      </c>
      <c r="E45" s="12">
        <f>IFERROR(E56/E12,0)</f>
        <v>0</v>
      </c>
      <c r="F45" s="12">
        <f>IFERROR(F56/F12,0)</f>
        <v>0</v>
      </c>
      <c r="G45" s="12">
        <f>IFERROR(G56/G12,0)</f>
        <v>0</v>
      </c>
      <c r="H45" s="12">
        <f>IFERROR(H56/H12,0)</f>
        <v>0</v>
      </c>
      <c r="I45" s="12">
        <f>IFERROR(I56/I12,0)</f>
        <v>0</v>
      </c>
      <c r="J45" s="12">
        <f>IFERROR(J56/J12,0)</f>
        <v>0</v>
      </c>
      <c r="K45" s="12">
        <f>IFERROR(K56/K12,0)</f>
        <v>0</v>
      </c>
      <c r="L45" s="12">
        <f>IFERROR(L56/L12,0)</f>
        <v>0</v>
      </c>
      <c r="M45" s="12">
        <f>IFERROR(M56/M12,0)</f>
        <v>0</v>
      </c>
      <c r="N45" s="12">
        <f>IFERROR(N56/N12,0)</f>
        <v>0</v>
      </c>
      <c r="O45" s="12">
        <f>IFERROR(O56/O12,0)</f>
        <v>0</v>
      </c>
    </row>
    <row r="46" spans="2:15">
      <c r="B46" t="str">
        <f>B13</f>
        <v>Insert Adj. 8</v>
      </c>
      <c r="C46" s="12">
        <f>IFERROR(C57/C13,0)</f>
        <v>0</v>
      </c>
      <c r="D46" s="12">
        <f>IFERROR(D57/D13,0)</f>
        <v>0</v>
      </c>
      <c r="E46" s="12">
        <f>IFERROR(E57/E13,0)</f>
        <v>0</v>
      </c>
      <c r="F46" s="12">
        <f>IFERROR(F57/F13,0)</f>
        <v>0</v>
      </c>
      <c r="G46" s="12">
        <f>IFERROR(G57/G13,0)</f>
        <v>0</v>
      </c>
      <c r="H46" s="12">
        <f>IFERROR(H57/H13,0)</f>
        <v>0</v>
      </c>
      <c r="I46" s="12">
        <f>IFERROR(I57/I13,0)</f>
        <v>0</v>
      </c>
      <c r="J46" s="12">
        <f>IFERROR(J57/J13,0)</f>
        <v>0</v>
      </c>
      <c r="K46" s="12">
        <f>IFERROR(K57/K13,0)</f>
        <v>0</v>
      </c>
      <c r="L46" s="12">
        <f>IFERROR(L57/L13,0)</f>
        <v>0</v>
      </c>
      <c r="M46" s="12">
        <f>IFERROR(M57/M13,0)</f>
        <v>0</v>
      </c>
      <c r="N46" s="12">
        <f>IFERROR(N57/N13,0)</f>
        <v>0</v>
      </c>
      <c r="O46" s="12">
        <f>IFERROR(O57/O13,0)</f>
        <v>0</v>
      </c>
    </row>
    <row r="47" spans="2:15">
      <c r="B47" s="2" t="s">
        <v>137</v>
      </c>
      <c r="C47" s="14">
        <f>IFERROR(C58/C14,0)</f>
        <v>0</v>
      </c>
      <c r="D47" s="14">
        <f>IFERROR(D58/D14,0)</f>
        <v>0</v>
      </c>
      <c r="E47" s="14">
        <f>IFERROR(E58/E14,0)</f>
        <v>0</v>
      </c>
      <c r="F47" s="14">
        <f>IFERROR(F58/F14,0)</f>
        <v>0</v>
      </c>
      <c r="G47" s="14">
        <f>IFERROR(G58/G14,0)</f>
        <v>0</v>
      </c>
      <c r="H47" s="14">
        <f>IFERROR(H58/H14,0)</f>
        <v>0</v>
      </c>
      <c r="I47" s="14">
        <f>IFERROR(I58/I14,0)</f>
        <v>0</v>
      </c>
      <c r="J47" s="14">
        <f>IFERROR(J58/J14,0)</f>
        <v>0</v>
      </c>
      <c r="K47" s="14">
        <f>IFERROR(K58/K14,0)</f>
        <v>0</v>
      </c>
      <c r="L47" s="14">
        <f>IFERROR(L58/L14,0)</f>
        <v>0</v>
      </c>
      <c r="M47" s="14">
        <f>IFERROR(M58/M14,0)</f>
        <v>0</v>
      </c>
      <c r="N47" s="14">
        <f>IFERROR(N58/N14,0)</f>
        <v>0</v>
      </c>
      <c r="O47" s="14">
        <f>IFERROR(O58/O14,0)</f>
        <v>0</v>
      </c>
    </row>
    <row r="49" spans="2:15">
      <c r="B49" s="2" t="s">
        <v>138</v>
      </c>
    </row>
    <row r="50" spans="2:15">
      <c r="B50" t="s">
        <v>175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20">
        <v>0</v>
      </c>
      <c r="L50" s="20">
        <v>0</v>
      </c>
      <c r="M50" s="20">
        <v>0</v>
      </c>
      <c r="N50" s="20">
        <v>0</v>
      </c>
      <c r="O50" s="6">
        <f>SUM(C50:N50)</f>
        <v>0</v>
      </c>
    </row>
    <row r="51" spans="2:15">
      <c r="B51" t="s">
        <v>176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20">
        <v>0</v>
      </c>
      <c r="L51" s="20">
        <v>0</v>
      </c>
      <c r="M51" s="20">
        <v>0</v>
      </c>
      <c r="N51" s="20">
        <v>0</v>
      </c>
      <c r="O51" s="6">
        <f>SUM(C51:N51)</f>
        <v>0</v>
      </c>
    </row>
    <row r="52" spans="2:15">
      <c r="B52" t="s">
        <v>177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20">
        <v>0</v>
      </c>
      <c r="L52" s="20">
        <v>0</v>
      </c>
      <c r="M52" s="20">
        <v>0</v>
      </c>
      <c r="N52" s="20">
        <v>0</v>
      </c>
      <c r="O52" s="6">
        <f>SUM(C52:N52)</f>
        <v>0</v>
      </c>
    </row>
    <row r="53" spans="2:15">
      <c r="B53" t="s">
        <v>178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20">
        <v>0</v>
      </c>
      <c r="L53" s="20">
        <v>0</v>
      </c>
      <c r="M53" s="20">
        <v>0</v>
      </c>
      <c r="N53" s="20">
        <v>0</v>
      </c>
      <c r="O53" s="6">
        <f>SUM(C53:N53)</f>
        <v>0</v>
      </c>
    </row>
    <row r="54" spans="2:15">
      <c r="B54" t="s">
        <v>179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20">
        <v>0</v>
      </c>
      <c r="L54" s="20">
        <v>0</v>
      </c>
      <c r="M54" s="20">
        <v>0</v>
      </c>
      <c r="N54" s="20">
        <v>0</v>
      </c>
      <c r="O54" s="6">
        <f>SUM(C54:N54)</f>
        <v>0</v>
      </c>
    </row>
    <row r="55" spans="2:15">
      <c r="B55" t="s">
        <v>180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20">
        <v>0</v>
      </c>
      <c r="L55" s="20">
        <v>0</v>
      </c>
      <c r="M55" s="20">
        <v>0</v>
      </c>
      <c r="N55" s="20">
        <v>0</v>
      </c>
      <c r="O55" s="6">
        <f>SUM(C55:N55)</f>
        <v>0</v>
      </c>
    </row>
    <row r="56" spans="2:15">
      <c r="B56" t="s">
        <v>181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20">
        <v>0</v>
      </c>
      <c r="L56" s="20">
        <v>0</v>
      </c>
      <c r="M56" s="20">
        <v>0</v>
      </c>
      <c r="N56" s="20">
        <v>0</v>
      </c>
      <c r="O56" s="6">
        <f>SUM(C56:N56)</f>
        <v>0</v>
      </c>
    </row>
    <row r="57" spans="2:15">
      <c r="B57" t="s">
        <v>182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20">
        <v>0</v>
      </c>
      <c r="L57" s="20">
        <v>0</v>
      </c>
      <c r="M57" s="20">
        <v>0</v>
      </c>
      <c r="N57" s="20">
        <v>0</v>
      </c>
      <c r="O57" s="6">
        <f>SUM(C57:N57)</f>
        <v>0</v>
      </c>
    </row>
    <row r="58" spans="2:15">
      <c r="B58" s="2" t="s">
        <v>139</v>
      </c>
      <c r="C58" s="9">
        <f>SUM(C50:C57)</f>
        <v>0</v>
      </c>
      <c r="D58" s="9">
        <f>SUM(D50:D57)</f>
        <v>0</v>
      </c>
      <c r="E58" s="9">
        <f>SUM(E50:E57)</f>
        <v>0</v>
      </c>
      <c r="F58" s="9">
        <f>SUM(F50:F57)</f>
        <v>0</v>
      </c>
      <c r="G58" s="9">
        <f>SUM(G50:G57)</f>
        <v>0</v>
      </c>
      <c r="H58" s="9">
        <f>SUM(H50:H57)</f>
        <v>0</v>
      </c>
      <c r="I58" s="9">
        <f>SUM(I50:I57)</f>
        <v>0</v>
      </c>
      <c r="J58" s="9">
        <f>SUM(J50:J57)</f>
        <v>0</v>
      </c>
      <c r="K58" s="9">
        <f>SUM(K50:K57)</f>
        <v>0</v>
      </c>
      <c r="L58" s="9">
        <f>SUM(L50:L57)</f>
        <v>0</v>
      </c>
      <c r="M58" s="9">
        <f>SUM(M50:M57)</f>
        <v>0</v>
      </c>
      <c r="N58" s="9">
        <f>SUM(N50:N57)</f>
        <v>0</v>
      </c>
      <c r="O58" s="9">
        <f>SUM(O50:O57)</f>
        <v>0</v>
      </c>
    </row>
    <row r="60" spans="2:15">
      <c r="B60" s="2" t="s">
        <v>113</v>
      </c>
    </row>
    <row r="61" spans="2:15">
      <c r="B61" t="str">
        <f>B6</f>
        <v>Insert Adj. 1</v>
      </c>
      <c r="C61" s="6">
        <f>C28-C50</f>
        <v>0</v>
      </c>
      <c r="D61" s="6">
        <f>D28-D50</f>
        <v>0</v>
      </c>
      <c r="E61" s="6">
        <f>E28-E50</f>
        <v>0</v>
      </c>
      <c r="F61" s="6">
        <f>F28-F50</f>
        <v>0</v>
      </c>
      <c r="G61" s="6">
        <f>G28-G50</f>
        <v>0</v>
      </c>
      <c r="H61" s="6">
        <f>H28-H50</f>
        <v>0</v>
      </c>
      <c r="I61" s="6">
        <f>I28-I50</f>
        <v>0</v>
      </c>
      <c r="J61" s="6">
        <f>J28-J50</f>
        <v>0</v>
      </c>
      <c r="K61" s="6">
        <f>K28-K50</f>
        <v>0</v>
      </c>
      <c r="L61" s="6">
        <f>L28-L50</f>
        <v>0</v>
      </c>
      <c r="M61" s="6">
        <f>M28-M50</f>
        <v>0</v>
      </c>
      <c r="N61" s="6">
        <f>N28-N50</f>
        <v>0</v>
      </c>
      <c r="O61" s="6">
        <f>SUM(C61:N61)</f>
        <v>0</v>
      </c>
    </row>
    <row r="62" spans="2:15">
      <c r="B62" t="str">
        <f>B7</f>
        <v>Insert Adj. 2</v>
      </c>
      <c r="C62" s="6">
        <f>C29-C51</f>
        <v>0</v>
      </c>
      <c r="D62" s="6">
        <f>D29-D51</f>
        <v>0</v>
      </c>
      <c r="E62" s="6">
        <f>E29-E51</f>
        <v>0</v>
      </c>
      <c r="F62" s="6">
        <f>F29-F51</f>
        <v>0</v>
      </c>
      <c r="G62" s="6">
        <f>G29-G51</f>
        <v>0</v>
      </c>
      <c r="H62" s="6">
        <f>H29-H51</f>
        <v>0</v>
      </c>
      <c r="I62" s="6">
        <f>I29-I51</f>
        <v>0</v>
      </c>
      <c r="J62" s="6">
        <f>J29-J51</f>
        <v>0</v>
      </c>
      <c r="K62" s="6">
        <f>K29-K51</f>
        <v>0</v>
      </c>
      <c r="L62" s="6">
        <f>L29-L51</f>
        <v>0</v>
      </c>
      <c r="M62" s="6">
        <f>M29-M51</f>
        <v>0</v>
      </c>
      <c r="N62" s="6">
        <f>N29-N51</f>
        <v>0</v>
      </c>
      <c r="O62" s="6">
        <f>SUM(C62:N62)</f>
        <v>0</v>
      </c>
    </row>
    <row r="63" spans="2:15">
      <c r="B63" t="str">
        <f>B8</f>
        <v>Insert Adj. 3</v>
      </c>
      <c r="C63" s="6">
        <f>C30-C52</f>
        <v>0</v>
      </c>
      <c r="D63" s="6">
        <f>D30-D52</f>
        <v>0</v>
      </c>
      <c r="E63" s="6">
        <f>E30-E52</f>
        <v>0</v>
      </c>
      <c r="F63" s="6">
        <f>F30-F52</f>
        <v>0</v>
      </c>
      <c r="G63" s="6">
        <f>G30-G52</f>
        <v>0</v>
      </c>
      <c r="H63" s="6">
        <f>H30-H52</f>
        <v>0</v>
      </c>
      <c r="I63" s="6">
        <f>I30-I52</f>
        <v>0</v>
      </c>
      <c r="J63" s="6">
        <f>J30-J52</f>
        <v>0</v>
      </c>
      <c r="K63" s="6">
        <f>K30-K52</f>
        <v>0</v>
      </c>
      <c r="L63" s="6">
        <f>L30-L52</f>
        <v>0</v>
      </c>
      <c r="M63" s="6">
        <f>M30-M52</f>
        <v>0</v>
      </c>
      <c r="N63" s="6">
        <f>N30-N52</f>
        <v>0</v>
      </c>
      <c r="O63" s="6">
        <f>SUM(C63:N63)</f>
        <v>0</v>
      </c>
    </row>
    <row r="64" spans="2:15">
      <c r="B64" t="str">
        <f>B9</f>
        <v>Insert Adj. 4</v>
      </c>
      <c r="C64" s="6">
        <f>C31-C53</f>
        <v>0</v>
      </c>
      <c r="D64" s="6">
        <f>D31-D53</f>
        <v>0</v>
      </c>
      <c r="E64" s="6">
        <f>E31-E53</f>
        <v>0</v>
      </c>
      <c r="F64" s="6">
        <f>F31-F53</f>
        <v>0</v>
      </c>
      <c r="G64" s="6">
        <f>G31-G53</f>
        <v>0</v>
      </c>
      <c r="H64" s="6">
        <f>H31-H53</f>
        <v>0</v>
      </c>
      <c r="I64" s="6">
        <f>I31-I53</f>
        <v>0</v>
      </c>
      <c r="J64" s="6">
        <f>J31-J53</f>
        <v>0</v>
      </c>
      <c r="K64" s="6">
        <f>K31-K53</f>
        <v>0</v>
      </c>
      <c r="L64" s="6">
        <f>L31-L53</f>
        <v>0</v>
      </c>
      <c r="M64" s="6">
        <f>M31-M53</f>
        <v>0</v>
      </c>
      <c r="N64" s="6">
        <f>N31-N53</f>
        <v>0</v>
      </c>
      <c r="O64" s="6">
        <f>SUM(C64:N64)</f>
        <v>0</v>
      </c>
    </row>
    <row r="65" spans="2:15">
      <c r="B65" t="str">
        <f>B10</f>
        <v>Insert Adj. 5</v>
      </c>
      <c r="C65" s="6">
        <f>C32-C54</f>
        <v>0</v>
      </c>
      <c r="D65" s="6">
        <f>D32-D54</f>
        <v>0</v>
      </c>
      <c r="E65" s="6">
        <f>E32-E54</f>
        <v>0</v>
      </c>
      <c r="F65" s="6">
        <f>F32-F54</f>
        <v>0</v>
      </c>
      <c r="G65" s="6">
        <f>G32-G54</f>
        <v>0</v>
      </c>
      <c r="H65" s="6">
        <f>H32-H54</f>
        <v>0</v>
      </c>
      <c r="I65" s="6">
        <f>I32-I54</f>
        <v>0</v>
      </c>
      <c r="J65" s="6">
        <f>J32-J54</f>
        <v>0</v>
      </c>
      <c r="K65" s="6">
        <f>K32-K54</f>
        <v>0</v>
      </c>
      <c r="L65" s="6">
        <f>L32-L54</f>
        <v>0</v>
      </c>
      <c r="M65" s="6">
        <f>M32-M54</f>
        <v>0</v>
      </c>
      <c r="N65" s="6">
        <f>N32-N54</f>
        <v>0</v>
      </c>
      <c r="O65" s="6">
        <f>SUM(C65:N65)</f>
        <v>0</v>
      </c>
    </row>
    <row r="66" spans="2:15">
      <c r="B66" t="str">
        <f>B11</f>
        <v>Insert Adj. 6</v>
      </c>
      <c r="C66" s="6">
        <f>C33-C55</f>
        <v>0</v>
      </c>
      <c r="D66" s="6">
        <f>D33-D55</f>
        <v>0</v>
      </c>
      <c r="E66" s="6">
        <f>E33-E55</f>
        <v>0</v>
      </c>
      <c r="F66" s="6">
        <f>F33-F55</f>
        <v>0</v>
      </c>
      <c r="G66" s="6">
        <f>G33-G55</f>
        <v>0</v>
      </c>
      <c r="H66" s="6">
        <f>H33-H55</f>
        <v>0</v>
      </c>
      <c r="I66" s="6">
        <f>I33-I55</f>
        <v>0</v>
      </c>
      <c r="J66" s="6">
        <f>J33-J55</f>
        <v>0</v>
      </c>
      <c r="K66" s="6">
        <f>K33-K55</f>
        <v>0</v>
      </c>
      <c r="L66" s="6">
        <f>L33-L55</f>
        <v>0</v>
      </c>
      <c r="M66" s="6">
        <f>M33-M55</f>
        <v>0</v>
      </c>
      <c r="N66" s="6">
        <f>N33-N55</f>
        <v>0</v>
      </c>
      <c r="O66" s="6">
        <f>SUM(C66:N66)</f>
        <v>0</v>
      </c>
    </row>
    <row r="67" spans="2:15">
      <c r="B67" t="str">
        <f>B12</f>
        <v>Insert Adj. 7</v>
      </c>
      <c r="C67" s="6">
        <f>C34-C56</f>
        <v>0</v>
      </c>
      <c r="D67" s="6">
        <f>D34-D56</f>
        <v>0</v>
      </c>
      <c r="E67" s="6">
        <f>E34-E56</f>
        <v>0</v>
      </c>
      <c r="F67" s="6">
        <f>F34-F56</f>
        <v>0</v>
      </c>
      <c r="G67" s="6">
        <f>G34-G56</f>
        <v>0</v>
      </c>
      <c r="H67" s="6">
        <f>H34-H56</f>
        <v>0</v>
      </c>
      <c r="I67" s="6">
        <f>I34-I56</f>
        <v>0</v>
      </c>
      <c r="J67" s="6">
        <f>J34-J56</f>
        <v>0</v>
      </c>
      <c r="K67" s="6">
        <f>K34-K56</f>
        <v>0</v>
      </c>
      <c r="L67" s="6">
        <f>L34-L56</f>
        <v>0</v>
      </c>
      <c r="M67" s="6">
        <f>M34-M56</f>
        <v>0</v>
      </c>
      <c r="N67" s="6">
        <f>N34-N56</f>
        <v>0</v>
      </c>
      <c r="O67" s="6">
        <f>SUM(C67:N67)</f>
        <v>0</v>
      </c>
    </row>
    <row r="68" spans="2:15">
      <c r="B68" t="str">
        <f>B13</f>
        <v>Insert Adj. 8</v>
      </c>
      <c r="C68" s="6">
        <f>C35-C57</f>
        <v>0</v>
      </c>
      <c r="D68" s="6">
        <f>D35-D57</f>
        <v>0</v>
      </c>
      <c r="E68" s="6">
        <f>E35-E57</f>
        <v>0</v>
      </c>
      <c r="F68" s="6">
        <f>F35-F57</f>
        <v>0</v>
      </c>
      <c r="G68" s="6">
        <f>G35-G57</f>
        <v>0</v>
      </c>
      <c r="H68" s="6">
        <f>H35-H57</f>
        <v>0</v>
      </c>
      <c r="I68" s="6">
        <f>I35-I57</f>
        <v>0</v>
      </c>
      <c r="J68" s="6">
        <f>J35-J57</f>
        <v>0</v>
      </c>
      <c r="K68" s="6">
        <f>K35-K57</f>
        <v>0</v>
      </c>
      <c r="L68" s="6">
        <f>L35-L57</f>
        <v>0</v>
      </c>
      <c r="M68" s="6">
        <f>M35-M57</f>
        <v>0</v>
      </c>
      <c r="N68" s="6">
        <f>N35-N57</f>
        <v>0</v>
      </c>
      <c r="O68" s="6">
        <f>SUM(C68:N68)</f>
        <v>0</v>
      </c>
    </row>
    <row r="69" spans="2:15">
      <c r="B69" s="2" t="s">
        <v>140</v>
      </c>
      <c r="C69" s="9">
        <f>SUM(C61:C68)</f>
        <v>0</v>
      </c>
      <c r="D69" s="9">
        <f>SUM(D61:D68)</f>
        <v>0</v>
      </c>
      <c r="E69" s="9">
        <f>SUM(E61:E68)</f>
        <v>0</v>
      </c>
      <c r="F69" s="9">
        <f>SUM(F61:F68)</f>
        <v>0</v>
      </c>
      <c r="G69" s="9">
        <f>SUM(G61:G68)</f>
        <v>0</v>
      </c>
      <c r="H69" s="9">
        <f>SUM(H61:H68)</f>
        <v>0</v>
      </c>
      <c r="I69" s="9">
        <f>SUM(I61:I68)</f>
        <v>0</v>
      </c>
      <c r="J69" s="9">
        <f>SUM(J61:J68)</f>
        <v>0</v>
      </c>
      <c r="K69" s="9">
        <f>SUM(K61:K68)</f>
        <v>0</v>
      </c>
      <c r="L69" s="9">
        <f>SUM(L61:L68)</f>
        <v>0</v>
      </c>
      <c r="M69" s="9">
        <f>SUM(M61:M68)</f>
        <v>0</v>
      </c>
      <c r="N69" s="9">
        <f>SUM(N61:N68)</f>
        <v>0</v>
      </c>
      <c r="O69" s="9">
        <f>SUM(O61:O68)</f>
        <v>0</v>
      </c>
    </row>
    <row r="71" spans="2:15">
      <c r="B71" s="8" t="s">
        <v>141</v>
      </c>
    </row>
    <row r="73" spans="2:15">
      <c r="C73" s="4" t="s">
        <v>70</v>
      </c>
      <c r="D73" s="4" t="s">
        <v>71</v>
      </c>
      <c r="E73" s="4" t="s">
        <v>72</v>
      </c>
      <c r="F73" s="4" t="s">
        <v>73</v>
      </c>
      <c r="G73" s="4" t="s">
        <v>50</v>
      </c>
      <c r="H73" s="4" t="s">
        <v>74</v>
      </c>
      <c r="I73" s="4" t="s">
        <v>75</v>
      </c>
      <c r="J73" s="4" t="s">
        <v>76</v>
      </c>
      <c r="K73" s="4" t="s">
        <v>77</v>
      </c>
      <c r="L73" s="4" t="s">
        <v>78</v>
      </c>
      <c r="M73" s="4" t="s">
        <v>79</v>
      </c>
      <c r="N73" s="4" t="s">
        <v>80</v>
      </c>
      <c r="O73" s="4" t="s">
        <v>174</v>
      </c>
    </row>
    <row r="74" spans="2:15">
      <c r="B74" s="2" t="s">
        <v>111</v>
      </c>
    </row>
    <row r="75" spans="2:15">
      <c r="B75" t="s">
        <v>143</v>
      </c>
      <c r="C75" s="12">
        <f>SAFEREG!C35</f>
        <v>0</v>
      </c>
      <c r="D75" s="12">
        <f>SAFEREG!D35</f>
        <v>0</v>
      </c>
      <c r="E75" s="12">
        <f>SAFEREG!E35</f>
        <v>0</v>
      </c>
      <c r="F75" s="12">
        <f>SAFEREG!F35</f>
        <v>0</v>
      </c>
      <c r="G75" s="12">
        <f>SAFEREG!G35</f>
        <v>0</v>
      </c>
      <c r="H75" s="12">
        <f>SAFEREG!H35</f>
        <v>0</v>
      </c>
      <c r="I75" s="12">
        <f>SAFEREG!I35</f>
        <v>0</v>
      </c>
      <c r="J75" s="12">
        <f>SAFEREG!J35</f>
        <v>0</v>
      </c>
      <c r="K75" s="12">
        <f>SAFEREG!K35</f>
        <v>0</v>
      </c>
      <c r="L75" s="12">
        <f>SAFEREG!L35</f>
        <v>0</v>
      </c>
      <c r="M75" s="12">
        <f>SAFEREG!M35</f>
        <v>0</v>
      </c>
      <c r="N75" s="12">
        <f>SAFEREG!N35</f>
        <v>0</v>
      </c>
      <c r="O75" t="s">
        <v>183</v>
      </c>
    </row>
    <row r="76" spans="2:15">
      <c r="B76" t="s">
        <v>144</v>
      </c>
      <c r="C76" t="s">
        <v>145</v>
      </c>
      <c r="D76" t="s">
        <v>145</v>
      </c>
      <c r="E76" t="s">
        <v>145</v>
      </c>
      <c r="F76" t="s">
        <v>145</v>
      </c>
      <c r="G76" t="s">
        <v>145</v>
      </c>
      <c r="H76" t="s">
        <v>145</v>
      </c>
      <c r="I76" t="s">
        <v>145</v>
      </c>
      <c r="J76" t="s">
        <v>145</v>
      </c>
      <c r="K76" t="s">
        <v>145</v>
      </c>
      <c r="L76" t="s">
        <v>145</v>
      </c>
      <c r="M76" t="s">
        <v>145</v>
      </c>
      <c r="N76" t="s">
        <v>145</v>
      </c>
    </row>
    <row r="77" spans="2:15">
      <c r="B77" t="s">
        <v>146</v>
      </c>
      <c r="C77" s="6">
        <f>IF(C76="None",0,(((SAFEREG!C28*(C75+C76))-SAFEREG!C29)))</f>
        <v>0</v>
      </c>
      <c r="D77" s="6">
        <f>IF(D76="None",0,(((SAFEREG!D28*(D75+D76))-SAFEREG!D29)))</f>
        <v>0</v>
      </c>
      <c r="E77" s="6">
        <f>IF(E76="None",0,(((SAFEREG!E28*(E75+E76))-SAFEREG!E29)))</f>
        <v>0</v>
      </c>
      <c r="F77" s="6">
        <f>IF(F76="None",0,(((SAFEREG!F28*(F75+F76))-SAFEREG!F29)))</f>
        <v>0</v>
      </c>
      <c r="G77" s="6">
        <f>IF(G76="None",0,(((SAFEREG!G28*(G75+G76))-SAFEREG!G29)))</f>
        <v>0</v>
      </c>
      <c r="H77" s="6">
        <f>IF(H76="None",0,(((SAFEREG!H28*(H75+H76))-SAFEREG!H29)))</f>
        <v>0</v>
      </c>
      <c r="I77" s="6">
        <f>IF(I76="None",0,(((SAFEREG!I28*(I75+I76))-SAFEREG!I29)))</f>
        <v>0</v>
      </c>
      <c r="J77" s="6">
        <f>IF(J76="None",0,(((SAFEREG!J28*(J75+J76))-SAFEREG!J29)))</f>
        <v>0</v>
      </c>
      <c r="K77" s="6">
        <f>IF(K76="None",0,(((SAFEREG!K28*(K75+K76))-SAFEREG!K29)))</f>
        <v>0</v>
      </c>
      <c r="L77" s="6">
        <f>IF(L76="None",0,(((SAFEREG!L28*(L75+L76))-SAFEREG!L29)))</f>
        <v>0</v>
      </c>
      <c r="M77" s="6">
        <f>IF(M76="None",0,(((SAFEREG!M28*(M75+M76))-SAFEREG!M29)))</f>
        <v>0</v>
      </c>
      <c r="N77" s="6">
        <f>IF(N76="None",0,(((SAFEREG!N28*(N75+N76))-SAFEREG!N29)))</f>
        <v>0</v>
      </c>
      <c r="O77" s="6">
        <f>SUM(C77:N77)</f>
        <v>0</v>
      </c>
    </row>
    <row r="78" spans="2:15">
      <c r="B78" t="s">
        <v>147</v>
      </c>
      <c r="C78" s="12">
        <f>SUM(C75:C76)</f>
        <v>0</v>
      </c>
      <c r="D78" s="12">
        <f>SUM(D75:D76)</f>
        <v>0</v>
      </c>
      <c r="E78" s="12">
        <f>SUM(E75:E76)</f>
        <v>0</v>
      </c>
      <c r="F78" s="12">
        <f>SUM(F75:F76)</f>
        <v>0</v>
      </c>
      <c r="G78" s="12">
        <f>SUM(G75:G76)</f>
        <v>0</v>
      </c>
      <c r="H78" s="12">
        <f>SUM(H75:H76)</f>
        <v>0</v>
      </c>
      <c r="I78" s="12">
        <f>SUM(I75:I76)</f>
        <v>0</v>
      </c>
      <c r="J78" s="12">
        <f>SUM(J75:J76)</f>
        <v>0</v>
      </c>
      <c r="K78" s="12">
        <f>SUM(K75:K76)</f>
        <v>0</v>
      </c>
      <c r="L78" s="12">
        <f>SUM(L75:L76)</f>
        <v>0</v>
      </c>
      <c r="M78" s="12">
        <f>SUM(M75:M76)</f>
        <v>0</v>
      </c>
      <c r="N78" s="12">
        <f>SUM(N75:N76)</f>
        <v>0</v>
      </c>
      <c r="O78" t="s">
        <v>183</v>
      </c>
    </row>
    <row r="81" spans="1:15">
      <c r="B81" s="2" t="s">
        <v>112</v>
      </c>
    </row>
    <row r="82" spans="1:15">
      <c r="B82" t="s">
        <v>148</v>
      </c>
      <c r="C82" s="12">
        <f>SAFEREG!C36</f>
        <v>0</v>
      </c>
      <c r="D82" s="12">
        <f>SAFEREG!D36</f>
        <v>0</v>
      </c>
      <c r="E82" s="12">
        <f>SAFEREG!E36</f>
        <v>0</v>
      </c>
      <c r="F82" s="12">
        <f>SAFEREG!F36</f>
        <v>0</v>
      </c>
      <c r="G82" s="12">
        <f>SAFEREG!G36</f>
        <v>0</v>
      </c>
      <c r="H82" s="12">
        <f>SAFEREG!H36</f>
        <v>0</v>
      </c>
      <c r="I82" s="12">
        <f>SAFEREG!I36</f>
        <v>0</v>
      </c>
      <c r="J82" s="12">
        <f>SAFEREG!J36</f>
        <v>0</v>
      </c>
      <c r="K82" s="12">
        <f>SAFEREG!K36</f>
        <v>0</v>
      </c>
      <c r="L82" s="12">
        <f>SAFEREG!L36</f>
        <v>0</v>
      </c>
      <c r="M82" s="12">
        <f>SAFEREG!M36</f>
        <v>0</v>
      </c>
      <c r="N82" s="12">
        <f>SAFEREG!N36</f>
        <v>0</v>
      </c>
      <c r="O82" t="s">
        <v>183</v>
      </c>
    </row>
    <row r="83" spans="1:15">
      <c r="B83" t="s">
        <v>144</v>
      </c>
      <c r="C83" t="s">
        <v>145</v>
      </c>
      <c r="D83" t="s">
        <v>145</v>
      </c>
      <c r="E83" t="s">
        <v>145</v>
      </c>
      <c r="F83" t="s">
        <v>145</v>
      </c>
      <c r="G83" t="s">
        <v>145</v>
      </c>
      <c r="H83" t="s">
        <v>145</v>
      </c>
      <c r="I83" t="s">
        <v>145</v>
      </c>
      <c r="J83" t="s">
        <v>145</v>
      </c>
      <c r="K83" t="s">
        <v>145</v>
      </c>
      <c r="L83" t="s">
        <v>145</v>
      </c>
      <c r="M83" t="s">
        <v>145</v>
      </c>
      <c r="N83" t="s">
        <v>145</v>
      </c>
    </row>
    <row r="84" spans="1:15">
      <c r="B84" t="s">
        <v>146</v>
      </c>
      <c r="C84" s="6">
        <f>-IF(C83="None",0,(((SAFEREG!C28*-(C82+C83))-SAFEREG!C30)))</f>
        <v>0</v>
      </c>
      <c r="D84" s="6">
        <f>-IF(D83="None",0,(((SAFEREG!D28*-(D82+D83))-SAFEREG!D30)))</f>
        <v>0</v>
      </c>
      <c r="E84" s="6">
        <f>-IF(E83="None",0,(((SAFEREG!E28*-(E82+E83))-SAFEREG!E30)))</f>
        <v>0</v>
      </c>
      <c r="F84" s="6">
        <f>-IF(F83="None",0,(((SAFEREG!F28*-(F82+F83))-SAFEREG!F30)))</f>
        <v>0</v>
      </c>
      <c r="G84" s="6">
        <f>-IF(G83="None",0,(((SAFEREG!G28*-(G82+G83))-SAFEREG!G30)))</f>
        <v>0</v>
      </c>
      <c r="H84" s="6">
        <f>-IF(H83="None",0,(((SAFEREG!H28*-(H82+H83))-SAFEREG!H30)))</f>
        <v>0</v>
      </c>
      <c r="I84" s="6">
        <f>-IF(I83="None",0,(((SAFEREG!I28*-(I82+I83))-SAFEREG!I30)))</f>
        <v>0</v>
      </c>
      <c r="J84" s="6">
        <f>-IF(J83="None",0,(((SAFEREG!J28*-(J82+J83))-SAFEREG!J30)))</f>
        <v>0</v>
      </c>
      <c r="K84" s="6">
        <f>-IF(K83="None",0,(((SAFEREG!K28*-(K82+K83))-SAFEREG!K30)))</f>
        <v>0</v>
      </c>
      <c r="L84" s="6">
        <f>-IF(L83="None",0,(((SAFEREG!L28*-(L82+L83))-SAFEREG!L30)))</f>
        <v>0</v>
      </c>
      <c r="M84" s="6">
        <f>-IF(M83="None",0,(((SAFEREG!M28*-(M82+M83))-SAFEREG!M30)))</f>
        <v>0</v>
      </c>
      <c r="N84" s="6">
        <f>-IF(N83="None",0,(((SAFEREG!N28*-(N82+N83))-SAFEREG!N30)))</f>
        <v>0</v>
      </c>
      <c r="O84" s="6">
        <f>SUM(C84:N84)</f>
        <v>0</v>
      </c>
    </row>
    <row r="85" spans="1:15">
      <c r="B85" t="s">
        <v>149</v>
      </c>
      <c r="C85" s="12">
        <f>SUM(C82:C83)</f>
        <v>0</v>
      </c>
      <c r="D85" s="12">
        <f>SUM(D82:D83)</f>
        <v>0</v>
      </c>
      <c r="E85" s="12">
        <f>SUM(E82:E83)</f>
        <v>0</v>
      </c>
      <c r="F85" s="12">
        <f>SUM(F82:F83)</f>
        <v>0</v>
      </c>
      <c r="G85" s="12">
        <f>SUM(G82:G83)</f>
        <v>0</v>
      </c>
      <c r="H85" s="12">
        <f>SUM(H82:H83)</f>
        <v>0</v>
      </c>
      <c r="I85" s="12">
        <f>SUM(I82:I83)</f>
        <v>0</v>
      </c>
      <c r="J85" s="12">
        <f>SUM(J82:J83)</f>
        <v>0</v>
      </c>
      <c r="K85" s="12">
        <f>SUM(K82:K83)</f>
        <v>0</v>
      </c>
      <c r="L85" s="12">
        <f>SUM(L82:L83)</f>
        <v>0</v>
      </c>
      <c r="M85" s="12">
        <f>SUM(M82:M83)</f>
        <v>0</v>
      </c>
      <c r="N85" s="12">
        <f>SUM(N82:N83)</f>
        <v>0</v>
      </c>
      <c r="O85" t="s">
        <v>183</v>
      </c>
    </row>
    <row r="87" spans="1:15">
      <c r="B87" s="8" t="s">
        <v>150</v>
      </c>
    </row>
    <row r="89" spans="1:15">
      <c r="C89" s="4" t="s">
        <v>70</v>
      </c>
      <c r="D89" s="4" t="s">
        <v>71</v>
      </c>
      <c r="E89" s="4" t="s">
        <v>72</v>
      </c>
      <c r="F89" s="4" t="s">
        <v>73</v>
      </c>
      <c r="G89" s="4" t="s">
        <v>50</v>
      </c>
      <c r="H89" s="4" t="s">
        <v>74</v>
      </c>
      <c r="I89" s="4" t="s">
        <v>75</v>
      </c>
      <c r="J89" s="4" t="s">
        <v>76</v>
      </c>
      <c r="K89" s="4" t="s">
        <v>77</v>
      </c>
      <c r="L89" s="4" t="s">
        <v>78</v>
      </c>
      <c r="M89" s="4" t="s">
        <v>79</v>
      </c>
      <c r="N89" s="4" t="s">
        <v>80</v>
      </c>
      <c r="O89" s="4" t="s">
        <v>174</v>
      </c>
    </row>
    <row r="90" spans="1:15">
      <c r="A90">
        <v>2090</v>
      </c>
      <c r="B90" t="s">
        <v>151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20">
        <v>0</v>
      </c>
      <c r="L90" s="20">
        <v>0</v>
      </c>
      <c r="M90" s="20">
        <v>0</v>
      </c>
      <c r="N90" s="20">
        <v>0</v>
      </c>
    </row>
    <row r="91" spans="1:15">
      <c r="A91">
        <v>2135</v>
      </c>
      <c r="B91" t="s">
        <v>152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20">
        <v>0</v>
      </c>
      <c r="L91" s="20">
        <v>0</v>
      </c>
      <c r="M91" s="20">
        <v>0</v>
      </c>
      <c r="N91" s="20">
        <v>0</v>
      </c>
    </row>
    <row r="92" spans="1:15">
      <c r="A92">
        <v>2175</v>
      </c>
      <c r="B92" t="s">
        <v>153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20">
        <v>0</v>
      </c>
      <c r="L92" s="20">
        <v>0</v>
      </c>
      <c r="M92" s="20">
        <v>0</v>
      </c>
      <c r="N92" s="20">
        <v>0</v>
      </c>
    </row>
    <row r="93" spans="1:15">
      <c r="A93">
        <v>2140</v>
      </c>
      <c r="B93" t="s">
        <v>154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20">
        <v>0</v>
      </c>
      <c r="L93" s="20">
        <v>0</v>
      </c>
      <c r="M93" s="20">
        <v>0</v>
      </c>
      <c r="N93" s="20">
        <v>0</v>
      </c>
    </row>
    <row r="94" spans="1:15">
      <c r="A94">
        <v>2180</v>
      </c>
      <c r="B94" t="s">
        <v>155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20">
        <v>0</v>
      </c>
      <c r="L94" s="20">
        <v>0</v>
      </c>
      <c r="M94" s="20">
        <v>0</v>
      </c>
      <c r="N94" s="20">
        <v>0</v>
      </c>
    </row>
    <row r="95" spans="1:15">
      <c r="A95">
        <v>2185</v>
      </c>
      <c r="B95" s="2" t="s">
        <v>156</v>
      </c>
      <c r="C95" s="6">
        <f>SUM(C90:C94)</f>
        <v>0</v>
      </c>
      <c r="D95" s="6">
        <f>SUM(D90:D94)</f>
        <v>0</v>
      </c>
      <c r="E95" s="6">
        <f>SUM(E90:E94)</f>
        <v>0</v>
      </c>
      <c r="F95" s="6">
        <f>SUM(F90:F94)</f>
        <v>0</v>
      </c>
      <c r="G95" s="6">
        <f>SUM(G90:G94)</f>
        <v>0</v>
      </c>
      <c r="H95" s="6">
        <f>SUM(H90:H94)</f>
        <v>0</v>
      </c>
      <c r="I95" s="6">
        <f>SUM(I90:I94)</f>
        <v>0</v>
      </c>
      <c r="J95" s="6">
        <f>SUM(J90:J94)</f>
        <v>0</v>
      </c>
      <c r="K95" s="6">
        <f>SUM(K90:K94)</f>
        <v>0</v>
      </c>
      <c r="L95" s="6">
        <f>SUM(L90:L94)</f>
        <v>0</v>
      </c>
      <c r="M95" s="6">
        <f>SUM(M90:M94)</f>
        <v>0</v>
      </c>
      <c r="N95" s="6">
        <f>SUM(N90:N94)</f>
        <v>0</v>
      </c>
    </row>
    <row r="97" spans="2:2">
      <c r="B97" s="21" t="s">
        <v>184</v>
      </c>
    </row>
  </sheetData>
  <dataValidations count="1">
    <dataValidation type="list" allowBlank="1" sqref="C76:N76 C83:N83" xr:uid="{00000000-0002-0000-2000-000000000000}">
      <formula1>"None,-2.0%,-1.5%,-1.0%,-0.5%,0.5%,1.0%,1.5%,2.0%"</formula1>
    </dataValidation>
  </dataValidation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0070C0"/>
  </sheetPr>
  <dimension ref="B1:CE73"/>
  <sheetViews>
    <sheetView showGridLines="0" workbookViewId="0">
      <pane xSplit="2" ySplit="26" topLeftCell="C27" activePane="bottomRight" state="frozen"/>
      <selection pane="bottomRight"/>
      <selection pane="bottomLeft"/>
      <selection pane="topRight"/>
    </sheetView>
  </sheetViews>
  <sheetFormatPr defaultRowHeight="15" outlineLevelRow="1"/>
  <cols>
    <col min="1" max="1" width="2" customWidth="1"/>
    <col min="2" max="2" width="30" customWidth="1"/>
    <col min="3" max="15" width="11" customWidth="1"/>
    <col min="16" max="16" width="2" customWidth="1"/>
    <col min="17" max="29" width="11" customWidth="1"/>
    <col min="30" max="30" width="2" customWidth="1"/>
    <col min="31" max="43" width="11" customWidth="1"/>
    <col min="44" max="44" width="2" customWidth="1"/>
    <col min="45" max="57" width="11" customWidth="1"/>
    <col min="58" max="58" width="2" customWidth="1"/>
    <col min="59" max="71" width="11" customWidth="1"/>
    <col min="72" max="72" width="2" customWidth="1"/>
    <col min="73" max="75" width="11" customWidth="1"/>
    <col min="76" max="76" width="2" customWidth="1"/>
    <col min="77" max="79" width="11" customWidth="1"/>
    <col min="80" max="80" width="2" customWidth="1"/>
    <col min="81" max="83" width="11" customWidth="1"/>
  </cols>
  <sheetData>
    <row r="1" spans="2:14" outlineLevel="1">
      <c r="C1" s="15" t="s">
        <v>34</v>
      </c>
      <c r="D1" s="15" t="s">
        <v>34</v>
      </c>
      <c r="E1" s="15" t="s">
        <v>34</v>
      </c>
      <c r="F1" s="15" t="s">
        <v>34</v>
      </c>
      <c r="G1" s="15" t="s">
        <v>34</v>
      </c>
      <c r="H1" s="15" t="s">
        <v>34</v>
      </c>
      <c r="I1" s="15" t="s">
        <v>34</v>
      </c>
      <c r="J1" s="15" t="s">
        <v>34</v>
      </c>
      <c r="K1" s="15" t="s">
        <v>45</v>
      </c>
      <c r="L1" s="15" t="s">
        <v>45</v>
      </c>
      <c r="M1" s="15" t="s">
        <v>45</v>
      </c>
      <c r="N1" s="15" t="s">
        <v>45</v>
      </c>
    </row>
    <row r="2" spans="2:14" outlineLevel="1">
      <c r="B2" s="15" t="s">
        <v>2</v>
      </c>
      <c r="C2" s="15" t="s">
        <v>34</v>
      </c>
      <c r="D2" s="15" t="s">
        <v>34</v>
      </c>
      <c r="E2" s="15" t="s">
        <v>34</v>
      </c>
      <c r="F2" s="15" t="s">
        <v>34</v>
      </c>
      <c r="G2" s="15" t="s">
        <v>34</v>
      </c>
      <c r="H2" s="15" t="s">
        <v>34</v>
      </c>
      <c r="I2" s="15" t="s">
        <v>34</v>
      </c>
      <c r="J2" s="15" t="s">
        <v>34</v>
      </c>
      <c r="K2" s="15" t="s">
        <v>34</v>
      </c>
      <c r="L2" s="15" t="s">
        <v>34</v>
      </c>
      <c r="M2" s="15" t="s">
        <v>34</v>
      </c>
      <c r="N2" s="15" t="s">
        <v>34</v>
      </c>
    </row>
    <row r="3" spans="2:14" outlineLevel="1"/>
    <row r="4" spans="2:14" outlineLevel="1"/>
    <row r="5" spans="2:14" outlineLevel="1">
      <c r="B5" s="15" t="s">
        <v>4</v>
      </c>
      <c r="C5" s="15">
        <v>2026</v>
      </c>
      <c r="D5" s="15">
        <v>2026</v>
      </c>
      <c r="E5" s="15">
        <v>2026</v>
      </c>
      <c r="F5" s="15">
        <v>2026</v>
      </c>
      <c r="G5" s="15">
        <v>2026</v>
      </c>
      <c r="H5" s="15">
        <v>2026</v>
      </c>
      <c r="I5" s="15">
        <v>2026</v>
      </c>
      <c r="J5" s="15">
        <v>2026</v>
      </c>
      <c r="K5" s="15">
        <v>2026</v>
      </c>
      <c r="L5" s="15">
        <v>2026</v>
      </c>
      <c r="M5" s="15">
        <v>2026</v>
      </c>
      <c r="N5" s="15">
        <v>2026</v>
      </c>
    </row>
    <row r="6" spans="2:14" outlineLevel="1"/>
    <row r="7" spans="2:14" outlineLevel="1"/>
    <row r="8" spans="2:14" outlineLevel="1">
      <c r="B8" s="15" t="s">
        <v>5</v>
      </c>
      <c r="C8" s="15" t="s">
        <v>35</v>
      </c>
      <c r="D8" s="15" t="s">
        <v>39</v>
      </c>
      <c r="E8" s="15" t="s">
        <v>43</v>
      </c>
      <c r="F8" s="15" t="s">
        <v>47</v>
      </c>
      <c r="G8" s="15" t="s">
        <v>51</v>
      </c>
      <c r="H8" s="15" t="s">
        <v>54</v>
      </c>
      <c r="I8" s="15" t="s">
        <v>56</v>
      </c>
      <c r="J8" s="15" t="s">
        <v>58</v>
      </c>
      <c r="K8" s="15" t="s">
        <v>32</v>
      </c>
      <c r="L8" s="15" t="s">
        <v>37</v>
      </c>
      <c r="M8" s="15" t="s">
        <v>66</v>
      </c>
      <c r="N8" s="15" t="s">
        <v>68</v>
      </c>
    </row>
    <row r="9" spans="2:14" outlineLevel="1">
      <c r="B9" s="15" t="s">
        <v>13</v>
      </c>
    </row>
    <row r="10" spans="2:14" outlineLevel="1">
      <c r="B10" s="15" t="s">
        <v>14</v>
      </c>
    </row>
    <row r="11" spans="2:14" outlineLevel="1">
      <c r="B11" s="15" t="s">
        <v>16</v>
      </c>
      <c r="C11" s="15" t="s">
        <v>17</v>
      </c>
      <c r="D11" s="15" t="s">
        <v>17</v>
      </c>
      <c r="E11" s="15" t="s">
        <v>17</v>
      </c>
      <c r="F11" s="15" t="s">
        <v>17</v>
      </c>
      <c r="G11" s="15" t="s">
        <v>17</v>
      </c>
      <c r="H11" s="15" t="s">
        <v>17</v>
      </c>
      <c r="I11" s="15" t="s">
        <v>17</v>
      </c>
      <c r="J11" s="15" t="s">
        <v>17</v>
      </c>
      <c r="K11" s="15" t="s">
        <v>17</v>
      </c>
      <c r="L11" s="15" t="s">
        <v>17</v>
      </c>
      <c r="M11" s="15" t="s">
        <v>17</v>
      </c>
      <c r="N11" s="15" t="s">
        <v>17</v>
      </c>
    </row>
    <row r="12" spans="2:14" outlineLevel="1">
      <c r="B12" s="15" t="s">
        <v>18</v>
      </c>
      <c r="C12" s="15" t="s">
        <v>19</v>
      </c>
      <c r="D12" s="15" t="s">
        <v>19</v>
      </c>
      <c r="E12" s="15" t="s">
        <v>19</v>
      </c>
      <c r="F12" s="15" t="s">
        <v>19</v>
      </c>
      <c r="G12" s="15" t="s">
        <v>19</v>
      </c>
      <c r="H12" s="15" t="s">
        <v>19</v>
      </c>
      <c r="I12" s="15" t="s">
        <v>19</v>
      </c>
      <c r="J12" s="15" t="s">
        <v>19</v>
      </c>
      <c r="K12" s="15" t="s">
        <v>19</v>
      </c>
      <c r="L12" s="15" t="s">
        <v>19</v>
      </c>
      <c r="M12" s="15" t="s">
        <v>19</v>
      </c>
      <c r="N12" s="15" t="s">
        <v>19</v>
      </c>
    </row>
    <row r="13" spans="2:14" outlineLevel="1">
      <c r="B13" s="15" t="s">
        <v>20</v>
      </c>
    </row>
    <row r="14" spans="2:14" outlineLevel="1">
      <c r="B14" s="15" t="s">
        <v>22</v>
      </c>
    </row>
    <row r="15" spans="2:14" outlineLevel="1"/>
    <row r="16" spans="2:14" outlineLevel="1"/>
    <row r="17" spans="2:83" outlineLevel="1"/>
    <row r="18" spans="2:83" outlineLevel="1">
      <c r="B18" s="15" t="s">
        <v>7</v>
      </c>
      <c r="C18" s="15" t="s">
        <v>157</v>
      </c>
      <c r="D18" s="15" t="s">
        <v>157</v>
      </c>
      <c r="E18" s="15" t="s">
        <v>157</v>
      </c>
      <c r="F18" s="15" t="s">
        <v>157</v>
      </c>
      <c r="G18" s="15" t="s">
        <v>157</v>
      </c>
      <c r="H18" s="15" t="s">
        <v>157</v>
      </c>
      <c r="I18" s="15" t="s">
        <v>157</v>
      </c>
      <c r="J18" s="15" t="s">
        <v>157</v>
      </c>
      <c r="K18" s="15" t="s">
        <v>157</v>
      </c>
      <c r="L18" s="15" t="s">
        <v>157</v>
      </c>
      <c r="M18" s="15" t="s">
        <v>157</v>
      </c>
      <c r="N18" s="15" t="s">
        <v>157</v>
      </c>
    </row>
    <row r="19" spans="2:83" outlineLevel="1">
      <c r="B19" s="15" t="s">
        <v>11</v>
      </c>
      <c r="C19" s="15" t="s">
        <v>12</v>
      </c>
      <c r="D19" s="15" t="s">
        <v>12</v>
      </c>
      <c r="E19" s="15" t="s">
        <v>12</v>
      </c>
      <c r="F19" s="15" t="s">
        <v>12</v>
      </c>
      <c r="G19" s="15" t="s">
        <v>12</v>
      </c>
      <c r="H19" s="15" t="s">
        <v>12</v>
      </c>
      <c r="I19" s="15" t="s">
        <v>12</v>
      </c>
      <c r="J19" s="15" t="s">
        <v>12</v>
      </c>
      <c r="K19" s="15" t="s">
        <v>12</v>
      </c>
      <c r="L19" s="15" t="s">
        <v>12</v>
      </c>
      <c r="M19" s="15" t="s">
        <v>12</v>
      </c>
      <c r="N19" s="15" t="s">
        <v>12</v>
      </c>
    </row>
    <row r="21" spans="2:83">
      <c r="B21" s="1" t="s">
        <v>24</v>
      </c>
    </row>
    <row r="22" spans="2:83">
      <c r="B22" s="15" t="s">
        <v>217</v>
      </c>
    </row>
    <row r="23" spans="2:83">
      <c r="B23" s="3" t="s">
        <v>109</v>
      </c>
      <c r="BU23" s="8" t="s">
        <v>158</v>
      </c>
    </row>
    <row r="24" spans="2:83">
      <c r="C24" s="8" t="s">
        <v>159</v>
      </c>
      <c r="Q24" s="8" t="s">
        <v>160</v>
      </c>
      <c r="AE24" s="8" t="s">
        <v>161</v>
      </c>
      <c r="AS24" s="8" t="s">
        <v>162</v>
      </c>
      <c r="BG24" s="8" t="s">
        <v>52</v>
      </c>
      <c r="BU24" s="2" t="s">
        <v>91</v>
      </c>
      <c r="BY24" s="2" t="s">
        <v>92</v>
      </c>
      <c r="CC24" s="2" t="s">
        <v>81</v>
      </c>
    </row>
    <row r="25" spans="2:83"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34</v>
      </c>
      <c r="I25" t="s">
        <v>34</v>
      </c>
      <c r="J25" t="s">
        <v>34</v>
      </c>
      <c r="K25" t="s">
        <v>45</v>
      </c>
      <c r="L25" t="s">
        <v>45</v>
      </c>
      <c r="M25" t="s">
        <v>45</v>
      </c>
      <c r="N25" t="s">
        <v>45</v>
      </c>
      <c r="O25" t="s">
        <v>163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45</v>
      </c>
      <c r="Z25" t="s">
        <v>45</v>
      </c>
      <c r="AA25" t="s">
        <v>45</v>
      </c>
      <c r="AB25" t="s">
        <v>45</v>
      </c>
      <c r="AC25" t="s">
        <v>163</v>
      </c>
      <c r="BG25" t="s">
        <v>34</v>
      </c>
      <c r="BH25" t="s">
        <v>34</v>
      </c>
      <c r="BI25" t="s">
        <v>34</v>
      </c>
      <c r="BJ25" t="s">
        <v>34</v>
      </c>
      <c r="BK25" t="s">
        <v>34</v>
      </c>
      <c r="BL25" t="s">
        <v>34</v>
      </c>
      <c r="BM25" t="s">
        <v>34</v>
      </c>
      <c r="BN25" t="s">
        <v>34</v>
      </c>
      <c r="BO25" t="s">
        <v>34</v>
      </c>
      <c r="BP25" t="s">
        <v>52</v>
      </c>
      <c r="BQ25" t="s">
        <v>52</v>
      </c>
      <c r="BR25" t="s">
        <v>52</v>
      </c>
      <c r="BS25" t="s">
        <v>163</v>
      </c>
    </row>
    <row r="26" spans="2:83" ht="30" customHeight="1">
      <c r="B26" s="2" t="s">
        <v>164</v>
      </c>
      <c r="C26" s="16" t="s">
        <v>70</v>
      </c>
      <c r="D26" s="16" t="s">
        <v>71</v>
      </c>
      <c r="E26" s="16" t="s">
        <v>72</v>
      </c>
      <c r="F26" s="16" t="s">
        <v>73</v>
      </c>
      <c r="G26" s="16" t="s">
        <v>50</v>
      </c>
      <c r="H26" s="16" t="s">
        <v>74</v>
      </c>
      <c r="I26" s="16" t="s">
        <v>75</v>
      </c>
      <c r="J26" s="16" t="s">
        <v>76</v>
      </c>
      <c r="K26" s="16" t="s">
        <v>77</v>
      </c>
      <c r="L26" s="16" t="s">
        <v>78</v>
      </c>
      <c r="M26" s="16" t="s">
        <v>79</v>
      </c>
      <c r="N26" s="16" t="s">
        <v>80</v>
      </c>
      <c r="O26" s="16" t="s">
        <v>165</v>
      </c>
      <c r="Q26" s="16" t="s">
        <v>70</v>
      </c>
      <c r="R26" s="16" t="s">
        <v>71</v>
      </c>
      <c r="S26" s="16" t="s">
        <v>72</v>
      </c>
      <c r="T26" s="16" t="s">
        <v>73</v>
      </c>
      <c r="U26" s="16" t="s">
        <v>50</v>
      </c>
      <c r="V26" s="16" t="s">
        <v>74</v>
      </c>
      <c r="W26" s="16" t="s">
        <v>75</v>
      </c>
      <c r="X26" s="16" t="s">
        <v>76</v>
      </c>
      <c r="Y26" s="16" t="s">
        <v>77</v>
      </c>
      <c r="Z26" s="16" t="s">
        <v>78</v>
      </c>
      <c r="AA26" s="16" t="s">
        <v>79</v>
      </c>
      <c r="AB26" s="16" t="s">
        <v>80</v>
      </c>
      <c r="AC26" s="16" t="s">
        <v>165</v>
      </c>
      <c r="AE26" s="16" t="s">
        <v>70</v>
      </c>
      <c r="AF26" s="16" t="s">
        <v>71</v>
      </c>
      <c r="AG26" s="16" t="s">
        <v>72</v>
      </c>
      <c r="AH26" s="16" t="s">
        <v>73</v>
      </c>
      <c r="AI26" s="16" t="s">
        <v>50</v>
      </c>
      <c r="AJ26" s="16" t="s">
        <v>74</v>
      </c>
      <c r="AK26" s="16" t="s">
        <v>75</v>
      </c>
      <c r="AL26" s="16" t="s">
        <v>76</v>
      </c>
      <c r="AM26" s="16" t="s">
        <v>77</v>
      </c>
      <c r="AN26" s="16" t="s">
        <v>78</v>
      </c>
      <c r="AO26" s="16" t="s">
        <v>79</v>
      </c>
      <c r="AP26" s="16" t="s">
        <v>80</v>
      </c>
      <c r="AQ26" s="16" t="s">
        <v>165</v>
      </c>
      <c r="AS26" s="16" t="s">
        <v>70</v>
      </c>
      <c r="AT26" s="16" t="s">
        <v>71</v>
      </c>
      <c r="AU26" s="16" t="s">
        <v>72</v>
      </c>
      <c r="AV26" s="16" t="s">
        <v>73</v>
      </c>
      <c r="AW26" s="16" t="s">
        <v>50</v>
      </c>
      <c r="AX26" s="16" t="s">
        <v>74</v>
      </c>
      <c r="AY26" s="16" t="s">
        <v>75</v>
      </c>
      <c r="AZ26" s="16" t="s">
        <v>76</v>
      </c>
      <c r="BA26" s="16" t="s">
        <v>77</v>
      </c>
      <c r="BB26" s="16" t="s">
        <v>78</v>
      </c>
      <c r="BC26" s="16" t="s">
        <v>79</v>
      </c>
      <c r="BD26" s="16" t="s">
        <v>80</v>
      </c>
      <c r="BE26" s="16" t="s">
        <v>165</v>
      </c>
      <c r="BG26" s="16" t="s">
        <v>70</v>
      </c>
      <c r="BH26" s="16" t="s">
        <v>71</v>
      </c>
      <c r="BI26" s="16" t="s">
        <v>72</v>
      </c>
      <c r="BJ26" s="16" t="s">
        <v>73</v>
      </c>
      <c r="BK26" s="16" t="s">
        <v>50</v>
      </c>
      <c r="BL26" s="16" t="s">
        <v>74</v>
      </c>
      <c r="BM26" s="16" t="s">
        <v>75</v>
      </c>
      <c r="BN26" s="16" t="s">
        <v>76</v>
      </c>
      <c r="BO26" s="16" t="s">
        <v>77</v>
      </c>
      <c r="BP26" s="16" t="s">
        <v>78</v>
      </c>
      <c r="BQ26" s="16" t="s">
        <v>79</v>
      </c>
      <c r="BR26" s="16" t="s">
        <v>80</v>
      </c>
      <c r="BS26" s="16" t="s">
        <v>165</v>
      </c>
      <c r="BU26" s="17" t="s">
        <v>94</v>
      </c>
      <c r="BV26" s="17" t="s">
        <v>95</v>
      </c>
      <c r="BW26" s="17" t="s">
        <v>96</v>
      </c>
      <c r="BY26" s="17" t="s">
        <v>97</v>
      </c>
      <c r="BZ26" s="17" t="s">
        <v>98</v>
      </c>
      <c r="CA26" s="17" t="s">
        <v>99</v>
      </c>
      <c r="CC26" s="17" t="s">
        <v>97</v>
      </c>
      <c r="CD26" s="17" t="s">
        <v>98</v>
      </c>
      <c r="CE26" s="17" t="s">
        <v>99</v>
      </c>
    </row>
    <row r="28" spans="2:83">
      <c r="B28" s="2" t="s">
        <v>100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18">
        <f>SUM(C28:N28)</f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18">
        <f>SUM(Q28:AB28)</f>
        <v>0</v>
      </c>
      <c r="AE28" s="6">
        <f>Q28-C28</f>
        <v>0</v>
      </c>
      <c r="AF28" s="6">
        <f>R28-D28</f>
        <v>0</v>
      </c>
      <c r="AG28" s="6">
        <f>S28-E28</f>
        <v>0</v>
      </c>
      <c r="AH28" s="6">
        <f>T28-F28</f>
        <v>0</v>
      </c>
      <c r="AI28" s="6">
        <f>U28-G28</f>
        <v>0</v>
      </c>
      <c r="AJ28" s="6">
        <f>V28-H28</f>
        <v>0</v>
      </c>
      <c r="AK28" s="6">
        <f>W28-I28</f>
        <v>0</v>
      </c>
      <c r="AL28" s="6">
        <f>X28-J28</f>
        <v>0</v>
      </c>
      <c r="AM28" s="6">
        <f>Y28-K28</f>
        <v>0</v>
      </c>
      <c r="AN28" s="6">
        <f>Z28-L28</f>
        <v>0</v>
      </c>
      <c r="AO28" s="6">
        <f>AA28-M28</f>
        <v>0</v>
      </c>
      <c r="AP28" s="6">
        <f>AB28-N28</f>
        <v>0</v>
      </c>
      <c r="AQ28" s="18">
        <f>SUM(AE28:AP28)</f>
        <v>0</v>
      </c>
      <c r="AS28" s="6">
        <f>'SAFEREG-Adj'!C14</f>
        <v>0</v>
      </c>
      <c r="AT28" s="6">
        <f>'SAFEREG-Adj'!D14</f>
        <v>0</v>
      </c>
      <c r="AU28" s="6">
        <f>'SAFEREG-Adj'!E14</f>
        <v>0</v>
      </c>
      <c r="AV28" s="6">
        <f>'SAFEREG-Adj'!F14</f>
        <v>0</v>
      </c>
      <c r="AW28" s="6">
        <f>'SAFEREG-Adj'!G14</f>
        <v>0</v>
      </c>
      <c r="AX28" s="6">
        <f>'SAFEREG-Adj'!H14</f>
        <v>0</v>
      </c>
      <c r="AY28" s="6">
        <f>'SAFEREG-Adj'!I14</f>
        <v>0</v>
      </c>
      <c r="AZ28" s="6">
        <f>'SAFEREG-Adj'!J14</f>
        <v>0</v>
      </c>
      <c r="BA28" s="6">
        <f>'SAFEREG-Adj'!K14</f>
        <v>0</v>
      </c>
      <c r="BB28" s="6">
        <f>'SAFEREG-Adj'!L14</f>
        <v>0</v>
      </c>
      <c r="BC28" s="6">
        <f>'SAFEREG-Adj'!M14</f>
        <v>0</v>
      </c>
      <c r="BD28" s="6">
        <f>'SAFEREG-Adj'!N14</f>
        <v>0</v>
      </c>
      <c r="BE28" s="18">
        <f>SUM(AS28:BD28)</f>
        <v>0</v>
      </c>
      <c r="BG28" s="6">
        <f>C28+AE28+AS28</f>
        <v>0</v>
      </c>
      <c r="BH28" s="6">
        <f>D28+AF28+AT28</f>
        <v>0</v>
      </c>
      <c r="BI28" s="6">
        <f>E28+AG28+AU28</f>
        <v>0</v>
      </c>
      <c r="BJ28" s="6">
        <f>F28+AH28+AV28</f>
        <v>0</v>
      </c>
      <c r="BK28" s="6">
        <f>G28+AI28+AW28</f>
        <v>0</v>
      </c>
      <c r="BL28" s="6">
        <f>H28+AJ28+AX28</f>
        <v>0</v>
      </c>
      <c r="BM28" s="6">
        <f>I28+AK28+AY28</f>
        <v>0</v>
      </c>
      <c r="BN28" s="6">
        <f>J28+AL28+AZ28</f>
        <v>0</v>
      </c>
      <c r="BO28" s="6">
        <f>K28+AM28+BA28</f>
        <v>0</v>
      </c>
      <c r="BP28" s="6">
        <f>L28+AN28+BB28</f>
        <v>0</v>
      </c>
      <c r="BQ28" s="6">
        <f>M28+AO28+BC28</f>
        <v>0</v>
      </c>
      <c r="BR28" s="6">
        <f>N28+AP28+BD28</f>
        <v>0</v>
      </c>
      <c r="BS28" s="18">
        <f>SUM(BG28:BR28)</f>
        <v>0</v>
      </c>
      <c r="BU28" s="6">
        <f>SUM(BG28:BO28)-SUM(C28:K28)</f>
        <v>0</v>
      </c>
      <c r="BV28" s="6">
        <f>SUM(BG28:BO28)-SUM(C51:K51)</f>
        <v>0</v>
      </c>
      <c r="BW28" s="6">
        <f>SUM(BG28:BO28)-SUM(C64:K64)</f>
        <v>0</v>
      </c>
      <c r="BY28" s="6">
        <f>SUM(BP28:BR28)-SUM(L28:N28)</f>
        <v>0</v>
      </c>
      <c r="BZ28" s="6">
        <f>SUM(BP28:BR28)-SUM(L51:N51)</f>
        <v>0</v>
      </c>
      <c r="CA28" s="6">
        <f>SUM(BP28:BR28)-SUM(L64:N64)</f>
        <v>0</v>
      </c>
      <c r="CC28" s="6">
        <f>BS28-O28</f>
        <v>0</v>
      </c>
      <c r="CD28" s="6">
        <f>BS28-O51</f>
        <v>0</v>
      </c>
      <c r="CE28" s="6">
        <f>BS28-O64</f>
        <v>0</v>
      </c>
    </row>
    <row r="29" spans="2:83">
      <c r="B29" s="5" t="s">
        <v>111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18">
        <f>SUM(C29:N29)</f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18">
        <f>SUM(Q29:AB29)</f>
        <v>0</v>
      </c>
      <c r="AE29" s="6">
        <f>Q29-C29</f>
        <v>0</v>
      </c>
      <c r="AF29" s="6">
        <f>R29-D29</f>
        <v>0</v>
      </c>
      <c r="AG29" s="6">
        <f>S29-E29</f>
        <v>0</v>
      </c>
      <c r="AH29" s="6">
        <f>T29-F29</f>
        <v>0</v>
      </c>
      <c r="AI29" s="6">
        <f>U29-G29</f>
        <v>0</v>
      </c>
      <c r="AJ29" s="6">
        <f>V29-H29</f>
        <v>0</v>
      </c>
      <c r="AK29" s="6">
        <f>W29-I29</f>
        <v>0</v>
      </c>
      <c r="AL29" s="6">
        <f>X29-J29</f>
        <v>0</v>
      </c>
      <c r="AM29" s="6">
        <f>Y29-K29</f>
        <v>0</v>
      </c>
      <c r="AN29" s="6">
        <f>Z29-L29</f>
        <v>0</v>
      </c>
      <c r="AO29" s="6">
        <f>AA29-M29</f>
        <v>0</v>
      </c>
      <c r="AP29" s="6">
        <f>AB29-N29</f>
        <v>0</v>
      </c>
      <c r="AQ29" s="18">
        <f>SUM(AE29:AP29)</f>
        <v>0</v>
      </c>
      <c r="AS29" s="6">
        <f>'SAFEREG-Adj'!C36+'SAFEREG-Adj'!C77</f>
        <v>0</v>
      </c>
      <c r="AT29" s="6">
        <f>'SAFEREG-Adj'!D36+'SAFEREG-Adj'!D77</f>
        <v>0</v>
      </c>
      <c r="AU29" s="6">
        <f>'SAFEREG-Adj'!E36+'SAFEREG-Adj'!E77</f>
        <v>0</v>
      </c>
      <c r="AV29" s="6">
        <f>'SAFEREG-Adj'!F36+'SAFEREG-Adj'!F77</f>
        <v>0</v>
      </c>
      <c r="AW29" s="6">
        <f>'SAFEREG-Adj'!G36+'SAFEREG-Adj'!G77</f>
        <v>0</v>
      </c>
      <c r="AX29" s="6">
        <f>'SAFEREG-Adj'!H36+'SAFEREG-Adj'!H77</f>
        <v>0</v>
      </c>
      <c r="AY29" s="6">
        <f>'SAFEREG-Adj'!I36+'SAFEREG-Adj'!I77</f>
        <v>0</v>
      </c>
      <c r="AZ29" s="6">
        <f>'SAFEREG-Adj'!J36+'SAFEREG-Adj'!J77</f>
        <v>0</v>
      </c>
      <c r="BA29" s="6">
        <f>'SAFEREG-Adj'!K36+'SAFEREG-Adj'!K77</f>
        <v>0</v>
      </c>
      <c r="BB29" s="6">
        <f>'SAFEREG-Adj'!L36+'SAFEREG-Adj'!L77</f>
        <v>0</v>
      </c>
      <c r="BC29" s="6">
        <f>'SAFEREG-Adj'!M36+'SAFEREG-Adj'!M77</f>
        <v>0</v>
      </c>
      <c r="BD29" s="6">
        <f>'SAFEREG-Adj'!N36+'SAFEREG-Adj'!N77</f>
        <v>0</v>
      </c>
      <c r="BE29" s="18">
        <f>SUM(AS29:BD29)</f>
        <v>0</v>
      </c>
      <c r="BG29" s="6">
        <f>C29+AE29+AS29</f>
        <v>0</v>
      </c>
      <c r="BH29" s="6">
        <f>D29+AF29+AT29</f>
        <v>0</v>
      </c>
      <c r="BI29" s="6">
        <f>E29+AG29+AU29</f>
        <v>0</v>
      </c>
      <c r="BJ29" s="6">
        <f>F29+AH29+AV29</f>
        <v>0</v>
      </c>
      <c r="BK29" s="6">
        <f>G29+AI29+AW29</f>
        <v>0</v>
      </c>
      <c r="BL29" s="6">
        <f>H29+AJ29+AX29</f>
        <v>0</v>
      </c>
      <c r="BM29" s="6">
        <f>I29+AK29+AY29</f>
        <v>0</v>
      </c>
      <c r="BN29" s="6">
        <f>J29+AL29+AZ29</f>
        <v>0</v>
      </c>
      <c r="BO29" s="6">
        <f>K29+AM29+BA29</f>
        <v>0</v>
      </c>
      <c r="BP29" s="6">
        <f>L29+AN29+BB29</f>
        <v>0</v>
      </c>
      <c r="BQ29" s="6">
        <f>M29+AO29+BC29</f>
        <v>0</v>
      </c>
      <c r="BR29" s="6">
        <f>N29+AP29+BD29</f>
        <v>0</v>
      </c>
      <c r="BS29" s="18">
        <f>SUM(BG29:BR29)</f>
        <v>0</v>
      </c>
      <c r="BU29" s="6">
        <f>SUM(BG29:BO29)-SUM(C29:K29)</f>
        <v>0</v>
      </c>
      <c r="BV29" s="6">
        <f>SUM(BG29:BO29)-SUM(C52:K52)</f>
        <v>0</v>
      </c>
      <c r="BW29" s="6">
        <f>SUM(BG29:BO29)-SUM(C65:K65)</f>
        <v>0</v>
      </c>
      <c r="BY29" s="6">
        <f>SUM(BP29:BR29)-SUM(L29:N29)</f>
        <v>0</v>
      </c>
      <c r="BZ29" s="6">
        <f>SUM(BP29:BR29)-SUM(L52:N52)</f>
        <v>0</v>
      </c>
      <c r="CA29" s="6">
        <f>SUM(BP29:BR29)-SUM(L65:N65)</f>
        <v>0</v>
      </c>
      <c r="CC29" s="6">
        <f>BS29-O29</f>
        <v>0</v>
      </c>
      <c r="CD29" s="6">
        <f>BS29-O52</f>
        <v>0</v>
      </c>
      <c r="CE29" s="6">
        <f>BS29-O65</f>
        <v>0</v>
      </c>
    </row>
    <row r="30" spans="2:83">
      <c r="B30" s="5" t="s">
        <v>112</v>
      </c>
      <c r="C30" s="6">
        <v>-309.89999999999998</v>
      </c>
      <c r="D30" s="6">
        <v>-310.2</v>
      </c>
      <c r="E30" s="6">
        <v>-309.3</v>
      </c>
      <c r="F30" s="6">
        <v>-307</v>
      </c>
      <c r="G30" s="6">
        <v>-307.2</v>
      </c>
      <c r="H30" s="6">
        <v>-306.8</v>
      </c>
      <c r="I30" s="6">
        <v>-308.7</v>
      </c>
      <c r="J30" s="6">
        <v>-307.3</v>
      </c>
      <c r="K30" s="6">
        <v>-310.10000000000002</v>
      </c>
      <c r="L30" s="6">
        <v>-309.89999999999998</v>
      </c>
      <c r="M30" s="6">
        <v>-312</v>
      </c>
      <c r="N30" s="6">
        <v>-307.3</v>
      </c>
      <c r="O30" s="18">
        <f>SUM(C30:N30)</f>
        <v>-3705.7000000000003</v>
      </c>
      <c r="Q30" s="6">
        <v>-309.89999999999998</v>
      </c>
      <c r="R30" s="6">
        <v>-310.2</v>
      </c>
      <c r="S30" s="6">
        <v>-309.3</v>
      </c>
      <c r="T30" s="6">
        <v>-307</v>
      </c>
      <c r="U30" s="6">
        <v>-307.2</v>
      </c>
      <c r="V30" s="6">
        <v>-306.8</v>
      </c>
      <c r="W30" s="6">
        <v>-308.7</v>
      </c>
      <c r="X30" s="6">
        <v>-307.3</v>
      </c>
      <c r="Y30" s="6">
        <v>-310.10000000000002</v>
      </c>
      <c r="Z30" s="6">
        <v>-309.89999999999998</v>
      </c>
      <c r="AA30" s="6">
        <v>-312</v>
      </c>
      <c r="AB30" s="6">
        <v>-307.3</v>
      </c>
      <c r="AC30" s="18">
        <f>SUM(Q30:AB30)</f>
        <v>-3705.7000000000003</v>
      </c>
      <c r="AE30" s="6">
        <f>Q30-C30</f>
        <v>0</v>
      </c>
      <c r="AF30" s="6">
        <f>R30-D30</f>
        <v>0</v>
      </c>
      <c r="AG30" s="6">
        <f>S30-E30</f>
        <v>0</v>
      </c>
      <c r="AH30" s="6">
        <f>T30-F30</f>
        <v>0</v>
      </c>
      <c r="AI30" s="6">
        <f>U30-G30</f>
        <v>0</v>
      </c>
      <c r="AJ30" s="6">
        <f>V30-H30</f>
        <v>0</v>
      </c>
      <c r="AK30" s="6">
        <f>W30-I30</f>
        <v>0</v>
      </c>
      <c r="AL30" s="6">
        <f>X30-J30</f>
        <v>0</v>
      </c>
      <c r="AM30" s="6">
        <f>Y30-K30</f>
        <v>0</v>
      </c>
      <c r="AN30" s="6">
        <f>Z30-L30</f>
        <v>0</v>
      </c>
      <c r="AO30" s="6">
        <f>AA30-M30</f>
        <v>0</v>
      </c>
      <c r="AP30" s="6">
        <f>AB30-N30</f>
        <v>0</v>
      </c>
      <c r="AQ30" s="18">
        <f>SUM(AE30:AP30)</f>
        <v>0</v>
      </c>
      <c r="AS30" s="6">
        <f>-'SAFEREG-Adj'!C58-'SAFEREG-Adj'!C84</f>
        <v>0</v>
      </c>
      <c r="AT30" s="6">
        <f>-'SAFEREG-Adj'!D58-'SAFEREG-Adj'!D84</f>
        <v>0</v>
      </c>
      <c r="AU30" s="6">
        <f>-'SAFEREG-Adj'!E58-'SAFEREG-Adj'!E84</f>
        <v>0</v>
      </c>
      <c r="AV30" s="6">
        <f>-'SAFEREG-Adj'!F58-'SAFEREG-Adj'!F84</f>
        <v>0</v>
      </c>
      <c r="AW30" s="6">
        <f>-'SAFEREG-Adj'!G58-'SAFEREG-Adj'!G84</f>
        <v>0</v>
      </c>
      <c r="AX30" s="6">
        <f>-'SAFEREG-Adj'!H58-'SAFEREG-Adj'!H84</f>
        <v>0</v>
      </c>
      <c r="AY30" s="6">
        <f>-'SAFEREG-Adj'!I58-'SAFEREG-Adj'!I84</f>
        <v>0</v>
      </c>
      <c r="AZ30" s="6">
        <f>-'SAFEREG-Adj'!J58-'SAFEREG-Adj'!J84</f>
        <v>0</v>
      </c>
      <c r="BA30" s="6">
        <f>-'SAFEREG-Adj'!K58-'SAFEREG-Adj'!K84</f>
        <v>0</v>
      </c>
      <c r="BB30" s="6">
        <f>-'SAFEREG-Adj'!L58-'SAFEREG-Adj'!L84</f>
        <v>0</v>
      </c>
      <c r="BC30" s="6">
        <f>-'SAFEREG-Adj'!M58-'SAFEREG-Adj'!M84</f>
        <v>0</v>
      </c>
      <c r="BD30" s="6">
        <f>-'SAFEREG-Adj'!N58-'SAFEREG-Adj'!N84</f>
        <v>0</v>
      </c>
      <c r="BE30" s="18">
        <f>SUM(AS30:BD30)</f>
        <v>0</v>
      </c>
      <c r="BG30" s="6">
        <f>C30+AE30+AS30</f>
        <v>-309.89999999999998</v>
      </c>
      <c r="BH30" s="6">
        <f>D30+AF30+AT30</f>
        <v>-310.2</v>
      </c>
      <c r="BI30" s="6">
        <f>E30+AG30+AU30</f>
        <v>-309.3</v>
      </c>
      <c r="BJ30" s="6">
        <f>F30+AH30+AV30</f>
        <v>-307</v>
      </c>
      <c r="BK30" s="6">
        <f>G30+AI30+AW30</f>
        <v>-307.2</v>
      </c>
      <c r="BL30" s="6">
        <f>H30+AJ30+AX30</f>
        <v>-306.8</v>
      </c>
      <c r="BM30" s="6">
        <f>I30+AK30+AY30</f>
        <v>-308.7</v>
      </c>
      <c r="BN30" s="6">
        <f>J30+AL30+AZ30</f>
        <v>-307.3</v>
      </c>
      <c r="BO30" s="6">
        <f>K30+AM30+BA30</f>
        <v>-310.10000000000002</v>
      </c>
      <c r="BP30" s="6">
        <f>L30+AN30+BB30</f>
        <v>-309.89999999999998</v>
      </c>
      <c r="BQ30" s="6">
        <f>M30+AO30+BC30</f>
        <v>-312</v>
      </c>
      <c r="BR30" s="6">
        <f>N30+AP30+BD30</f>
        <v>-307.3</v>
      </c>
      <c r="BS30" s="18">
        <f>SUM(BG30:BR30)</f>
        <v>-3705.7000000000003</v>
      </c>
      <c r="BU30" s="6">
        <f>SUM(BG30:BO30)-SUM(C30:K30)</f>
        <v>0</v>
      </c>
      <c r="BV30" s="6">
        <f>SUM(BG30:BO30)-SUM(C53:K53)</f>
        <v>1.7999999999997272</v>
      </c>
      <c r="BW30" s="6">
        <f>SUM(BG30:BO30)-SUM(C66:K66)</f>
        <v>-94.800000000000182</v>
      </c>
      <c r="BY30" s="6">
        <f>SUM(BP30:BR30)-SUM(L30:N30)</f>
        <v>0</v>
      </c>
      <c r="BZ30" s="6">
        <f>SUM(BP30:BR30)-SUM(L53:N53)</f>
        <v>2.7999999999999545</v>
      </c>
      <c r="CA30" s="6">
        <f>SUM(BP30:BR30)-SUM(L66:N66)</f>
        <v>-36.800000000000068</v>
      </c>
      <c r="CC30" s="6">
        <f>BS30-O30</f>
        <v>0</v>
      </c>
      <c r="CD30" s="6">
        <f>BS30-O53</f>
        <v>4.5999999999994543</v>
      </c>
      <c r="CE30" s="6">
        <f>BS30-O66</f>
        <v>-131.60000000000036</v>
      </c>
    </row>
    <row r="31" spans="2:83">
      <c r="B31" s="2" t="s">
        <v>113</v>
      </c>
      <c r="C31" s="6">
        <f>C29+C30</f>
        <v>-309.89999999999998</v>
      </c>
      <c r="D31" s="6">
        <f>D29+D30</f>
        <v>-310.2</v>
      </c>
      <c r="E31" s="6">
        <f>E29+E30</f>
        <v>-309.3</v>
      </c>
      <c r="F31" s="6">
        <f>F29+F30</f>
        <v>-307</v>
      </c>
      <c r="G31" s="6">
        <f>G29+G30</f>
        <v>-307.2</v>
      </c>
      <c r="H31" s="6">
        <f>H29+H30</f>
        <v>-306.8</v>
      </c>
      <c r="I31" s="6">
        <f>I29+I30</f>
        <v>-308.7</v>
      </c>
      <c r="J31" s="6">
        <f>J29+J30</f>
        <v>-307.3</v>
      </c>
      <c r="K31" s="6">
        <f>K29+K30</f>
        <v>-310.10000000000002</v>
      </c>
      <c r="L31" s="6">
        <f>L29+L30</f>
        <v>-309.89999999999998</v>
      </c>
      <c r="M31" s="6">
        <f>M29+M30</f>
        <v>-312</v>
      </c>
      <c r="N31" s="6">
        <f>N29+N30</f>
        <v>-307.3</v>
      </c>
      <c r="O31" s="18">
        <f>SUM(C31:N31)</f>
        <v>-3705.7000000000003</v>
      </c>
      <c r="Q31" s="6">
        <f>Q29+Q30</f>
        <v>-309.89999999999998</v>
      </c>
      <c r="R31" s="6">
        <f>R29+R30</f>
        <v>-310.2</v>
      </c>
      <c r="S31" s="6">
        <f>S29+S30</f>
        <v>-309.3</v>
      </c>
      <c r="T31" s="6">
        <f>T29+T30</f>
        <v>-307</v>
      </c>
      <c r="U31" s="6">
        <f>U29+U30</f>
        <v>-307.2</v>
      </c>
      <c r="V31" s="6">
        <f>V29+V30</f>
        <v>-306.8</v>
      </c>
      <c r="W31" s="6">
        <f>W29+W30</f>
        <v>-308.7</v>
      </c>
      <c r="X31" s="6">
        <f>X29+X30</f>
        <v>-307.3</v>
      </c>
      <c r="Y31" s="6">
        <f>Y29+Y30</f>
        <v>-310.10000000000002</v>
      </c>
      <c r="Z31" s="6">
        <f>Z29+Z30</f>
        <v>-309.89999999999998</v>
      </c>
      <c r="AA31" s="6">
        <f>AA29+AA30</f>
        <v>-312</v>
      </c>
      <c r="AB31" s="6">
        <f>AB29+AB30</f>
        <v>-307.3</v>
      </c>
      <c r="AC31" s="18">
        <f>SUM(Q31:AB31)</f>
        <v>-3705.7000000000003</v>
      </c>
      <c r="AE31" s="6">
        <f>AE29+AE30</f>
        <v>0</v>
      </c>
      <c r="AF31" s="6">
        <f>AF29+AF30</f>
        <v>0</v>
      </c>
      <c r="AG31" s="6">
        <f>AG29+AG30</f>
        <v>0</v>
      </c>
      <c r="AH31" s="6">
        <f>AH29+AH30</f>
        <v>0</v>
      </c>
      <c r="AI31" s="6">
        <f>AI29+AI30</f>
        <v>0</v>
      </c>
      <c r="AJ31" s="6">
        <f>AJ29+AJ30</f>
        <v>0</v>
      </c>
      <c r="AK31" s="6">
        <f>AK29+AK30</f>
        <v>0</v>
      </c>
      <c r="AL31" s="6">
        <f>AL29+AL30</f>
        <v>0</v>
      </c>
      <c r="AM31" s="6">
        <f>AM29+AM30</f>
        <v>0</v>
      </c>
      <c r="AN31" s="6">
        <f>AN29+AN30</f>
        <v>0</v>
      </c>
      <c r="AO31" s="6">
        <f>AO29+AO30</f>
        <v>0</v>
      </c>
      <c r="AP31" s="6">
        <f>AP29+AP30</f>
        <v>0</v>
      </c>
      <c r="AQ31" s="18">
        <f>SUM(AE31:AP31)</f>
        <v>0</v>
      </c>
      <c r="AS31" s="6">
        <f>AS29+AS30</f>
        <v>0</v>
      </c>
      <c r="AT31" s="6">
        <f>AT29+AT30</f>
        <v>0</v>
      </c>
      <c r="AU31" s="6">
        <f>AU29+AU30</f>
        <v>0</v>
      </c>
      <c r="AV31" s="6">
        <f>AV29+AV30</f>
        <v>0</v>
      </c>
      <c r="AW31" s="6">
        <f>AW29+AW30</f>
        <v>0</v>
      </c>
      <c r="AX31" s="6">
        <f>AX29+AX30</f>
        <v>0</v>
      </c>
      <c r="AY31" s="6">
        <f>AY29+AY30</f>
        <v>0</v>
      </c>
      <c r="AZ31" s="6">
        <f>AZ29+AZ30</f>
        <v>0</v>
      </c>
      <c r="BA31" s="6">
        <f>BA29+BA30</f>
        <v>0</v>
      </c>
      <c r="BB31" s="6">
        <f>BB29+BB30</f>
        <v>0</v>
      </c>
      <c r="BC31" s="6">
        <f>BC29+BC30</f>
        <v>0</v>
      </c>
      <c r="BD31" s="6">
        <f>BD29+BD30</f>
        <v>0</v>
      </c>
      <c r="BE31" s="18">
        <f>SUM(AS31:BD31)</f>
        <v>0</v>
      </c>
      <c r="BG31" s="6">
        <f>BG29+BG30</f>
        <v>-309.89999999999998</v>
      </c>
      <c r="BH31" s="6">
        <f>BH29+BH30</f>
        <v>-310.2</v>
      </c>
      <c r="BI31" s="6">
        <f>BI29+BI30</f>
        <v>-309.3</v>
      </c>
      <c r="BJ31" s="6">
        <f>BJ29+BJ30</f>
        <v>-307</v>
      </c>
      <c r="BK31" s="6">
        <f>BK29+BK30</f>
        <v>-307.2</v>
      </c>
      <c r="BL31" s="6">
        <f>BL29+BL30</f>
        <v>-306.8</v>
      </c>
      <c r="BM31" s="6">
        <f>BM29+BM30</f>
        <v>-308.7</v>
      </c>
      <c r="BN31" s="6">
        <f>BN29+BN30</f>
        <v>-307.3</v>
      </c>
      <c r="BO31" s="6">
        <f>BO29+BO30</f>
        <v>-310.10000000000002</v>
      </c>
      <c r="BP31" s="6">
        <f>BP29+BP30</f>
        <v>-309.89999999999998</v>
      </c>
      <c r="BQ31" s="6">
        <f>BQ29+BQ30</f>
        <v>-312</v>
      </c>
      <c r="BR31" s="6">
        <f>BR29+BR30</f>
        <v>-307.3</v>
      </c>
      <c r="BS31" s="18">
        <f>SUM(BG31:BR31)</f>
        <v>-3705.7000000000003</v>
      </c>
      <c r="BU31" s="6">
        <f>SUM(BG31:BO31)-SUM(C31:K31)</f>
        <v>0</v>
      </c>
      <c r="BV31" s="6">
        <f>SUM(BG31:BO31)-SUM(C54:K54)</f>
        <v>1.7999999999997272</v>
      </c>
      <c r="BW31" s="6">
        <f>SUM(BG31:BO31)-SUM(C67:K67)</f>
        <v>-94.800000000000182</v>
      </c>
      <c r="BY31" s="6">
        <f>SUM(BP31:BR31)-SUM(L31:N31)</f>
        <v>0</v>
      </c>
      <c r="BZ31" s="6">
        <f>SUM(BP31:BR31)-SUM(L54:N54)</f>
        <v>2.7999999999999545</v>
      </c>
      <c r="CA31" s="6">
        <f>SUM(BP31:BR31)-SUM(L67:N67)</f>
        <v>-36.800000000000068</v>
      </c>
      <c r="CC31" s="6">
        <f>BS31-O31</f>
        <v>0</v>
      </c>
      <c r="CD31" s="6">
        <f>BS31-O54</f>
        <v>4.5999999999994543</v>
      </c>
      <c r="CE31" s="6">
        <f>BS31-O67</f>
        <v>-131.60000000000036</v>
      </c>
    </row>
    <row r="35" spans="2:71">
      <c r="B35" s="5" t="s">
        <v>166</v>
      </c>
      <c r="C35" s="12">
        <f>IFERROR(C29/C28,0)</f>
        <v>0</v>
      </c>
      <c r="D35" s="12">
        <f>IFERROR(D29/D28,0)</f>
        <v>0</v>
      </c>
      <c r="E35" s="12">
        <f>IFERROR(E29/E28,0)</f>
        <v>0</v>
      </c>
      <c r="F35" s="12">
        <f>IFERROR(F29/F28,0)</f>
        <v>0</v>
      </c>
      <c r="G35" s="12">
        <f>IFERROR(G29/G28,0)</f>
        <v>0</v>
      </c>
      <c r="H35" s="12">
        <f>IFERROR(H29/H28,0)</f>
        <v>0</v>
      </c>
      <c r="I35" s="12">
        <f>IFERROR(I29/I28,0)</f>
        <v>0</v>
      </c>
      <c r="J35" s="12">
        <f>IFERROR(J29/J28,0)</f>
        <v>0</v>
      </c>
      <c r="K35" s="12">
        <f>IFERROR(K29/K28,0)</f>
        <v>0</v>
      </c>
      <c r="L35" s="12">
        <f>IFERROR(L29/L28,0)</f>
        <v>0</v>
      </c>
      <c r="M35" s="12">
        <f>IFERROR(M29/M28,0)</f>
        <v>0</v>
      </c>
      <c r="N35" s="12">
        <f>IFERROR(N29/N28,0)</f>
        <v>0</v>
      </c>
      <c r="O35" s="12">
        <f>IFERROR(O29/O28,0)</f>
        <v>0</v>
      </c>
      <c r="Q35" s="12">
        <f>IFERROR(Q29/Q28,0)</f>
        <v>0</v>
      </c>
      <c r="R35" s="12">
        <f>IFERROR(R29/R28,0)</f>
        <v>0</v>
      </c>
      <c r="S35" s="12">
        <f>IFERROR(S29/S28,0)</f>
        <v>0</v>
      </c>
      <c r="T35" s="12">
        <f>IFERROR(T29/T28,0)</f>
        <v>0</v>
      </c>
      <c r="U35" s="12">
        <f>IFERROR(U29/U28,0)</f>
        <v>0</v>
      </c>
      <c r="V35" s="12">
        <f>IFERROR(V29/V28,0)</f>
        <v>0</v>
      </c>
      <c r="W35" s="12">
        <f>IFERROR(W29/W28,0)</f>
        <v>0</v>
      </c>
      <c r="X35" s="12">
        <f>IFERROR(X29/X28,0)</f>
        <v>0</v>
      </c>
      <c r="Y35" s="12">
        <f>IFERROR(Y29/Y28,0)</f>
        <v>0</v>
      </c>
      <c r="Z35" s="12">
        <f>IFERROR(Z29/Z28,0)</f>
        <v>0</v>
      </c>
      <c r="AA35" s="12">
        <f>IFERROR(AA29/AA28,0)</f>
        <v>0</v>
      </c>
      <c r="AB35" s="12">
        <f>IFERROR(AB29/AB28,0)</f>
        <v>0</v>
      </c>
      <c r="AC35" s="12">
        <f>IFERROR(AC29/AC28,0)</f>
        <v>0</v>
      </c>
      <c r="AE35" s="12">
        <f>IFERROR(AE29/AE28,0)</f>
        <v>0</v>
      </c>
      <c r="AF35" s="12">
        <f>IFERROR(AF29/AF28,0)</f>
        <v>0</v>
      </c>
      <c r="AG35" s="12">
        <f>IFERROR(AG29/AG28,0)</f>
        <v>0</v>
      </c>
      <c r="AH35" s="12">
        <f>IFERROR(AH29/AH28,0)</f>
        <v>0</v>
      </c>
      <c r="AI35" s="12">
        <f>IFERROR(AI29/AI28,0)</f>
        <v>0</v>
      </c>
      <c r="AJ35" s="12">
        <f>IFERROR(AJ29/AJ28,0)</f>
        <v>0</v>
      </c>
      <c r="AK35" s="12">
        <f>IFERROR(AK29/AK28,0)</f>
        <v>0</v>
      </c>
      <c r="AL35" s="12">
        <f>IFERROR(AL29/AL28,0)</f>
        <v>0</v>
      </c>
      <c r="AM35" s="12">
        <f>IFERROR(AM29/AM28,0)</f>
        <v>0</v>
      </c>
      <c r="AN35" s="12">
        <f>IFERROR(AN29/AN28,0)</f>
        <v>0</v>
      </c>
      <c r="AO35" s="12">
        <f>IFERROR(AO29/AO28,0)</f>
        <v>0</v>
      </c>
      <c r="AP35" s="12">
        <f>IFERROR(AP29/AP28,0)</f>
        <v>0</v>
      </c>
      <c r="AQ35" s="12">
        <f>IFERROR(AQ29/AQ28,0)</f>
        <v>0</v>
      </c>
      <c r="AS35" s="12">
        <f>IFERROR(AS29/AS28,0)</f>
        <v>0</v>
      </c>
      <c r="AT35" s="12">
        <f>IFERROR(AT29/AT28,0)</f>
        <v>0</v>
      </c>
      <c r="AU35" s="12">
        <f>IFERROR(AU29/AU28,0)</f>
        <v>0</v>
      </c>
      <c r="AV35" s="12">
        <f>IFERROR(AV29/AV28,0)</f>
        <v>0</v>
      </c>
      <c r="AW35" s="12">
        <f>IFERROR(AW29/AW28,0)</f>
        <v>0</v>
      </c>
      <c r="AX35" s="12">
        <f>IFERROR(AX29/AX28,0)</f>
        <v>0</v>
      </c>
      <c r="AY35" s="12">
        <f>IFERROR(AY29/AY28,0)</f>
        <v>0</v>
      </c>
      <c r="AZ35" s="12">
        <f>IFERROR(AZ29/AZ28,0)</f>
        <v>0</v>
      </c>
      <c r="BA35" s="12">
        <f>IFERROR(BA29/BA28,0)</f>
        <v>0</v>
      </c>
      <c r="BB35" s="12">
        <f>IFERROR(BB29/BB28,0)</f>
        <v>0</v>
      </c>
      <c r="BC35" s="12">
        <f>IFERROR(BC29/BC28,0)</f>
        <v>0</v>
      </c>
      <c r="BD35" s="12">
        <f>IFERROR(BD29/BD28,0)</f>
        <v>0</v>
      </c>
      <c r="BE35" s="12">
        <f>IFERROR(BE29/BE28,0)</f>
        <v>0</v>
      </c>
      <c r="BG35" s="12">
        <f>IFERROR(BG29/BG28,0)</f>
        <v>0</v>
      </c>
      <c r="BH35" s="12">
        <f>IFERROR(BH29/BH28,0)</f>
        <v>0</v>
      </c>
      <c r="BI35" s="12">
        <f>IFERROR(BI29/BI28,0)</f>
        <v>0</v>
      </c>
      <c r="BJ35" s="12">
        <f>IFERROR(BJ29/BJ28,0)</f>
        <v>0</v>
      </c>
      <c r="BK35" s="12">
        <f>IFERROR(BK29/BK28,0)</f>
        <v>0</v>
      </c>
      <c r="BL35" s="12">
        <f>IFERROR(BL29/BL28,0)</f>
        <v>0</v>
      </c>
      <c r="BM35" s="12">
        <f>IFERROR(BM29/BM28,0)</f>
        <v>0</v>
      </c>
      <c r="BN35" s="12">
        <f>IFERROR(BN29/BN28,0)</f>
        <v>0</v>
      </c>
      <c r="BO35" s="12">
        <f>IFERROR(BO29/BO28,0)</f>
        <v>0</v>
      </c>
      <c r="BP35" s="12">
        <f>IFERROR(BP29/BP28,0)</f>
        <v>0</v>
      </c>
      <c r="BQ35" s="12">
        <f>IFERROR(BQ29/BQ28,0)</f>
        <v>0</v>
      </c>
      <c r="BR35" s="12">
        <f>IFERROR(BR29/BR28,0)</f>
        <v>0</v>
      </c>
      <c r="BS35" s="12">
        <f>IFERROR(BS29/BS28,0)</f>
        <v>0</v>
      </c>
    </row>
    <row r="36" spans="2:71">
      <c r="B36" s="5" t="s">
        <v>167</v>
      </c>
      <c r="C36" s="12">
        <f>IFERROR(C30/C28,0)</f>
        <v>0</v>
      </c>
      <c r="D36" s="12">
        <f>IFERROR(D30/D28,0)</f>
        <v>0</v>
      </c>
      <c r="E36" s="12">
        <f>IFERROR(E30/E28,0)</f>
        <v>0</v>
      </c>
      <c r="F36" s="12">
        <f>IFERROR(F30/F28,0)</f>
        <v>0</v>
      </c>
      <c r="G36" s="12">
        <f>IFERROR(G30/G28,0)</f>
        <v>0</v>
      </c>
      <c r="H36" s="12">
        <f>IFERROR(H30/H28,0)</f>
        <v>0</v>
      </c>
      <c r="I36" s="12">
        <f>IFERROR(I30/I28,0)</f>
        <v>0</v>
      </c>
      <c r="J36" s="12">
        <f>IFERROR(J30/J28,0)</f>
        <v>0</v>
      </c>
      <c r="K36" s="12">
        <f>IFERROR(K30/K28,0)</f>
        <v>0</v>
      </c>
      <c r="L36" s="12">
        <f>IFERROR(L30/L28,0)</f>
        <v>0</v>
      </c>
      <c r="M36" s="12">
        <f>IFERROR(M30/M28,0)</f>
        <v>0</v>
      </c>
      <c r="N36" s="12">
        <f>IFERROR(N30/N28,0)</f>
        <v>0</v>
      </c>
      <c r="O36" s="12">
        <f>IFERROR(O30/O28,0)</f>
        <v>0</v>
      </c>
      <c r="Q36" s="12">
        <f>IFERROR(Q30/Q28,0)</f>
        <v>0</v>
      </c>
      <c r="R36" s="12">
        <f>IFERROR(R30/R28,0)</f>
        <v>0</v>
      </c>
      <c r="S36" s="12">
        <f>IFERROR(S30/S28,0)</f>
        <v>0</v>
      </c>
      <c r="T36" s="12">
        <f>IFERROR(T30/T28,0)</f>
        <v>0</v>
      </c>
      <c r="U36" s="12">
        <f>IFERROR(U30/U28,0)</f>
        <v>0</v>
      </c>
      <c r="V36" s="12">
        <f>IFERROR(V30/V28,0)</f>
        <v>0</v>
      </c>
      <c r="W36" s="12">
        <f>IFERROR(W30/W28,0)</f>
        <v>0</v>
      </c>
      <c r="X36" s="12">
        <f>IFERROR(X30/X28,0)</f>
        <v>0</v>
      </c>
      <c r="Y36" s="12">
        <f>IFERROR(Y30/Y28,0)</f>
        <v>0</v>
      </c>
      <c r="Z36" s="12">
        <f>IFERROR(Z30/Z28,0)</f>
        <v>0</v>
      </c>
      <c r="AA36" s="12">
        <f>IFERROR(AA30/AA28,0)</f>
        <v>0</v>
      </c>
      <c r="AB36" s="12">
        <f>IFERROR(AB30/AB28,0)</f>
        <v>0</v>
      </c>
      <c r="AC36" s="12">
        <f>IFERROR(AC30/AC28,0)</f>
        <v>0</v>
      </c>
      <c r="AE36" s="12">
        <f>IFERROR(AE30/AE28,0)</f>
        <v>0</v>
      </c>
      <c r="AF36" s="12">
        <f>IFERROR(AF30/AF28,0)</f>
        <v>0</v>
      </c>
      <c r="AG36" s="12">
        <f>IFERROR(AG30/AG28,0)</f>
        <v>0</v>
      </c>
      <c r="AH36" s="12">
        <f>IFERROR(AH30/AH28,0)</f>
        <v>0</v>
      </c>
      <c r="AI36" s="12">
        <f>IFERROR(AI30/AI28,0)</f>
        <v>0</v>
      </c>
      <c r="AJ36" s="12">
        <f>IFERROR(AJ30/AJ28,0)</f>
        <v>0</v>
      </c>
      <c r="AK36" s="12">
        <f>IFERROR(AK30/AK28,0)</f>
        <v>0</v>
      </c>
      <c r="AL36" s="12">
        <f>IFERROR(AL30/AL28,0)</f>
        <v>0</v>
      </c>
      <c r="AM36" s="12">
        <f>IFERROR(AM30/AM28,0)</f>
        <v>0</v>
      </c>
      <c r="AN36" s="12">
        <f>IFERROR(AN30/AN28,0)</f>
        <v>0</v>
      </c>
      <c r="AO36" s="12">
        <f>IFERROR(AO30/AO28,0)</f>
        <v>0</v>
      </c>
      <c r="AP36" s="12">
        <f>IFERROR(AP30/AP28,0)</f>
        <v>0</v>
      </c>
      <c r="AQ36" s="12">
        <f>IFERROR(AQ30/AQ28,0)</f>
        <v>0</v>
      </c>
      <c r="AS36" s="12">
        <f>IFERROR(AS30/AS28,0)</f>
        <v>0</v>
      </c>
      <c r="AT36" s="12">
        <f>IFERROR(AT30/AT28,0)</f>
        <v>0</v>
      </c>
      <c r="AU36" s="12">
        <f>IFERROR(AU30/AU28,0)</f>
        <v>0</v>
      </c>
      <c r="AV36" s="12">
        <f>IFERROR(AV30/AV28,0)</f>
        <v>0</v>
      </c>
      <c r="AW36" s="12">
        <f>IFERROR(AW30/AW28,0)</f>
        <v>0</v>
      </c>
      <c r="AX36" s="12">
        <f>IFERROR(AX30/AX28,0)</f>
        <v>0</v>
      </c>
      <c r="AY36" s="12">
        <f>IFERROR(AY30/AY28,0)</f>
        <v>0</v>
      </c>
      <c r="AZ36" s="12">
        <f>IFERROR(AZ30/AZ28,0)</f>
        <v>0</v>
      </c>
      <c r="BA36" s="12">
        <f>IFERROR(BA30/BA28,0)</f>
        <v>0</v>
      </c>
      <c r="BB36" s="12">
        <f>IFERROR(BB30/BB28,0)</f>
        <v>0</v>
      </c>
      <c r="BC36" s="12">
        <f>IFERROR(BC30/BC28,0)</f>
        <v>0</v>
      </c>
      <c r="BD36" s="12">
        <f>IFERROR(BD30/BD28,0)</f>
        <v>0</v>
      </c>
      <c r="BE36" s="12">
        <f>IFERROR(BE30/BE28,0)</f>
        <v>0</v>
      </c>
      <c r="BG36" s="12">
        <f>IFERROR(BG30/BG28,0)</f>
        <v>0</v>
      </c>
      <c r="BH36" s="12">
        <f>IFERROR(BH30/BH28,0)</f>
        <v>0</v>
      </c>
      <c r="BI36" s="12">
        <f>IFERROR(BI30/BI28,0)</f>
        <v>0</v>
      </c>
      <c r="BJ36" s="12">
        <f>IFERROR(BJ30/BJ28,0)</f>
        <v>0</v>
      </c>
      <c r="BK36" s="12">
        <f>IFERROR(BK30/BK28,0)</f>
        <v>0</v>
      </c>
      <c r="BL36" s="12">
        <f>IFERROR(BL30/BL28,0)</f>
        <v>0</v>
      </c>
      <c r="BM36" s="12">
        <f>IFERROR(BM30/BM28,0)</f>
        <v>0</v>
      </c>
      <c r="BN36" s="12">
        <f>IFERROR(BN30/BN28,0)</f>
        <v>0</v>
      </c>
      <c r="BO36" s="12">
        <f>IFERROR(BO30/BO28,0)</f>
        <v>0</v>
      </c>
      <c r="BP36" s="12">
        <f>IFERROR(BP30/BP28,0)</f>
        <v>0</v>
      </c>
      <c r="BQ36" s="12">
        <f>IFERROR(BQ30/BQ28,0)</f>
        <v>0</v>
      </c>
      <c r="BR36" s="12">
        <f>IFERROR(BR30/BR28,0)</f>
        <v>0</v>
      </c>
      <c r="BS36" s="12">
        <f>IFERROR(BS30/BS28,0)</f>
        <v>0</v>
      </c>
    </row>
    <row r="37" spans="2:71">
      <c r="B37" s="5" t="s">
        <v>168</v>
      </c>
      <c r="C37" s="12">
        <f>IFERROR(C31/C28,0)</f>
        <v>0</v>
      </c>
      <c r="D37" s="12">
        <f>IFERROR(D31/D28,0)</f>
        <v>0</v>
      </c>
      <c r="E37" s="12">
        <f>IFERROR(E31/E28,0)</f>
        <v>0</v>
      </c>
      <c r="F37" s="12">
        <f>IFERROR(F31/F28,0)</f>
        <v>0</v>
      </c>
      <c r="G37" s="12">
        <f>IFERROR(G31/G28,0)</f>
        <v>0</v>
      </c>
      <c r="H37" s="12">
        <f>IFERROR(H31/H28,0)</f>
        <v>0</v>
      </c>
      <c r="I37" s="12">
        <f>IFERROR(I31/I28,0)</f>
        <v>0</v>
      </c>
      <c r="J37" s="12">
        <f>IFERROR(J31/J28,0)</f>
        <v>0</v>
      </c>
      <c r="K37" s="12">
        <f>IFERROR(K31/K28,0)</f>
        <v>0</v>
      </c>
      <c r="L37" s="12">
        <f>IFERROR(L31/L28,0)</f>
        <v>0</v>
      </c>
      <c r="M37" s="12">
        <f>IFERROR(M31/M28,0)</f>
        <v>0</v>
      </c>
      <c r="N37" s="12">
        <f>IFERROR(N31/N28,0)</f>
        <v>0</v>
      </c>
      <c r="O37" s="12">
        <f>IFERROR(O31/O28,0)</f>
        <v>0</v>
      </c>
      <c r="Q37" s="12">
        <f>IFERROR(Q31/Q28,0)</f>
        <v>0</v>
      </c>
      <c r="R37" s="12">
        <f>IFERROR(R31/R28,0)</f>
        <v>0</v>
      </c>
      <c r="S37" s="12">
        <f>IFERROR(S31/S28,0)</f>
        <v>0</v>
      </c>
      <c r="T37" s="12">
        <f>IFERROR(T31/T28,0)</f>
        <v>0</v>
      </c>
      <c r="U37" s="12">
        <f>IFERROR(U31/U28,0)</f>
        <v>0</v>
      </c>
      <c r="V37" s="12">
        <f>IFERROR(V31/V28,0)</f>
        <v>0</v>
      </c>
      <c r="W37" s="12">
        <f>IFERROR(W31/W28,0)</f>
        <v>0</v>
      </c>
      <c r="X37" s="12">
        <f>IFERROR(X31/X28,0)</f>
        <v>0</v>
      </c>
      <c r="Y37" s="12">
        <f>IFERROR(Y31/Y28,0)</f>
        <v>0</v>
      </c>
      <c r="Z37" s="12">
        <f>IFERROR(Z31/Z28,0)</f>
        <v>0</v>
      </c>
      <c r="AA37" s="12">
        <f>IFERROR(AA31/AA28,0)</f>
        <v>0</v>
      </c>
      <c r="AB37" s="12">
        <f>IFERROR(AB31/AB28,0)</f>
        <v>0</v>
      </c>
      <c r="AC37" s="12">
        <f>IFERROR(AC31/AC28,0)</f>
        <v>0</v>
      </c>
      <c r="AE37" s="12">
        <f>IFERROR(AE31/AE28,0)</f>
        <v>0</v>
      </c>
      <c r="AF37" s="12">
        <f>IFERROR(AF31/AF28,0)</f>
        <v>0</v>
      </c>
      <c r="AG37" s="12">
        <f>IFERROR(AG31/AG28,0)</f>
        <v>0</v>
      </c>
      <c r="AH37" s="12">
        <f>IFERROR(AH31/AH28,0)</f>
        <v>0</v>
      </c>
      <c r="AI37" s="12">
        <f>IFERROR(AI31/AI28,0)</f>
        <v>0</v>
      </c>
      <c r="AJ37" s="12">
        <f>IFERROR(AJ31/AJ28,0)</f>
        <v>0</v>
      </c>
      <c r="AK37" s="12">
        <f>IFERROR(AK31/AK28,0)</f>
        <v>0</v>
      </c>
      <c r="AL37" s="12">
        <f>IFERROR(AL31/AL28,0)</f>
        <v>0</v>
      </c>
      <c r="AM37" s="12">
        <f>IFERROR(AM31/AM28,0)</f>
        <v>0</v>
      </c>
      <c r="AN37" s="12">
        <f>IFERROR(AN31/AN28,0)</f>
        <v>0</v>
      </c>
      <c r="AO37" s="12">
        <f>IFERROR(AO31/AO28,0)</f>
        <v>0</v>
      </c>
      <c r="AP37" s="12">
        <f>IFERROR(AP31/AP28,0)</f>
        <v>0</v>
      </c>
      <c r="AQ37" s="12">
        <f>IFERROR(AQ31/AQ28,0)</f>
        <v>0</v>
      </c>
      <c r="AS37" s="12">
        <f>IFERROR(AS31/AS28,0)</f>
        <v>0</v>
      </c>
      <c r="AT37" s="12">
        <f>IFERROR(AT31/AT28,0)</f>
        <v>0</v>
      </c>
      <c r="AU37" s="12">
        <f>IFERROR(AU31/AU28,0)</f>
        <v>0</v>
      </c>
      <c r="AV37" s="12">
        <f>IFERROR(AV31/AV28,0)</f>
        <v>0</v>
      </c>
      <c r="AW37" s="12">
        <f>IFERROR(AW31/AW28,0)</f>
        <v>0</v>
      </c>
      <c r="AX37" s="12">
        <f>IFERROR(AX31/AX28,0)</f>
        <v>0</v>
      </c>
      <c r="AY37" s="12">
        <f>IFERROR(AY31/AY28,0)</f>
        <v>0</v>
      </c>
      <c r="AZ37" s="12">
        <f>IFERROR(AZ31/AZ28,0)</f>
        <v>0</v>
      </c>
      <c r="BA37" s="12">
        <f>IFERROR(BA31/BA28,0)</f>
        <v>0</v>
      </c>
      <c r="BB37" s="12">
        <f>IFERROR(BB31/BB28,0)</f>
        <v>0</v>
      </c>
      <c r="BC37" s="12">
        <f>IFERROR(BC31/BC28,0)</f>
        <v>0</v>
      </c>
      <c r="BD37" s="12">
        <f>IFERROR(BD31/BD28,0)</f>
        <v>0</v>
      </c>
      <c r="BE37" s="12">
        <f>IFERROR(BE31/BE28,0)</f>
        <v>0</v>
      </c>
      <c r="BG37" s="12">
        <f>IFERROR(BG31/BG28,0)</f>
        <v>0</v>
      </c>
      <c r="BH37" s="12">
        <f>IFERROR(BH31/BH28,0)</f>
        <v>0</v>
      </c>
      <c r="BI37" s="12">
        <f>IFERROR(BI31/BI28,0)</f>
        <v>0</v>
      </c>
      <c r="BJ37" s="12">
        <f>IFERROR(BJ31/BJ28,0)</f>
        <v>0</v>
      </c>
      <c r="BK37" s="12">
        <f>IFERROR(BK31/BK28,0)</f>
        <v>0</v>
      </c>
      <c r="BL37" s="12">
        <f>IFERROR(BL31/BL28,0)</f>
        <v>0</v>
      </c>
      <c r="BM37" s="12">
        <f>IFERROR(BM31/BM28,0)</f>
        <v>0</v>
      </c>
      <c r="BN37" s="12">
        <f>IFERROR(BN31/BN28,0)</f>
        <v>0</v>
      </c>
      <c r="BO37" s="12">
        <f>IFERROR(BO31/BO28,0)</f>
        <v>0</v>
      </c>
      <c r="BP37" s="12">
        <f>IFERROR(BP31/BP28,0)</f>
        <v>0</v>
      </c>
      <c r="BQ37" s="12">
        <f>IFERROR(BQ31/BQ28,0)</f>
        <v>0</v>
      </c>
      <c r="BR37" s="12">
        <f>IFERROR(BR31/BR28,0)</f>
        <v>0</v>
      </c>
      <c r="BS37" s="12">
        <f>IFERROR(BS31/BS28,0)</f>
        <v>0</v>
      </c>
    </row>
    <row r="38" spans="2:71">
      <c r="B38" s="5" t="s">
        <v>169</v>
      </c>
      <c r="C38" s="6">
        <f>IFERROR(C28/21,0)</f>
        <v>0</v>
      </c>
      <c r="D38" s="6">
        <f>IFERROR(D28/20,0)</f>
        <v>0</v>
      </c>
      <c r="E38" s="6">
        <f>IFERROR(E28/22,0)</f>
        <v>0</v>
      </c>
      <c r="F38" s="6">
        <f>IFERROR(F28/22,0)</f>
        <v>0</v>
      </c>
      <c r="G38" s="6">
        <f>IFERROR(G28/20,0)</f>
        <v>0</v>
      </c>
      <c r="H38" s="6">
        <f>IFERROR(H28/22,0)</f>
        <v>0</v>
      </c>
      <c r="I38" s="6">
        <f>IFERROR(I28/22,0)</f>
        <v>0</v>
      </c>
      <c r="J38" s="6">
        <f>IFERROR(J28/21,0)</f>
        <v>0</v>
      </c>
      <c r="K38" s="6">
        <f>IFERROR(K28/21,0)</f>
        <v>0</v>
      </c>
      <c r="L38" s="6">
        <f>IFERROR(L28/22,0)</f>
        <v>0</v>
      </c>
      <c r="M38" s="6">
        <f>IFERROR(M28/19,0)</f>
        <v>0</v>
      </c>
      <c r="N38" s="6">
        <f>IFERROR(N28/22,0)</f>
        <v>0</v>
      </c>
      <c r="O38" s="6">
        <f>IFERROR(O28/254,0)</f>
        <v>0</v>
      </c>
      <c r="Q38" s="6">
        <f>IFERROR(Q28/21,0)</f>
        <v>0</v>
      </c>
      <c r="R38" s="6">
        <f>IFERROR(R28/20,0)</f>
        <v>0</v>
      </c>
      <c r="S38" s="6">
        <f>IFERROR(S28/22,0)</f>
        <v>0</v>
      </c>
      <c r="T38" s="6">
        <f>IFERROR(T28/22,0)</f>
        <v>0</v>
      </c>
      <c r="U38" s="6">
        <f>IFERROR(U28/20,0)</f>
        <v>0</v>
      </c>
      <c r="V38" s="6">
        <f>IFERROR(V28/22,0)</f>
        <v>0</v>
      </c>
      <c r="W38" s="6">
        <f>IFERROR(W28/22,0)</f>
        <v>0</v>
      </c>
      <c r="X38" s="6">
        <f>IFERROR(X28/21,0)</f>
        <v>0</v>
      </c>
      <c r="Y38" s="6">
        <f>IFERROR(Y28/21,0)</f>
        <v>0</v>
      </c>
      <c r="Z38" s="6">
        <f>IFERROR(Z28/22,0)</f>
        <v>0</v>
      </c>
      <c r="AA38" s="6">
        <f>IFERROR(AA28/19,0)</f>
        <v>0</v>
      </c>
      <c r="AB38" s="6">
        <f>IFERROR(AB28/22,0)</f>
        <v>0</v>
      </c>
      <c r="AC38" s="6">
        <f>IFERROR(AC28/254,0)</f>
        <v>0</v>
      </c>
      <c r="AE38" s="6">
        <f>IFERROR(AE28/21,0)</f>
        <v>0</v>
      </c>
      <c r="AF38" s="6">
        <f>IFERROR(AF28/20,0)</f>
        <v>0</v>
      </c>
      <c r="AG38" s="6">
        <f>IFERROR(AG28/22,0)</f>
        <v>0</v>
      </c>
      <c r="AH38" s="6">
        <f>IFERROR(AH28/22,0)</f>
        <v>0</v>
      </c>
      <c r="AI38" s="6">
        <f>IFERROR(AI28/20,0)</f>
        <v>0</v>
      </c>
      <c r="AJ38" s="6">
        <f>IFERROR(AJ28/22,0)</f>
        <v>0</v>
      </c>
      <c r="AK38" s="6">
        <f>IFERROR(AK28/22,0)</f>
        <v>0</v>
      </c>
      <c r="AL38" s="6">
        <f>IFERROR(AL28/21,0)</f>
        <v>0</v>
      </c>
      <c r="AM38" s="6">
        <f>IFERROR(AM28/21,0)</f>
        <v>0</v>
      </c>
      <c r="AN38" s="6">
        <f>IFERROR(AN28/22,0)</f>
        <v>0</v>
      </c>
      <c r="AO38" s="6">
        <f>IFERROR(AO28/19,0)</f>
        <v>0</v>
      </c>
      <c r="AP38" s="6">
        <f>IFERROR(AP28/22,0)</f>
        <v>0</v>
      </c>
      <c r="AQ38" s="6">
        <f>IFERROR(AQ28/254,0)</f>
        <v>0</v>
      </c>
      <c r="AS38" s="6">
        <f>IFERROR(AS28/21,0)</f>
        <v>0</v>
      </c>
      <c r="AT38" s="6">
        <f>IFERROR(AT28/20,0)</f>
        <v>0</v>
      </c>
      <c r="AU38" s="6">
        <f>IFERROR(AU28/22,0)</f>
        <v>0</v>
      </c>
      <c r="AV38" s="6">
        <f>IFERROR(AV28/22,0)</f>
        <v>0</v>
      </c>
      <c r="AW38" s="6">
        <f>IFERROR(AW28/20,0)</f>
        <v>0</v>
      </c>
      <c r="AX38" s="6">
        <f>IFERROR(AX28/22,0)</f>
        <v>0</v>
      </c>
      <c r="AY38" s="6">
        <f>IFERROR(AY28/22,0)</f>
        <v>0</v>
      </c>
      <c r="AZ38" s="6">
        <f>IFERROR(AZ28/21,0)</f>
        <v>0</v>
      </c>
      <c r="BA38" s="6">
        <f>IFERROR(BA28/21,0)</f>
        <v>0</v>
      </c>
      <c r="BB38" s="6">
        <f>IFERROR(BB28/22,0)</f>
        <v>0</v>
      </c>
      <c r="BC38" s="6">
        <f>IFERROR(BC28/19,0)</f>
        <v>0</v>
      </c>
      <c r="BD38" s="6">
        <f>IFERROR(BD28/22,0)</f>
        <v>0</v>
      </c>
      <c r="BE38" s="6">
        <f>IFERROR(BE28/254,0)</f>
        <v>0</v>
      </c>
      <c r="BG38" s="6">
        <f>IFERROR(BG28/21,0)</f>
        <v>0</v>
      </c>
      <c r="BH38" s="6">
        <f>IFERROR(BH28/20,0)</f>
        <v>0</v>
      </c>
      <c r="BI38" s="6">
        <f>IFERROR(BI28/22,0)</f>
        <v>0</v>
      </c>
      <c r="BJ38" s="6">
        <f>IFERROR(BJ28/22,0)</f>
        <v>0</v>
      </c>
      <c r="BK38" s="6">
        <f>IFERROR(BK28/20,0)</f>
        <v>0</v>
      </c>
      <c r="BL38" s="6">
        <f>IFERROR(BL28/22,0)</f>
        <v>0</v>
      </c>
      <c r="BM38" s="6">
        <f>IFERROR(BM28/22,0)</f>
        <v>0</v>
      </c>
      <c r="BN38" s="6">
        <f>IFERROR(BN28/21,0)</f>
        <v>0</v>
      </c>
      <c r="BO38" s="6">
        <f>IFERROR(BO28/21,0)</f>
        <v>0</v>
      </c>
      <c r="BP38" s="6">
        <f>IFERROR(BP28/22,0)</f>
        <v>0</v>
      </c>
      <c r="BQ38" s="6">
        <f>IFERROR(BQ28/19,0)</f>
        <v>0</v>
      </c>
      <c r="BR38" s="6">
        <f>IFERROR(BR28/22,0)</f>
        <v>0</v>
      </c>
      <c r="BS38" s="6">
        <f>IFERROR(BS28/254,0)</f>
        <v>0</v>
      </c>
    </row>
    <row r="40" spans="2:71">
      <c r="B40" s="5" t="s">
        <v>151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f>N40</f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f>AB40</f>
        <v>0</v>
      </c>
      <c r="AE40" s="6">
        <f>Q40-C40</f>
        <v>0</v>
      </c>
      <c r="AF40" s="6">
        <f>R40-D40</f>
        <v>0</v>
      </c>
      <c r="AG40" s="6">
        <f>S40-E40</f>
        <v>0</v>
      </c>
      <c r="AH40" s="6">
        <f>T40-F40</f>
        <v>0</v>
      </c>
      <c r="AI40" s="6">
        <f>U40-G40</f>
        <v>0</v>
      </c>
      <c r="AJ40" s="6">
        <f>V40-H40</f>
        <v>0</v>
      </c>
      <c r="AK40" s="6">
        <f>W40-I40</f>
        <v>0</v>
      </c>
      <c r="AL40" s="6">
        <f>X40-J40</f>
        <v>0</v>
      </c>
      <c r="AM40" s="6">
        <f>Y40-K40</f>
        <v>0</v>
      </c>
      <c r="AN40" s="6">
        <f>Z40-L40</f>
        <v>0</v>
      </c>
      <c r="AO40" s="6">
        <f>AA40-M40</f>
        <v>0</v>
      </c>
      <c r="AP40" s="6">
        <f>AB40-N40</f>
        <v>0</v>
      </c>
      <c r="AQ40" s="6">
        <f>AP40</f>
        <v>0</v>
      </c>
      <c r="AS40" s="6">
        <f>'SAFEREG-Adj'!C90</f>
        <v>0</v>
      </c>
      <c r="AT40" s="6">
        <f>'SAFEREG-Adj'!D90</f>
        <v>0</v>
      </c>
      <c r="AU40" s="6">
        <f>'SAFEREG-Adj'!E90</f>
        <v>0</v>
      </c>
      <c r="AV40" s="6">
        <f>'SAFEREG-Adj'!F90</f>
        <v>0</v>
      </c>
      <c r="AW40" s="6">
        <f>'SAFEREG-Adj'!G90</f>
        <v>0</v>
      </c>
      <c r="AX40" s="6">
        <f>'SAFEREG-Adj'!H90</f>
        <v>0</v>
      </c>
      <c r="AY40" s="6">
        <f>'SAFEREG-Adj'!I90</f>
        <v>0</v>
      </c>
      <c r="AZ40" s="6">
        <f>'SAFEREG-Adj'!J90</f>
        <v>0</v>
      </c>
      <c r="BA40" s="6">
        <f>'SAFEREG-Adj'!K90</f>
        <v>0</v>
      </c>
      <c r="BB40" s="6">
        <f>'SAFEREG-Adj'!L90</f>
        <v>0</v>
      </c>
      <c r="BC40" s="6">
        <f>'SAFEREG-Adj'!M90</f>
        <v>0</v>
      </c>
      <c r="BD40" s="6">
        <f>'SAFEREG-Adj'!N90</f>
        <v>0</v>
      </c>
      <c r="BE40" s="6">
        <f>BD40</f>
        <v>0</v>
      </c>
      <c r="BG40" s="6">
        <f>C40+AE40+AS40</f>
        <v>0</v>
      </c>
      <c r="BH40" s="6">
        <f>D40+AF40+AT40</f>
        <v>0</v>
      </c>
      <c r="BI40" s="6">
        <f>E40+AG40+AU40</f>
        <v>0</v>
      </c>
      <c r="BJ40" s="6">
        <f>F40+AH40+AV40</f>
        <v>0</v>
      </c>
      <c r="BK40" s="6">
        <f>G40+AI40+AW40</f>
        <v>0</v>
      </c>
      <c r="BL40" s="6">
        <f>H40+AJ40+AX40</f>
        <v>0</v>
      </c>
      <c r="BM40" s="6">
        <f>I40+AK40+AY40</f>
        <v>0</v>
      </c>
      <c r="BN40" s="6">
        <f>J40+AL40+AZ40</f>
        <v>0</v>
      </c>
      <c r="BO40" s="6">
        <f>K40+AM40+BA40</f>
        <v>0</v>
      </c>
      <c r="BP40" s="6">
        <f>L40+AN40+BB40</f>
        <v>0</v>
      </c>
      <c r="BQ40" s="6">
        <f>M40+AO40+BC40</f>
        <v>0</v>
      </c>
      <c r="BR40" s="6">
        <f>N40+AP40+BD40</f>
        <v>0</v>
      </c>
      <c r="BS40" s="6">
        <f>BR40</f>
        <v>0</v>
      </c>
    </row>
    <row r="41" spans="2:71">
      <c r="B41" s="5" t="s">
        <v>152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f>N41</f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f>AB41</f>
        <v>0</v>
      </c>
      <c r="AE41" s="6">
        <f>Q41-C41</f>
        <v>0</v>
      </c>
      <c r="AF41" s="6">
        <f>R41-D41</f>
        <v>0</v>
      </c>
      <c r="AG41" s="6">
        <f>S41-E41</f>
        <v>0</v>
      </c>
      <c r="AH41" s="6">
        <f>T41-F41</f>
        <v>0</v>
      </c>
      <c r="AI41" s="6">
        <f>U41-G41</f>
        <v>0</v>
      </c>
      <c r="AJ41" s="6">
        <f>V41-H41</f>
        <v>0</v>
      </c>
      <c r="AK41" s="6">
        <f>W41-I41</f>
        <v>0</v>
      </c>
      <c r="AL41" s="6">
        <f>X41-J41</f>
        <v>0</v>
      </c>
      <c r="AM41" s="6">
        <f>Y41-K41</f>
        <v>0</v>
      </c>
      <c r="AN41" s="6">
        <f>Z41-L41</f>
        <v>0</v>
      </c>
      <c r="AO41" s="6">
        <f>AA41-M41</f>
        <v>0</v>
      </c>
      <c r="AP41" s="6">
        <f>AB41-N41</f>
        <v>0</v>
      </c>
      <c r="AQ41" s="6">
        <f>AP41</f>
        <v>0</v>
      </c>
      <c r="AS41" s="6">
        <f>'SAFEREG-Adj'!C91</f>
        <v>0</v>
      </c>
      <c r="AT41" s="6">
        <f>'SAFEREG-Adj'!D91</f>
        <v>0</v>
      </c>
      <c r="AU41" s="6">
        <f>'SAFEREG-Adj'!E91</f>
        <v>0</v>
      </c>
      <c r="AV41" s="6">
        <f>'SAFEREG-Adj'!F91</f>
        <v>0</v>
      </c>
      <c r="AW41" s="6">
        <f>'SAFEREG-Adj'!G91</f>
        <v>0</v>
      </c>
      <c r="AX41" s="6">
        <f>'SAFEREG-Adj'!H91</f>
        <v>0</v>
      </c>
      <c r="AY41" s="6">
        <f>'SAFEREG-Adj'!I91</f>
        <v>0</v>
      </c>
      <c r="AZ41" s="6">
        <f>'SAFEREG-Adj'!J91</f>
        <v>0</v>
      </c>
      <c r="BA41" s="6">
        <f>'SAFEREG-Adj'!K91</f>
        <v>0</v>
      </c>
      <c r="BB41" s="6">
        <f>'SAFEREG-Adj'!L91</f>
        <v>0</v>
      </c>
      <c r="BC41" s="6">
        <f>'SAFEREG-Adj'!M91</f>
        <v>0</v>
      </c>
      <c r="BD41" s="6">
        <f>'SAFEREG-Adj'!N91</f>
        <v>0</v>
      </c>
      <c r="BE41" s="6">
        <f>BD41</f>
        <v>0</v>
      </c>
      <c r="BG41" s="6">
        <f>C41+AE41+AS41</f>
        <v>0</v>
      </c>
      <c r="BH41" s="6">
        <f>D41+AF41+AT41</f>
        <v>0</v>
      </c>
      <c r="BI41" s="6">
        <f>E41+AG41+AU41</f>
        <v>0</v>
      </c>
      <c r="BJ41" s="6">
        <f>F41+AH41+AV41</f>
        <v>0</v>
      </c>
      <c r="BK41" s="6">
        <f>G41+AI41+AW41</f>
        <v>0</v>
      </c>
      <c r="BL41" s="6">
        <f>H41+AJ41+AX41</f>
        <v>0</v>
      </c>
      <c r="BM41" s="6">
        <f>I41+AK41+AY41</f>
        <v>0</v>
      </c>
      <c r="BN41" s="6">
        <f>J41+AL41+AZ41</f>
        <v>0</v>
      </c>
      <c r="BO41" s="6">
        <f>K41+AM41+BA41</f>
        <v>0</v>
      </c>
      <c r="BP41" s="6">
        <f>L41+AN41+BB41</f>
        <v>0</v>
      </c>
      <c r="BQ41" s="6">
        <f>M41+AO41+BC41</f>
        <v>0</v>
      </c>
      <c r="BR41" s="6">
        <f>N41+AP41+BD41</f>
        <v>0</v>
      </c>
      <c r="BS41" s="6">
        <f>BR41</f>
        <v>0</v>
      </c>
    </row>
    <row r="42" spans="2:71">
      <c r="B42" s="5" t="s">
        <v>153</v>
      </c>
      <c r="C42" s="6">
        <v>25</v>
      </c>
      <c r="D42" s="6">
        <v>25</v>
      </c>
      <c r="E42" s="6">
        <v>25</v>
      </c>
      <c r="F42" s="6">
        <v>25</v>
      </c>
      <c r="G42" s="6">
        <v>25</v>
      </c>
      <c r="H42" s="6">
        <v>25</v>
      </c>
      <c r="I42" s="6">
        <v>25</v>
      </c>
      <c r="J42" s="6">
        <v>25</v>
      </c>
      <c r="K42" s="6">
        <v>25</v>
      </c>
      <c r="L42" s="6">
        <v>25</v>
      </c>
      <c r="M42" s="6">
        <v>25</v>
      </c>
      <c r="N42" s="6">
        <v>25</v>
      </c>
      <c r="O42" s="6">
        <f>N42</f>
        <v>25</v>
      </c>
      <c r="Q42" s="6">
        <v>25</v>
      </c>
      <c r="R42" s="6">
        <v>25</v>
      </c>
      <c r="S42" s="6">
        <v>25</v>
      </c>
      <c r="T42" s="6">
        <v>25</v>
      </c>
      <c r="U42" s="6">
        <v>25</v>
      </c>
      <c r="V42" s="6">
        <v>25</v>
      </c>
      <c r="W42" s="6">
        <v>25</v>
      </c>
      <c r="X42" s="6">
        <v>25</v>
      </c>
      <c r="Y42" s="6">
        <v>25</v>
      </c>
      <c r="Z42" s="6">
        <v>25</v>
      </c>
      <c r="AA42" s="6">
        <v>25</v>
      </c>
      <c r="AB42" s="6">
        <v>25</v>
      </c>
      <c r="AC42" s="6">
        <f>AB42</f>
        <v>25</v>
      </c>
      <c r="AE42" s="6">
        <f>Q42-C42</f>
        <v>0</v>
      </c>
      <c r="AF42" s="6">
        <f>R42-D42</f>
        <v>0</v>
      </c>
      <c r="AG42" s="6">
        <f>S42-E42</f>
        <v>0</v>
      </c>
      <c r="AH42" s="6">
        <f>T42-F42</f>
        <v>0</v>
      </c>
      <c r="AI42" s="6">
        <f>U42-G42</f>
        <v>0</v>
      </c>
      <c r="AJ42" s="6">
        <f>V42-H42</f>
        <v>0</v>
      </c>
      <c r="AK42" s="6">
        <f>W42-I42</f>
        <v>0</v>
      </c>
      <c r="AL42" s="6">
        <f>X42-J42</f>
        <v>0</v>
      </c>
      <c r="AM42" s="6">
        <f>Y42-K42</f>
        <v>0</v>
      </c>
      <c r="AN42" s="6">
        <f>Z42-L42</f>
        <v>0</v>
      </c>
      <c r="AO42" s="6">
        <f>AA42-M42</f>
        <v>0</v>
      </c>
      <c r="AP42" s="6">
        <f>AB42-N42</f>
        <v>0</v>
      </c>
      <c r="AQ42" s="6">
        <f>AP42</f>
        <v>0</v>
      </c>
      <c r="AS42" s="6">
        <f>'SAFEREG-Adj'!C92</f>
        <v>0</v>
      </c>
      <c r="AT42" s="6">
        <f>'SAFEREG-Adj'!D92</f>
        <v>0</v>
      </c>
      <c r="AU42" s="6">
        <f>'SAFEREG-Adj'!E92</f>
        <v>0</v>
      </c>
      <c r="AV42" s="6">
        <f>'SAFEREG-Adj'!F92</f>
        <v>0</v>
      </c>
      <c r="AW42" s="6">
        <f>'SAFEREG-Adj'!G92</f>
        <v>0</v>
      </c>
      <c r="AX42" s="6">
        <f>'SAFEREG-Adj'!H92</f>
        <v>0</v>
      </c>
      <c r="AY42" s="6">
        <f>'SAFEREG-Adj'!I92</f>
        <v>0</v>
      </c>
      <c r="AZ42" s="6">
        <f>'SAFEREG-Adj'!J92</f>
        <v>0</v>
      </c>
      <c r="BA42" s="6">
        <f>'SAFEREG-Adj'!K92</f>
        <v>0</v>
      </c>
      <c r="BB42" s="6">
        <f>'SAFEREG-Adj'!L92</f>
        <v>0</v>
      </c>
      <c r="BC42" s="6">
        <f>'SAFEREG-Adj'!M92</f>
        <v>0</v>
      </c>
      <c r="BD42" s="6">
        <f>'SAFEREG-Adj'!N92</f>
        <v>0</v>
      </c>
      <c r="BE42" s="6">
        <f>BD42</f>
        <v>0</v>
      </c>
      <c r="BG42" s="6">
        <f>C42+AE42+AS42</f>
        <v>25</v>
      </c>
      <c r="BH42" s="6">
        <f>D42+AF42+AT42</f>
        <v>25</v>
      </c>
      <c r="BI42" s="6">
        <f>E42+AG42+AU42</f>
        <v>25</v>
      </c>
      <c r="BJ42" s="6">
        <f>F42+AH42+AV42</f>
        <v>25</v>
      </c>
      <c r="BK42" s="6">
        <f>G42+AI42+AW42</f>
        <v>25</v>
      </c>
      <c r="BL42" s="6">
        <f>H42+AJ42+AX42</f>
        <v>25</v>
      </c>
      <c r="BM42" s="6">
        <f>I42+AK42+AY42</f>
        <v>25</v>
      </c>
      <c r="BN42" s="6">
        <f>J42+AL42+AZ42</f>
        <v>25</v>
      </c>
      <c r="BO42" s="6">
        <f>K42+AM42+BA42</f>
        <v>25</v>
      </c>
      <c r="BP42" s="6">
        <f>L42+AN42+BB42</f>
        <v>25</v>
      </c>
      <c r="BQ42" s="6">
        <f>M42+AO42+BC42</f>
        <v>25</v>
      </c>
      <c r="BR42" s="6">
        <f>N42+AP42+BD42</f>
        <v>25</v>
      </c>
      <c r="BS42" s="6">
        <f>BR42</f>
        <v>25</v>
      </c>
    </row>
    <row r="43" spans="2:71">
      <c r="B43" s="5" t="s">
        <v>154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f>N43</f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f>AB43</f>
        <v>0</v>
      </c>
      <c r="AE43" s="6">
        <f>Q43-C43</f>
        <v>0</v>
      </c>
      <c r="AF43" s="6">
        <f>R43-D43</f>
        <v>0</v>
      </c>
      <c r="AG43" s="6">
        <f>S43-E43</f>
        <v>0</v>
      </c>
      <c r="AH43" s="6">
        <f>T43-F43</f>
        <v>0</v>
      </c>
      <c r="AI43" s="6">
        <f>U43-G43</f>
        <v>0</v>
      </c>
      <c r="AJ43" s="6">
        <f>V43-H43</f>
        <v>0</v>
      </c>
      <c r="AK43" s="6">
        <f>W43-I43</f>
        <v>0</v>
      </c>
      <c r="AL43" s="6">
        <f>X43-J43</f>
        <v>0</v>
      </c>
      <c r="AM43" s="6">
        <f>Y43-K43</f>
        <v>0</v>
      </c>
      <c r="AN43" s="6">
        <f>Z43-L43</f>
        <v>0</v>
      </c>
      <c r="AO43" s="6">
        <f>AA43-M43</f>
        <v>0</v>
      </c>
      <c r="AP43" s="6">
        <f>AB43-N43</f>
        <v>0</v>
      </c>
      <c r="AQ43" s="6">
        <f>AP43</f>
        <v>0</v>
      </c>
      <c r="AS43" s="6">
        <f>'SAFEREG-Adj'!C93</f>
        <v>0</v>
      </c>
      <c r="AT43" s="6">
        <f>'SAFEREG-Adj'!D93</f>
        <v>0</v>
      </c>
      <c r="AU43" s="6">
        <f>'SAFEREG-Adj'!E93</f>
        <v>0</v>
      </c>
      <c r="AV43" s="6">
        <f>'SAFEREG-Adj'!F93</f>
        <v>0</v>
      </c>
      <c r="AW43" s="6">
        <f>'SAFEREG-Adj'!G93</f>
        <v>0</v>
      </c>
      <c r="AX43" s="6">
        <f>'SAFEREG-Adj'!H93</f>
        <v>0</v>
      </c>
      <c r="AY43" s="6">
        <f>'SAFEREG-Adj'!I93</f>
        <v>0</v>
      </c>
      <c r="AZ43" s="6">
        <f>'SAFEREG-Adj'!J93</f>
        <v>0</v>
      </c>
      <c r="BA43" s="6">
        <f>'SAFEREG-Adj'!K93</f>
        <v>0</v>
      </c>
      <c r="BB43" s="6">
        <f>'SAFEREG-Adj'!L93</f>
        <v>0</v>
      </c>
      <c r="BC43" s="6">
        <f>'SAFEREG-Adj'!M93</f>
        <v>0</v>
      </c>
      <c r="BD43" s="6">
        <f>'SAFEREG-Adj'!N93</f>
        <v>0</v>
      </c>
      <c r="BE43" s="6">
        <f>BD43</f>
        <v>0</v>
      </c>
      <c r="BG43" s="6">
        <f>C43+AE43+AS43</f>
        <v>0</v>
      </c>
      <c r="BH43" s="6">
        <f>D43+AF43+AT43</f>
        <v>0</v>
      </c>
      <c r="BI43" s="6">
        <f>E43+AG43+AU43</f>
        <v>0</v>
      </c>
      <c r="BJ43" s="6">
        <f>F43+AH43+AV43</f>
        <v>0</v>
      </c>
      <c r="BK43" s="6">
        <f>G43+AI43+AW43</f>
        <v>0</v>
      </c>
      <c r="BL43" s="6">
        <f>H43+AJ43+AX43</f>
        <v>0</v>
      </c>
      <c r="BM43" s="6">
        <f>I43+AK43+AY43</f>
        <v>0</v>
      </c>
      <c r="BN43" s="6">
        <f>J43+AL43+AZ43</f>
        <v>0</v>
      </c>
      <c r="BO43" s="6">
        <f>K43+AM43+BA43</f>
        <v>0</v>
      </c>
      <c r="BP43" s="6">
        <f>L43+AN43+BB43</f>
        <v>0</v>
      </c>
      <c r="BQ43" s="6">
        <f>M43+AO43+BC43</f>
        <v>0</v>
      </c>
      <c r="BR43" s="6">
        <f>N43+AP43+BD43</f>
        <v>0</v>
      </c>
      <c r="BS43" s="6">
        <f>BR43</f>
        <v>0</v>
      </c>
    </row>
    <row r="44" spans="2:71">
      <c r="B44" s="5" t="s">
        <v>155</v>
      </c>
      <c r="C44" s="6">
        <v>-180</v>
      </c>
      <c r="D44" s="6">
        <v>-180</v>
      </c>
      <c r="E44" s="6">
        <v>-180</v>
      </c>
      <c r="F44" s="6">
        <v>-180</v>
      </c>
      <c r="G44" s="6">
        <v>-180</v>
      </c>
      <c r="H44" s="6">
        <v>-180</v>
      </c>
      <c r="I44" s="6">
        <v>-180</v>
      </c>
      <c r="J44" s="6">
        <v>-180</v>
      </c>
      <c r="K44" s="6">
        <v>-180</v>
      </c>
      <c r="L44" s="6">
        <v>-180</v>
      </c>
      <c r="M44" s="6">
        <v>-180</v>
      </c>
      <c r="N44" s="6">
        <v>-180</v>
      </c>
      <c r="O44" s="6">
        <f>N44</f>
        <v>-180</v>
      </c>
      <c r="Q44" s="6">
        <v>-180</v>
      </c>
      <c r="R44" s="6">
        <v>-180</v>
      </c>
      <c r="S44" s="6">
        <v>-180</v>
      </c>
      <c r="T44" s="6">
        <v>-180</v>
      </c>
      <c r="U44" s="6">
        <v>-180</v>
      </c>
      <c r="V44" s="6">
        <v>-180</v>
      </c>
      <c r="W44" s="6">
        <v>-180</v>
      </c>
      <c r="X44" s="6">
        <v>-180</v>
      </c>
      <c r="Y44" s="6">
        <v>-180</v>
      </c>
      <c r="Z44" s="6">
        <v>-180</v>
      </c>
      <c r="AA44" s="6">
        <v>-180</v>
      </c>
      <c r="AB44" s="6">
        <v>-180</v>
      </c>
      <c r="AC44" s="6">
        <f>AB44</f>
        <v>-180</v>
      </c>
      <c r="AE44" s="6">
        <f>Q44-C44</f>
        <v>0</v>
      </c>
      <c r="AF44" s="6">
        <f>R44-D44</f>
        <v>0</v>
      </c>
      <c r="AG44" s="6">
        <f>S44-E44</f>
        <v>0</v>
      </c>
      <c r="AH44" s="6">
        <f>T44-F44</f>
        <v>0</v>
      </c>
      <c r="AI44" s="6">
        <f>U44-G44</f>
        <v>0</v>
      </c>
      <c r="AJ44" s="6">
        <f>V44-H44</f>
        <v>0</v>
      </c>
      <c r="AK44" s="6">
        <f>W44-I44</f>
        <v>0</v>
      </c>
      <c r="AL44" s="6">
        <f>X44-J44</f>
        <v>0</v>
      </c>
      <c r="AM44" s="6">
        <f>Y44-K44</f>
        <v>0</v>
      </c>
      <c r="AN44" s="6">
        <f>Z44-L44</f>
        <v>0</v>
      </c>
      <c r="AO44" s="6">
        <f>AA44-M44</f>
        <v>0</v>
      </c>
      <c r="AP44" s="6">
        <f>AB44-N44</f>
        <v>0</v>
      </c>
      <c r="AQ44" s="6">
        <f>AP44</f>
        <v>0</v>
      </c>
      <c r="AS44" s="6">
        <f>'SAFEREG-Adj'!C94</f>
        <v>0</v>
      </c>
      <c r="AT44" s="6">
        <f>'SAFEREG-Adj'!D94</f>
        <v>0</v>
      </c>
      <c r="AU44" s="6">
        <f>'SAFEREG-Adj'!E94</f>
        <v>0</v>
      </c>
      <c r="AV44" s="6">
        <f>'SAFEREG-Adj'!F94</f>
        <v>0</v>
      </c>
      <c r="AW44" s="6">
        <f>'SAFEREG-Adj'!G94</f>
        <v>0</v>
      </c>
      <c r="AX44" s="6">
        <f>'SAFEREG-Adj'!H94</f>
        <v>0</v>
      </c>
      <c r="AY44" s="6">
        <f>'SAFEREG-Adj'!I94</f>
        <v>0</v>
      </c>
      <c r="AZ44" s="6">
        <f>'SAFEREG-Adj'!J94</f>
        <v>0</v>
      </c>
      <c r="BA44" s="6">
        <f>'SAFEREG-Adj'!K94</f>
        <v>0</v>
      </c>
      <c r="BB44" s="6">
        <f>'SAFEREG-Adj'!L94</f>
        <v>0</v>
      </c>
      <c r="BC44" s="6">
        <f>'SAFEREG-Adj'!M94</f>
        <v>0</v>
      </c>
      <c r="BD44" s="6">
        <f>'SAFEREG-Adj'!N94</f>
        <v>0</v>
      </c>
      <c r="BE44" s="6">
        <f>BD44</f>
        <v>0</v>
      </c>
      <c r="BG44" s="6">
        <f>C44+AE44+AS44</f>
        <v>-180</v>
      </c>
      <c r="BH44" s="6">
        <f>D44+AF44+AT44</f>
        <v>-180</v>
      </c>
      <c r="BI44" s="6">
        <f>E44+AG44+AU44</f>
        <v>-180</v>
      </c>
      <c r="BJ44" s="6">
        <f>F44+AH44+AV44</f>
        <v>-180</v>
      </c>
      <c r="BK44" s="6">
        <f>G44+AI44+AW44</f>
        <v>-180</v>
      </c>
      <c r="BL44" s="6">
        <f>H44+AJ44+AX44</f>
        <v>-180</v>
      </c>
      <c r="BM44" s="6">
        <f>I44+AK44+AY44</f>
        <v>-180</v>
      </c>
      <c r="BN44" s="6">
        <f>J44+AL44+AZ44</f>
        <v>-180</v>
      </c>
      <c r="BO44" s="6">
        <f>K44+AM44+BA44</f>
        <v>-180</v>
      </c>
      <c r="BP44" s="6">
        <f>L44+AN44+BB44</f>
        <v>-180</v>
      </c>
      <c r="BQ44" s="6">
        <f>M44+AO44+BC44</f>
        <v>-180</v>
      </c>
      <c r="BR44" s="6">
        <f>N44+AP44+BD44</f>
        <v>-180</v>
      </c>
      <c r="BS44" s="6">
        <f>BR44</f>
        <v>-180</v>
      </c>
    </row>
    <row r="45" spans="2:71">
      <c r="B45" s="2" t="s">
        <v>170</v>
      </c>
      <c r="C45" s="6">
        <f>SUM(C40:C44)</f>
        <v>-155</v>
      </c>
      <c r="D45" s="6">
        <f>SUM(D40:D44)</f>
        <v>-155</v>
      </c>
      <c r="E45" s="6">
        <f>SUM(E40:E44)</f>
        <v>-155</v>
      </c>
      <c r="F45" s="6">
        <f>SUM(F40:F44)</f>
        <v>-155</v>
      </c>
      <c r="G45" s="6">
        <f>SUM(G40:G44)</f>
        <v>-155</v>
      </c>
      <c r="H45" s="6">
        <f>SUM(H40:H44)</f>
        <v>-155</v>
      </c>
      <c r="I45" s="6">
        <f>SUM(I40:I44)</f>
        <v>-155</v>
      </c>
      <c r="J45" s="6">
        <f>SUM(J40:J44)</f>
        <v>-155</v>
      </c>
      <c r="K45" s="6">
        <f>SUM(K40:K44)</f>
        <v>-155</v>
      </c>
      <c r="L45" s="6">
        <f>SUM(L40:L44)</f>
        <v>-155</v>
      </c>
      <c r="M45" s="6">
        <f>SUM(M40:M44)</f>
        <v>-155</v>
      </c>
      <c r="N45" s="6">
        <f>SUM(N40:N44)</f>
        <v>-155</v>
      </c>
      <c r="O45" s="6">
        <f>N45</f>
        <v>-155</v>
      </c>
      <c r="Q45" s="6">
        <f>SUM(Q40:Q44)</f>
        <v>-155</v>
      </c>
      <c r="R45" s="6">
        <f>SUM(R40:R44)</f>
        <v>-155</v>
      </c>
      <c r="S45" s="6">
        <f>SUM(S40:S44)</f>
        <v>-155</v>
      </c>
      <c r="T45" s="6">
        <f>SUM(T40:T44)</f>
        <v>-155</v>
      </c>
      <c r="U45" s="6">
        <f>SUM(U40:U44)</f>
        <v>-155</v>
      </c>
      <c r="V45" s="6">
        <f>SUM(V40:V44)</f>
        <v>-155</v>
      </c>
      <c r="W45" s="6">
        <f>SUM(W40:W44)</f>
        <v>-155</v>
      </c>
      <c r="X45" s="6">
        <f>SUM(X40:X44)</f>
        <v>-155</v>
      </c>
      <c r="Y45" s="6">
        <f>SUM(Y40:Y44)</f>
        <v>-155</v>
      </c>
      <c r="Z45" s="6">
        <f>SUM(Z40:Z44)</f>
        <v>-155</v>
      </c>
      <c r="AA45" s="6">
        <f>SUM(AA40:AA44)</f>
        <v>-155</v>
      </c>
      <c r="AB45" s="6">
        <f>SUM(AB40:AB44)</f>
        <v>-155</v>
      </c>
      <c r="AC45" s="6">
        <f>AB45</f>
        <v>-155</v>
      </c>
      <c r="AE45" s="6">
        <f>SUM(AE40:AE44)</f>
        <v>0</v>
      </c>
      <c r="AF45" s="6">
        <f>SUM(AF40:AF44)</f>
        <v>0</v>
      </c>
      <c r="AG45" s="6">
        <f>SUM(AG40:AG44)</f>
        <v>0</v>
      </c>
      <c r="AH45" s="6">
        <f>SUM(AH40:AH44)</f>
        <v>0</v>
      </c>
      <c r="AI45" s="6">
        <f>SUM(AI40:AI44)</f>
        <v>0</v>
      </c>
      <c r="AJ45" s="6">
        <f>SUM(AJ40:AJ44)</f>
        <v>0</v>
      </c>
      <c r="AK45" s="6">
        <f>SUM(AK40:AK44)</f>
        <v>0</v>
      </c>
      <c r="AL45" s="6">
        <f>SUM(AL40:AL44)</f>
        <v>0</v>
      </c>
      <c r="AM45" s="6">
        <f>SUM(AM40:AM44)</f>
        <v>0</v>
      </c>
      <c r="AN45" s="6">
        <f>SUM(AN40:AN44)</f>
        <v>0</v>
      </c>
      <c r="AO45" s="6">
        <f>SUM(AO40:AO44)</f>
        <v>0</v>
      </c>
      <c r="AP45" s="6">
        <f>SUM(AP40:AP44)</f>
        <v>0</v>
      </c>
      <c r="AQ45" s="6">
        <f>AP45</f>
        <v>0</v>
      </c>
      <c r="AS45" s="6">
        <f>SUM(AS40:AS44)</f>
        <v>0</v>
      </c>
      <c r="AT45" s="6">
        <f>SUM(AT40:AT44)</f>
        <v>0</v>
      </c>
      <c r="AU45" s="6">
        <f>SUM(AU40:AU44)</f>
        <v>0</v>
      </c>
      <c r="AV45" s="6">
        <f>SUM(AV40:AV44)</f>
        <v>0</v>
      </c>
      <c r="AW45" s="6">
        <f>SUM(AW40:AW44)</f>
        <v>0</v>
      </c>
      <c r="AX45" s="6">
        <f>SUM(AX40:AX44)</f>
        <v>0</v>
      </c>
      <c r="AY45" s="6">
        <f>SUM(AY40:AY44)</f>
        <v>0</v>
      </c>
      <c r="AZ45" s="6">
        <f>SUM(AZ40:AZ44)</f>
        <v>0</v>
      </c>
      <c r="BA45" s="6">
        <f>SUM(BA40:BA44)</f>
        <v>0</v>
      </c>
      <c r="BB45" s="6">
        <f>SUM(BB40:BB44)</f>
        <v>0</v>
      </c>
      <c r="BC45" s="6">
        <f>SUM(BC40:BC44)</f>
        <v>0</v>
      </c>
      <c r="BD45" s="6">
        <f>SUM(BD40:BD44)</f>
        <v>0</v>
      </c>
      <c r="BE45" s="6">
        <f>BD45</f>
        <v>0</v>
      </c>
      <c r="BG45" s="6">
        <f>SUM(BG40:BG44)</f>
        <v>-155</v>
      </c>
      <c r="BH45" s="6">
        <f>SUM(BH40:BH44)</f>
        <v>-155</v>
      </c>
      <c r="BI45" s="6">
        <f>SUM(BI40:BI44)</f>
        <v>-155</v>
      </c>
      <c r="BJ45" s="6">
        <f>SUM(BJ40:BJ44)</f>
        <v>-155</v>
      </c>
      <c r="BK45" s="6">
        <f>SUM(BK40:BK44)</f>
        <v>-155</v>
      </c>
      <c r="BL45" s="6">
        <f>SUM(BL40:BL44)</f>
        <v>-155</v>
      </c>
      <c r="BM45" s="6">
        <f>SUM(BM40:BM44)</f>
        <v>-155</v>
      </c>
      <c r="BN45" s="6">
        <f>SUM(BN40:BN44)</f>
        <v>-155</v>
      </c>
      <c r="BO45" s="6">
        <f>SUM(BO40:BO44)</f>
        <v>-155</v>
      </c>
      <c r="BP45" s="6">
        <f>SUM(BP40:BP44)</f>
        <v>-155</v>
      </c>
      <c r="BQ45" s="6">
        <f>SUM(BQ40:BQ44)</f>
        <v>-155</v>
      </c>
      <c r="BR45" s="6">
        <f>SUM(BR40:BR44)</f>
        <v>-155</v>
      </c>
      <c r="BS45" s="6">
        <f>BR45</f>
        <v>-155</v>
      </c>
    </row>
    <row r="46" spans="2:71">
      <c r="B46" s="5" t="s">
        <v>171</v>
      </c>
      <c r="C46" s="12">
        <f>IFERROR(C45/(C28*12),0)</f>
        <v>0</v>
      </c>
      <c r="D46" s="12">
        <f>IFERROR(D45/(D28*12),0)</f>
        <v>0</v>
      </c>
      <c r="E46" s="12">
        <f>IFERROR(E45/(E28*12),0)</f>
        <v>0</v>
      </c>
      <c r="F46" s="12">
        <f>IFERROR(F45/(F28*12),0)</f>
        <v>0</v>
      </c>
      <c r="G46" s="12">
        <f>IFERROR(G45/(G28*12),0)</f>
        <v>0</v>
      </c>
      <c r="H46" s="12">
        <f>IFERROR(H45/(H28*12),0)</f>
        <v>0</v>
      </c>
      <c r="I46" s="12">
        <f>IFERROR(I45/(I28*12),0)</f>
        <v>0</v>
      </c>
      <c r="J46" s="12">
        <f>IFERROR(J45/(J28*12),0)</f>
        <v>0</v>
      </c>
      <c r="K46" s="12">
        <f>IFERROR(K45/(K28*12),0)</f>
        <v>0</v>
      </c>
      <c r="L46" s="12">
        <f>IFERROR(L45/(L28*12),0)</f>
        <v>0</v>
      </c>
      <c r="M46" s="12">
        <f>IFERROR(M45/(M28*12),0)</f>
        <v>0</v>
      </c>
      <c r="N46" s="12">
        <f>IFERROR(N45/(N28*12),0)</f>
        <v>0</v>
      </c>
      <c r="Q46" s="12">
        <f>IFERROR(Q45/(Q28*12),0)</f>
        <v>0</v>
      </c>
      <c r="R46" s="12">
        <f>IFERROR(R45/(R28*12),0)</f>
        <v>0</v>
      </c>
      <c r="S46" s="12">
        <f>IFERROR(S45/(S28*12),0)</f>
        <v>0</v>
      </c>
      <c r="T46" s="12">
        <f>IFERROR(T45/(T28*12),0)</f>
        <v>0</v>
      </c>
      <c r="U46" s="12">
        <f>IFERROR(U45/(U28*12),0)</f>
        <v>0</v>
      </c>
      <c r="V46" s="12">
        <f>IFERROR(V45/(V28*12),0)</f>
        <v>0</v>
      </c>
      <c r="W46" s="12">
        <f>IFERROR(W45/(W28*12),0)</f>
        <v>0</v>
      </c>
      <c r="X46" s="12">
        <f>IFERROR(X45/(X28*12),0)</f>
        <v>0</v>
      </c>
      <c r="Y46" s="12">
        <f>IFERROR(Y45/(Y28*12),0)</f>
        <v>0</v>
      </c>
      <c r="Z46" s="12">
        <f>IFERROR(Z45/(Z28*12),0)</f>
        <v>0</v>
      </c>
      <c r="AA46" s="12">
        <f>IFERROR(AA45/(AA28*12),0)</f>
        <v>0</v>
      </c>
      <c r="AB46" s="12">
        <f>IFERROR(AB45/(AB28*12),0)</f>
        <v>0</v>
      </c>
      <c r="AE46" s="12">
        <f>IFERROR(AE45/(AE28*12),0)</f>
        <v>0</v>
      </c>
      <c r="AF46" s="12">
        <f>IFERROR(AF45/(AF28*12),0)</f>
        <v>0</v>
      </c>
      <c r="AG46" s="12">
        <f>IFERROR(AG45/(AG28*12),0)</f>
        <v>0</v>
      </c>
      <c r="AH46" s="12">
        <f>IFERROR(AH45/(AH28*12),0)</f>
        <v>0</v>
      </c>
      <c r="AI46" s="12">
        <f>IFERROR(AI45/(AI28*12),0)</f>
        <v>0</v>
      </c>
      <c r="AJ46" s="12">
        <f>IFERROR(AJ45/(AJ28*12),0)</f>
        <v>0</v>
      </c>
      <c r="AK46" s="12">
        <f>IFERROR(AK45/(AK28*12),0)</f>
        <v>0</v>
      </c>
      <c r="AL46" s="12">
        <f>IFERROR(AL45/(AL28*12),0)</f>
        <v>0</v>
      </c>
      <c r="AM46" s="12">
        <f>IFERROR(AM45/(AM28*12),0)</f>
        <v>0</v>
      </c>
      <c r="AN46" s="12">
        <f>IFERROR(AN45/(AN28*12),0)</f>
        <v>0</v>
      </c>
      <c r="AO46" s="12">
        <f>IFERROR(AO45/(AO28*12),0)</f>
        <v>0</v>
      </c>
      <c r="AP46" s="12">
        <f>IFERROR(AP45/(AP28*12),0)</f>
        <v>0</v>
      </c>
      <c r="AS46" s="12">
        <f>IFERROR(AS45/(AS28*12),0)</f>
        <v>0</v>
      </c>
      <c r="AT46" s="12">
        <f>IFERROR(AT45/(AT28*12),0)</f>
        <v>0</v>
      </c>
      <c r="AU46" s="12">
        <f>IFERROR(AU45/(AU28*12),0)</f>
        <v>0</v>
      </c>
      <c r="AV46" s="12">
        <f>IFERROR(AV45/(AV28*12),0)</f>
        <v>0</v>
      </c>
      <c r="AW46" s="12">
        <f>IFERROR(AW45/(AW28*12),0)</f>
        <v>0</v>
      </c>
      <c r="AX46" s="12">
        <f>IFERROR(AX45/(AX28*12),0)</f>
        <v>0</v>
      </c>
      <c r="AY46" s="12">
        <f>IFERROR(AY45/(AY28*12),0)</f>
        <v>0</v>
      </c>
      <c r="AZ46" s="12">
        <f>IFERROR(AZ45/(AZ28*12),0)</f>
        <v>0</v>
      </c>
      <c r="BA46" s="12">
        <f>IFERROR(BA45/(BA28*12),0)</f>
        <v>0</v>
      </c>
      <c r="BB46" s="12">
        <f>IFERROR(BB45/(BB28*12),0)</f>
        <v>0</v>
      </c>
      <c r="BC46" s="12">
        <f>IFERROR(BC45/(BC28*12),0)</f>
        <v>0</v>
      </c>
      <c r="BD46" s="12">
        <f>IFERROR(BD45/(BD28*12),0)</f>
        <v>0</v>
      </c>
      <c r="BG46" s="12">
        <f>IFERROR(BG45/(BG28*12),0)</f>
        <v>0</v>
      </c>
      <c r="BH46" s="12">
        <f>IFERROR(BH45/(BH28*12),0)</f>
        <v>0</v>
      </c>
      <c r="BI46" s="12">
        <f>IFERROR(BI45/(BI28*12),0)</f>
        <v>0</v>
      </c>
      <c r="BJ46" s="12">
        <f>IFERROR(BJ45/(BJ28*12),0)</f>
        <v>0</v>
      </c>
      <c r="BK46" s="12">
        <f>IFERROR(BK45/(BK28*12),0)</f>
        <v>0</v>
      </c>
      <c r="BL46" s="12">
        <f>IFERROR(BL45/(BL28*12),0)</f>
        <v>0</v>
      </c>
      <c r="BM46" s="12">
        <f>IFERROR(BM45/(BM28*12),0)</f>
        <v>0</v>
      </c>
      <c r="BN46" s="12">
        <f>IFERROR(BN45/(BN28*12),0)</f>
        <v>0</v>
      </c>
      <c r="BO46" s="12">
        <f>IFERROR(BO45/(BO28*12),0)</f>
        <v>0</v>
      </c>
      <c r="BP46" s="12">
        <f>IFERROR(BP45/(BP28*12),0)</f>
        <v>0</v>
      </c>
      <c r="BQ46" s="12">
        <f>IFERROR(BQ45/(BQ28*12),0)</f>
        <v>0</v>
      </c>
      <c r="BR46" s="12">
        <f>IFERROR(BR45/(BR28*12),0)</f>
        <v>0</v>
      </c>
    </row>
    <row r="49" spans="2:15">
      <c r="B49" s="8" t="s">
        <v>172</v>
      </c>
    </row>
    <row r="50" spans="2:15">
      <c r="C50" s="19" t="s">
        <v>70</v>
      </c>
      <c r="D50" s="19" t="s">
        <v>71</v>
      </c>
      <c r="E50" s="19" t="s">
        <v>72</v>
      </c>
      <c r="F50" s="19" t="s">
        <v>73</v>
      </c>
      <c r="G50" s="19" t="s">
        <v>50</v>
      </c>
      <c r="H50" s="19" t="s">
        <v>74</v>
      </c>
      <c r="I50" s="19" t="s">
        <v>75</v>
      </c>
      <c r="J50" s="19" t="s">
        <v>76</v>
      </c>
      <c r="K50" s="19" t="s">
        <v>77</v>
      </c>
      <c r="L50" s="19" t="s">
        <v>78</v>
      </c>
      <c r="M50" s="19" t="s">
        <v>79</v>
      </c>
      <c r="N50" s="19" t="s">
        <v>80</v>
      </c>
      <c r="O50" s="2" t="s">
        <v>165</v>
      </c>
    </row>
    <row r="51" spans="2:15">
      <c r="B51" t="s">
        <v>100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f>SUM(C51:N51)</f>
        <v>0</v>
      </c>
    </row>
    <row r="52" spans="2:15">
      <c r="B52" t="s">
        <v>111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f>SUM(C52:N52)</f>
        <v>0</v>
      </c>
    </row>
    <row r="53" spans="2:15">
      <c r="B53" t="s">
        <v>112</v>
      </c>
      <c r="C53" s="6">
        <v>-307.3</v>
      </c>
      <c r="D53" s="6">
        <v>-307.7</v>
      </c>
      <c r="E53" s="6">
        <v>-308.3</v>
      </c>
      <c r="F53" s="6">
        <v>-309.39999999999998</v>
      </c>
      <c r="G53" s="6">
        <v>-312</v>
      </c>
      <c r="H53" s="6">
        <v>-307.39999999999998</v>
      </c>
      <c r="I53" s="6">
        <v>-308</v>
      </c>
      <c r="J53" s="6">
        <v>-309.60000000000002</v>
      </c>
      <c r="K53" s="6">
        <v>-308.60000000000002</v>
      </c>
      <c r="L53" s="6">
        <v>-307.10000000000002</v>
      </c>
      <c r="M53" s="6">
        <v>-312.89999999999998</v>
      </c>
      <c r="N53" s="6">
        <v>-312</v>
      </c>
      <c r="O53" s="6">
        <f>SUM(C53:N53)</f>
        <v>-3710.2999999999997</v>
      </c>
    </row>
    <row r="54" spans="2:15">
      <c r="B54" t="s">
        <v>113</v>
      </c>
      <c r="C54" s="6">
        <f>C52+C53</f>
        <v>-307.3</v>
      </c>
      <c r="D54" s="6">
        <f>D52+D53</f>
        <v>-307.7</v>
      </c>
      <c r="E54" s="6">
        <f>E52+E53</f>
        <v>-308.3</v>
      </c>
      <c r="F54" s="6">
        <f>F52+F53</f>
        <v>-309.39999999999998</v>
      </c>
      <c r="G54" s="6">
        <f>G52+G53</f>
        <v>-312</v>
      </c>
      <c r="H54" s="6">
        <f>H52+H53</f>
        <v>-307.39999999999998</v>
      </c>
      <c r="I54" s="6">
        <f>I52+I53</f>
        <v>-308</v>
      </c>
      <c r="J54" s="6">
        <f>J52+J53</f>
        <v>-309.60000000000002</v>
      </c>
      <c r="K54" s="6">
        <f>K52+K53</f>
        <v>-308.60000000000002</v>
      </c>
      <c r="L54" s="6">
        <f>L52+L53</f>
        <v>-307.10000000000002</v>
      </c>
      <c r="M54" s="6">
        <f>M52+M53</f>
        <v>-312.89999999999998</v>
      </c>
      <c r="N54" s="6">
        <f>N52+N53</f>
        <v>-312</v>
      </c>
      <c r="O54" s="6">
        <f>SUM(C54:N54)</f>
        <v>-3710.2999999999997</v>
      </c>
    </row>
    <row r="55" spans="2:15">
      <c r="B55" t="s">
        <v>151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f>N55</f>
        <v>0</v>
      </c>
    </row>
    <row r="56" spans="2:15">
      <c r="B56" t="s">
        <v>152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f>N56</f>
        <v>0</v>
      </c>
    </row>
    <row r="57" spans="2:15">
      <c r="B57" t="s">
        <v>153</v>
      </c>
      <c r="C57" s="6">
        <v>25</v>
      </c>
      <c r="D57" s="6">
        <v>25</v>
      </c>
      <c r="E57" s="6">
        <v>25</v>
      </c>
      <c r="F57" s="6">
        <v>25</v>
      </c>
      <c r="G57" s="6">
        <v>25</v>
      </c>
      <c r="H57" s="6">
        <v>25</v>
      </c>
      <c r="I57" s="6">
        <v>25</v>
      </c>
      <c r="J57" s="6">
        <v>25</v>
      </c>
      <c r="K57" s="6">
        <v>25</v>
      </c>
      <c r="L57" s="6">
        <v>25</v>
      </c>
      <c r="M57" s="6">
        <v>25</v>
      </c>
      <c r="N57" s="6">
        <v>25</v>
      </c>
      <c r="O57" s="6">
        <f>N57</f>
        <v>25</v>
      </c>
    </row>
    <row r="58" spans="2:15">
      <c r="B58" t="s">
        <v>154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f>N58</f>
        <v>0</v>
      </c>
    </row>
    <row r="59" spans="2:15">
      <c r="B59" t="s">
        <v>155</v>
      </c>
      <c r="C59" s="6">
        <v>-180</v>
      </c>
      <c r="D59" s="6">
        <v>-180</v>
      </c>
      <c r="E59" s="6">
        <v>-180</v>
      </c>
      <c r="F59" s="6">
        <v>-180</v>
      </c>
      <c r="G59" s="6">
        <v>-180</v>
      </c>
      <c r="H59" s="6">
        <v>-180</v>
      </c>
      <c r="I59" s="6">
        <v>-180</v>
      </c>
      <c r="J59" s="6">
        <v>-180</v>
      </c>
      <c r="K59" s="6">
        <v>-180</v>
      </c>
      <c r="L59" s="6">
        <v>-180</v>
      </c>
      <c r="M59" s="6">
        <v>-180</v>
      </c>
      <c r="N59" s="6">
        <v>-180</v>
      </c>
      <c r="O59" s="6">
        <f>N59</f>
        <v>-180</v>
      </c>
    </row>
    <row r="60" spans="2:15">
      <c r="B60" t="s">
        <v>170</v>
      </c>
      <c r="C60" s="6">
        <f>SUM(C55:C59)</f>
        <v>-155</v>
      </c>
      <c r="D60" s="6">
        <f>SUM(D55:D59)</f>
        <v>-155</v>
      </c>
      <c r="E60" s="6">
        <f>SUM(E55:E59)</f>
        <v>-155</v>
      </c>
      <c r="F60" s="6">
        <f>SUM(F55:F59)</f>
        <v>-155</v>
      </c>
      <c r="G60" s="6">
        <f>SUM(G55:G59)</f>
        <v>-155</v>
      </c>
      <c r="H60" s="6">
        <f>SUM(H55:H59)</f>
        <v>-155</v>
      </c>
      <c r="I60" s="6">
        <f>SUM(I55:I59)</f>
        <v>-155</v>
      </c>
      <c r="J60" s="6">
        <f>SUM(J55:J59)</f>
        <v>-155</v>
      </c>
      <c r="K60" s="6">
        <f>SUM(K55:K59)</f>
        <v>-155</v>
      </c>
      <c r="L60" s="6">
        <f>SUM(L55:L59)</f>
        <v>-155</v>
      </c>
      <c r="M60" s="6">
        <f>SUM(M55:M59)</f>
        <v>-155</v>
      </c>
      <c r="N60" s="6">
        <f>SUM(N55:N59)</f>
        <v>-155</v>
      </c>
      <c r="O60" s="6">
        <f>N60</f>
        <v>-155</v>
      </c>
    </row>
    <row r="62" spans="2:15">
      <c r="B62" s="8" t="s">
        <v>173</v>
      </c>
    </row>
    <row r="63" spans="2:15">
      <c r="C63" s="19" t="s">
        <v>70</v>
      </c>
      <c r="D63" s="19" t="s">
        <v>71</v>
      </c>
      <c r="E63" s="19" t="s">
        <v>72</v>
      </c>
      <c r="F63" s="19" t="s">
        <v>73</v>
      </c>
      <c r="G63" s="19" t="s">
        <v>50</v>
      </c>
      <c r="H63" s="19" t="s">
        <v>74</v>
      </c>
      <c r="I63" s="19" t="s">
        <v>75</v>
      </c>
      <c r="J63" s="19" t="s">
        <v>76</v>
      </c>
      <c r="K63" s="19" t="s">
        <v>77</v>
      </c>
      <c r="L63" s="19" t="s">
        <v>78</v>
      </c>
      <c r="M63" s="19" t="s">
        <v>79</v>
      </c>
      <c r="N63" s="19" t="s">
        <v>80</v>
      </c>
      <c r="O63" s="2" t="s">
        <v>165</v>
      </c>
    </row>
    <row r="64" spans="2:15">
      <c r="B64" t="s">
        <v>100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f>SUM(C64:N64)</f>
        <v>0</v>
      </c>
    </row>
    <row r="65" spans="2:15">
      <c r="B65" t="s">
        <v>111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f>SUM(C65:N65)</f>
        <v>0</v>
      </c>
    </row>
    <row r="66" spans="2:15">
      <c r="B66" t="s">
        <v>112</v>
      </c>
      <c r="C66" s="6">
        <v>-299.89999999999998</v>
      </c>
      <c r="D66" s="6">
        <v>-297.10000000000002</v>
      </c>
      <c r="E66" s="6">
        <v>-298.3</v>
      </c>
      <c r="F66" s="6">
        <v>-297.5</v>
      </c>
      <c r="G66" s="6">
        <v>-299.60000000000002</v>
      </c>
      <c r="H66" s="6">
        <v>-295.8</v>
      </c>
      <c r="I66" s="6">
        <v>-299.89999999999998</v>
      </c>
      <c r="J66" s="6">
        <v>-294.10000000000002</v>
      </c>
      <c r="K66" s="6">
        <v>-299.5</v>
      </c>
      <c r="L66" s="6">
        <v>-297</v>
      </c>
      <c r="M66" s="6">
        <v>-296.8</v>
      </c>
      <c r="N66" s="6">
        <v>-298.60000000000002</v>
      </c>
      <c r="O66" s="6">
        <f>SUM(C66:N66)</f>
        <v>-3574.1</v>
      </c>
    </row>
    <row r="67" spans="2:15">
      <c r="B67" t="s">
        <v>113</v>
      </c>
      <c r="C67" s="6">
        <f>C65+C66</f>
        <v>-299.89999999999998</v>
      </c>
      <c r="D67" s="6">
        <f>D65+D66</f>
        <v>-297.10000000000002</v>
      </c>
      <c r="E67" s="6">
        <f>E65+E66</f>
        <v>-298.3</v>
      </c>
      <c r="F67" s="6">
        <f>F65+F66</f>
        <v>-297.5</v>
      </c>
      <c r="G67" s="6">
        <f>G65+G66</f>
        <v>-299.60000000000002</v>
      </c>
      <c r="H67" s="6">
        <f>H65+H66</f>
        <v>-295.8</v>
      </c>
      <c r="I67" s="6">
        <f>I65+I66</f>
        <v>-299.89999999999998</v>
      </c>
      <c r="J67" s="6">
        <f>J65+J66</f>
        <v>-294.10000000000002</v>
      </c>
      <c r="K67" s="6">
        <f>K65+K66</f>
        <v>-299.5</v>
      </c>
      <c r="L67" s="6">
        <f>L65+L66</f>
        <v>-297</v>
      </c>
      <c r="M67" s="6">
        <f>M65+M66</f>
        <v>-296.8</v>
      </c>
      <c r="N67" s="6">
        <f>N65+N66</f>
        <v>-298.60000000000002</v>
      </c>
      <c r="O67" s="6">
        <f>SUM(C67:N67)</f>
        <v>-3574.1</v>
      </c>
    </row>
    <row r="68" spans="2:15">
      <c r="B68" t="s">
        <v>151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f>N68</f>
        <v>0</v>
      </c>
    </row>
    <row r="69" spans="2:15">
      <c r="B69" t="s">
        <v>152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f>N69</f>
        <v>0</v>
      </c>
    </row>
    <row r="70" spans="2:15">
      <c r="B70" t="s">
        <v>153</v>
      </c>
      <c r="C70" s="6">
        <v>25</v>
      </c>
      <c r="D70" s="6">
        <v>25</v>
      </c>
      <c r="E70" s="6">
        <v>25</v>
      </c>
      <c r="F70" s="6">
        <v>25</v>
      </c>
      <c r="G70" s="6">
        <v>25</v>
      </c>
      <c r="H70" s="6">
        <v>25</v>
      </c>
      <c r="I70" s="6">
        <v>25</v>
      </c>
      <c r="J70" s="6">
        <v>25</v>
      </c>
      <c r="K70" s="6">
        <v>25</v>
      </c>
      <c r="L70" s="6">
        <v>25</v>
      </c>
      <c r="M70" s="6">
        <v>25</v>
      </c>
      <c r="N70" s="6">
        <v>25</v>
      </c>
      <c r="O70" s="6">
        <f>N70</f>
        <v>25</v>
      </c>
    </row>
    <row r="71" spans="2:15">
      <c r="B71" t="s">
        <v>154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f>N71</f>
        <v>0</v>
      </c>
    </row>
    <row r="72" spans="2:15">
      <c r="B72" t="s">
        <v>155</v>
      </c>
      <c r="C72" s="6">
        <v>-180</v>
      </c>
      <c r="D72" s="6">
        <v>-180</v>
      </c>
      <c r="E72" s="6">
        <v>-180</v>
      </c>
      <c r="F72" s="6">
        <v>-180</v>
      </c>
      <c r="G72" s="6">
        <v>-180</v>
      </c>
      <c r="H72" s="6">
        <v>-180</v>
      </c>
      <c r="I72" s="6">
        <v>-180</v>
      </c>
      <c r="J72" s="6">
        <v>-180</v>
      </c>
      <c r="K72" s="6">
        <v>-180</v>
      </c>
      <c r="L72" s="6">
        <v>-180</v>
      </c>
      <c r="M72" s="6">
        <v>-180</v>
      </c>
      <c r="N72" s="6">
        <v>-180</v>
      </c>
      <c r="O72" s="6">
        <f>N72</f>
        <v>-180</v>
      </c>
    </row>
    <row r="73" spans="2:15">
      <c r="B73" t="s">
        <v>170</v>
      </c>
      <c r="C73" s="6">
        <f>SUM(C68:C72)</f>
        <v>-155</v>
      </c>
      <c r="D73" s="6">
        <f>SUM(D68:D72)</f>
        <v>-155</v>
      </c>
      <c r="E73" s="6">
        <f>SUM(E68:E72)</f>
        <v>-155</v>
      </c>
      <c r="F73" s="6">
        <f>SUM(F68:F72)</f>
        <v>-155</v>
      </c>
      <c r="G73" s="6">
        <f>SUM(G68:G72)</f>
        <v>-155</v>
      </c>
      <c r="H73" s="6">
        <f>SUM(H68:H72)</f>
        <v>-155</v>
      </c>
      <c r="I73" s="6">
        <f>SUM(I68:I72)</f>
        <v>-155</v>
      </c>
      <c r="J73" s="6">
        <f>SUM(J68:J72)</f>
        <v>-155</v>
      </c>
      <c r="K73" s="6">
        <f>SUM(K68:K72)</f>
        <v>-155</v>
      </c>
      <c r="L73" s="6">
        <f>SUM(L68:L72)</f>
        <v>-155</v>
      </c>
      <c r="M73" s="6">
        <f>SUM(M68:M72)</f>
        <v>-155</v>
      </c>
      <c r="N73" s="6">
        <f>SUM(N68:N72)</f>
        <v>-155</v>
      </c>
      <c r="O73" s="6">
        <f>N73</f>
        <v>-155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B1:I20"/>
  <sheetViews>
    <sheetView showGridLines="0" workbookViewId="0"/>
  </sheetViews>
  <sheetFormatPr defaultRowHeight="15"/>
  <cols>
    <col min="2" max="2" width="24" customWidth="1"/>
    <col min="3" max="3" width="13" customWidth="1"/>
    <col min="4" max="4" width="60" customWidth="1"/>
    <col min="5" max="5" width="14" customWidth="1"/>
    <col min="6" max="7" width="11" customWidth="1"/>
    <col min="8" max="8" width="14" customWidth="1"/>
    <col min="9" max="9" width="10" customWidth="1"/>
  </cols>
  <sheetData>
    <row r="1" spans="2:9">
      <c r="B1" s="3" t="s">
        <v>218</v>
      </c>
    </row>
    <row r="2" spans="2:9">
      <c r="B2" s="1" t="s">
        <v>24</v>
      </c>
    </row>
    <row r="4" spans="2:9">
      <c r="B4" t="s">
        <v>219</v>
      </c>
      <c r="C4" t="s">
        <v>220</v>
      </c>
    </row>
    <row r="5" spans="2:9">
      <c r="B5" t="s">
        <v>221</v>
      </c>
      <c r="C5" s="22">
        <v>0.25</v>
      </c>
    </row>
    <row r="6" spans="2:9">
      <c r="B6" t="s">
        <v>222</v>
      </c>
      <c r="C6" s="22">
        <v>0.5</v>
      </c>
    </row>
    <row r="7" spans="2:9">
      <c r="B7" t="s">
        <v>223</v>
      </c>
      <c r="C7" s="22">
        <v>0.75</v>
      </c>
    </row>
    <row r="10" spans="2:9">
      <c r="B10" s="4" t="s">
        <v>224</v>
      </c>
      <c r="C10" s="4" t="s">
        <v>225</v>
      </c>
      <c r="D10" s="4" t="s">
        <v>226</v>
      </c>
      <c r="E10" s="4" t="s">
        <v>227</v>
      </c>
      <c r="F10" s="4" t="s">
        <v>219</v>
      </c>
      <c r="G10" s="4" t="s">
        <v>220</v>
      </c>
      <c r="H10" s="4" t="s">
        <v>228</v>
      </c>
      <c r="I10" s="4" t="s">
        <v>229</v>
      </c>
    </row>
    <row r="11" spans="2:9">
      <c r="B11" t="s">
        <v>101</v>
      </c>
      <c r="C11" t="s">
        <v>230</v>
      </c>
      <c r="D11" s="23" t="s">
        <v>231</v>
      </c>
      <c r="E11" s="6">
        <v>-350</v>
      </c>
      <c r="F11" t="s">
        <v>222</v>
      </c>
      <c r="G11" s="22">
        <f>VLOOKUP(F11,$B$5:$C$7,2,FALSE)</f>
        <v>0.5</v>
      </c>
      <c r="H11" s="6">
        <f>E11*G11</f>
        <v>-175</v>
      </c>
      <c r="I11" t="s">
        <v>232</v>
      </c>
    </row>
    <row r="12" spans="2:9">
      <c r="B12" t="s">
        <v>101</v>
      </c>
      <c r="C12" t="s">
        <v>233</v>
      </c>
      <c r="D12" s="23" t="s">
        <v>234</v>
      </c>
      <c r="E12" s="6">
        <v>180</v>
      </c>
      <c r="F12" t="s">
        <v>221</v>
      </c>
      <c r="G12" s="22">
        <f>VLOOKUP(F12,$B$5:$C$7,2,FALSE)</f>
        <v>0.25</v>
      </c>
      <c r="H12" s="6">
        <f>E12*G12</f>
        <v>45</v>
      </c>
      <c r="I12" t="s">
        <v>232</v>
      </c>
    </row>
    <row r="13" spans="2:9">
      <c r="B13" t="s">
        <v>102</v>
      </c>
      <c r="C13" t="s">
        <v>233</v>
      </c>
      <c r="D13" s="23" t="s">
        <v>235</v>
      </c>
      <c r="E13" s="6">
        <v>120</v>
      </c>
      <c r="F13" t="s">
        <v>222</v>
      </c>
      <c r="G13" s="22">
        <f>VLOOKUP(F13,$B$5:$C$7,2,FALSE)</f>
        <v>0.5</v>
      </c>
      <c r="H13" s="6">
        <f>E13*G13</f>
        <v>60</v>
      </c>
      <c r="I13" t="s">
        <v>232</v>
      </c>
    </row>
    <row r="14" spans="2:9">
      <c r="B14" t="s">
        <v>103</v>
      </c>
      <c r="C14" t="s">
        <v>230</v>
      </c>
      <c r="D14" s="23" t="s">
        <v>236</v>
      </c>
      <c r="E14" s="6">
        <v>-200</v>
      </c>
      <c r="F14" t="s">
        <v>222</v>
      </c>
      <c r="G14" s="22">
        <f>VLOOKUP(F14,$B$5:$C$7,2,FALSE)</f>
        <v>0.5</v>
      </c>
      <c r="H14" s="6">
        <f>E14*G14</f>
        <v>-100</v>
      </c>
      <c r="I14" t="s">
        <v>232</v>
      </c>
    </row>
    <row r="15" spans="2:9">
      <c r="B15" t="s">
        <v>105</v>
      </c>
      <c r="C15" t="s">
        <v>233</v>
      </c>
      <c r="D15" s="23" t="s">
        <v>237</v>
      </c>
      <c r="E15" s="6">
        <v>90</v>
      </c>
      <c r="F15" t="s">
        <v>223</v>
      </c>
      <c r="G15" s="22">
        <f>VLOOKUP(F15,$B$5:$C$7,2,FALSE)</f>
        <v>0.75</v>
      </c>
      <c r="H15" s="6">
        <f>E15*G15</f>
        <v>67.5</v>
      </c>
      <c r="I15" t="s">
        <v>232</v>
      </c>
    </row>
    <row r="16" spans="2:9">
      <c r="B16" t="s">
        <v>107</v>
      </c>
      <c r="C16" t="s">
        <v>230</v>
      </c>
      <c r="D16" s="23" t="s">
        <v>238</v>
      </c>
      <c r="E16" s="6">
        <v>-110</v>
      </c>
      <c r="F16" t="s">
        <v>222</v>
      </c>
      <c r="G16" s="22">
        <f>VLOOKUP(F16,$B$5:$C$7,2,FALSE)</f>
        <v>0.5</v>
      </c>
      <c r="H16" s="6">
        <f>E16*G16</f>
        <v>-55</v>
      </c>
      <c r="I16" t="s">
        <v>232</v>
      </c>
    </row>
    <row r="17" spans="2:9">
      <c r="B17" t="s">
        <v>107</v>
      </c>
      <c r="C17" t="s">
        <v>233</v>
      </c>
      <c r="D17" s="23" t="s">
        <v>239</v>
      </c>
      <c r="E17" s="6">
        <v>60</v>
      </c>
      <c r="F17" t="s">
        <v>221</v>
      </c>
      <c r="G17" s="22">
        <f>VLOOKUP(F17,$B$5:$C$7,2,FALSE)</f>
        <v>0.25</v>
      </c>
      <c r="H17" s="6">
        <f>E17*G17</f>
        <v>15</v>
      </c>
      <c r="I17" t="s">
        <v>232</v>
      </c>
    </row>
    <row r="18" spans="2:9">
      <c r="B18" t="s">
        <v>108</v>
      </c>
      <c r="C18" t="s">
        <v>230</v>
      </c>
      <c r="D18" s="23" t="s">
        <v>240</v>
      </c>
      <c r="E18" s="6">
        <v>-150</v>
      </c>
      <c r="F18" t="s">
        <v>221</v>
      </c>
      <c r="G18" s="22">
        <f>VLOOKUP(F18,$B$5:$C$7,2,FALSE)</f>
        <v>0.25</v>
      </c>
      <c r="H18" s="6">
        <f>E18*G18</f>
        <v>-37.5</v>
      </c>
      <c r="I18" t="s">
        <v>232</v>
      </c>
    </row>
    <row r="19" spans="2:9">
      <c r="B19" t="s">
        <v>106</v>
      </c>
      <c r="C19" t="s">
        <v>233</v>
      </c>
      <c r="D19" s="23" t="s">
        <v>241</v>
      </c>
      <c r="E19" s="6">
        <v>140</v>
      </c>
      <c r="F19" t="s">
        <v>222</v>
      </c>
      <c r="G19" s="22">
        <f>VLOOKUP(F19,$B$5:$C$7,2,FALSE)</f>
        <v>0.5</v>
      </c>
      <c r="H19" s="6">
        <f>E19*G19</f>
        <v>70</v>
      </c>
      <c r="I19" t="s">
        <v>232</v>
      </c>
    </row>
    <row r="20" spans="2:9">
      <c r="D20" s="2" t="s">
        <v>242</v>
      </c>
      <c r="E20" s="18">
        <f>SUM(E11:E19)</f>
        <v>-220</v>
      </c>
      <c r="H20" s="18">
        <f>SUM(H11:H19)</f>
        <v>-110</v>
      </c>
    </row>
  </sheetData>
  <dataValidations count="1">
    <dataValidation type="list" allowBlank="1" sqref="F11:F19" xr:uid="{00000000-0002-0000-2200-000000000000}">
      <formula1>"Low,Medium,High"</formula1>
    </dataValidation>
  </dataValidation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Erik Montes</cp:lastModifiedBy>
  <cp:revision/>
  <dcterms:created xsi:type="dcterms:W3CDTF">2026-10-21T17:24:51Z</dcterms:created>
  <dcterms:modified xsi:type="dcterms:W3CDTF">2026-10-21T19:47:07Z</dcterms:modified>
  <cp:category/>
  <cp:contentStatus/>
</cp:coreProperties>
</file>