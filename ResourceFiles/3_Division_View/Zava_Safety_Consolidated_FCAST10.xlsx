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{HFM Defaults}" sheetId="1" state="visible" r:id="rId1"/>
    <sheet xmlns:r="http://schemas.openxmlformats.org/officeDocument/2006/relationships" name="Billing Days" sheetId="2" state="visible" r:id="rId2"/>
    <sheet xmlns:r="http://schemas.openxmlformats.org/officeDocument/2006/relationships" name="Variances Summary" sheetId="3" state="visible" r:id="rId3"/>
    <sheet xmlns:r="http://schemas.openxmlformats.org/officeDocument/2006/relationships" name="Exec Smry Safety" sheetId="4" state="visible" r:id="rId4"/>
    <sheet xmlns:r="http://schemas.openxmlformats.org/officeDocument/2006/relationships" name="Safety-Var" sheetId="5" state="visible" r:id="rId5"/>
    <sheet xmlns:r="http://schemas.openxmlformats.org/officeDocument/2006/relationships" name="Safety-Adj" sheetId="6" state="visible" r:id="rId6"/>
    <sheet xmlns:r="http://schemas.openxmlformats.org/officeDocument/2006/relationships" name="Safety" sheetId="7" state="visible" r:id="rId7"/>
    <sheet xmlns:r="http://schemas.openxmlformats.org/officeDocument/2006/relationships" name="Alder-Var" sheetId="8" state="visible" r:id="rId8"/>
    <sheet xmlns:r="http://schemas.openxmlformats.org/officeDocument/2006/relationships" name="Alder-Adj" sheetId="9" state="visible" r:id="rId9"/>
    <sheet xmlns:r="http://schemas.openxmlformats.org/officeDocument/2006/relationships" name="Alder" sheetId="10" state="visible" r:id="rId10"/>
    <sheet xmlns:r="http://schemas.openxmlformats.org/officeDocument/2006/relationships" name="Beacon-Var" sheetId="11" state="visible" r:id="rId11"/>
    <sheet xmlns:r="http://schemas.openxmlformats.org/officeDocument/2006/relationships" name="Beacon-Adj" sheetId="12" state="visible" r:id="rId12"/>
    <sheet xmlns:r="http://schemas.openxmlformats.org/officeDocument/2006/relationships" name="Beacon" sheetId="13" state="visible" r:id="rId13"/>
    <sheet xmlns:r="http://schemas.openxmlformats.org/officeDocument/2006/relationships" name="Cobalt-Var" sheetId="14" state="visible" r:id="rId14"/>
    <sheet xmlns:r="http://schemas.openxmlformats.org/officeDocument/2006/relationships" name="Cobalt-Adj" sheetId="15" state="visible" r:id="rId15"/>
    <sheet xmlns:r="http://schemas.openxmlformats.org/officeDocument/2006/relationships" name="Cobalt" sheetId="16" state="visible" r:id="rId16"/>
    <sheet xmlns:r="http://schemas.openxmlformats.org/officeDocument/2006/relationships" name="Delta-Var" sheetId="17" state="visible" r:id="rId17"/>
    <sheet xmlns:r="http://schemas.openxmlformats.org/officeDocument/2006/relationships" name="Delta-Adj" sheetId="18" state="visible" r:id="rId18"/>
    <sheet xmlns:r="http://schemas.openxmlformats.org/officeDocument/2006/relationships" name="Delta" sheetId="19" state="visible" r:id="rId19"/>
    <sheet xmlns:r="http://schemas.openxmlformats.org/officeDocument/2006/relationships" name="Ember-Var" sheetId="20" state="visible" r:id="rId20"/>
    <sheet xmlns:r="http://schemas.openxmlformats.org/officeDocument/2006/relationships" name="Ember-Adj" sheetId="21" state="visible" r:id="rId21"/>
    <sheet xmlns:r="http://schemas.openxmlformats.org/officeDocument/2006/relationships" name="Ember" sheetId="22" state="visible" r:id="rId22"/>
    <sheet xmlns:r="http://schemas.openxmlformats.org/officeDocument/2006/relationships" name="Falcon-Var" sheetId="23" state="visible" r:id="rId23"/>
    <sheet xmlns:r="http://schemas.openxmlformats.org/officeDocument/2006/relationships" name="Falcon-Adj" sheetId="24" state="visible" r:id="rId24"/>
    <sheet xmlns:r="http://schemas.openxmlformats.org/officeDocument/2006/relationships" name="Falcon" sheetId="25" state="visible" r:id="rId25"/>
    <sheet xmlns:r="http://schemas.openxmlformats.org/officeDocument/2006/relationships" name="Granite-Var" sheetId="26" state="visible" r:id="rId26"/>
    <sheet xmlns:r="http://schemas.openxmlformats.org/officeDocument/2006/relationships" name="Granite-Adj" sheetId="27" state="visible" r:id="rId27"/>
    <sheet xmlns:r="http://schemas.openxmlformats.org/officeDocument/2006/relationships" name="Granite" sheetId="28" state="visible" r:id="rId28"/>
    <sheet xmlns:r="http://schemas.openxmlformats.org/officeDocument/2006/relationships" name="Hollis-Var" sheetId="29" state="visible" r:id="rId29"/>
    <sheet xmlns:r="http://schemas.openxmlformats.org/officeDocument/2006/relationships" name="Hollis-Adj" sheetId="30" state="visible" r:id="rId30"/>
    <sheet xmlns:r="http://schemas.openxmlformats.org/officeDocument/2006/relationships" name="Hollis" sheetId="31" state="visible" r:id="rId31"/>
    <sheet xmlns:r="http://schemas.openxmlformats.org/officeDocument/2006/relationships" name="SAFEREG-Var" sheetId="32" state="visible" r:id="rId32"/>
    <sheet xmlns:r="http://schemas.openxmlformats.org/officeDocument/2006/relationships" name="SAFEREG-Adj" sheetId="33" state="visible" r:id="rId33"/>
    <sheet xmlns:r="http://schemas.openxmlformats.org/officeDocument/2006/relationships" name="SAFEREG" sheetId="34" state="visible" r:id="rId34"/>
    <sheet xmlns:r="http://schemas.openxmlformats.org/officeDocument/2006/relationships" name="R&amp;Os" sheetId="35" state="hidden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[Red](#,##0.0);&quot;-&quot;"/>
    <numFmt numFmtId="165" formatCode="0.0;[Red]-0.0;&quot;OK&quot;"/>
    <numFmt numFmtId="166" formatCode="0.0%;[Red]-0.0%;&quot;-&quot;"/>
    <numFmt numFmtId="167" formatCode="yyyy-mm-dd"/>
  </numFmts>
  <fonts count="10">
    <font>
      <name val="Calibri"/>
      <family val="2"/>
      <color theme="1"/>
      <sz val="11"/>
      <scheme val="minor"/>
    </font>
    <font>
      <i val="1"/>
      <color rgb="00C00000"/>
      <sz val="9"/>
    </font>
    <font>
      <b val="1"/>
    </font>
    <font>
      <b val="1"/>
      <color rgb="00002060"/>
      <sz val="13"/>
    </font>
    <font>
      <b val="1"/>
      <color rgb="00FFFFFF"/>
    </font>
    <font/>
    <font>
      <b val="1"/>
      <color rgb="00002060"/>
    </font>
    <font>
      <i val="1"/>
    </font>
    <font>
      <color rgb="00808080"/>
      <sz val="8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6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6" fillId="0" borderId="0" pivotButton="0" quotePrefix="0" xfId="0"/>
    <xf numFmtId="164" fontId="2" fillId="3" borderId="0" pivotButton="0" quotePrefix="0" xfId="0"/>
    <xf numFmtId="165" fontId="0" fillId="0" borderId="0" pivotButton="0" quotePrefix="0" xfId="0"/>
    <xf numFmtId="0" fontId="7" fillId="0" borderId="0" pivotButton="0" quotePrefix="0" xfId="0"/>
    <xf numFmtId="166" fontId="0" fillId="0" borderId="0" pivotButton="0" quotePrefix="0" xfId="0"/>
    <xf numFmtId="0" fontId="0" fillId="0" borderId="1" pivotButton="0" quotePrefix="0" xfId="0"/>
    <xf numFmtId="167" fontId="0" fillId="0" borderId="0" pivotButton="0" quotePrefix="0" xfId="0"/>
    <xf numFmtId="166" fontId="2" fillId="3" borderId="0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164" fontId="2" fillId="0" borderId="0" pivotButton="0" quotePrefix="0" xfId="0"/>
    <xf numFmtId="0" fontId="2" fillId="3" borderId="0" pivotButton="0" quotePrefix="0" xfId="0"/>
    <xf numFmtId="164" fontId="0" fillId="4" borderId="0" pivotButton="0" quotePrefix="0" xfId="0"/>
    <xf numFmtId="0" fontId="9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8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2">
      <c r="A2" t="inlineStr">
        <is>
          <t>Connection</t>
        </is>
      </c>
      <c r="B2" t="inlineStr">
        <is>
          <t>WSFN|HFM|HFM|ZAVALIVE|ZAVALIVE</t>
        </is>
      </c>
      <c r="C2" t="inlineStr">
        <is>
          <t>WSFN|HFM|HFM|ZAVALIVE|ZAVALIVE</t>
        </is>
      </c>
      <c r="D2" t="inlineStr">
        <is>
          <t>WSFN|HFM|HFM|ZAVALIVE|ZAVALIVE</t>
        </is>
      </c>
      <c r="E2" t="inlineStr">
        <is>
          <t>WSFN|HFM|HFM|ZAVALIVE|ZAVALIVE</t>
        </is>
      </c>
    </row>
    <row r="3">
      <c r="A3" t="inlineStr">
        <is>
          <t>Scenario#</t>
        </is>
      </c>
      <c r="B3" t="inlineStr">
        <is>
          <t>ACTUAL</t>
        </is>
      </c>
      <c r="C3" t="inlineStr">
        <is>
          <t>ACTUAL</t>
        </is>
      </c>
      <c r="D3" t="inlineStr">
        <is>
          <t>ACTUAL</t>
        </is>
      </c>
      <c r="E3" t="inlineStr">
        <is>
          <t>ACTUAL</t>
        </is>
      </c>
    </row>
    <row r="4">
      <c r="A4" t="inlineStr">
        <is>
          <t>Year#</t>
        </is>
      </c>
    </row>
    <row r="5">
      <c r="A5" t="inlineStr">
        <is>
          <t>Period#</t>
        </is>
      </c>
      <c r="B5" t="inlineStr">
        <is>
          <t>[YEAR]</t>
        </is>
      </c>
      <c r="C5" t="inlineStr">
        <is>
          <t>[YEAR]</t>
        </is>
      </c>
      <c r="D5" t="inlineStr">
        <is>
          <t>[YEAR]</t>
        </is>
      </c>
      <c r="E5" t="inlineStr">
        <is>
          <t>[YEAR]</t>
        </is>
      </c>
    </row>
    <row r="6">
      <c r="A6" t="inlineStr">
        <is>
          <t>View#</t>
        </is>
      </c>
      <c r="B6" t="inlineStr">
        <is>
          <t>&lt;Scenario View&gt;</t>
        </is>
      </c>
      <c r="C6" t="inlineStr">
        <is>
          <t>&lt;Scenario View&gt;</t>
        </is>
      </c>
      <c r="D6" t="inlineStr">
        <is>
          <t>&lt;Scenario View&gt;</t>
        </is>
      </c>
      <c r="E6" t="inlineStr">
        <is>
          <t>&lt;Scenario View&gt;</t>
        </is>
      </c>
    </row>
    <row r="7">
      <c r="A7" t="inlineStr">
        <is>
          <t>Entity#</t>
        </is>
      </c>
      <c r="B7" t="inlineStr">
        <is>
          <t>[None]</t>
        </is>
      </c>
      <c r="C7" t="inlineStr">
        <is>
          <t>[None]</t>
        </is>
      </c>
      <c r="D7" t="inlineStr">
        <is>
          <t>[None]</t>
        </is>
      </c>
      <c r="E7" t="inlineStr">
        <is>
          <t>[None]</t>
        </is>
      </c>
    </row>
    <row r="8">
      <c r="A8" t="inlineStr">
        <is>
          <t>Value#</t>
        </is>
      </c>
      <c r="B8" t="inlineStr">
        <is>
          <t>USD Total</t>
        </is>
      </c>
      <c r="C8" t="inlineStr">
        <is>
          <t>USD Total</t>
        </is>
      </c>
      <c r="D8" t="inlineStr">
        <is>
          <t>USD Total</t>
        </is>
      </c>
      <c r="E8" t="inlineStr">
        <is>
          <t>USD Total</t>
        </is>
      </c>
    </row>
    <row r="9">
      <c r="A9" t="inlineStr">
        <is>
          <t>Account#</t>
        </is>
      </c>
    </row>
    <row r="10">
      <c r="A10" t="inlineStr">
        <is>
          <t>ICP#</t>
        </is>
      </c>
      <c r="B10" t="inlineStr">
        <is>
          <t>[ICP Top]</t>
        </is>
      </c>
      <c r="C10" t="inlineStr">
        <is>
          <t>[ICP Top]</t>
        </is>
      </c>
      <c r="D10" t="inlineStr">
        <is>
          <t>[ICP Top]</t>
        </is>
      </c>
      <c r="E10" t="inlineStr">
        <is>
          <t>[ICP Top]</t>
        </is>
      </c>
    </row>
    <row r="11">
      <c r="A11" t="inlineStr">
        <is>
          <t>Custom1#</t>
        </is>
      </c>
      <c r="B11" t="inlineStr">
        <is>
          <t>TotalC1</t>
        </is>
      </c>
      <c r="C11" t="inlineStr">
        <is>
          <t>TotalC1</t>
        </is>
      </c>
      <c r="D11" t="inlineStr">
        <is>
          <t>TotalC1</t>
        </is>
      </c>
      <c r="E11" t="inlineStr">
        <is>
          <t>TotalC1</t>
        </is>
      </c>
    </row>
    <row r="12">
      <c r="A12" t="inlineStr">
        <is>
          <t>Custom2#</t>
        </is>
      </c>
      <c r="B12" t="inlineStr">
        <is>
          <t>TotalC2</t>
        </is>
      </c>
      <c r="C12" t="inlineStr">
        <is>
          <t>TotalC2</t>
        </is>
      </c>
      <c r="D12" t="inlineStr">
        <is>
          <t>TotalC2</t>
        </is>
      </c>
      <c r="E12" t="inlineStr">
        <is>
          <t>TotalC2</t>
        </is>
      </c>
    </row>
    <row r="13">
      <c r="A13" t="inlineStr">
        <is>
          <t>Custom3#</t>
        </is>
      </c>
      <c r="B13" t="inlineStr">
        <is>
          <t>TotalC3</t>
        </is>
      </c>
      <c r="C13" t="inlineStr">
        <is>
          <t>TotalC3</t>
        </is>
      </c>
      <c r="D13" t="inlineStr">
        <is>
          <t>TotalC3</t>
        </is>
      </c>
      <c r="E13" t="inlineStr">
        <is>
          <t>TotalC3</t>
        </is>
      </c>
    </row>
    <row r="14">
      <c r="A14" t="inlineStr">
        <is>
          <t>Custom4#</t>
        </is>
      </c>
      <c r="B14" t="inlineStr">
        <is>
          <t>TotalC4</t>
        </is>
      </c>
      <c r="C14" t="inlineStr">
        <is>
          <t>TotalC4</t>
        </is>
      </c>
      <c r="D14" t="inlineStr">
        <is>
          <t>TotalC4</t>
        </is>
      </c>
      <c r="E14" t="inlineStr">
        <is>
          <t>TotalC4</t>
        </is>
      </c>
    </row>
    <row r="15">
      <c r="B15" s="1" t="inlineStr">
        <is>
          <t>TRAINING DATA ONLY - Zava Safety and all business names and numbers are fictitious. Layout mirrors a typical HFM / Cognos reporting pack.</t>
        </is>
      </c>
    </row>
    <row r="16">
      <c r="B16" s="2" t="inlineStr">
        <is>
          <t>HFM entity name:</t>
        </is>
      </c>
      <c r="D16" t="inlineStr">
        <is>
          <t>SAFECON_2DISP</t>
        </is>
      </c>
      <c r="G16" t="inlineStr">
        <is>
          <t>Current ME</t>
        </is>
      </c>
      <c r="J16" t="inlineStr">
        <is>
          <t>Next ME</t>
        </is>
      </c>
      <c r="N16" t="inlineStr">
        <is>
          <t>Period</t>
        </is>
      </c>
      <c r="O16" t="inlineStr">
        <is>
          <t>Month-end</t>
        </is>
      </c>
    </row>
    <row r="17">
      <c r="B17" s="2" t="inlineStr">
        <is>
          <t>Current month-end period:</t>
        </is>
      </c>
      <c r="D17" t="inlineStr">
        <is>
          <t>P09</t>
        </is>
      </c>
      <c r="G17" t="inlineStr">
        <is>
          <t>Jan</t>
        </is>
      </c>
      <c r="H17" t="inlineStr">
        <is>
          <t>Actual</t>
        </is>
      </c>
      <c r="J17" t="inlineStr">
        <is>
          <t>Jan</t>
        </is>
      </c>
      <c r="K17" t="inlineStr">
        <is>
          <t>Actual</t>
        </is>
      </c>
      <c r="N17" t="inlineStr">
        <is>
          <t>P01</t>
        </is>
      </c>
    </row>
    <row r="18">
      <c r="B18" s="2" t="inlineStr">
        <is>
          <t>Next month-end period:</t>
        </is>
      </c>
      <c r="D18" t="inlineStr">
        <is>
          <t>P10</t>
        </is>
      </c>
      <c r="G18" t="inlineStr">
        <is>
          <t>Feb</t>
        </is>
      </c>
      <c r="H18" t="inlineStr">
        <is>
          <t>Actual</t>
        </is>
      </c>
      <c r="J18" t="inlineStr">
        <is>
          <t>Feb</t>
        </is>
      </c>
      <c r="K18" t="inlineStr">
        <is>
          <t>Actual</t>
        </is>
      </c>
      <c r="N18" t="inlineStr">
        <is>
          <t>P02</t>
        </is>
      </c>
    </row>
    <row r="19">
      <c r="B19" s="2" t="inlineStr">
        <is>
          <t>Current month-end date:</t>
        </is>
      </c>
      <c r="D19" t="inlineStr">
        <is>
          <t>2026-09-30</t>
        </is>
      </c>
      <c r="G19" t="inlineStr">
        <is>
          <t>Mar</t>
        </is>
      </c>
      <c r="H19" t="inlineStr">
        <is>
          <t>Actual</t>
        </is>
      </c>
      <c r="J19" t="inlineStr">
        <is>
          <t>Mar</t>
        </is>
      </c>
      <c r="K19" t="inlineStr">
        <is>
          <t>Actual</t>
        </is>
      </c>
      <c r="N19" t="inlineStr">
        <is>
          <t>P03</t>
        </is>
      </c>
    </row>
    <row r="20">
      <c r="B20" s="2" t="inlineStr">
        <is>
          <t>Forecast reference for actual</t>
        </is>
      </c>
      <c r="D20" t="inlineStr">
        <is>
          <t>FCAST09</t>
        </is>
      </c>
      <c r="G20" t="inlineStr">
        <is>
          <t>Apr</t>
        </is>
      </c>
      <c r="H20" t="inlineStr">
        <is>
          <t>Actual</t>
        </is>
      </c>
      <c r="J20" t="inlineStr">
        <is>
          <t>Apr</t>
        </is>
      </c>
      <c r="K20" t="inlineStr">
        <is>
          <t>Actual</t>
        </is>
      </c>
      <c r="N20" t="inlineStr">
        <is>
          <t>P04</t>
        </is>
      </c>
    </row>
    <row r="21">
      <c r="B21" s="2" t="inlineStr">
        <is>
          <t>Next month-end date:</t>
        </is>
      </c>
      <c r="D21" t="inlineStr">
        <is>
          <t>2026-10-31</t>
        </is>
      </c>
      <c r="G21" t="inlineStr">
        <is>
          <t>May</t>
        </is>
      </c>
      <c r="H21" t="inlineStr">
        <is>
          <t>Actual</t>
        </is>
      </c>
      <c r="J21" t="inlineStr">
        <is>
          <t>May</t>
        </is>
      </c>
      <c r="K21" t="inlineStr">
        <is>
          <t>Actual</t>
        </is>
      </c>
      <c r="N21" t="inlineStr">
        <is>
          <t>P05</t>
        </is>
      </c>
    </row>
    <row r="22">
      <c r="B22" s="2" t="inlineStr">
        <is>
          <t>Forecast reference for actual</t>
        </is>
      </c>
      <c r="D22" t="inlineStr">
        <is>
          <t>FCAST10</t>
        </is>
      </c>
      <c r="G22" t="inlineStr">
        <is>
          <t>Jun</t>
        </is>
      </c>
      <c r="H22" t="inlineStr">
        <is>
          <t>Actual</t>
        </is>
      </c>
      <c r="J22" t="inlineStr">
        <is>
          <t>Jun</t>
        </is>
      </c>
      <c r="K22" t="inlineStr">
        <is>
          <t>Actual</t>
        </is>
      </c>
      <c r="N22" t="inlineStr">
        <is>
          <t>P06</t>
        </is>
      </c>
    </row>
    <row r="23">
      <c r="G23" t="inlineStr">
        <is>
          <t>Jul</t>
        </is>
      </c>
      <c r="H23" t="inlineStr">
        <is>
          <t>Actual</t>
        </is>
      </c>
      <c r="J23" t="inlineStr">
        <is>
          <t>Jul</t>
        </is>
      </c>
      <c r="K23" t="inlineStr">
        <is>
          <t>Actual</t>
        </is>
      </c>
      <c r="N23" t="inlineStr">
        <is>
          <t>P07</t>
        </is>
      </c>
    </row>
    <row r="24">
      <c r="G24" t="inlineStr">
        <is>
          <t>Aug</t>
        </is>
      </c>
      <c r="H24" t="inlineStr">
        <is>
          <t>Actual</t>
        </is>
      </c>
      <c r="J24" t="inlineStr">
        <is>
          <t>Aug</t>
        </is>
      </c>
      <c r="K24" t="inlineStr">
        <is>
          <t>Actual</t>
        </is>
      </c>
      <c r="N24" t="inlineStr">
        <is>
          <t>P08</t>
        </is>
      </c>
    </row>
    <row r="25">
      <c r="B25" s="2" t="inlineStr">
        <is>
          <t>Current Period Estimate or Retrieve:</t>
        </is>
      </c>
      <c r="D25" t="inlineStr">
        <is>
          <t>Retrieve</t>
        </is>
      </c>
      <c r="G25" t="inlineStr">
        <is>
          <t>Sep</t>
        </is>
      </c>
      <c r="H25" t="inlineStr">
        <is>
          <t>FCAST09</t>
        </is>
      </c>
      <c r="J25" t="inlineStr">
        <is>
          <t>Sep</t>
        </is>
      </c>
      <c r="K25" t="inlineStr">
        <is>
          <t>Actual</t>
        </is>
      </c>
      <c r="N25" t="inlineStr">
        <is>
          <t>P09</t>
        </is>
      </c>
    </row>
    <row r="26">
      <c r="B26" s="2" t="inlineStr">
        <is>
          <t>Reported or Excl ACQ:</t>
        </is>
      </c>
      <c r="D26" t="inlineStr">
        <is>
          <t>Reported</t>
        </is>
      </c>
      <c r="G26" t="inlineStr">
        <is>
          <t>Oct</t>
        </is>
      </c>
      <c r="H26" t="inlineStr">
        <is>
          <t>FCAST09</t>
        </is>
      </c>
      <c r="J26" t="inlineStr">
        <is>
          <t>Oct</t>
        </is>
      </c>
      <c r="K26" t="inlineStr">
        <is>
          <t>FCAST10</t>
        </is>
      </c>
      <c r="N26" t="inlineStr">
        <is>
          <t>P10</t>
        </is>
      </c>
    </row>
    <row r="27">
      <c r="G27" t="inlineStr">
        <is>
          <t>Nov</t>
        </is>
      </c>
      <c r="H27" t="inlineStr">
        <is>
          <t>FCAST09</t>
        </is>
      </c>
      <c r="J27" t="inlineStr">
        <is>
          <t>Nov</t>
        </is>
      </c>
      <c r="K27" t="inlineStr">
        <is>
          <t>FCAST10</t>
        </is>
      </c>
      <c r="N27" t="inlineStr">
        <is>
          <t>P11</t>
        </is>
      </c>
    </row>
    <row r="28">
      <c r="G28" t="inlineStr">
        <is>
          <t>Dec</t>
        </is>
      </c>
      <c r="H28" t="inlineStr">
        <is>
          <t>FCAST09</t>
        </is>
      </c>
      <c r="J28" t="inlineStr">
        <is>
          <t>Dec</t>
        </is>
      </c>
      <c r="K28" t="inlineStr">
        <is>
          <t>FCAST10</t>
        </is>
      </c>
      <c r="N28" t="inlineStr">
        <is>
          <t>P12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3" t="inlineStr">
        <is>
          <t>Billing Days &amp; Daily Sales</t>
        </is>
      </c>
    </row>
    <row r="2">
      <c r="A2" s="1" t="inlineStr">
        <is>
          <t>TRAINING DATA ONLY - Zava Safety and all business names and numbers are fictitious. Layout mirrors a typical HFM / Cognos reporting pack.</t>
        </is>
      </c>
    </row>
    <row r="4">
      <c r="B4" s="4" t="inlineStr">
        <is>
          <t>January</t>
        </is>
      </c>
      <c r="C4" s="4" t="inlineStr">
        <is>
          <t>February</t>
        </is>
      </c>
      <c r="D4" s="4" t="inlineStr">
        <is>
          <t>March</t>
        </is>
      </c>
      <c r="E4" s="4" t="inlineStr">
        <is>
          <t>April</t>
        </is>
      </c>
      <c r="F4" s="4" t="inlineStr">
        <is>
          <t>May</t>
        </is>
      </c>
      <c r="G4" s="4" t="inlineStr">
        <is>
          <t>June</t>
        </is>
      </c>
      <c r="H4" s="4" t="inlineStr">
        <is>
          <t>July</t>
        </is>
      </c>
      <c r="I4" s="4" t="inlineStr">
        <is>
          <t>August</t>
        </is>
      </c>
      <c r="J4" s="4" t="inlineStr">
        <is>
          <t>September</t>
        </is>
      </c>
      <c r="K4" s="4" t="inlineStr">
        <is>
          <t>October</t>
        </is>
      </c>
      <c r="L4" s="4" t="inlineStr">
        <is>
          <t>November</t>
        </is>
      </c>
      <c r="M4" s="4" t="inlineStr">
        <is>
          <t>December</t>
        </is>
      </c>
      <c r="N4" s="4" t="inlineStr">
        <is>
          <t>Full Year</t>
        </is>
      </c>
    </row>
    <row r="5">
      <c r="A5" s="5" t="inlineStr">
        <is>
          <t>Reported Sales - FCAST10 (Actual Jan-Sep)</t>
        </is>
      </c>
      <c r="B5" s="6" t="n">
        <v>49776.7</v>
      </c>
      <c r="C5" s="6" t="n">
        <v>49033.4</v>
      </c>
      <c r="D5" s="6" t="n">
        <v>52588.4</v>
      </c>
      <c r="E5" s="6" t="n">
        <v>56881.9</v>
      </c>
      <c r="F5" s="6" t="n">
        <v>51833.5</v>
      </c>
      <c r="G5" s="6" t="n">
        <v>54124.1</v>
      </c>
      <c r="H5" s="6" t="n">
        <v>53826.7</v>
      </c>
      <c r="I5" s="6" t="n">
        <v>52681.3</v>
      </c>
      <c r="J5" s="6" t="n">
        <v>53640.4</v>
      </c>
      <c r="K5" s="6" t="n">
        <v>54420.3</v>
      </c>
      <c r="L5" s="6" t="n">
        <v>50066</v>
      </c>
      <c r="M5" s="6" t="n">
        <v>55284.2</v>
      </c>
      <c r="N5" s="6">
        <f>SUM(B5:M5)</f>
        <v>634156.9</v>
      </c>
    </row>
    <row r="6">
      <c r="A6" s="5" t="inlineStr">
        <is>
          <t>Days 2026</t>
        </is>
      </c>
      <c r="B6" s="7" t="n">
        <v>21</v>
      </c>
      <c r="C6" s="7" t="n">
        <v>20</v>
      </c>
      <c r="D6" s="7" t="n">
        <v>22</v>
      </c>
      <c r="E6" s="7" t="n">
        <v>22</v>
      </c>
      <c r="F6" s="7" t="n">
        <v>20</v>
      </c>
      <c r="G6" s="7" t="n">
        <v>22</v>
      </c>
      <c r="H6" s="7" t="n">
        <v>22</v>
      </c>
      <c r="I6" s="7" t="n">
        <v>21</v>
      </c>
      <c r="J6" s="7" t="n">
        <v>21</v>
      </c>
      <c r="K6" s="7" t="n">
        <v>22</v>
      </c>
      <c r="L6" s="7" t="n">
        <v>19</v>
      </c>
      <c r="M6" s="7" t="n">
        <v>22</v>
      </c>
      <c r="N6" s="7">
        <f>SUM(B6:M6)</f>
        <v>254.0</v>
      </c>
    </row>
    <row r="7">
      <c r="A7" s="2" t="inlineStr">
        <is>
          <t>Daily Reported Sales</t>
        </is>
      </c>
      <c r="B7" s="6">
        <f>B5/B6</f>
        <v>2370.3190476190475</v>
      </c>
      <c r="C7" s="6">
        <f>C5/C6</f>
        <v>2451.67</v>
      </c>
      <c r="D7" s="6">
        <f>D5/D6</f>
        <v>2390.3818181818183</v>
      </c>
      <c r="E7" s="6">
        <f>E5/E6</f>
        <v>2585.5409090909093</v>
      </c>
      <c r="F7" s="6">
        <f>F5/F6</f>
        <v>2591.675</v>
      </c>
      <c r="G7" s="6">
        <f>G5/G6</f>
        <v>2460.1863636363637</v>
      </c>
      <c r="H7" s="6">
        <f>H5/H6</f>
        <v>2446.668181818182</v>
      </c>
      <c r="I7" s="6">
        <f>I5/I6</f>
        <v>2508.6333333333337</v>
      </c>
      <c r="J7" s="6">
        <f>J5/J6</f>
        <v>2554.304761904762</v>
      </c>
      <c r="K7" s="6">
        <f>K5/K6</f>
        <v>2473.65</v>
      </c>
      <c r="L7" s="6">
        <f>L5/L6</f>
        <v>2635.0526315789475</v>
      </c>
      <c r="M7" s="6">
        <f>M5/M6</f>
        <v>2512.918181818182</v>
      </c>
      <c r="N7" s="6">
        <f>N5/N6</f>
        <v>2496.6807086614176</v>
      </c>
    </row>
    <row r="8">
      <c r="A8" s="5" t="inlineStr">
        <is>
          <t>Budget Sales 2026</t>
        </is>
      </c>
      <c r="B8" s="6" t="n">
        <v>49083</v>
      </c>
      <c r="C8" s="6" t="n">
        <v>48050</v>
      </c>
      <c r="D8" s="6" t="n">
        <v>51666.4</v>
      </c>
      <c r="E8" s="6" t="n">
        <v>55799.9</v>
      </c>
      <c r="F8" s="6" t="n">
        <v>50633.4</v>
      </c>
      <c r="G8" s="6" t="n">
        <v>53216.8</v>
      </c>
      <c r="H8" s="6" t="n">
        <v>52699.6</v>
      </c>
      <c r="I8" s="6" t="n">
        <v>51666.6</v>
      </c>
      <c r="J8" s="6" t="n">
        <v>50633.2</v>
      </c>
      <c r="K8" s="6" t="n">
        <v>54249.8</v>
      </c>
      <c r="L8" s="6" t="n">
        <v>49083.1</v>
      </c>
      <c r="M8" s="6" t="n">
        <v>53216.3</v>
      </c>
      <c r="N8" s="6">
        <f>SUM(B8:M8)</f>
        <v>619998.1</v>
      </c>
    </row>
    <row r="9">
      <c r="A9" s="2" t="inlineStr">
        <is>
          <t>Daily Budget Sales</t>
        </is>
      </c>
      <c r="B9" s="6">
        <f>B8/B6</f>
        <v>2337.285714285714</v>
      </c>
      <c r="C9" s="6">
        <f>C8/C6</f>
        <v>2402.5</v>
      </c>
      <c r="D9" s="6">
        <f>D8/D6</f>
        <v>2348.4727272727273</v>
      </c>
      <c r="E9" s="6">
        <f>E8/E6</f>
        <v>2536.359090909091</v>
      </c>
      <c r="F9" s="6">
        <f>F8/F6</f>
        <v>2531.67</v>
      </c>
      <c r="G9" s="6">
        <f>G8/G6</f>
        <v>2418.9454545454546</v>
      </c>
      <c r="H9" s="6">
        <f>H8/H6</f>
        <v>2395.4363636363637</v>
      </c>
      <c r="I9" s="6">
        <f>I8/I6</f>
        <v>2460.3142857142857</v>
      </c>
      <c r="J9" s="6">
        <f>J8/J6</f>
        <v>2411.1047619047617</v>
      </c>
      <c r="K9" s="6">
        <f>K8/K6</f>
        <v>2465.9</v>
      </c>
      <c r="L9" s="6">
        <f>L8/L6</f>
        <v>2583.321052631579</v>
      </c>
      <c r="M9" s="6">
        <f>M8/M6</f>
        <v>2418.9227272727276</v>
      </c>
      <c r="N9" s="6">
        <f>N8/N6</f>
        <v>2440.937401574803</v>
      </c>
    </row>
    <row r="10">
      <c r="A10" s="5" t="inlineStr">
        <is>
          <t>Reported Sales 2025</t>
        </is>
      </c>
      <c r="B10" s="6" t="n">
        <v>46990.7</v>
      </c>
      <c r="C10" s="6" t="n">
        <v>45717.1</v>
      </c>
      <c r="D10" s="6" t="n">
        <v>49328.6</v>
      </c>
      <c r="E10" s="6" t="n">
        <v>53313.8</v>
      </c>
      <c r="F10" s="6" t="n">
        <v>48140.4</v>
      </c>
      <c r="G10" s="6" t="n">
        <v>50828.2</v>
      </c>
      <c r="H10" s="6" t="n">
        <v>50581.7</v>
      </c>
      <c r="I10" s="6" t="n">
        <v>48966.9</v>
      </c>
      <c r="J10" s="6" t="n">
        <v>48517.7</v>
      </c>
      <c r="K10" s="6" t="n">
        <v>51865.9</v>
      </c>
      <c r="L10" s="6" t="n">
        <v>46746</v>
      </c>
      <c r="M10" s="6" t="n">
        <v>50915.4</v>
      </c>
      <c r="N10" s="6">
        <f>SUM(B10:M10)</f>
        <v>591912.4</v>
      </c>
    </row>
    <row r="11">
      <c r="A11" s="5" t="inlineStr">
        <is>
          <t>Days 2025</t>
        </is>
      </c>
      <c r="B11" s="7" t="n">
        <v>22</v>
      </c>
      <c r="C11" s="7" t="n">
        <v>20</v>
      </c>
      <c r="D11" s="7" t="n">
        <v>21</v>
      </c>
      <c r="E11" s="7" t="n">
        <v>22</v>
      </c>
      <c r="F11" s="7" t="n">
        <v>21</v>
      </c>
      <c r="G11" s="7" t="n">
        <v>21</v>
      </c>
      <c r="H11" s="7" t="n">
        <v>22</v>
      </c>
      <c r="I11" s="7" t="n">
        <v>21</v>
      </c>
      <c r="J11" s="7" t="n">
        <v>21</v>
      </c>
      <c r="K11" s="7" t="n">
        <v>23</v>
      </c>
      <c r="L11" s="7" t="n">
        <v>18</v>
      </c>
      <c r="M11" s="7" t="n">
        <v>22</v>
      </c>
      <c r="N11" s="7">
        <f>SUM(B11:M11)</f>
        <v>254.0</v>
      </c>
    </row>
    <row r="12">
      <c r="A12" s="2" t="inlineStr">
        <is>
          <t>Daily Reported Sales 2025</t>
        </is>
      </c>
      <c r="B12" s="6">
        <f>B10/B11</f>
        <v>2135.940909090909</v>
      </c>
      <c r="C12" s="6">
        <f>C10/C11</f>
        <v>2285.855</v>
      </c>
      <c r="D12" s="6">
        <f>D10/D11</f>
        <v>2348.980952380952</v>
      </c>
      <c r="E12" s="6">
        <f>E10/E11</f>
        <v>2423.3545454545456</v>
      </c>
      <c r="F12" s="6">
        <f>F10/F11</f>
        <v>2292.4</v>
      </c>
      <c r="G12" s="6">
        <f>G10/G11</f>
        <v>2420.390476190476</v>
      </c>
      <c r="H12" s="6">
        <f>H10/H11</f>
        <v>2299.168181818182</v>
      </c>
      <c r="I12" s="6">
        <f>I10/I11</f>
        <v>2331.7571428571428</v>
      </c>
      <c r="J12" s="6">
        <f>J10/J11</f>
        <v>2310.3666666666663</v>
      </c>
      <c r="K12" s="6">
        <f>K10/K11</f>
        <v>2255.0391304347827</v>
      </c>
      <c r="L12" s="6">
        <f>L10/L11</f>
        <v>2597.0</v>
      </c>
      <c r="M12" s="6">
        <f>M10/M11</f>
        <v>2314.336363636364</v>
      </c>
      <c r="N12" s="6">
        <f>N10/N11</f>
        <v>2330.363779527559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Variances Summary by Business - FCAST10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8" t="inlineStr">
        <is>
          <t>Sales</t>
        </is>
      </c>
    </row>
    <row r="9">
      <c r="B9" t="inlineStr">
        <is>
          <t>Alder Gloves</t>
        </is>
      </c>
      <c r="C9" s="6">
        <f>'Alder'!BU28</f>
        <v>0.0</v>
      </c>
      <c r="D9" s="6">
        <f>'Alder'!BV28</f>
        <v>4321.500000000015</v>
      </c>
      <c r="E9" s="6">
        <f>'Alder'!BW28</f>
        <v>9085.900000000009</v>
      </c>
      <c r="F9" s="6">
        <f>'Alder'!BY28</f>
        <v>-600.0</v>
      </c>
      <c r="G9" s="6">
        <f>'Alder'!BZ28</f>
        <v>890.0</v>
      </c>
      <c r="H9" s="6">
        <f>'Alder'!CA28</f>
        <v>2526.399999999994</v>
      </c>
      <c r="I9" s="6">
        <f>'Alder'!CC28</f>
        <v>-600.0</v>
      </c>
      <c r="J9" s="6">
        <f>'Alder'!CD28</f>
        <v>5211.5</v>
      </c>
      <c r="K9" s="6">
        <f>'Alder'!CE28</f>
        <v>11612.299999999988</v>
      </c>
    </row>
    <row r="10">
      <c r="B10" t="inlineStr">
        <is>
          <t>Beacon Hi-Vis</t>
        </is>
      </c>
      <c r="C10" s="6">
        <f>'Beacon'!BU28</f>
        <v>150.0</v>
      </c>
      <c r="D10" s="6">
        <f>'Beacon'!BV28</f>
        <v>3250.7999999999884</v>
      </c>
      <c r="E10" s="6">
        <f>'Beacon'!BW28</f>
        <v>6179.0</v>
      </c>
      <c r="F10" s="6">
        <f>'Beacon'!BY28</f>
        <v>750.0</v>
      </c>
      <c r="G10" s="6">
        <f>'Beacon'!BZ28</f>
        <v>2417.0</v>
      </c>
      <c r="H10" s="6">
        <f>'Beacon'!CA28</f>
        <v>3639.300000000003</v>
      </c>
      <c r="I10" s="6">
        <f>'Beacon'!CC28</f>
        <v>900.0</v>
      </c>
      <c r="J10" s="6">
        <f>'Beacon'!CD28</f>
        <v>5667.799999999988</v>
      </c>
      <c r="K10" s="6">
        <f>'Beacon'!CE28</f>
        <v>9818.300000000003</v>
      </c>
    </row>
    <row r="11">
      <c r="B11" t="inlineStr">
        <is>
          <t>Cobalt Eyewear</t>
        </is>
      </c>
      <c r="C11" s="6">
        <f>'Cobalt'!BU28</f>
        <v>30.0</v>
      </c>
      <c r="D11" s="6">
        <f>'Cobalt'!BV28</f>
        <v>-114.60000000000582</v>
      </c>
      <c r="E11" s="6">
        <f>'Cobalt'!BW28</f>
        <v>1556.199999999997</v>
      </c>
      <c r="F11" s="6">
        <f>'Cobalt'!BY28</f>
        <v>120.0</v>
      </c>
      <c r="G11" s="6">
        <f>'Cobalt'!BZ28</f>
        <v>5.5</v>
      </c>
      <c r="H11" s="6">
        <f>'Cobalt'!CA28</f>
        <v>598.7999999999993</v>
      </c>
      <c r="I11" s="6">
        <f>'Cobalt'!CC28</f>
        <v>150.0</v>
      </c>
      <c r="J11" s="6">
        <f>'Cobalt'!CD28</f>
        <v>-109.09999999999854</v>
      </c>
      <c r="K11" s="6">
        <f>'Cobalt'!CE28</f>
        <v>2155.0</v>
      </c>
    </row>
    <row r="12">
      <c r="B12" t="inlineStr">
        <is>
          <t>Delta Welding Supply</t>
        </is>
      </c>
      <c r="C12" s="6">
        <f>'Delta'!BU28</f>
        <v>0.0</v>
      </c>
      <c r="D12" s="6">
        <f>'Delta'!BV28</f>
        <v>-664.0</v>
      </c>
      <c r="E12" s="6">
        <f>'Delta'!BW28</f>
        <v>386.8000000000029</v>
      </c>
      <c r="F12" s="6">
        <f>'Delta'!BY28</f>
        <v>0.0</v>
      </c>
      <c r="G12" s="6">
        <f>'Delta'!BZ28</f>
        <v>-260.60000000000036</v>
      </c>
      <c r="H12" s="6">
        <f>'Delta'!CA28</f>
        <v>8.399999999999636</v>
      </c>
      <c r="I12" s="6">
        <f>'Delta'!CC28</f>
        <v>0.0</v>
      </c>
      <c r="J12" s="6">
        <f>'Delta'!CD28</f>
        <v>-924.5999999999985</v>
      </c>
      <c r="K12" s="6">
        <f>'Delta'!CE28</f>
        <v>395.20000000000437</v>
      </c>
    </row>
    <row r="13">
      <c r="B13" t="inlineStr">
        <is>
          <t>Ember Workwear</t>
        </is>
      </c>
      <c r="C13" s="6">
        <f>'Ember'!BU28</f>
        <v>-260.0</v>
      </c>
      <c r="D13" s="6">
        <f>'Ember'!BV28</f>
        <v>-1538.300000000003</v>
      </c>
      <c r="E13" s="6">
        <f>'Ember'!BW28</f>
        <v>-177.00000000000728</v>
      </c>
      <c r="F13" s="6">
        <f>'Ember'!BY28</f>
        <v>-240.0</v>
      </c>
      <c r="G13" s="6">
        <f>'Ember'!BZ28</f>
        <v>-978.3999999999978</v>
      </c>
      <c r="H13" s="6">
        <f>'Ember'!CA28</f>
        <v>-640.2999999999993</v>
      </c>
      <c r="I13" s="6">
        <f>'Ember'!CC28</f>
        <v>-500.0</v>
      </c>
      <c r="J13" s="6">
        <f>'Ember'!CD28</f>
        <v>-2516.7000000000044</v>
      </c>
      <c r="K13" s="6">
        <f>'Ember'!CE28</f>
        <v>-817.3000000000102</v>
      </c>
    </row>
    <row r="14">
      <c r="B14" t="inlineStr">
        <is>
          <t>Falcon Hand Protection</t>
        </is>
      </c>
      <c r="C14" s="6">
        <f>'Falcon'!BU28</f>
        <v>300.0</v>
      </c>
      <c r="D14" s="6">
        <f>'Falcon'!BV28</f>
        <v>5882.0</v>
      </c>
      <c r="E14" s="6">
        <f>'Falcon'!BW28</f>
        <v>9896.399999999987</v>
      </c>
      <c r="F14" s="6">
        <f>'Falcon'!BY28</f>
        <v>900.0</v>
      </c>
      <c r="G14" s="6">
        <f>'Falcon'!BZ28</f>
        <v>3410.600000000002</v>
      </c>
      <c r="H14" s="6">
        <f>'Falcon'!CA28</f>
        <v>4812.9000000000015</v>
      </c>
      <c r="I14" s="6">
        <f>'Falcon'!CC28</f>
        <v>1200.0</v>
      </c>
      <c r="J14" s="6">
        <f>'Falcon'!CD28</f>
        <v>9292.599999999991</v>
      </c>
      <c r="K14" s="6">
        <f>'Falcon'!CE28</f>
        <v>14709.299999999988</v>
      </c>
    </row>
    <row r="15">
      <c r="B15" t="inlineStr">
        <is>
          <t>Granite Gloves</t>
        </is>
      </c>
      <c r="C15" s="6">
        <f>'Granite'!BU28</f>
        <v>-430.0</v>
      </c>
      <c r="D15" s="6">
        <f>'Granite'!BV28</f>
        <v>-2792.4000000000015</v>
      </c>
      <c r="E15" s="6">
        <f>'Granite'!BW28</f>
        <v>-1464.4000000000015</v>
      </c>
      <c r="F15" s="6">
        <f>'Granite'!BY28</f>
        <v>-750.0</v>
      </c>
      <c r="G15" s="6">
        <f>'Granite'!BZ28</f>
        <v>-1450.9000000000015</v>
      </c>
      <c r="H15" s="6">
        <f>'Granite'!CA28</f>
        <v>-1011.1999999999989</v>
      </c>
      <c r="I15" s="6">
        <f>'Granite'!CC28</f>
        <v>-1180.0</v>
      </c>
      <c r="J15" s="6">
        <f>'Granite'!CD28</f>
        <v>-4243.300000000003</v>
      </c>
      <c r="K15" s="6">
        <f>'Granite'!CE28</f>
        <v>-2475.5999999999985</v>
      </c>
    </row>
    <row r="16">
      <c r="B16" t="inlineStr">
        <is>
          <t>Hollis Rainwear</t>
        </is>
      </c>
      <c r="C16" s="6">
        <f>'Hollis'!BU28</f>
        <v>1655.0</v>
      </c>
      <c r="D16" s="6">
        <f>'Hollis'!BV28</f>
        <v>2592.5</v>
      </c>
      <c r="E16" s="6">
        <f>'Hollis'!BW28</f>
        <v>6538.400000000009</v>
      </c>
      <c r="F16" s="6">
        <f>'Hollis'!BY28</f>
        <v>-1235.0</v>
      </c>
      <c r="G16" s="6">
        <f>'Hollis'!BZ28</f>
        <v>-811.9000000000015</v>
      </c>
      <c r="H16" s="6">
        <f>'Hollis'!CA28</f>
        <v>308.8999999999978</v>
      </c>
      <c r="I16" s="6">
        <f>'Hollis'!CC28</f>
        <v>420.0</v>
      </c>
      <c r="J16" s="6">
        <f>'Hollis'!CD28</f>
        <v>1780.5999999999913</v>
      </c>
      <c r="K16" s="6">
        <f>'Hollis'!CE28</f>
        <v>6847.300000000003</v>
      </c>
    </row>
    <row r="17">
      <c r="B17" t="inlineStr">
        <is>
          <t>Safety Region (regional office)</t>
        </is>
      </c>
      <c r="C17" s="6">
        <f>'SAFEREG'!BU28</f>
        <v>0.0</v>
      </c>
      <c r="D17" s="6">
        <f>'SAFEREG'!BV28</f>
        <v>0.0</v>
      </c>
      <c r="E17" s="6">
        <f>'SAFEREG'!BW28</f>
        <v>0.0</v>
      </c>
      <c r="F17" s="6">
        <f>'SAFEREG'!BY28</f>
        <v>0.0</v>
      </c>
      <c r="G17" s="6">
        <f>'SAFEREG'!BZ28</f>
        <v>0.0</v>
      </c>
      <c r="H17" s="6">
        <f>'SAFEREG'!CA28</f>
        <v>0.0</v>
      </c>
      <c r="I17" s="6">
        <f>'SAFEREG'!CC28</f>
        <v>0.0</v>
      </c>
      <c r="J17" s="6">
        <f>'SAFEREG'!CD28</f>
        <v>0.0</v>
      </c>
      <c r="K17" s="6">
        <f>'SAFEREG'!CE28</f>
        <v>0.0</v>
      </c>
    </row>
    <row r="18">
      <c r="B18" s="2" t="inlineStr">
        <is>
          <t>Total Zava Safety</t>
        </is>
      </c>
      <c r="C18" s="9">
        <f>SUM(C9:C17)</f>
        <v>1445.0</v>
      </c>
      <c r="D18" s="9">
        <f>SUM(D9:D17)</f>
        <v>10937.499999999993</v>
      </c>
      <c r="E18" s="9">
        <f>SUM(E9:E17)</f>
        <v>32001.299999999996</v>
      </c>
      <c r="F18" s="9">
        <f>SUM(F9:F17)</f>
        <v>-1055.0</v>
      </c>
      <c r="G18" s="9">
        <f>SUM(G9:G17)</f>
        <v>3221.300000000001</v>
      </c>
      <c r="H18" s="9">
        <f>SUM(H9:H17)</f>
        <v>10243.199999999997</v>
      </c>
      <c r="I18" s="9">
        <f>SUM(I9:I17)</f>
        <v>390.0</v>
      </c>
      <c r="J18" s="9">
        <f>SUM(J9:J17)</f>
        <v>14158.799999999967</v>
      </c>
      <c r="K18" s="9">
        <f>SUM(K9:K17)</f>
        <v>42244.49999999998</v>
      </c>
    </row>
    <row r="20">
      <c r="B20" s="8" t="inlineStr">
        <is>
          <t>Gross Margin</t>
        </is>
      </c>
    </row>
    <row r="21">
      <c r="B21" t="inlineStr">
        <is>
          <t>Alder Gloves</t>
        </is>
      </c>
      <c r="C21" s="6">
        <f>'Alder'!BU29</f>
        <v>-160.0</v>
      </c>
      <c r="D21" s="6">
        <f>'Alder'!BV29</f>
        <v>-475.7000000000007</v>
      </c>
      <c r="E21" s="6">
        <f>'Alder'!BW29</f>
        <v>123.49999999999636</v>
      </c>
      <c r="F21" s="6">
        <f>'Alder'!BY29</f>
        <v>-420.0</v>
      </c>
      <c r="G21" s="6">
        <f>'Alder'!BZ29</f>
        <v>-1101.0</v>
      </c>
      <c r="H21" s="6">
        <f>'Alder'!CA29</f>
        <v>-909.6000000000004</v>
      </c>
      <c r="I21" s="6">
        <f>'Alder'!CC29</f>
        <v>-580.0</v>
      </c>
      <c r="J21" s="6">
        <f>'Alder'!CD29</f>
        <v>-1576.7000000000044</v>
      </c>
      <c r="K21" s="6">
        <f>'Alder'!CE29</f>
        <v>-786.0999999999985</v>
      </c>
    </row>
    <row r="22">
      <c r="B22" t="inlineStr">
        <is>
          <t>Beacon Hi-Vis</t>
        </is>
      </c>
      <c r="C22" s="6">
        <f>'Beacon'!BU29</f>
        <v>60.0</v>
      </c>
      <c r="D22" s="6">
        <f>'Beacon'!BV29</f>
        <v>2370.900000000005</v>
      </c>
      <c r="E22" s="6">
        <f>'Beacon'!BW29</f>
        <v>3866.800000000003</v>
      </c>
      <c r="F22" s="6">
        <f>'Beacon'!BY29</f>
        <v>290.0</v>
      </c>
      <c r="G22" s="6">
        <f>'Beacon'!BZ29</f>
        <v>1301.6999999999998</v>
      </c>
      <c r="H22" s="6">
        <f>'Beacon'!CA29</f>
        <v>1877.2999999999993</v>
      </c>
      <c r="I22" s="6">
        <f>'Beacon'!CC29</f>
        <v>350.0</v>
      </c>
      <c r="J22" s="6">
        <f>'Beacon'!CD29</f>
        <v>3672.6000000000095</v>
      </c>
      <c r="K22" s="6">
        <f>'Beacon'!CE29</f>
        <v>5744.100000000002</v>
      </c>
    </row>
    <row r="23">
      <c r="B23" t="inlineStr">
        <is>
          <t>Cobalt Eyewear</t>
        </is>
      </c>
      <c r="C23" s="6">
        <f>'Cobalt'!BU29</f>
        <v>-162.0</v>
      </c>
      <c r="D23" s="6">
        <f>'Cobalt'!BV29</f>
        <v>-598.3999999999996</v>
      </c>
      <c r="E23" s="6">
        <f>'Cobalt'!BW29</f>
        <v>253.60000000000036</v>
      </c>
      <c r="F23" s="6">
        <f>'Cobalt'!BY29</f>
        <v>-648.0</v>
      </c>
      <c r="G23" s="6">
        <f>'Cobalt'!BZ29</f>
        <v>-833.5</v>
      </c>
      <c r="H23" s="6">
        <f>'Cobalt'!CA29</f>
        <v>-575.3999999999996</v>
      </c>
      <c r="I23" s="6">
        <f>'Cobalt'!CC29</f>
        <v>-810.0</v>
      </c>
      <c r="J23" s="6">
        <f>'Cobalt'!CD29</f>
        <v>-1431.8999999999978</v>
      </c>
      <c r="K23" s="6">
        <f>'Cobalt'!CE29</f>
        <v>-321.7999999999993</v>
      </c>
    </row>
    <row r="24">
      <c r="B24" t="inlineStr">
        <is>
          <t>Delta Welding Supply</t>
        </is>
      </c>
      <c r="C24" s="6">
        <f>'Delta'!BU29</f>
        <v>0.0</v>
      </c>
      <c r="D24" s="6">
        <f>'Delta'!BV29</f>
        <v>-209.70000000000255</v>
      </c>
      <c r="E24" s="6">
        <f>'Delta'!BW29</f>
        <v>72.19999999999891</v>
      </c>
      <c r="F24" s="6">
        <f>'Delta'!BY29</f>
        <v>0.0</v>
      </c>
      <c r="G24" s="6">
        <f>'Delta'!BZ29</f>
        <v>-94.69999999999982</v>
      </c>
      <c r="H24" s="6">
        <f>'Delta'!CA29</f>
        <v>-5.199999999999818</v>
      </c>
      <c r="I24" s="6">
        <f>'Delta'!CC29</f>
        <v>0.0</v>
      </c>
      <c r="J24" s="6">
        <f>'Delta'!CD29</f>
        <v>-304.4000000000033</v>
      </c>
      <c r="K24" s="6">
        <f>'Delta'!CE29</f>
        <v>66.99999999999818</v>
      </c>
    </row>
    <row r="25">
      <c r="B25" t="inlineStr">
        <is>
          <t>Ember Workwear</t>
        </is>
      </c>
      <c r="C25" s="6">
        <f>'Ember'!BU29</f>
        <v>-83.0</v>
      </c>
      <c r="D25" s="6">
        <f>'Ember'!BV29</f>
        <v>-633.0</v>
      </c>
      <c r="E25" s="6">
        <f>'Ember'!BW29</f>
        <v>-140.50000000000182</v>
      </c>
      <c r="F25" s="6">
        <f>'Ember'!BY29</f>
        <v>-77.0</v>
      </c>
      <c r="G25" s="6">
        <f>'Ember'!BZ29</f>
        <v>-363.5</v>
      </c>
      <c r="H25" s="6">
        <f>'Ember'!CA29</f>
        <v>-238.0999999999999</v>
      </c>
      <c r="I25" s="6">
        <f>'Ember'!CC29</f>
        <v>-160.0</v>
      </c>
      <c r="J25" s="6">
        <f>'Ember'!CD29</f>
        <v>-996.5</v>
      </c>
      <c r="K25" s="6">
        <f>'Ember'!CE29</f>
        <v>-378.60000000000036</v>
      </c>
    </row>
    <row r="26">
      <c r="B26" t="inlineStr">
        <is>
          <t>Falcon Hand Protection</t>
        </is>
      </c>
      <c r="C26" s="6">
        <f>'Falcon'!BU29</f>
        <v>120.0</v>
      </c>
      <c r="D26" s="6">
        <f>'Falcon'!BV29</f>
        <v>3096.100000000002</v>
      </c>
      <c r="E26" s="6">
        <f>'Falcon'!BW29</f>
        <v>4787.299999999999</v>
      </c>
      <c r="F26" s="6">
        <f>'Falcon'!BY29</f>
        <v>360.0</v>
      </c>
      <c r="G26" s="6">
        <f>'Falcon'!BZ29</f>
        <v>1607.6000000000004</v>
      </c>
      <c r="H26" s="6">
        <f>'Falcon'!CA29</f>
        <v>2147.9000000000005</v>
      </c>
      <c r="I26" s="6">
        <f>'Falcon'!CC29</f>
        <v>480.0</v>
      </c>
      <c r="J26" s="6">
        <f>'Falcon'!CD29</f>
        <v>4703.700000000004</v>
      </c>
      <c r="K26" s="6">
        <f>'Falcon'!CE29</f>
        <v>6935.200000000001</v>
      </c>
    </row>
    <row r="27">
      <c r="B27" t="inlineStr">
        <is>
          <t>Granite Gloves</t>
        </is>
      </c>
      <c r="C27" s="6">
        <f>'Granite'!BU29</f>
        <v>-265.0</v>
      </c>
      <c r="D27" s="6">
        <f>'Granite'!BV29</f>
        <v>-1639.9000000000015</v>
      </c>
      <c r="E27" s="6">
        <f>'Granite'!BW29</f>
        <v>-1517.300000000001</v>
      </c>
      <c r="F27" s="6">
        <f>'Granite'!BY29</f>
        <v>-260.0</v>
      </c>
      <c r="G27" s="6">
        <f>'Granite'!BZ29</f>
        <v>-712.2000000000007</v>
      </c>
      <c r="H27" s="6">
        <f>'Granite'!CA29</f>
        <v>-668.9000000000005</v>
      </c>
      <c r="I27" s="6">
        <f>'Granite'!CC29</f>
        <v>-525.0</v>
      </c>
      <c r="J27" s="6">
        <f>'Granite'!CD29</f>
        <v>-2352.100000000002</v>
      </c>
      <c r="K27" s="6">
        <f>'Granite'!CE29</f>
        <v>-2186.2000000000044</v>
      </c>
    </row>
    <row r="28">
      <c r="B28" t="inlineStr">
        <is>
          <t>Hollis Rainwear</t>
        </is>
      </c>
      <c r="C28" s="6">
        <f>'Hollis'!BU29</f>
        <v>242.0</v>
      </c>
      <c r="D28" s="6">
        <f>'Hollis'!BV29</f>
        <v>207.49999999999636</v>
      </c>
      <c r="E28" s="6">
        <f>'Hollis'!BW29</f>
        <v>1309.9999999999964</v>
      </c>
      <c r="F28" s="6">
        <f>'Hollis'!BY29</f>
        <v>6.0</v>
      </c>
      <c r="G28" s="6">
        <f>'Hollis'!BZ29</f>
        <v>50.00000000000091</v>
      </c>
      <c r="H28" s="6">
        <f>'Hollis'!CA29</f>
        <v>357.90000000000055</v>
      </c>
      <c r="I28" s="6">
        <f>'Hollis'!CC29</f>
        <v>248.0</v>
      </c>
      <c r="J28" s="6">
        <f>'Hollis'!CD29</f>
        <v>257.4999999999927</v>
      </c>
      <c r="K28" s="6">
        <f>'Hollis'!CE29</f>
        <v>1667.8999999999942</v>
      </c>
    </row>
    <row r="29">
      <c r="B29" t="inlineStr">
        <is>
          <t>Safety Region (regional office)</t>
        </is>
      </c>
      <c r="C29" s="6">
        <f>'SAFEREG'!BU29</f>
        <v>0.0</v>
      </c>
      <c r="D29" s="6">
        <f>'SAFEREG'!BV29</f>
        <v>0.0</v>
      </c>
      <c r="E29" s="6">
        <f>'SAFEREG'!BW29</f>
        <v>0.0</v>
      </c>
      <c r="F29" s="6">
        <f>'SAFEREG'!BY29</f>
        <v>0.0</v>
      </c>
      <c r="G29" s="6">
        <f>'SAFEREG'!BZ29</f>
        <v>0.0</v>
      </c>
      <c r="H29" s="6">
        <f>'SAFEREG'!CA29</f>
        <v>0.0</v>
      </c>
      <c r="I29" s="6">
        <f>'SAFEREG'!CC29</f>
        <v>0.0</v>
      </c>
      <c r="J29" s="6">
        <f>'SAFEREG'!CD29</f>
        <v>0.0</v>
      </c>
      <c r="K29" s="6">
        <f>'SAFEREG'!CE29</f>
        <v>0.0</v>
      </c>
    </row>
    <row r="30">
      <c r="B30" s="2" t="inlineStr">
        <is>
          <t>Total Zava Safety</t>
        </is>
      </c>
      <c r="C30" s="9">
        <f>SUM(C21:C29)</f>
        <v>-248.0</v>
      </c>
      <c r="D30" s="9">
        <f>SUM(D21:D29)</f>
        <v>2117.7999999999993</v>
      </c>
      <c r="E30" s="9">
        <f>SUM(E21:E29)</f>
        <v>8755.599999999991</v>
      </c>
      <c r="F30" s="9">
        <f>SUM(F21:F29)</f>
        <v>-749.0</v>
      </c>
      <c r="G30" s="9">
        <f>SUM(G21:G29)</f>
        <v>-145.59999999999945</v>
      </c>
      <c r="H30" s="9">
        <f>SUM(H21:H29)</f>
        <v>1985.9</v>
      </c>
      <c r="I30" s="9">
        <f>SUM(I21:I29)</f>
        <v>-997.0</v>
      </c>
      <c r="J30" s="9">
        <f>SUM(J21:J29)</f>
        <v>1972.199999999999</v>
      </c>
      <c r="K30" s="9">
        <f>SUM(K21:K29)</f>
        <v>10741.499999999993</v>
      </c>
    </row>
    <row r="32">
      <c r="B32" s="8" t="inlineStr">
        <is>
          <t>Op Costs</t>
        </is>
      </c>
    </row>
    <row r="33">
      <c r="B33" t="inlineStr">
        <is>
          <t>Alder Gloves</t>
        </is>
      </c>
      <c r="C33" s="6">
        <f>'Alder'!BU30</f>
        <v>240.0</v>
      </c>
      <c r="D33" s="6">
        <f>'Alder'!BV30</f>
        <v>-174.70000000000073</v>
      </c>
      <c r="E33" s="6">
        <f>'Alder'!BW30</f>
        <v>-899.6000000000022</v>
      </c>
      <c r="F33" s="6">
        <f>'Alder'!BY30</f>
        <v>60.0</v>
      </c>
      <c r="G33" s="6">
        <f>'Alder'!BZ30</f>
        <v>-77.20000000000073</v>
      </c>
      <c r="H33" s="6">
        <f>'Alder'!CA30</f>
        <v>-330.8000000000002</v>
      </c>
      <c r="I33" s="6">
        <f>'Alder'!CC30</f>
        <v>300.0</v>
      </c>
      <c r="J33" s="6">
        <f>'Alder'!CD30</f>
        <v>-251.90000000000146</v>
      </c>
      <c r="K33" s="6">
        <f>'Alder'!CE30</f>
        <v>-1230.400000000005</v>
      </c>
    </row>
    <row r="34">
      <c r="B34" t="inlineStr">
        <is>
          <t>Beacon Hi-Vis</t>
        </is>
      </c>
      <c r="C34" s="6">
        <f>'Beacon'!BU30</f>
        <v>-76.0</v>
      </c>
      <c r="D34" s="6">
        <f>'Beacon'!BV30</f>
        <v>-434.7999999999993</v>
      </c>
      <c r="E34" s="6">
        <f>'Beacon'!BW30</f>
        <v>-863.8999999999996</v>
      </c>
      <c r="F34" s="6">
        <f>'Beacon'!BY30</f>
        <v>-30.0</v>
      </c>
      <c r="G34" s="6">
        <f>'Beacon'!BZ30</f>
        <v>-232.9999999999991</v>
      </c>
      <c r="H34" s="6">
        <f>'Beacon'!CA30</f>
        <v>-364.8999999999992</v>
      </c>
      <c r="I34" s="6">
        <f>'Beacon'!CC30</f>
        <v>-106.0</v>
      </c>
      <c r="J34" s="6">
        <f>'Beacon'!CD30</f>
        <v>-667.8000000000011</v>
      </c>
      <c r="K34" s="6">
        <f>'Beacon'!CE30</f>
        <v>-1228.800000000001</v>
      </c>
    </row>
    <row r="35">
      <c r="B35" t="inlineStr">
        <is>
          <t>Cobalt Eyewear</t>
        </is>
      </c>
      <c r="C35" s="6">
        <f>'Cobalt'!BU30</f>
        <v>6.0</v>
      </c>
      <c r="D35" s="6">
        <f>'Cobalt'!BV30</f>
        <v>-85.29999999999927</v>
      </c>
      <c r="E35" s="6">
        <f>'Cobalt'!BW30</f>
        <v>-284.9999999999982</v>
      </c>
      <c r="F35" s="6">
        <f>'Cobalt'!BY30</f>
        <v>-36.0</v>
      </c>
      <c r="G35" s="6">
        <f>'Cobalt'!BZ30</f>
        <v>-30.0</v>
      </c>
      <c r="H35" s="6">
        <f>'Cobalt'!CA30</f>
        <v>-101.5</v>
      </c>
      <c r="I35" s="6">
        <f>'Cobalt'!CC30</f>
        <v>-30.0</v>
      </c>
      <c r="J35" s="6">
        <f>'Cobalt'!CD30</f>
        <v>-115.29999999999927</v>
      </c>
      <c r="K35" s="6">
        <f>'Cobalt'!CE30</f>
        <v>-386.4999999999982</v>
      </c>
    </row>
    <row r="36">
      <c r="B36" t="inlineStr">
        <is>
          <t>Delta Welding Supply</t>
        </is>
      </c>
      <c r="C36" s="6">
        <f>'Delta'!BU30</f>
        <v>0.0</v>
      </c>
      <c r="D36" s="6">
        <f>'Delta'!BV30</f>
        <v>78.5</v>
      </c>
      <c r="E36" s="6">
        <f>'Delta'!BW30</f>
        <v>-53.79999999999927</v>
      </c>
      <c r="F36" s="6">
        <f>'Delta'!BY30</f>
        <v>0.0</v>
      </c>
      <c r="G36" s="6">
        <f>'Delta'!BZ30</f>
        <v>33.100000000000364</v>
      </c>
      <c r="H36" s="6">
        <f>'Delta'!CA30</f>
        <v>-9.799999999999272</v>
      </c>
      <c r="I36" s="6">
        <f>'Delta'!CC30</f>
        <v>0.0</v>
      </c>
      <c r="J36" s="6">
        <f>'Delta'!CD30</f>
        <v>111.60000000000036</v>
      </c>
      <c r="K36" s="6">
        <f>'Delta'!CE30</f>
        <v>-63.599999999998545</v>
      </c>
    </row>
    <row r="37">
      <c r="B37" t="inlineStr">
        <is>
          <t>Ember Workwear</t>
        </is>
      </c>
      <c r="C37" s="6">
        <f>'Ember'!BU30</f>
        <v>10.0</v>
      </c>
      <c r="D37" s="6">
        <f>'Ember'!BV30</f>
        <v>173.09999999999945</v>
      </c>
      <c r="E37" s="6">
        <f>'Ember'!BW30</f>
        <v>13.300000000000182</v>
      </c>
      <c r="F37" s="6">
        <f>'Ember'!BY30</f>
        <v>30.0</v>
      </c>
      <c r="G37" s="6">
        <f>'Ember'!BZ30</f>
        <v>105.30000000000018</v>
      </c>
      <c r="H37" s="6">
        <f>'Ember'!CA30</f>
        <v>48.0</v>
      </c>
      <c r="I37" s="6">
        <f>'Ember'!CC30</f>
        <v>40.0</v>
      </c>
      <c r="J37" s="6">
        <f>'Ember'!CD30</f>
        <v>278.39999999999964</v>
      </c>
      <c r="K37" s="6">
        <f>'Ember'!CE30</f>
        <v>61.30000000000109</v>
      </c>
    </row>
    <row r="38">
      <c r="B38" t="inlineStr">
        <is>
          <t>Falcon Hand Protection</t>
        </is>
      </c>
      <c r="C38" s="6">
        <f>'Falcon'!BU30</f>
        <v>-110.0</v>
      </c>
      <c r="D38" s="6">
        <f>'Falcon'!BV30</f>
        <v>-662.8999999999996</v>
      </c>
      <c r="E38" s="6">
        <f>'Falcon'!BW30</f>
        <v>-1166.4000000000015</v>
      </c>
      <c r="F38" s="6">
        <f>'Falcon'!BY30</f>
        <v>-40.0</v>
      </c>
      <c r="G38" s="6">
        <f>'Falcon'!BZ30</f>
        <v>-283.2000000000007</v>
      </c>
      <c r="H38" s="6">
        <f>'Falcon'!CA30</f>
        <v>-466.90000000000055</v>
      </c>
      <c r="I38" s="6">
        <f>'Falcon'!CC30</f>
        <v>-150.0</v>
      </c>
      <c r="J38" s="6">
        <f>'Falcon'!CD30</f>
        <v>-946.1000000000022</v>
      </c>
      <c r="K38" s="6">
        <f>'Falcon'!CE30</f>
        <v>-1633.300000000003</v>
      </c>
    </row>
    <row r="39">
      <c r="B39" t="inlineStr">
        <is>
          <t>Granite Gloves</t>
        </is>
      </c>
      <c r="C39" s="6">
        <f>'Granite'!BU30</f>
        <v>42.0</v>
      </c>
      <c r="D39" s="6">
        <f>'Granite'!BV30</f>
        <v>254.5</v>
      </c>
      <c r="E39" s="6">
        <f>'Granite'!BW30</f>
        <v>48.399999999999636</v>
      </c>
      <c r="F39" s="6">
        <f>'Granite'!BY30</f>
        <v>132.0</v>
      </c>
      <c r="G39" s="6">
        <f>'Granite'!BZ30</f>
        <v>219.70000000000027</v>
      </c>
      <c r="H39" s="6">
        <f>'Granite'!CA30</f>
        <v>161.40000000000055</v>
      </c>
      <c r="I39" s="6">
        <f>'Granite'!CC30</f>
        <v>174.0</v>
      </c>
      <c r="J39" s="6">
        <f>'Granite'!CD30</f>
        <v>474.2000000000007</v>
      </c>
      <c r="K39" s="6">
        <f>'Granite'!CE30</f>
        <v>209.79999999999927</v>
      </c>
    </row>
    <row r="40">
      <c r="B40" t="inlineStr">
        <is>
          <t>Hollis Rainwear</t>
        </is>
      </c>
      <c r="C40" s="6">
        <f>'Hollis'!BU30</f>
        <v>39.0</v>
      </c>
      <c r="D40" s="6">
        <f>'Hollis'!BV30</f>
        <v>215.70000000000073</v>
      </c>
      <c r="E40" s="6">
        <f>'Hollis'!BW30</f>
        <v>-267.1999999999989</v>
      </c>
      <c r="F40" s="6">
        <f>'Hollis'!BY30</f>
        <v>507.0</v>
      </c>
      <c r="G40" s="6">
        <f>'Hollis'!BZ30</f>
        <v>635.2999999999993</v>
      </c>
      <c r="H40" s="6">
        <f>'Hollis'!CA30</f>
        <v>463.59999999999945</v>
      </c>
      <c r="I40" s="6">
        <f>'Hollis'!CC30</f>
        <v>546.0</v>
      </c>
      <c r="J40" s="6">
        <f>'Hollis'!CD30</f>
        <v>851.0</v>
      </c>
      <c r="K40" s="6">
        <f>'Hollis'!CE30</f>
        <v>196.39999999999782</v>
      </c>
    </row>
    <row r="41">
      <c r="B41" t="inlineStr">
        <is>
          <t>Safety Region (regional office)</t>
        </is>
      </c>
      <c r="C41" s="6">
        <f>'SAFEREG'!BU30</f>
        <v>0.0</v>
      </c>
      <c r="D41" s="6">
        <f>'SAFEREG'!BV30</f>
        <v>1.7999999999997272</v>
      </c>
      <c r="E41" s="6">
        <f>'SAFEREG'!BW30</f>
        <v>-94.80000000000018</v>
      </c>
      <c r="F41" s="6">
        <f>'SAFEREG'!BY30</f>
        <v>0.0</v>
      </c>
      <c r="G41" s="6">
        <f>'SAFEREG'!BZ30</f>
        <v>2.7999999999999545</v>
      </c>
      <c r="H41" s="6">
        <f>'SAFEREG'!CA30</f>
        <v>-36.80000000000007</v>
      </c>
      <c r="I41" s="6">
        <f>'SAFEREG'!CC30</f>
        <v>0.0</v>
      </c>
      <c r="J41" s="6">
        <f>'SAFEREG'!CD30</f>
        <v>4.599999999999454</v>
      </c>
      <c r="K41" s="6">
        <f>'SAFEREG'!CE30</f>
        <v>-131.60000000000036</v>
      </c>
    </row>
    <row r="42">
      <c r="B42" s="2" t="inlineStr">
        <is>
          <t>Total Zava Safety</t>
        </is>
      </c>
      <c r="C42" s="9">
        <f>SUM(C33:C41)</f>
        <v>151.0</v>
      </c>
      <c r="D42" s="9">
        <f>SUM(D33:D41)</f>
        <v>-634.099999999999</v>
      </c>
      <c r="E42" s="9">
        <f>SUM(E33:E41)</f>
        <v>-3569.0</v>
      </c>
      <c r="F42" s="9">
        <f>SUM(F33:F41)</f>
        <v>623.0</v>
      </c>
      <c r="G42" s="9">
        <f>SUM(G33:G41)</f>
        <v>372.7999999999995</v>
      </c>
      <c r="H42" s="9">
        <f>SUM(H33:H41)</f>
        <v>-637.6999999999992</v>
      </c>
      <c r="I42" s="9">
        <f>SUM(I33:I41)</f>
        <v>774.0</v>
      </c>
      <c r="J42" s="9">
        <f>SUM(J33:J41)</f>
        <v>-261.3000000000038</v>
      </c>
      <c r="K42" s="9">
        <f>SUM(K33:K41)</f>
        <v>-4206.700000000008</v>
      </c>
    </row>
    <row r="44">
      <c r="B44" s="8" t="inlineStr">
        <is>
          <t>PBITA</t>
        </is>
      </c>
    </row>
    <row r="45">
      <c r="B45" t="inlineStr">
        <is>
          <t>Alder Gloves</t>
        </is>
      </c>
      <c r="C45" s="6">
        <f>'Alder'!BU31</f>
        <v>80.0</v>
      </c>
      <c r="D45" s="6">
        <f>'Alder'!BV31</f>
        <v>-650.4000000000005</v>
      </c>
      <c r="E45" s="6">
        <f>'Alder'!BW31</f>
        <v>-776.0999999999995</v>
      </c>
      <c r="F45" s="6">
        <f>'Alder'!BY31</f>
        <v>-360.0</v>
      </c>
      <c r="G45" s="6">
        <f>'Alder'!BZ31</f>
        <v>-1178.2000000000007</v>
      </c>
      <c r="H45" s="6">
        <f>'Alder'!CA31</f>
        <v>-1240.3999999999996</v>
      </c>
      <c r="I45" s="6">
        <f>'Alder'!CC31</f>
        <v>-280.0</v>
      </c>
      <c r="J45" s="6">
        <f>'Alder'!CD31</f>
        <v>-1828.600000000003</v>
      </c>
      <c r="K45" s="6">
        <f>'Alder'!CE31</f>
        <v>-2016.499999999999</v>
      </c>
    </row>
    <row r="46">
      <c r="B46" t="inlineStr">
        <is>
          <t>Beacon Hi-Vis</t>
        </is>
      </c>
      <c r="C46" s="6">
        <f>'Beacon'!BU31</f>
        <v>-16.0</v>
      </c>
      <c r="D46" s="6">
        <f>'Beacon'!BV31</f>
        <v>1936.1000000000004</v>
      </c>
      <c r="E46" s="6">
        <f>'Beacon'!BW31</f>
        <v>3002.9000000000005</v>
      </c>
      <c r="F46" s="6">
        <f>'Beacon'!BY31</f>
        <v>260.0</v>
      </c>
      <c r="G46" s="6">
        <f>'Beacon'!BZ31</f>
        <v>1068.6999999999994</v>
      </c>
      <c r="H46" s="6">
        <f>'Beacon'!CA31</f>
        <v>1512.3999999999992</v>
      </c>
      <c r="I46" s="6">
        <f>'Beacon'!CC31</f>
        <v>244.0</v>
      </c>
      <c r="J46" s="6">
        <f>'Beacon'!CD31</f>
        <v>3004.7999999999993</v>
      </c>
      <c r="K46" s="6">
        <f>'Beacon'!CE31</f>
        <v>4515.299999999999</v>
      </c>
    </row>
    <row r="47">
      <c r="B47" t="inlineStr">
        <is>
          <t>Cobalt Eyewear</t>
        </is>
      </c>
      <c r="C47" s="6">
        <f>'Cobalt'!BU31</f>
        <v>-156.0</v>
      </c>
      <c r="D47" s="6">
        <f>'Cobalt'!BV31</f>
        <v>-683.7000000000007</v>
      </c>
      <c r="E47" s="6">
        <f>'Cobalt'!BW31</f>
        <v>-31.400000000000546</v>
      </c>
      <c r="F47" s="6">
        <f>'Cobalt'!BY31</f>
        <v>-684.0</v>
      </c>
      <c r="G47" s="6">
        <f>'Cobalt'!BZ31</f>
        <v>-863.4999999999998</v>
      </c>
      <c r="H47" s="6">
        <f>'Cobalt'!CA31</f>
        <v>-676.8999999999999</v>
      </c>
      <c r="I47" s="6">
        <f>'Cobalt'!CC31</f>
        <v>-840.0</v>
      </c>
      <c r="J47" s="6">
        <f>'Cobalt'!CD31</f>
        <v>-1547.1999999999998</v>
      </c>
      <c r="K47" s="6">
        <f>'Cobalt'!CE31</f>
        <v>-708.3000000000002</v>
      </c>
    </row>
    <row r="48">
      <c r="B48" t="inlineStr">
        <is>
          <t>Delta Welding Supply</t>
        </is>
      </c>
      <c r="C48" s="6">
        <f>'Delta'!BU31</f>
        <v>0.0</v>
      </c>
      <c r="D48" s="6">
        <f>'Delta'!BV31</f>
        <v>-131.19999999999936</v>
      </c>
      <c r="E48" s="6">
        <f>'Delta'!BW31</f>
        <v>18.399999999999636</v>
      </c>
      <c r="F48" s="6">
        <f>'Delta'!BY31</f>
        <v>0.0</v>
      </c>
      <c r="G48" s="6">
        <f>'Delta'!BZ31</f>
        <v>-61.59999999999968</v>
      </c>
      <c r="H48" s="6">
        <f>'Delta'!CA31</f>
        <v>-15.0</v>
      </c>
      <c r="I48" s="6">
        <f>'Delta'!CC31</f>
        <v>0.0</v>
      </c>
      <c r="J48" s="6">
        <f>'Delta'!CD31</f>
        <v>-192.79999999999927</v>
      </c>
      <c r="K48" s="6">
        <f>'Delta'!CE31</f>
        <v>3.399999999999636</v>
      </c>
    </row>
    <row r="49">
      <c r="B49" t="inlineStr">
        <is>
          <t>Ember Workwear</t>
        </is>
      </c>
      <c r="C49" s="6">
        <f>'Ember'!BU31</f>
        <v>-73.0</v>
      </c>
      <c r="D49" s="6">
        <f>'Ember'!BV31</f>
        <v>-459.9000000000001</v>
      </c>
      <c r="E49" s="6">
        <f>'Ember'!BW31</f>
        <v>-127.19999999999982</v>
      </c>
      <c r="F49" s="6">
        <f>'Ember'!BY31</f>
        <v>-47.0</v>
      </c>
      <c r="G49" s="6">
        <f>'Ember'!BZ31</f>
        <v>-258.19999999999993</v>
      </c>
      <c r="H49" s="6">
        <f>'Ember'!CA31</f>
        <v>-190.10000000000002</v>
      </c>
      <c r="I49" s="6">
        <f>'Ember'!CC31</f>
        <v>-120.0</v>
      </c>
      <c r="J49" s="6">
        <f>'Ember'!CD31</f>
        <v>-718.0999999999999</v>
      </c>
      <c r="K49" s="6">
        <f>'Ember'!CE31</f>
        <v>-317.2999999999993</v>
      </c>
    </row>
    <row r="50">
      <c r="B50" t="inlineStr">
        <is>
          <t>Falcon Hand Protection</t>
        </is>
      </c>
      <c r="C50" s="6">
        <f>'Falcon'!BU31</f>
        <v>10.0</v>
      </c>
      <c r="D50" s="6">
        <f>'Falcon'!BV31</f>
        <v>2433.2000000000007</v>
      </c>
      <c r="E50" s="6">
        <f>'Falcon'!BW31</f>
        <v>3620.9000000000015</v>
      </c>
      <c r="F50" s="6">
        <f>'Falcon'!BY31</f>
        <v>320.0</v>
      </c>
      <c r="G50" s="6">
        <f>'Falcon'!BZ31</f>
        <v>1324.4</v>
      </c>
      <c r="H50" s="6">
        <f>'Falcon'!CA31</f>
        <v>1681.0</v>
      </c>
      <c r="I50" s="6">
        <f>'Falcon'!CC31</f>
        <v>330.0</v>
      </c>
      <c r="J50" s="6">
        <f>'Falcon'!CD31</f>
        <v>3757.6000000000004</v>
      </c>
      <c r="K50" s="6">
        <f>'Falcon'!CE31</f>
        <v>5301.9000000000015</v>
      </c>
    </row>
    <row r="51">
      <c r="B51" t="inlineStr">
        <is>
          <t>Granite Gloves</t>
        </is>
      </c>
      <c r="C51" s="6">
        <f>'Granite'!BU31</f>
        <v>-223.0</v>
      </c>
      <c r="D51" s="6">
        <f>'Granite'!BV31</f>
        <v>-1385.4000000000005</v>
      </c>
      <c r="E51" s="6">
        <f>'Granite'!BW31</f>
        <v>-1468.8999999999996</v>
      </c>
      <c r="F51" s="6">
        <f>'Granite'!BY31</f>
        <v>-128.0</v>
      </c>
      <c r="G51" s="6">
        <f>'Granite'!BZ31</f>
        <v>-492.4999999999998</v>
      </c>
      <c r="H51" s="6">
        <f>'Granite'!CA31</f>
        <v>-507.49999999999955</v>
      </c>
      <c r="I51" s="6">
        <f>'Granite'!CC31</f>
        <v>-351.0</v>
      </c>
      <c r="J51" s="6">
        <f>'Granite'!CD31</f>
        <v>-1877.9000000000005</v>
      </c>
      <c r="K51" s="6">
        <f>'Granite'!CE31</f>
        <v>-1976.3999999999996</v>
      </c>
    </row>
    <row r="52">
      <c r="B52" t="inlineStr">
        <is>
          <t>Hollis Rainwear</t>
        </is>
      </c>
      <c r="C52" s="6">
        <f>'Hollis'!BU31</f>
        <v>281.0</v>
      </c>
      <c r="D52" s="6">
        <f>'Hollis'!BV31</f>
        <v>423.1999999999998</v>
      </c>
      <c r="E52" s="6">
        <f>'Hollis'!BW31</f>
        <v>1042.8000000000002</v>
      </c>
      <c r="F52" s="6">
        <f>'Hollis'!BY31</f>
        <v>513.0</v>
      </c>
      <c r="G52" s="6">
        <f>'Hollis'!BZ31</f>
        <v>685.3000000000002</v>
      </c>
      <c r="H52" s="6">
        <f>'Hollis'!CA31</f>
        <v>821.5</v>
      </c>
      <c r="I52" s="6">
        <f>'Hollis'!CC31</f>
        <v>794.0</v>
      </c>
      <c r="J52" s="6">
        <f>'Hollis'!CD31</f>
        <v>1108.5</v>
      </c>
      <c r="K52" s="6">
        <f>'Hollis'!CE31</f>
        <v>1864.2999999999993</v>
      </c>
    </row>
    <row r="53">
      <c r="B53" t="inlineStr">
        <is>
          <t>Safety Region (regional office)</t>
        </is>
      </c>
      <c r="C53" s="6">
        <f>'SAFEREG'!BU31</f>
        <v>0.0</v>
      </c>
      <c r="D53" s="6">
        <f>'SAFEREG'!BV31</f>
        <v>1.7999999999997272</v>
      </c>
      <c r="E53" s="6">
        <f>'SAFEREG'!BW31</f>
        <v>-94.80000000000018</v>
      </c>
      <c r="F53" s="6">
        <f>'SAFEREG'!BY31</f>
        <v>0.0</v>
      </c>
      <c r="G53" s="6">
        <f>'SAFEREG'!BZ31</f>
        <v>2.7999999999999545</v>
      </c>
      <c r="H53" s="6">
        <f>'SAFEREG'!CA31</f>
        <v>-36.80000000000007</v>
      </c>
      <c r="I53" s="6">
        <f>'SAFEREG'!CC31</f>
        <v>0.0</v>
      </c>
      <c r="J53" s="6">
        <f>'SAFEREG'!CD31</f>
        <v>4.599999999999454</v>
      </c>
      <c r="K53" s="6">
        <f>'SAFEREG'!CE31</f>
        <v>-131.60000000000036</v>
      </c>
    </row>
    <row r="54">
      <c r="B54" s="2" t="inlineStr">
        <is>
          <t>Total Zava Safety</t>
        </is>
      </c>
      <c r="C54" s="9">
        <f>SUM(C45:C53)</f>
        <v>-97.0</v>
      </c>
      <c r="D54" s="9">
        <f>SUM(D45:D53)</f>
        <v>1483.6999999999994</v>
      </c>
      <c r="E54" s="9">
        <f>SUM(E45:E53)</f>
        <v>5186.600000000002</v>
      </c>
      <c r="F54" s="9">
        <f>SUM(F45:F53)</f>
        <v>-126.0</v>
      </c>
      <c r="G54" s="9">
        <f>SUM(G45:G53)</f>
        <v>227.19999999999982</v>
      </c>
      <c r="H54" s="9">
        <f>SUM(H45:H53)</f>
        <v>1348.1999999999998</v>
      </c>
      <c r="I54" s="9">
        <f>SUM(I45:I53)</f>
        <v>-223.0</v>
      </c>
      <c r="J54" s="9">
        <f>SUM(J45:J53)</f>
        <v>1710.8999999999965</v>
      </c>
      <c r="K54" s="9">
        <f>SUM(K45:K53)</f>
        <v>6534.800000000001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/>
  </sheetPr>
  <dimension ref="A1:R31"/>
  <sheetViews>
    <sheetView showGridLines="0" workbookViewId="0">
      <selection activeCell="A1" sqref="A1"/>
    </sheetView>
  </sheetViews>
  <sheetFormatPr baseColWidth="8" defaultRowHeight="15"/>
  <cols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t="inlineStr">
        <is>
          <t>Index</t>
        </is>
      </c>
      <c r="B1" t="inlineStr">
        <is>
          <t>Division</t>
        </is>
      </c>
      <c r="C1" t="inlineStr">
        <is>
          <t>Zava Safety</t>
        </is>
      </c>
    </row>
    <row r="2">
      <c r="D2" s="1" t="inlineStr">
        <is>
          <t>TRAINING DATA ONLY - Zava Safety and all business names and numbers are fictitious. Layout mirrors a typical HFM / Cognos reporting pack.</t>
        </is>
      </c>
    </row>
    <row r="3">
      <c r="F3" s="2" t="inlineStr">
        <is>
          <t>FCAST09</t>
        </is>
      </c>
      <c r="I3" s="2" t="inlineStr">
        <is>
          <t>FCAST10 vs. FCAST09</t>
        </is>
      </c>
      <c r="O3" s="2" t="inlineStr">
        <is>
          <t>FCAST10</t>
        </is>
      </c>
    </row>
    <row r="4">
      <c r="F4" s="2" t="inlineStr">
        <is>
          <t>FY26</t>
        </is>
      </c>
      <c r="I4" s="2" t="inlineStr">
        <is>
          <t>September</t>
        </is>
      </c>
      <c r="L4" s="2" t="inlineStr">
        <is>
          <t>Rest of Year</t>
        </is>
      </c>
      <c r="O4" s="2" t="inlineStr">
        <is>
          <t>FY26</t>
        </is>
      </c>
      <c r="R4" s="2" t="inlineStr">
        <is>
          <t>Check vs. sum of businesses</t>
        </is>
      </c>
    </row>
    <row r="7">
      <c r="D7" s="2" t="inlineStr">
        <is>
          <t>Sales</t>
        </is>
      </c>
      <c r="F7" s="6">
        <f>Safety!O28</f>
        <v>633766.9</v>
      </c>
      <c r="I7" s="6">
        <f>Safety!BO28-Safety!K28</f>
        <v>1445.0</v>
      </c>
      <c r="L7" s="6">
        <f>SUM(Safety!BP28:BR28)-SUM(Safety!L28:N28)</f>
        <v>-1055.0</v>
      </c>
      <c r="O7" s="6">
        <f>Safety!BS28</f>
        <v>634156.9</v>
      </c>
      <c r="R7" s="10">
        <f>ROUND(O7-('Alder'!BS28+'Beacon'!BS28+'Cobalt'!BS28+'Delta'!BS28+'Ember'!BS28+'Falcon'!BS28+'Granite'!BS28+'Hollis'!BS28+'SAFEREG'!BS28),1)</f>
        <v>0.0</v>
      </c>
    </row>
    <row r="9">
      <c r="D9" s="2" t="inlineStr">
        <is>
          <t>Gross Margin</t>
        </is>
      </c>
      <c r="F9" s="6">
        <f>Safety!O29</f>
        <v>197718.69999999998</v>
      </c>
      <c r="I9" s="6">
        <f>Safety!BO29-Safety!K29</f>
        <v>-85.92000000000007</v>
      </c>
      <c r="L9" s="6">
        <f>SUM(Safety!BP29:BR29)-SUM(Safety!L29:N29)</f>
        <v>-100.76000000000931</v>
      </c>
      <c r="O9" s="6">
        <f>Safety!BS29</f>
        <v>197532.02000000002</v>
      </c>
      <c r="R9" s="10">
        <f>ROUND(O9-('Alder'!BS29+'Beacon'!BS29+'Cobalt'!BS29+'Delta'!BS29+'Ember'!BS29+'Falcon'!BS29+'Granite'!BS29+'Hollis'!BS29+'SAFEREG'!BS29),1)</f>
        <v>810.3</v>
      </c>
    </row>
    <row r="10">
      <c r="D10" s="11" t="inlineStr">
        <is>
          <t>% / Leverage</t>
        </is>
      </c>
      <c r="F10" s="12">
        <f>IFERROR(F9/F7,0)</f>
        <v>0.31197385032257124</v>
      </c>
      <c r="I10" s="12">
        <f>IFERROR(I9/I7,0)</f>
        <v>-0.059460207612456795</v>
      </c>
      <c r="L10" s="12">
        <f>IFERROR(L9/L7,0)</f>
        <v>0.09550710900474817</v>
      </c>
      <c r="O10" s="12">
        <f>IFERROR(O9/O7,0)</f>
        <v>0.3114876145004494</v>
      </c>
    </row>
    <row r="12">
      <c r="D12" s="2" t="inlineStr">
        <is>
          <t>Op Costs</t>
        </is>
      </c>
      <c r="F12" s="6">
        <f>Safety!O30</f>
        <v>-135761.7</v>
      </c>
      <c r="I12" s="6">
        <f>Safety!BO30-Safety!K30</f>
        <v>151.0</v>
      </c>
      <c r="L12" s="6">
        <f>SUM(Safety!BP30:BR30)-SUM(Safety!L30:N30)</f>
        <v>623.0</v>
      </c>
      <c r="O12" s="6">
        <f>Safety!BS30</f>
        <v>-134987.7</v>
      </c>
      <c r="R12" s="10">
        <f>ROUND(O12-('Alder'!BS30+'Beacon'!BS30+'Cobalt'!BS30+'Delta'!BS30+'Ember'!BS30+'Falcon'!BS30+'Granite'!BS30+'Hollis'!BS30+'SAFEREG'!BS30),1)</f>
        <v>0.0</v>
      </c>
    </row>
    <row r="13">
      <c r="D13" s="11" t="inlineStr">
        <is>
          <t>% / Leverage</t>
        </is>
      </c>
      <c r="F13" s="12">
        <f>IFERROR(F12/F7,0)</f>
        <v>-0.21421393259887825</v>
      </c>
      <c r="I13" s="12">
        <f>IFERROR(I12/I7,0)</f>
        <v>0.10449826989619378</v>
      </c>
      <c r="L13" s="12">
        <f>IFERROR(L12/L7,0)</f>
        <v>-0.590521327014218</v>
      </c>
      <c r="O13" s="12">
        <f>IFERROR(O12/O7,0)</f>
        <v>-0.2128616750838791</v>
      </c>
    </row>
    <row r="15">
      <c r="D15" s="2" t="inlineStr">
        <is>
          <t>PBITA</t>
        </is>
      </c>
      <c r="F15" s="6">
        <f>Safety!O31</f>
        <v>61957.00000000001</v>
      </c>
      <c r="I15" s="6">
        <f>Safety!BO31-Safety!K31</f>
        <v>65.07999999999993</v>
      </c>
      <c r="L15" s="6">
        <f>SUM(Safety!BP31:BR31)-SUM(Safety!L31:N31)</f>
        <v>522.2400000000034</v>
      </c>
      <c r="O15" s="6">
        <f>Safety!BS31</f>
        <v>62544.32000000001</v>
      </c>
      <c r="R15" s="10">
        <f>ROUND(O15-('Alder'!BS31+'Beacon'!BS31+'Cobalt'!BS31+'Delta'!BS31+'Ember'!BS31+'Falcon'!BS31+'Granite'!BS31+'Hollis'!BS31+'SAFEREG'!BS31),1)</f>
        <v>810.3</v>
      </c>
    </row>
    <row r="16">
      <c r="D16" s="11" t="inlineStr">
        <is>
          <t>% / Leverage</t>
        </is>
      </c>
      <c r="F16" s="12">
        <f>IFERROR(F15/F7,0)</f>
        <v>0.09775991772369305</v>
      </c>
      <c r="I16" s="12">
        <f>IFERROR(I15/I7,0)</f>
        <v>0.045038062283736975</v>
      </c>
      <c r="L16" s="12">
        <f>IFERROR(L15/L7,0)</f>
        <v>-0.4950142180094819</v>
      </c>
      <c r="O16" s="12">
        <f>IFERROR(O15/O7,0)</f>
        <v>0.09862593941657026</v>
      </c>
    </row>
    <row r="18">
      <c r="D18" t="inlineStr"/>
      <c r="F18" s="2" t="inlineStr">
        <is>
          <t>Budget</t>
        </is>
      </c>
      <c r="I18" s="2" t="inlineStr">
        <is>
          <t>FCAST10 vs. Budget</t>
        </is>
      </c>
      <c r="L18" s="2" t="inlineStr">
        <is>
          <t>Actual</t>
        </is>
      </c>
      <c r="O18" s="2" t="inlineStr">
        <is>
          <t>FCAST10 vs. FY25</t>
        </is>
      </c>
    </row>
    <row r="19">
      <c r="F19" s="2" t="inlineStr">
        <is>
          <t>FY26</t>
        </is>
      </c>
      <c r="L19" s="2" t="inlineStr">
        <is>
          <t>FY25</t>
        </is>
      </c>
    </row>
    <row r="22">
      <c r="C22" s="2" t="inlineStr">
        <is>
          <t>Sales</t>
        </is>
      </c>
      <c r="F22" s="6">
        <f>Safety!O51</f>
        <v>619998.1</v>
      </c>
      <c r="I22" s="6">
        <f>O7-F22</f>
        <v>14158.800000000047</v>
      </c>
      <c r="L22" s="6">
        <f>Safety!O64</f>
        <v>591912.4</v>
      </c>
      <c r="O22" s="6">
        <f>O7-L22</f>
        <v>42244.5</v>
      </c>
    </row>
    <row r="24">
      <c r="C24" s="2" t="inlineStr">
        <is>
          <t>Gross Margin</t>
        </is>
      </c>
      <c r="F24" s="6">
        <f>Safety!O52</f>
        <v>194749.5</v>
      </c>
      <c r="I24" s="6">
        <f>O9-F24</f>
        <v>2782.5200000000186</v>
      </c>
      <c r="L24" s="6">
        <f>Safety!O65</f>
        <v>185980.19999999998</v>
      </c>
      <c r="O24" s="6">
        <f>O9-L24</f>
        <v>11551.820000000036</v>
      </c>
    </row>
    <row r="25">
      <c r="C25" s="11" t="inlineStr">
        <is>
          <t>%</t>
        </is>
      </c>
      <c r="F25" s="12">
        <f>IFERROR(F24/F22,0)</f>
        <v>0.31411305937873035</v>
      </c>
      <c r="L25" s="12">
        <f>IFERROR(L24/L22,0)</f>
        <v>0.31420223668231984</v>
      </c>
    </row>
    <row r="27">
      <c r="C27" s="2" t="inlineStr">
        <is>
          <t>Op Costs</t>
        </is>
      </c>
      <c r="F27" s="6">
        <f>Safety!O53</f>
        <v>-134726.4</v>
      </c>
      <c r="I27" s="6">
        <f>O12-F27</f>
        <v>-261.30000000001746</v>
      </c>
      <c r="L27" s="6">
        <f>Safety!O66</f>
        <v>-130781.0</v>
      </c>
      <c r="O27" s="6">
        <f>O12-L27</f>
        <v>-4206.700000000012</v>
      </c>
    </row>
    <row r="28">
      <c r="C28" s="11" t="inlineStr">
        <is>
          <t>%</t>
        </is>
      </c>
      <c r="F28" s="12">
        <f>IFERROR(F27/F22,0)</f>
        <v>-0.217301311084663</v>
      </c>
      <c r="L28" s="12">
        <f>IFERROR(L27/L22,0)</f>
        <v>-0.22094654546855244</v>
      </c>
    </row>
    <row r="30">
      <c r="C30" s="2" t="inlineStr">
        <is>
          <t>PBITA</t>
        </is>
      </c>
      <c r="F30" s="6">
        <f>Safety!O54</f>
        <v>60023.09999999999</v>
      </c>
      <c r="I30" s="6">
        <f>O15-F30</f>
        <v>2521.2200000000157</v>
      </c>
      <c r="L30" s="6">
        <f>Safety!O67</f>
        <v>55199.2</v>
      </c>
      <c r="O30" s="6">
        <f>O15-L30</f>
        <v>7345.12000000001</v>
      </c>
    </row>
    <row r="31">
      <c r="C31" s="11" t="inlineStr">
        <is>
          <t>%</t>
        </is>
      </c>
      <c r="F31" s="12">
        <f>IFERROR(F30/F22,0)</f>
        <v>0.09681174829406734</v>
      </c>
      <c r="L31" s="12">
        <f>IFERROR(L30/L22,0)</f>
        <v>0.09325569121376744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Zava Safety - Consolidated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2" t="inlineStr">
        <is>
          <t>Sales</t>
        </is>
      </c>
      <c r="C8" s="6">
        <f>'Safety'!BU28</f>
        <v>1445.0</v>
      </c>
      <c r="D8" s="6">
        <f>'Safety'!BV28</f>
        <v>10937.500000000058</v>
      </c>
      <c r="E8" s="6">
        <f>'Safety'!BW28</f>
        <v>32001.29999999999</v>
      </c>
      <c r="F8" s="6">
        <f>'Safety'!BY28</f>
        <v>-1055.0</v>
      </c>
      <c r="G8" s="6">
        <f>'Safety'!BZ28</f>
        <v>3221.2999999999884</v>
      </c>
      <c r="H8" s="6">
        <f>'Safety'!CA28</f>
        <v>10243.200000000012</v>
      </c>
      <c r="I8" s="6">
        <f>'Safety'!CC28</f>
        <v>390.0</v>
      </c>
      <c r="J8" s="6">
        <f>'Safety'!CD28</f>
        <v>14158.800000000047</v>
      </c>
      <c r="K8" s="6">
        <f>'Safety'!CE28</f>
        <v>42244.5</v>
      </c>
    </row>
    <row r="10">
      <c r="B10" s="2" t="inlineStr">
        <is>
          <t>Gross Margin</t>
        </is>
      </c>
      <c r="C10" s="6">
        <f>'Safety'!BU29</f>
        <v>-85.9199999999837</v>
      </c>
      <c r="D10" s="6">
        <f>'Safety'!BV29</f>
        <v>2279.8800000000047</v>
      </c>
      <c r="E10" s="6">
        <f>'Safety'!BW29</f>
        <v>8917.680000000022</v>
      </c>
      <c r="F10" s="6">
        <f>'Safety'!BY29</f>
        <v>-100.76000000000931</v>
      </c>
      <c r="G10" s="6">
        <f>'Safety'!BZ29</f>
        <v>502.6399999999994</v>
      </c>
      <c r="H10" s="6">
        <f>'Safety'!CA29</f>
        <v>2634.1399999999994</v>
      </c>
      <c r="I10" s="6">
        <f>'Safety'!CC29</f>
        <v>-186.6799999999639</v>
      </c>
      <c r="J10" s="6">
        <f>'Safety'!CD29</f>
        <v>2782.5200000000186</v>
      </c>
      <c r="K10" s="6">
        <f>'Safety'!CE29</f>
        <v>11551.820000000036</v>
      </c>
    </row>
    <row r="12">
      <c r="B12" s="2" t="inlineStr">
        <is>
          <t>Op Costs</t>
        </is>
      </c>
      <c r="C12" s="6">
        <f>'Safety'!BU30</f>
        <v>151.0</v>
      </c>
      <c r="D12" s="6">
        <f>'Safety'!BV30</f>
        <v>-634.1000000000204</v>
      </c>
      <c r="E12" s="6">
        <f>'Safety'!BW30</f>
        <v>-3569.0000000000146</v>
      </c>
      <c r="F12" s="6">
        <f>'Safety'!BY30</f>
        <v>623.0</v>
      </c>
      <c r="G12" s="6">
        <f>'Safety'!BZ30</f>
        <v>372.8000000000029</v>
      </c>
      <c r="H12" s="6">
        <f>'Safety'!CA30</f>
        <v>-637.6999999999971</v>
      </c>
      <c r="I12" s="6">
        <f>'Safety'!CC30</f>
        <v>774.0</v>
      </c>
      <c r="J12" s="6">
        <f>'Safety'!CD30</f>
        <v>-261.30000000001746</v>
      </c>
      <c r="K12" s="6">
        <f>'Safety'!CE30</f>
        <v>-4206.700000000012</v>
      </c>
    </row>
    <row r="14">
      <c r="B14" s="2" t="inlineStr">
        <is>
          <t>PBITA</t>
        </is>
      </c>
      <c r="C14" s="6">
        <f>'Safety'!BU31</f>
        <v>65.07999999999447</v>
      </c>
      <c r="D14" s="6">
        <f>'Safety'!BV31</f>
        <v>1645.780000000006</v>
      </c>
      <c r="E14" s="6">
        <f>'Safety'!BW31</f>
        <v>5348.680000000015</v>
      </c>
      <c r="F14" s="6">
        <f>'Safety'!BY31</f>
        <v>522.2400000000034</v>
      </c>
      <c r="G14" s="6">
        <f>'Safety'!BZ31</f>
        <v>875.440000000006</v>
      </c>
      <c r="H14" s="6">
        <f>'Safety'!CA31</f>
        <v>1996.4400000000041</v>
      </c>
      <c r="I14" s="6">
        <f>'Safety'!CC31</f>
        <v>587.3199999999997</v>
      </c>
      <c r="J14" s="6">
        <f>'Safety'!CD31</f>
        <v>2521.2200000000157</v>
      </c>
      <c r="K14" s="6">
        <f>'Safety'!CE31</f>
        <v>7345.12000000001</v>
      </c>
    </row>
    <row r="17">
      <c r="B17" s="8" t="inlineStr">
        <is>
          <t>Commentary (business controller):</t>
        </is>
      </c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2060"/>
    <outlinePr summaryBelow="1" summaryRight="1"/>
    <pageSetUpPr/>
  </sheetPr>
  <dimension ref="A1:Q1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t="inlineStr">
        <is>
          <t>Index</t>
        </is>
      </c>
      <c r="C1" s="14" t="n">
        <v>46053</v>
      </c>
      <c r="D1" s="14" t="n">
        <v>46081</v>
      </c>
      <c r="E1" s="14" t="n">
        <v>46112</v>
      </c>
      <c r="F1" s="14" t="n">
        <v>46142</v>
      </c>
      <c r="G1" s="14" t="n">
        <v>46173</v>
      </c>
      <c r="H1" s="14" t="n">
        <v>46203</v>
      </c>
      <c r="I1" s="14" t="n">
        <v>46234</v>
      </c>
      <c r="J1" s="14" t="n">
        <v>46265</v>
      </c>
      <c r="K1" s="14" t="n">
        <v>46295</v>
      </c>
      <c r="L1" s="14" t="n">
        <v>46326</v>
      </c>
      <c r="M1" s="14" t="n">
        <v>46356</v>
      </c>
      <c r="N1" s="14" t="n">
        <v>46387</v>
      </c>
    </row>
    <row r="2">
      <c r="B2" s="8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4" t="inlineStr">
        <is>
          <t>January</t>
        </is>
      </c>
      <c r="D4" s="4" t="inlineStr">
        <is>
          <t>February</t>
        </is>
      </c>
      <c r="E4" s="4" t="inlineStr">
        <is>
          <t>March</t>
        </is>
      </c>
      <c r="F4" s="4" t="inlineStr">
        <is>
          <t>April</t>
        </is>
      </c>
      <c r="G4" s="4" t="inlineStr">
        <is>
          <t>May</t>
        </is>
      </c>
      <c r="H4" s="4" t="inlineStr">
        <is>
          <t>June</t>
        </is>
      </c>
      <c r="I4" s="4" t="inlineStr">
        <is>
          <t>July</t>
        </is>
      </c>
      <c r="J4" s="4" t="inlineStr">
        <is>
          <t>August</t>
        </is>
      </c>
      <c r="K4" s="4" t="inlineStr">
        <is>
          <t>September</t>
        </is>
      </c>
      <c r="L4" s="4" t="inlineStr">
        <is>
          <t>October</t>
        </is>
      </c>
      <c r="M4" s="4" t="inlineStr">
        <is>
          <t>November</t>
        </is>
      </c>
      <c r="N4" s="4" t="inlineStr">
        <is>
          <t>December</t>
        </is>
      </c>
      <c r="O4" s="4" t="inlineStr">
        <is>
          <t>Total Adjustments</t>
        </is>
      </c>
      <c r="Q4" s="2" t="inlineStr">
        <is>
          <t>YTG</t>
        </is>
      </c>
    </row>
    <row r="5">
      <c r="B5" s="2" t="inlineStr">
        <is>
          <t>Sales</t>
        </is>
      </c>
    </row>
    <row r="6">
      <c r="B6" t="inlineStr">
        <is>
          <t>Alder Gloves</t>
        </is>
      </c>
      <c r="C6" s="6">
        <f>'Alder-Adj'!C$14</f>
        <v>0.0</v>
      </c>
      <c r="D6" s="6">
        <f>'Alder-Adj'!D$14</f>
        <v>0.0</v>
      </c>
      <c r="E6" s="6">
        <f>'Alder-Adj'!E$14</f>
        <v>0.0</v>
      </c>
      <c r="F6" s="6">
        <f>'Alder-Adj'!F$14</f>
        <v>0.0</v>
      </c>
      <c r="G6" s="6">
        <f>'Alder-Adj'!G$14</f>
        <v>0.0</v>
      </c>
      <c r="H6" s="6">
        <f>'Alder-Adj'!H$14</f>
        <v>0.0</v>
      </c>
      <c r="I6" s="6">
        <f>'Alder-Adj'!I$14</f>
        <v>0.0</v>
      </c>
      <c r="J6" s="6">
        <f>'Alder-Adj'!J$14</f>
        <v>0.0</v>
      </c>
      <c r="K6" s="6">
        <f>'Alder-Adj'!K$14</f>
        <v>0.0</v>
      </c>
      <c r="L6" s="6">
        <f>'Alder-Adj'!L$14</f>
        <v>-200.0</v>
      </c>
      <c r="M6" s="6">
        <f>'Alder-Adj'!M$14</f>
        <v>-200.0</v>
      </c>
      <c r="N6" s="6">
        <f>'Alder-Adj'!N$14</f>
        <v>-200.0</v>
      </c>
      <c r="O6" s="6">
        <f>SUM(C6:N6)</f>
        <v>-600.0</v>
      </c>
      <c r="Q6" s="6">
        <f>SUM(L6:N6)</f>
        <v>-600.0</v>
      </c>
    </row>
    <row r="7">
      <c r="B7" t="inlineStr">
        <is>
          <t>Beacon Hi-Vis</t>
        </is>
      </c>
      <c r="C7" s="6">
        <f>'Beacon-Adj'!C$14</f>
        <v>0.0</v>
      </c>
      <c r="D7" s="6">
        <f>'Beacon-Adj'!D$14</f>
        <v>0.0</v>
      </c>
      <c r="E7" s="6">
        <f>'Beacon-Adj'!E$14</f>
        <v>0.0</v>
      </c>
      <c r="F7" s="6">
        <f>'Beacon-Adj'!F$14</f>
        <v>0.0</v>
      </c>
      <c r="G7" s="6">
        <f>'Beacon-Adj'!G$14</f>
        <v>0.0</v>
      </c>
      <c r="H7" s="6">
        <f>'Beacon-Adj'!H$14</f>
        <v>0.0</v>
      </c>
      <c r="I7" s="6">
        <f>'Beacon-Adj'!I$14</f>
        <v>0.0</v>
      </c>
      <c r="J7" s="6">
        <f>'Beacon-Adj'!J$14</f>
        <v>0.0</v>
      </c>
      <c r="K7" s="6">
        <f>'Beacon-Adj'!K$14</f>
        <v>150.0</v>
      </c>
      <c r="L7" s="6">
        <f>'Beacon-Adj'!L$14</f>
        <v>250.0</v>
      </c>
      <c r="M7" s="6">
        <f>'Beacon-Adj'!M$14</f>
        <v>300.0</v>
      </c>
      <c r="N7" s="6">
        <f>'Beacon-Adj'!N$14</f>
        <v>200.0</v>
      </c>
      <c r="O7" s="6">
        <f>SUM(C7:N7)</f>
        <v>900.0</v>
      </c>
      <c r="Q7" s="6">
        <f>SUM(L7:N7)</f>
        <v>750.0</v>
      </c>
    </row>
    <row r="8">
      <c r="B8" t="inlineStr">
        <is>
          <t>Cobalt Eyewear</t>
        </is>
      </c>
      <c r="C8" s="6">
        <f>'Cobalt-Adj'!C$14</f>
        <v>0.0</v>
      </c>
      <c r="D8" s="6">
        <f>'Cobalt-Adj'!D$14</f>
        <v>0.0</v>
      </c>
      <c r="E8" s="6">
        <f>'Cobalt-Adj'!E$14</f>
        <v>0.0</v>
      </c>
      <c r="F8" s="6">
        <f>'Cobalt-Adj'!F$14</f>
        <v>0.0</v>
      </c>
      <c r="G8" s="6">
        <f>'Cobalt-Adj'!G$14</f>
        <v>0.0</v>
      </c>
      <c r="H8" s="6">
        <f>'Cobalt-Adj'!H$14</f>
        <v>0.0</v>
      </c>
      <c r="I8" s="6">
        <f>'Cobalt-Adj'!I$14</f>
        <v>0.0</v>
      </c>
      <c r="J8" s="6">
        <f>'Cobalt-Adj'!J$14</f>
        <v>0.0</v>
      </c>
      <c r="K8" s="6">
        <f>'Cobalt-Adj'!K$14</f>
        <v>30.0</v>
      </c>
      <c r="L8" s="6">
        <f>'Cobalt-Adj'!L$14</f>
        <v>40.0</v>
      </c>
      <c r="M8" s="6">
        <f>'Cobalt-Adj'!M$14</f>
        <v>40.0</v>
      </c>
      <c r="N8" s="6">
        <f>'Cobalt-Adj'!N$14</f>
        <v>40.0</v>
      </c>
      <c r="O8" s="6">
        <f>SUM(C8:N8)</f>
        <v>150.0</v>
      </c>
      <c r="Q8" s="6">
        <f>SUM(L8:N8)</f>
        <v>120.0</v>
      </c>
    </row>
    <row r="9">
      <c r="B9" t="inlineStr">
        <is>
          <t>Delta Welding Supply</t>
        </is>
      </c>
      <c r="C9" s="6">
        <f>'Delta-Adj'!C$14</f>
        <v>0.0</v>
      </c>
      <c r="D9" s="6">
        <f>'Delta-Adj'!D$14</f>
        <v>0.0</v>
      </c>
      <c r="E9" s="6">
        <f>'Delta-Adj'!E$14</f>
        <v>0.0</v>
      </c>
      <c r="F9" s="6">
        <f>'Delta-Adj'!F$14</f>
        <v>0.0</v>
      </c>
      <c r="G9" s="6">
        <f>'Delta-Adj'!G$14</f>
        <v>0.0</v>
      </c>
      <c r="H9" s="6">
        <f>'Delta-Adj'!H$14</f>
        <v>0.0</v>
      </c>
      <c r="I9" s="6">
        <f>'Delta-Adj'!I$14</f>
        <v>0.0</v>
      </c>
      <c r="J9" s="6">
        <f>'Delta-Adj'!J$14</f>
        <v>0.0</v>
      </c>
      <c r="K9" s="6">
        <f>'Delta-Adj'!K$14</f>
        <v>0.0</v>
      </c>
      <c r="L9" s="6">
        <f>'Delta-Adj'!L$14</f>
        <v>0.0</v>
      </c>
      <c r="M9" s="6">
        <f>'Delta-Adj'!M$14</f>
        <v>0.0</v>
      </c>
      <c r="N9" s="6">
        <f>'Delta-Adj'!N$14</f>
        <v>0.0</v>
      </c>
      <c r="O9" s="6">
        <f>SUM(C9:N9)</f>
        <v>0.0</v>
      </c>
      <c r="Q9" s="6">
        <f>SUM(L9:N9)</f>
        <v>0.0</v>
      </c>
    </row>
    <row r="10">
      <c r="B10" t="inlineStr">
        <is>
          <t>Ember Workwear</t>
        </is>
      </c>
      <c r="C10" s="6">
        <f>'Ember-Adj'!C$14</f>
        <v>0.0</v>
      </c>
      <c r="D10" s="6">
        <f>'Ember-Adj'!D$14</f>
        <v>0.0</v>
      </c>
      <c r="E10" s="6">
        <f>'Ember-Adj'!E$14</f>
        <v>0.0</v>
      </c>
      <c r="F10" s="6">
        <f>'Ember-Adj'!F$14</f>
        <v>0.0</v>
      </c>
      <c r="G10" s="6">
        <f>'Ember-Adj'!G$14</f>
        <v>0.0</v>
      </c>
      <c r="H10" s="6">
        <f>'Ember-Adj'!H$14</f>
        <v>0.0</v>
      </c>
      <c r="I10" s="6">
        <f>'Ember-Adj'!I$14</f>
        <v>0.0</v>
      </c>
      <c r="J10" s="6">
        <f>'Ember-Adj'!J$14</f>
        <v>0.0</v>
      </c>
      <c r="K10" s="6">
        <f>'Ember-Adj'!K$14</f>
        <v>-260.0</v>
      </c>
      <c r="L10" s="6">
        <f>'Ember-Adj'!L$14</f>
        <v>-180.0</v>
      </c>
      <c r="M10" s="6">
        <f>'Ember-Adj'!M$14</f>
        <v>-60.0</v>
      </c>
      <c r="N10" s="6">
        <f>'Ember-Adj'!N$14</f>
        <v>0.0</v>
      </c>
      <c r="O10" s="6">
        <f>SUM(C10:N10)</f>
        <v>-500.0</v>
      </c>
      <c r="Q10" s="6">
        <f>SUM(L10:N10)</f>
        <v>-240.0</v>
      </c>
    </row>
    <row r="11">
      <c r="B11" t="inlineStr">
        <is>
          <t>Falcon Hand Protection</t>
        </is>
      </c>
      <c r="C11" s="6">
        <f>'Falcon-Adj'!C$14</f>
        <v>0.0</v>
      </c>
      <c r="D11" s="6">
        <f>'Falcon-Adj'!D$14</f>
        <v>0.0</v>
      </c>
      <c r="E11" s="6">
        <f>'Falcon-Adj'!E$14</f>
        <v>0.0</v>
      </c>
      <c r="F11" s="6">
        <f>'Falcon-Adj'!F$14</f>
        <v>0.0</v>
      </c>
      <c r="G11" s="6">
        <f>'Falcon-Adj'!G$14</f>
        <v>0.0</v>
      </c>
      <c r="H11" s="6">
        <f>'Falcon-Adj'!H$14</f>
        <v>0.0</v>
      </c>
      <c r="I11" s="6">
        <f>'Falcon-Adj'!I$14</f>
        <v>0.0</v>
      </c>
      <c r="J11" s="6">
        <f>'Falcon-Adj'!J$14</f>
        <v>0.0</v>
      </c>
      <c r="K11" s="6">
        <f>'Falcon-Adj'!K$14</f>
        <v>300.0</v>
      </c>
      <c r="L11" s="6">
        <f>'Falcon-Adj'!L$14</f>
        <v>300.0</v>
      </c>
      <c r="M11" s="6">
        <f>'Falcon-Adj'!M$14</f>
        <v>300.0</v>
      </c>
      <c r="N11" s="6">
        <f>'Falcon-Adj'!N$14</f>
        <v>300.0</v>
      </c>
      <c r="O11" s="6">
        <f>SUM(C11:N11)</f>
        <v>1200.0</v>
      </c>
      <c r="Q11" s="6">
        <f>SUM(L11:N11)</f>
        <v>900.0</v>
      </c>
    </row>
    <row r="12">
      <c r="B12" t="inlineStr">
        <is>
          <t>Granite Gloves</t>
        </is>
      </c>
      <c r="C12" s="6">
        <f>'Granite-Adj'!C$14</f>
        <v>0.0</v>
      </c>
      <c r="D12" s="6">
        <f>'Granite-Adj'!D$14</f>
        <v>0.0</v>
      </c>
      <c r="E12" s="6">
        <f>'Granite-Adj'!E$14</f>
        <v>0.0</v>
      </c>
      <c r="F12" s="6">
        <f>'Granite-Adj'!F$14</f>
        <v>0.0</v>
      </c>
      <c r="G12" s="6">
        <f>'Granite-Adj'!G$14</f>
        <v>0.0</v>
      </c>
      <c r="H12" s="6">
        <f>'Granite-Adj'!H$14</f>
        <v>0.0</v>
      </c>
      <c r="I12" s="6">
        <f>'Granite-Adj'!I$14</f>
        <v>0.0</v>
      </c>
      <c r="J12" s="6">
        <f>'Granite-Adj'!J$14</f>
        <v>0.0</v>
      </c>
      <c r="K12" s="6">
        <f>'Granite-Adj'!K$14</f>
        <v>-430.0</v>
      </c>
      <c r="L12" s="6">
        <f>'Granite-Adj'!L$14</f>
        <v>-250.0</v>
      </c>
      <c r="M12" s="6">
        <f>'Granite-Adj'!M$14</f>
        <v>-200.0</v>
      </c>
      <c r="N12" s="6">
        <f>'Granite-Adj'!N$14</f>
        <v>-300.0</v>
      </c>
      <c r="O12" s="6">
        <f>SUM(C12:N12)</f>
        <v>-1180.0</v>
      </c>
      <c r="Q12" s="6">
        <f>SUM(L12:N12)</f>
        <v>-750.0</v>
      </c>
    </row>
    <row r="13">
      <c r="B13" t="inlineStr">
        <is>
          <t>Hollis Rainwear</t>
        </is>
      </c>
      <c r="C13" s="6">
        <f>'Hollis-Adj'!C$14</f>
        <v>0.0</v>
      </c>
      <c r="D13" s="6">
        <f>'Hollis-Adj'!D$14</f>
        <v>0.0</v>
      </c>
      <c r="E13" s="6">
        <f>'Hollis-Adj'!E$14</f>
        <v>0.0</v>
      </c>
      <c r="F13" s="6">
        <f>'Hollis-Adj'!F$14</f>
        <v>0.0</v>
      </c>
      <c r="G13" s="6">
        <f>'Hollis-Adj'!G$14</f>
        <v>0.0</v>
      </c>
      <c r="H13" s="6">
        <f>'Hollis-Adj'!H$14</f>
        <v>0.0</v>
      </c>
      <c r="I13" s="6">
        <f>'Hollis-Adj'!I$14</f>
        <v>0.0</v>
      </c>
      <c r="J13" s="6">
        <f>'Hollis-Adj'!J$14</f>
        <v>0.0</v>
      </c>
      <c r="K13" s="6">
        <f>'Hollis-Adj'!K$14</f>
        <v>1700.0</v>
      </c>
      <c r="L13" s="6">
        <f>'Hollis-Adj'!L$14</f>
        <v>-1000.0</v>
      </c>
      <c r="M13" s="6">
        <f>'Hollis-Adj'!M$14</f>
        <v>-400.0</v>
      </c>
      <c r="N13" s="6">
        <f>'Hollis-Adj'!N$14</f>
        <v>300.0</v>
      </c>
      <c r="O13" s="6">
        <f>SUM(C13:N13)</f>
        <v>600.0</v>
      </c>
      <c r="Q13" s="6">
        <f>SUM(L13:N13)</f>
        <v>-1100.0</v>
      </c>
    </row>
    <row r="14">
      <c r="B14" t="inlineStr">
        <is>
          <t>SAFEREG</t>
        </is>
      </c>
      <c r="C14" s="6">
        <f>'SAFEREG-Adj'!C$14</f>
        <v>0.0</v>
      </c>
      <c r="D14" s="6">
        <f>'SAFEREG-Adj'!D$14</f>
        <v>0.0</v>
      </c>
      <c r="E14" s="6">
        <f>'SAFEREG-Adj'!E$14</f>
        <v>0.0</v>
      </c>
      <c r="F14" s="6">
        <f>'SAFEREG-Adj'!F$14</f>
        <v>0.0</v>
      </c>
      <c r="G14" s="6">
        <f>'SAFEREG-Adj'!G$14</f>
        <v>0.0</v>
      </c>
      <c r="H14" s="6">
        <f>'SAFEREG-Adj'!H$14</f>
        <v>0.0</v>
      </c>
      <c r="I14" s="6">
        <f>'SAFEREG-Adj'!I$14</f>
        <v>0.0</v>
      </c>
      <c r="J14" s="6">
        <f>'SAFEREG-Adj'!J$14</f>
        <v>0.0</v>
      </c>
      <c r="K14" s="6">
        <f>'SAFEREG-Adj'!K$14</f>
        <v>0.0</v>
      </c>
      <c r="L14" s="6">
        <f>'SAFEREG-Adj'!L$14</f>
        <v>0.0</v>
      </c>
      <c r="M14" s="6">
        <f>'SAFEREG-Adj'!M$14</f>
        <v>0.0</v>
      </c>
      <c r="N14" s="6">
        <f>'SAFEREG-Adj'!N$14</f>
        <v>0.0</v>
      </c>
      <c r="O14" s="6">
        <f>SUM(C14:N14)</f>
        <v>0.0</v>
      </c>
      <c r="Q14" s="6">
        <f>SUM(L14:N14)</f>
        <v>0.0</v>
      </c>
    </row>
    <row r="15">
      <c r="B15" s="2" t="inlineStr">
        <is>
          <t>Total Sales</t>
        </is>
      </c>
      <c r="C15" s="9">
        <f>SUM(C6:C14)</f>
        <v>0.0</v>
      </c>
      <c r="D15" s="9">
        <f>SUM(D6:D14)</f>
        <v>0.0</v>
      </c>
      <c r="E15" s="9">
        <f>SUM(E6:E14)</f>
        <v>0.0</v>
      </c>
      <c r="F15" s="9">
        <f>SUM(F6:F14)</f>
        <v>0.0</v>
      </c>
      <c r="G15" s="9">
        <f>SUM(G6:G14)</f>
        <v>0.0</v>
      </c>
      <c r="H15" s="9">
        <f>SUM(H6:H14)</f>
        <v>0.0</v>
      </c>
      <c r="I15" s="9">
        <f>SUM(I6:I14)</f>
        <v>0.0</v>
      </c>
      <c r="J15" s="9">
        <f>SUM(J6:J14)</f>
        <v>0.0</v>
      </c>
      <c r="K15" s="9">
        <f>SUM(K6:K14)</f>
        <v>1490.0</v>
      </c>
      <c r="L15" s="9">
        <f>SUM(L6:L14)</f>
        <v>-1040.0</v>
      </c>
      <c r="M15" s="9">
        <f>SUM(M6:M14)</f>
        <v>-220.0</v>
      </c>
      <c r="N15" s="9">
        <f>SUM(N6:N14)</f>
        <v>340.0</v>
      </c>
      <c r="O15" s="9">
        <f>SUM(O6:O14)</f>
        <v>570.0</v>
      </c>
      <c r="Q15" s="6">
        <f>SUM(L15:N15)</f>
        <v>-920.0</v>
      </c>
    </row>
    <row r="17">
      <c r="B17" s="2" t="inlineStr">
        <is>
          <t>Gross Margin (%)</t>
        </is>
      </c>
    </row>
    <row r="18">
      <c r="B18" t="inlineStr">
        <is>
          <t>Alder Gloves</t>
        </is>
      </c>
      <c r="C18" s="12" t="str">
        <f>IFERROR(C30/C6,"-")</f>
        <v>-</v>
      </c>
      <c r="D18" s="12" t="str">
        <f>IFERROR(D30/D6,"-")</f>
        <v>-</v>
      </c>
      <c r="E18" s="12" t="str">
        <f>IFERROR(E30/E6,"-")</f>
        <v>-</v>
      </c>
      <c r="F18" s="12" t="str">
        <f>IFERROR(F30/F6,"-")</f>
        <v>-</v>
      </c>
      <c r="G18" s="12" t="str">
        <f>IFERROR(G30/G6,"-")</f>
        <v>-</v>
      </c>
      <c r="H18" s="12" t="str">
        <f>IFERROR(H30/H6,"-")</f>
        <v>-</v>
      </c>
      <c r="I18" s="12" t="str">
        <f>IFERROR(I30/I6,"-")</f>
        <v>-</v>
      </c>
      <c r="J18" s="12" t="str">
        <f>IFERROR(J30/J6,"-")</f>
        <v>-</v>
      </c>
      <c r="K18" s="12" t="str">
        <f>IFERROR(K30/K6,"-")</f>
        <v>-</v>
      </c>
      <c r="L18" s="12">
        <f>IFERROR(L30/L6,"-")</f>
        <v>0.7</v>
      </c>
      <c r="M18" s="12">
        <f>IFERROR(M30/M6,"-")</f>
        <v>0.7</v>
      </c>
      <c r="N18" s="12">
        <f>IFERROR(N30/N6,"-")</f>
        <v>0.7</v>
      </c>
      <c r="O18" s="12">
        <f>IFERROR(O30/O6,"-")</f>
        <v>0.9666666666666667</v>
      </c>
    </row>
    <row r="19">
      <c r="B19" t="inlineStr">
        <is>
          <t>Beacon Hi-Vis</t>
        </is>
      </c>
      <c r="C19" s="12" t="str">
        <f>IFERROR(C31/C7,"-")</f>
        <v>-</v>
      </c>
      <c r="D19" s="12" t="str">
        <f>IFERROR(D31/D7,"-")</f>
        <v>-</v>
      </c>
      <c r="E19" s="12" t="str">
        <f>IFERROR(E31/E7,"-")</f>
        <v>-</v>
      </c>
      <c r="F19" s="12" t="str">
        <f>IFERROR(F31/F7,"-")</f>
        <v>-</v>
      </c>
      <c r="G19" s="12" t="str">
        <f>IFERROR(G31/G7,"-")</f>
        <v>-</v>
      </c>
      <c r="H19" s="12" t="str">
        <f>IFERROR(H31/H7,"-")</f>
        <v>-</v>
      </c>
      <c r="I19" s="12" t="str">
        <f>IFERROR(I31/I7,"-")</f>
        <v>-</v>
      </c>
      <c r="J19" s="12" t="str">
        <f>IFERROR(J31/J7,"-")</f>
        <v>-</v>
      </c>
      <c r="K19" s="12">
        <f>IFERROR(K31/K7,"-")</f>
        <v>0.4</v>
      </c>
      <c r="L19" s="12">
        <f>IFERROR(L31/L7,"-")</f>
        <v>0.38</v>
      </c>
      <c r="M19" s="12">
        <f>IFERROR(M31/M7,"-")</f>
        <v>0.38333333333333336</v>
      </c>
      <c r="N19" s="12">
        <f>IFERROR(N31/N7,"-")</f>
        <v>0.4</v>
      </c>
      <c r="O19" s="12">
        <f>IFERROR(O31/O7,"-")</f>
        <v>0.3888888888888889</v>
      </c>
    </row>
    <row r="20">
      <c r="B20" t="inlineStr">
        <is>
          <t>Cobalt Eyewear</t>
        </is>
      </c>
      <c r="C20" s="12" t="str">
        <f>IFERROR(C32/C8,"-")</f>
        <v>-</v>
      </c>
      <c r="D20" s="12" t="str">
        <f>IFERROR(D32/D8,"-")</f>
        <v>-</v>
      </c>
      <c r="E20" s="12" t="str">
        <f>IFERROR(E32/E8,"-")</f>
        <v>-</v>
      </c>
      <c r="F20" s="12" t="str">
        <f>IFERROR(F32/F8,"-")</f>
        <v>-</v>
      </c>
      <c r="G20" s="12" t="str">
        <f>IFERROR(G32/G8,"-")</f>
        <v>-</v>
      </c>
      <c r="H20" s="12" t="str">
        <f>IFERROR(H32/H8,"-")</f>
        <v>-</v>
      </c>
      <c r="I20" s="12" t="str">
        <f>IFERROR(I32/I8,"-")</f>
        <v>-</v>
      </c>
      <c r="J20" s="12" t="str">
        <f>IFERROR(J32/J8,"-")</f>
        <v>-</v>
      </c>
      <c r="K20" s="12">
        <f>IFERROR(K32/K8,"-")</f>
        <v>0.0026666666666666666</v>
      </c>
      <c r="L20" s="12">
        <f>IFERROR(L32/L8,"-")</f>
        <v>0.002</v>
      </c>
      <c r="M20" s="12">
        <f>IFERROR(M32/M8,"-")</f>
        <v>0.002</v>
      </c>
      <c r="N20" s="12">
        <f>IFERROR(N32/N8,"-")</f>
        <v>0.002</v>
      </c>
      <c r="O20" s="12">
        <f>IFERROR(O32/O8,"-")</f>
        <v>0.0021333333333333334</v>
      </c>
    </row>
    <row r="21">
      <c r="B21" t="inlineStr">
        <is>
          <t>Delta Welding Supply</t>
        </is>
      </c>
      <c r="C21" s="12" t="str">
        <f>IFERROR(C33/C9,"-")</f>
        <v>-</v>
      </c>
      <c r="D21" s="12" t="str">
        <f>IFERROR(D33/D9,"-")</f>
        <v>-</v>
      </c>
      <c r="E21" s="12" t="str">
        <f>IFERROR(E33/E9,"-")</f>
        <v>-</v>
      </c>
      <c r="F21" s="12" t="str">
        <f>IFERROR(F33/F9,"-")</f>
        <v>-</v>
      </c>
      <c r="G21" s="12" t="str">
        <f>IFERROR(G33/G9,"-")</f>
        <v>-</v>
      </c>
      <c r="H21" s="12" t="str">
        <f>IFERROR(H33/H9,"-")</f>
        <v>-</v>
      </c>
      <c r="I21" s="12" t="str">
        <f>IFERROR(I33/I9,"-")</f>
        <v>-</v>
      </c>
      <c r="J21" s="12" t="str">
        <f>IFERROR(J33/J9,"-")</f>
        <v>-</v>
      </c>
      <c r="K21" s="12" t="str">
        <f>IFERROR(K33/K9,"-")</f>
        <v>-</v>
      </c>
      <c r="L21" s="12" t="str">
        <f>IFERROR(L33/L9,"-")</f>
        <v>-</v>
      </c>
      <c r="M21" s="12" t="str">
        <f>IFERROR(M33/M9,"-")</f>
        <v>-</v>
      </c>
      <c r="N21" s="12" t="str">
        <f>IFERROR(N33/N9,"-")</f>
        <v>-</v>
      </c>
      <c r="O21" s="12" t="str">
        <f>IFERROR(O33/O9,"-")</f>
        <v>-</v>
      </c>
    </row>
    <row r="22">
      <c r="B22" t="inlineStr">
        <is>
          <t>Ember Workwear</t>
        </is>
      </c>
      <c r="C22" s="12" t="str">
        <f>IFERROR(C34/C10,"-")</f>
        <v>-</v>
      </c>
      <c r="D22" s="12" t="str">
        <f>IFERROR(D34/D10,"-")</f>
        <v>-</v>
      </c>
      <c r="E22" s="12" t="str">
        <f>IFERROR(E34/E10,"-")</f>
        <v>-</v>
      </c>
      <c r="F22" s="12" t="str">
        <f>IFERROR(F34/F10,"-")</f>
        <v>-</v>
      </c>
      <c r="G22" s="12" t="str">
        <f>IFERROR(G34/G10,"-")</f>
        <v>-</v>
      </c>
      <c r="H22" s="12" t="str">
        <f>IFERROR(H34/H10,"-")</f>
        <v>-</v>
      </c>
      <c r="I22" s="12" t="str">
        <f>IFERROR(I34/I10,"-")</f>
        <v>-</v>
      </c>
      <c r="J22" s="12" t="str">
        <f>IFERROR(J34/J10,"-")</f>
        <v>-</v>
      </c>
      <c r="K22" s="12">
        <f>IFERROR(K34/K10,"-")</f>
        <v>0.3192307692307692</v>
      </c>
      <c r="L22" s="12">
        <f>IFERROR(L34/L10,"-")</f>
        <v>0.32222222222222224</v>
      </c>
      <c r="M22" s="12">
        <f>IFERROR(M34/M10,"-")</f>
        <v>0.31666666666666665</v>
      </c>
      <c r="N22" s="12" t="str">
        <f>IFERROR(N34/N10,"-")</f>
        <v>-</v>
      </c>
      <c r="O22" s="12">
        <f>IFERROR(O34/O10,"-")</f>
        <v>0.32</v>
      </c>
    </row>
    <row r="23">
      <c r="B23" t="inlineStr">
        <is>
          <t>Falcon Hand Protection</t>
        </is>
      </c>
      <c r="C23" s="12" t="str">
        <f>IFERROR(C35/C11,"-")</f>
        <v>-</v>
      </c>
      <c r="D23" s="12" t="str">
        <f>IFERROR(D35/D11,"-")</f>
        <v>-</v>
      </c>
      <c r="E23" s="12" t="str">
        <f>IFERROR(E35/E11,"-")</f>
        <v>-</v>
      </c>
      <c r="F23" s="12" t="str">
        <f>IFERROR(F35/F11,"-")</f>
        <v>-</v>
      </c>
      <c r="G23" s="12" t="str">
        <f>IFERROR(G35/G11,"-")</f>
        <v>-</v>
      </c>
      <c r="H23" s="12" t="str">
        <f>IFERROR(H35/H11,"-")</f>
        <v>-</v>
      </c>
      <c r="I23" s="12" t="str">
        <f>IFERROR(I35/I11,"-")</f>
        <v>-</v>
      </c>
      <c r="J23" s="12" t="str">
        <f>IFERROR(J35/J11,"-")</f>
        <v>-</v>
      </c>
      <c r="K23" s="12">
        <f>IFERROR(K35/K11,"-")</f>
        <v>0.4</v>
      </c>
      <c r="L23" s="12">
        <f>IFERROR(L35/L11,"-")</f>
        <v>0.4</v>
      </c>
      <c r="M23" s="12">
        <f>IFERROR(M35/M11,"-")</f>
        <v>0.4</v>
      </c>
      <c r="N23" s="12">
        <f>IFERROR(N35/N11,"-")</f>
        <v>0.4</v>
      </c>
      <c r="O23" s="12">
        <f>IFERROR(O35/O11,"-")</f>
        <v>0.4</v>
      </c>
    </row>
    <row r="24">
      <c r="B24" t="inlineStr">
        <is>
          <t>Granite Gloves</t>
        </is>
      </c>
      <c r="C24" s="12" t="str">
        <f>IFERROR(C36/C12,"-")</f>
        <v>-</v>
      </c>
      <c r="D24" s="12" t="str">
        <f>IFERROR(D36/D12,"-")</f>
        <v>-</v>
      </c>
      <c r="E24" s="12" t="str">
        <f>IFERROR(E36/E12,"-")</f>
        <v>-</v>
      </c>
      <c r="F24" s="12" t="str">
        <f>IFERROR(F36/F12,"-")</f>
        <v>-</v>
      </c>
      <c r="G24" s="12" t="str">
        <f>IFERROR(G36/G12,"-")</f>
        <v>-</v>
      </c>
      <c r="H24" s="12" t="str">
        <f>IFERROR(H36/H12,"-")</f>
        <v>-</v>
      </c>
      <c r="I24" s="12" t="str">
        <f>IFERROR(I36/I12,"-")</f>
        <v>-</v>
      </c>
      <c r="J24" s="12" t="str">
        <f>IFERROR(J36/J12,"-")</f>
        <v>-</v>
      </c>
      <c r="K24" s="12">
        <f>IFERROR(K36/K12,"-")</f>
        <v>0.6162790697674418</v>
      </c>
      <c r="L24" s="12">
        <f>IFERROR(L36/L12,"-")</f>
        <v>0.508</v>
      </c>
      <c r="M24" s="12">
        <f>IFERROR(M36/M12,"-")</f>
        <v>0.51</v>
      </c>
      <c r="N24" s="12">
        <f>IFERROR(N36/N12,"-")</f>
        <v>0.10333333333333333</v>
      </c>
      <c r="O24" s="12">
        <f>IFERROR(O36/O12,"-")</f>
        <v>0.4449152542372881</v>
      </c>
    </row>
    <row r="25">
      <c r="B25" t="inlineStr">
        <is>
          <t>Hollis Rainwear</t>
        </is>
      </c>
      <c r="C25" s="12" t="str">
        <f>IFERROR(C37/C13,"-")</f>
        <v>-</v>
      </c>
      <c r="D25" s="12" t="str">
        <f>IFERROR(D37/D13,"-")</f>
        <v>-</v>
      </c>
      <c r="E25" s="12" t="str">
        <f>IFERROR(E37/E13,"-")</f>
        <v>-</v>
      </c>
      <c r="F25" s="12" t="str">
        <f>IFERROR(F37/F13,"-")</f>
        <v>-</v>
      </c>
      <c r="G25" s="12" t="str">
        <f>IFERROR(G37/G13,"-")</f>
        <v>-</v>
      </c>
      <c r="H25" s="12" t="str">
        <f>IFERROR(H37/H13,"-")</f>
        <v>-</v>
      </c>
      <c r="I25" s="12" t="str">
        <f>IFERROR(I37/I13,"-")</f>
        <v>-</v>
      </c>
      <c r="J25" s="12" t="str">
        <f>IFERROR(J37/J13,"-")</f>
        <v>-</v>
      </c>
      <c r="K25" s="12">
        <f>IFERROR(K37/K13,"-")</f>
        <v>0.15</v>
      </c>
      <c r="L25" s="12">
        <f>IFERROR(L37/L13,"-")</f>
        <v>0.15</v>
      </c>
      <c r="M25" s="12">
        <f>IFERROR(M37/M13,"-")</f>
        <v>0.0375</v>
      </c>
      <c r="N25" s="12">
        <f>IFERROR(N37/N13,"-")</f>
        <v>0.7</v>
      </c>
      <c r="O25" s="12">
        <f>IFERROR(O37/O13,"-")</f>
        <v>0.5</v>
      </c>
    </row>
    <row r="26">
      <c r="B26" t="inlineStr">
        <is>
          <t>SAFEREG</t>
        </is>
      </c>
      <c r="C26" s="12" t="str">
        <f>IFERROR(C38/C14,"-")</f>
        <v>-</v>
      </c>
      <c r="D26" s="12" t="str">
        <f>IFERROR(D38/D14,"-")</f>
        <v>-</v>
      </c>
      <c r="E26" s="12" t="str">
        <f>IFERROR(E38/E14,"-")</f>
        <v>-</v>
      </c>
      <c r="F26" s="12" t="str">
        <f>IFERROR(F38/F14,"-")</f>
        <v>-</v>
      </c>
      <c r="G26" s="12" t="str">
        <f>IFERROR(G38/G14,"-")</f>
        <v>-</v>
      </c>
      <c r="H26" s="12" t="str">
        <f>IFERROR(H38/H14,"-")</f>
        <v>-</v>
      </c>
      <c r="I26" s="12" t="str">
        <f>IFERROR(I38/I14,"-")</f>
        <v>-</v>
      </c>
      <c r="J26" s="12" t="str">
        <f>IFERROR(J38/J14,"-")</f>
        <v>-</v>
      </c>
      <c r="K26" s="12" t="str">
        <f>IFERROR(K38/K14,"-")</f>
        <v>-</v>
      </c>
      <c r="L26" s="12" t="str">
        <f>IFERROR(L38/L14,"-")</f>
        <v>-</v>
      </c>
      <c r="M26" s="12" t="str">
        <f>IFERROR(M38/M14,"-")</f>
        <v>-</v>
      </c>
      <c r="N26" s="12" t="str">
        <f>IFERROR(N38/N14,"-")</f>
        <v>-</v>
      </c>
      <c r="O26" s="12" t="str">
        <f>IFERROR(O38/O14,"-")</f>
        <v>-</v>
      </c>
    </row>
    <row r="27">
      <c r="B27" s="2" t="inlineStr">
        <is>
          <t>Total Gross Margin (%)</t>
        </is>
      </c>
      <c r="C27" s="15" t="str">
        <f>IFERROR(C39/C15,"-")</f>
        <v>-</v>
      </c>
      <c r="D27" s="15" t="str">
        <f>IFERROR(D39/D15,"-")</f>
        <v>-</v>
      </c>
      <c r="E27" s="15" t="str">
        <f>IFERROR(E39/E15,"-")</f>
        <v>-</v>
      </c>
      <c r="F27" s="15" t="str">
        <f>IFERROR(F39/F15,"-")</f>
        <v>-</v>
      </c>
      <c r="G27" s="15" t="str">
        <f>IFERROR(G39/G15,"-")</f>
        <v>-</v>
      </c>
      <c r="H27" s="15" t="str">
        <f>IFERROR(H39/H15,"-")</f>
        <v>-</v>
      </c>
      <c r="I27" s="15" t="str">
        <f>IFERROR(I39/I15,"-")</f>
        <v>-</v>
      </c>
      <c r="J27" s="15" t="str">
        <f>IFERROR(J39/J15,"-")</f>
        <v>-</v>
      </c>
      <c r="K27" s="15">
        <f>IFERROR(K39/K15,"-")</f>
        <v>-0.048939597315436255</v>
      </c>
      <c r="L27" s="15">
        <f>IFERROR(L39/L15,"-")</f>
        <v>0.24992307692307694</v>
      </c>
      <c r="M27" s="15">
        <f>IFERROR(M39/M15,"-")</f>
        <v>0.186</v>
      </c>
      <c r="N27" s="15">
        <f>IFERROR(N39/N15,"-")</f>
        <v>0.7031764705882353</v>
      </c>
      <c r="O27" s="15">
        <f>IFERROR(O39/O15,"-")</f>
        <v>-0.23628070175438598</v>
      </c>
    </row>
    <row r="29">
      <c r="B29" s="2" t="inlineStr">
        <is>
          <t>Gross Margin ($)</t>
        </is>
      </c>
    </row>
    <row r="30">
      <c r="B30" t="inlineStr">
        <is>
          <t>Alder Gloves</t>
        </is>
      </c>
      <c r="C30" s="6">
        <f>'Alder-Adj'!C$36</f>
        <v>0.0</v>
      </c>
      <c r="D30" s="6">
        <f>'Alder-Adj'!D$36</f>
        <v>0.0</v>
      </c>
      <c r="E30" s="6">
        <f>'Alder-Adj'!E$36</f>
        <v>0.0</v>
      </c>
      <c r="F30" s="6">
        <f>'Alder-Adj'!F$36</f>
        <v>0.0</v>
      </c>
      <c r="G30" s="6">
        <f>'Alder-Adj'!G$36</f>
        <v>0.0</v>
      </c>
      <c r="H30" s="6">
        <f>'Alder-Adj'!H$36</f>
        <v>0.0</v>
      </c>
      <c r="I30" s="6">
        <f>'Alder-Adj'!I$36</f>
        <v>0.0</v>
      </c>
      <c r="J30" s="6">
        <f>'Alder-Adj'!J$36</f>
        <v>0.0</v>
      </c>
      <c r="K30" s="6">
        <f>'Alder-Adj'!K$36</f>
        <v>-160.0</v>
      </c>
      <c r="L30" s="6">
        <f>'Alder-Adj'!L$36</f>
        <v>-140.0</v>
      </c>
      <c r="M30" s="6">
        <f>'Alder-Adj'!M$36</f>
        <v>-140.0</v>
      </c>
      <c r="N30" s="6">
        <f>'Alder-Adj'!N$36</f>
        <v>-140.0</v>
      </c>
      <c r="O30" s="6">
        <f>SUM(C30:N30)</f>
        <v>-580.0</v>
      </c>
      <c r="Q30" s="6">
        <f>SUM(L30:N30)</f>
        <v>-420.0</v>
      </c>
    </row>
    <row r="31">
      <c r="B31" t="inlineStr">
        <is>
          <t>Beacon Hi-Vis</t>
        </is>
      </c>
      <c r="C31" s="6">
        <f>'Beacon-Adj'!C$36</f>
        <v>0.0</v>
      </c>
      <c r="D31" s="6">
        <f>'Beacon-Adj'!D$36</f>
        <v>0.0</v>
      </c>
      <c r="E31" s="6">
        <f>'Beacon-Adj'!E$36</f>
        <v>0.0</v>
      </c>
      <c r="F31" s="6">
        <f>'Beacon-Adj'!F$36</f>
        <v>0.0</v>
      </c>
      <c r="G31" s="6">
        <f>'Beacon-Adj'!G$36</f>
        <v>0.0</v>
      </c>
      <c r="H31" s="6">
        <f>'Beacon-Adj'!H$36</f>
        <v>0.0</v>
      </c>
      <c r="I31" s="6">
        <f>'Beacon-Adj'!I$36</f>
        <v>0.0</v>
      </c>
      <c r="J31" s="6">
        <f>'Beacon-Adj'!J$36</f>
        <v>0.0</v>
      </c>
      <c r="K31" s="6">
        <f>'Beacon-Adj'!K$36</f>
        <v>60.0</v>
      </c>
      <c r="L31" s="6">
        <f>'Beacon-Adj'!L$36</f>
        <v>95.0</v>
      </c>
      <c r="M31" s="6">
        <f>'Beacon-Adj'!M$36</f>
        <v>115.0</v>
      </c>
      <c r="N31" s="6">
        <f>'Beacon-Adj'!N$36</f>
        <v>80.0</v>
      </c>
      <c r="O31" s="6">
        <f>SUM(C31:N31)</f>
        <v>350.0</v>
      </c>
      <c r="Q31" s="6">
        <f>SUM(L31:N31)</f>
        <v>290.0</v>
      </c>
    </row>
    <row r="32">
      <c r="B32" t="inlineStr">
        <is>
          <t>Cobalt Eyewear</t>
        </is>
      </c>
      <c r="C32" s="6">
        <f>'Cobalt-Adj'!C$39</f>
        <v>0.0</v>
      </c>
      <c r="D32" s="6">
        <f>'Cobalt-Adj'!D$39</f>
        <v>0.0</v>
      </c>
      <c r="E32" s="6">
        <f>'Cobalt-Adj'!E$39</f>
        <v>0.0</v>
      </c>
      <c r="F32" s="6" t="n"/>
      <c r="G32" s="6" t="n"/>
      <c r="H32" s="6">
        <f>'Cobalt-Adj'!H$39</f>
        <v>0.0</v>
      </c>
      <c r="I32" s="6">
        <f>'Cobalt-Adj'!I$39</f>
        <v>0.0</v>
      </c>
      <c r="J32" s="6">
        <f>'Cobalt-Adj'!J$39</f>
        <v>0.0</v>
      </c>
      <c r="K32" s="6">
        <f>'Cobalt-Adj'!K$39</f>
        <v>0.08</v>
      </c>
      <c r="L32" s="6">
        <f>'Cobalt-Adj'!L$39</f>
        <v>0.08</v>
      </c>
      <c r="M32" s="6">
        <f>'Cobalt-Adj'!M$39</f>
        <v>0.08</v>
      </c>
      <c r="N32" s="6">
        <f>'Cobalt-Adj'!N$39</f>
        <v>0.08</v>
      </c>
      <c r="O32" s="6">
        <f>SUM(C32:N32)</f>
        <v>0.32</v>
      </c>
      <c r="Q32" s="6">
        <f>SUM(L32:N32)</f>
        <v>0.24</v>
      </c>
    </row>
    <row r="33">
      <c r="B33" t="inlineStr">
        <is>
          <t>Delta Welding Supply</t>
        </is>
      </c>
      <c r="C33" s="6">
        <f>'Delta-Adj'!C$36</f>
        <v>0.0</v>
      </c>
      <c r="D33" s="6">
        <f>'Delta-Adj'!D$36</f>
        <v>0.0</v>
      </c>
      <c r="E33" s="6">
        <f>'Delta-Adj'!E$36</f>
        <v>0.0</v>
      </c>
      <c r="F33" s="6">
        <f>'Delta-Adj'!F$36</f>
        <v>0.0</v>
      </c>
      <c r="G33" s="6">
        <f>'Delta-Adj'!G$36</f>
        <v>0.0</v>
      </c>
      <c r="H33" s="6">
        <f>'Delta-Adj'!H$36</f>
        <v>0.0</v>
      </c>
      <c r="I33" s="6">
        <f>'Delta-Adj'!I$36</f>
        <v>0.0</v>
      </c>
      <c r="J33" s="6">
        <f>'Delta-Adj'!J$36</f>
        <v>0.0</v>
      </c>
      <c r="K33" s="6">
        <f>'Delta-Adj'!K$36</f>
        <v>0.0</v>
      </c>
      <c r="L33" s="6">
        <f>'Delta-Adj'!L$36</f>
        <v>0.0</v>
      </c>
      <c r="M33" s="6">
        <f>'Delta-Adj'!M$36</f>
        <v>0.0</v>
      </c>
      <c r="N33" s="6">
        <f>'Delta-Adj'!N$36</f>
        <v>0.0</v>
      </c>
      <c r="O33" s="6">
        <f>SUM(C33:N33)</f>
        <v>0.0</v>
      </c>
      <c r="Q33" s="6">
        <f>SUM(L33:N33)</f>
        <v>0.0</v>
      </c>
    </row>
    <row r="34">
      <c r="B34" t="inlineStr">
        <is>
          <t>Ember Workwear</t>
        </is>
      </c>
      <c r="C34" s="6">
        <f>'Ember-Adj'!C$36</f>
        <v>0.0</v>
      </c>
      <c r="D34" s="6">
        <f>'Ember-Adj'!D$36</f>
        <v>0.0</v>
      </c>
      <c r="E34" s="6">
        <f>'Ember-Adj'!E$36</f>
        <v>0.0</v>
      </c>
      <c r="F34" s="6">
        <f>'Ember-Adj'!F$36</f>
        <v>0.0</v>
      </c>
      <c r="G34" s="6">
        <f>'Ember-Adj'!G$36</f>
        <v>0.0</v>
      </c>
      <c r="H34" s="6">
        <f>'Ember-Adj'!H$36</f>
        <v>0.0</v>
      </c>
      <c r="I34" s="6">
        <f>'Ember-Adj'!I$36</f>
        <v>0.0</v>
      </c>
      <c r="J34" s="6">
        <f>'Ember-Adj'!J$36</f>
        <v>0.0</v>
      </c>
      <c r="K34" s="6">
        <f>'Ember-Adj'!K$36</f>
        <v>-83.0</v>
      </c>
      <c r="L34" s="6">
        <f>'Ember-Adj'!L$36</f>
        <v>-58.0</v>
      </c>
      <c r="M34" s="6">
        <f>'Ember-Adj'!M$36</f>
        <v>-19.0</v>
      </c>
      <c r="N34" s="6">
        <f>'Ember-Adj'!N$36</f>
        <v>0.0</v>
      </c>
      <c r="O34" s="6">
        <f>SUM(C34:N34)</f>
        <v>-160.0</v>
      </c>
      <c r="Q34" s="6">
        <f>SUM(L34:N34)</f>
        <v>-77.0</v>
      </c>
    </row>
    <row r="35">
      <c r="B35" t="inlineStr">
        <is>
          <t>Falcon Hand Protection</t>
        </is>
      </c>
      <c r="C35" s="6">
        <f>'Falcon-Adj'!C$36</f>
        <v>0.0</v>
      </c>
      <c r="D35" s="6">
        <f>'Falcon-Adj'!D$36</f>
        <v>0.0</v>
      </c>
      <c r="E35" s="6">
        <f>'Falcon-Adj'!E$36</f>
        <v>0.0</v>
      </c>
      <c r="F35" s="6">
        <f>'Falcon-Adj'!F$36</f>
        <v>0.0</v>
      </c>
      <c r="G35" s="6">
        <f>'Falcon-Adj'!G$36</f>
        <v>0.0</v>
      </c>
      <c r="H35" s="6">
        <f>'Falcon-Adj'!H$36</f>
        <v>0.0</v>
      </c>
      <c r="I35" s="6">
        <f>'Falcon-Adj'!I$36</f>
        <v>0.0</v>
      </c>
      <c r="J35" s="6">
        <f>'Falcon-Adj'!J$36</f>
        <v>0.0</v>
      </c>
      <c r="K35" s="6">
        <f>'Falcon-Adj'!K$36</f>
        <v>120.0</v>
      </c>
      <c r="L35" s="6">
        <f>'Falcon-Adj'!L$36</f>
        <v>120.0</v>
      </c>
      <c r="M35" s="6">
        <f>'Falcon-Adj'!M$36</f>
        <v>120.0</v>
      </c>
      <c r="N35" s="6">
        <f>'Falcon-Adj'!N$36</f>
        <v>120.0</v>
      </c>
      <c r="O35" s="6">
        <f>SUM(C35:N35)</f>
        <v>480.0</v>
      </c>
      <c r="Q35" s="6">
        <f>SUM(L35:N35)</f>
        <v>360.0</v>
      </c>
    </row>
    <row r="36">
      <c r="B36" t="inlineStr">
        <is>
          <t>Granite Gloves</t>
        </is>
      </c>
      <c r="C36" s="6">
        <f>'Granite-Adj'!C$36</f>
        <v>0.0</v>
      </c>
      <c r="D36" s="6">
        <f>'Granite-Adj'!D$36</f>
        <v>0.0</v>
      </c>
      <c r="E36" s="6">
        <f>'Granite-Adj'!E$36</f>
        <v>0.0</v>
      </c>
      <c r="F36" s="6">
        <f>'Granite-Adj'!F$36</f>
        <v>0.0</v>
      </c>
      <c r="G36" s="6">
        <f>'Granite-Adj'!G$36</f>
        <v>0.0</v>
      </c>
      <c r="H36" s="6">
        <f>'Granite-Adj'!H$36</f>
        <v>0.0</v>
      </c>
      <c r="I36" s="6">
        <f>'Granite-Adj'!I$36</f>
        <v>0.0</v>
      </c>
      <c r="J36" s="6">
        <f>'Granite-Adj'!J$36</f>
        <v>0.0</v>
      </c>
      <c r="K36" s="6">
        <f>'Granite-Adj'!K$36</f>
        <v>-265.0</v>
      </c>
      <c r="L36" s="6">
        <f>'Granite-Adj'!L$36</f>
        <v>-127.0</v>
      </c>
      <c r="M36" s="6">
        <f>'Granite-Adj'!M$36</f>
        <v>-102.0</v>
      </c>
      <c r="N36" s="6">
        <f>'Granite-Adj'!N$36</f>
        <v>-31.0</v>
      </c>
      <c r="O36" s="6">
        <f>SUM(C36:N36)</f>
        <v>-525.0</v>
      </c>
      <c r="Q36" s="6">
        <f>SUM(L36:N36)</f>
        <v>-260.0</v>
      </c>
    </row>
    <row r="37">
      <c r="B37" t="inlineStr">
        <is>
          <t>Hollis Rainwear</t>
        </is>
      </c>
      <c r="C37" s="6">
        <f>'Hollis-Adj'!C$36</f>
        <v>0.0</v>
      </c>
      <c r="D37" s="6">
        <f>'Hollis-Adj'!D$36</f>
        <v>0.0</v>
      </c>
      <c r="E37" s="6">
        <f>'Hollis-Adj'!E$36</f>
        <v>0.0</v>
      </c>
      <c r="F37" s="6">
        <f>'Hollis-Adj'!F$36</f>
        <v>0.0</v>
      </c>
      <c r="G37" s="6">
        <f>'Hollis-Adj'!G$36</f>
        <v>0.0</v>
      </c>
      <c r="H37" s="6">
        <f>'Hollis-Adj'!H$36</f>
        <v>0.0</v>
      </c>
      <c r="I37" s="6">
        <f>'Hollis-Adj'!I$36</f>
        <v>0.0</v>
      </c>
      <c r="J37" s="6">
        <f>'Hollis-Adj'!J$36</f>
        <v>0.0</v>
      </c>
      <c r="K37" s="6">
        <f>'Hollis-Adj'!K$36</f>
        <v>255.0</v>
      </c>
      <c r="L37" s="6">
        <f>'Hollis-Adj'!L$36</f>
        <v>-150.0</v>
      </c>
      <c r="M37" s="6">
        <f>'Hollis-Adj'!M$36</f>
        <v>-15.0</v>
      </c>
      <c r="N37" s="6">
        <f>'Hollis-Adj'!N$36</f>
        <v>210.0</v>
      </c>
      <c r="O37" s="6">
        <f>SUM(C37:N37)</f>
        <v>300.0</v>
      </c>
      <c r="Q37" s="6">
        <f>SUM(L37:N37)</f>
        <v>45.0</v>
      </c>
    </row>
    <row r="38">
      <c r="B38" t="inlineStr">
        <is>
          <t>SAFEREG</t>
        </is>
      </c>
      <c r="C38" s="6">
        <f>'SAFEREG-Adj'!C$36</f>
        <v>0.0</v>
      </c>
      <c r="D38" s="6">
        <f>'SAFEREG-Adj'!D$36</f>
        <v>0.0</v>
      </c>
      <c r="E38" s="6">
        <f>'SAFEREG-Adj'!E$36</f>
        <v>0.0</v>
      </c>
      <c r="F38" s="6">
        <f>'SAFEREG-Adj'!F$36</f>
        <v>0.0</v>
      </c>
      <c r="G38" s="6">
        <f>'SAFEREG-Adj'!G$36</f>
        <v>0.0</v>
      </c>
      <c r="H38" s="6">
        <f>'SAFEREG-Adj'!H$36</f>
        <v>0.0</v>
      </c>
      <c r="I38" s="6">
        <f>'SAFEREG-Adj'!I$36</f>
        <v>0.0</v>
      </c>
      <c r="J38" s="6">
        <f>'SAFEREG-Adj'!J$36</f>
        <v>0.0</v>
      </c>
      <c r="K38" s="6">
        <f>'SAFEREG-Adj'!K$36</f>
        <v>0.0</v>
      </c>
      <c r="L38" s="6">
        <f>'SAFEREG-Adj'!L$36</f>
        <v>0.0</v>
      </c>
      <c r="M38" s="6">
        <f>'SAFEREG-Adj'!M$36</f>
        <v>0.0</v>
      </c>
      <c r="N38" s="6">
        <f>'SAFEREG-Adj'!N$36</f>
        <v>0.0</v>
      </c>
      <c r="O38" s="6">
        <f>SUM(C38:N38)</f>
        <v>0.0</v>
      </c>
      <c r="Q38" s="6">
        <f>SUM(L38:N38)</f>
        <v>0.0</v>
      </c>
    </row>
    <row r="39">
      <c r="B39" s="2" t="inlineStr">
        <is>
          <t>Total Gross Margin ($)</t>
        </is>
      </c>
      <c r="C39" s="9">
        <f>SUM(C30:C38)</f>
        <v>0.0</v>
      </c>
      <c r="D39" s="9">
        <f>SUM(D30:D38)</f>
        <v>0.0</v>
      </c>
      <c r="E39" s="9">
        <f>SUM(E30:E38)</f>
        <v>0.0</v>
      </c>
      <c r="F39" s="9">
        <f>SUM(F30:F38)</f>
        <v>0.0</v>
      </c>
      <c r="G39" s="9">
        <f>SUM(G30:G38)</f>
        <v>0.0</v>
      </c>
      <c r="H39" s="9">
        <f>SUM(H30:H38)</f>
        <v>0.0</v>
      </c>
      <c r="I39" s="9">
        <f>SUM(I30:I38)</f>
        <v>0.0</v>
      </c>
      <c r="J39" s="9">
        <f>SUM(J30:J38)</f>
        <v>0.0</v>
      </c>
      <c r="K39" s="9">
        <f>SUM(K30:K38)</f>
        <v>-72.92000000000002</v>
      </c>
      <c r="L39" s="9">
        <f>SUM(L30:L38)</f>
        <v>-259.92</v>
      </c>
      <c r="M39" s="9">
        <f>SUM(M30:M38)</f>
        <v>-40.92</v>
      </c>
      <c r="N39" s="9">
        <f>SUM(N30:N38)</f>
        <v>239.07999999999998</v>
      </c>
      <c r="O39" s="9">
        <f>SUM(O30:O38)</f>
        <v>-134.68</v>
      </c>
      <c r="Q39" s="6">
        <f>SUM(L39:N39)</f>
        <v>-61.76000000000005</v>
      </c>
    </row>
    <row r="41">
      <c r="B41" s="2" t="inlineStr">
        <is>
          <t>Op Costs (%)</t>
        </is>
      </c>
    </row>
    <row r="42">
      <c r="B42" t="inlineStr">
        <is>
          <t>Alder Gloves</t>
        </is>
      </c>
      <c r="C42" s="12" t="str">
        <f>IFERROR(C54/C6,"-")</f>
        <v>-</v>
      </c>
      <c r="D42" s="12" t="str">
        <f>IFERROR(D54/D6,"-")</f>
        <v>-</v>
      </c>
      <c r="E42" s="12" t="str">
        <f>IFERROR(E54/E6,"-")</f>
        <v>-</v>
      </c>
      <c r="F42" s="12" t="str">
        <f>IFERROR(F54/F6,"-")</f>
        <v>-</v>
      </c>
      <c r="G42" s="12" t="str">
        <f>IFERROR(G54/G6,"-")</f>
        <v>-</v>
      </c>
      <c r="H42" s="12" t="str">
        <f>IFERROR(H54/H6,"-")</f>
        <v>-</v>
      </c>
      <c r="I42" s="12" t="str">
        <f>IFERROR(I54/I6,"-")</f>
        <v>-</v>
      </c>
      <c r="J42" s="12" t="str">
        <f>IFERROR(J54/J6,"-")</f>
        <v>-</v>
      </c>
      <c r="K42" s="12" t="str">
        <f>IFERROR(K54/K6,"-")</f>
        <v>-</v>
      </c>
      <c r="L42" s="12">
        <f>IFERROR(L54/L6,"-")</f>
        <v>0.1</v>
      </c>
      <c r="M42" s="12">
        <f>IFERROR(M54/M6,"-")</f>
        <v>0.1</v>
      </c>
      <c r="N42" s="12">
        <f>IFERROR(N54/N6,"-")</f>
        <v>0.1</v>
      </c>
      <c r="O42" s="12">
        <f>IFERROR(O54/O6,"-")</f>
        <v>0.5</v>
      </c>
    </row>
    <row r="43">
      <c r="B43" t="inlineStr">
        <is>
          <t>Beacon Hi-Vis</t>
        </is>
      </c>
      <c r="C43" s="12" t="str">
        <f>IFERROR(C55/C7,"-")</f>
        <v>-</v>
      </c>
      <c r="D43" s="12" t="str">
        <f>IFERROR(D55/D7,"-")</f>
        <v>-</v>
      </c>
      <c r="E43" s="12" t="str">
        <f>IFERROR(E55/E7,"-")</f>
        <v>-</v>
      </c>
      <c r="F43" s="12" t="str">
        <f>IFERROR(F55/F7,"-")</f>
        <v>-</v>
      </c>
      <c r="G43" s="12" t="str">
        <f>IFERROR(G55/G7,"-")</f>
        <v>-</v>
      </c>
      <c r="H43" s="12" t="str">
        <f>IFERROR(H55/H7,"-")</f>
        <v>-</v>
      </c>
      <c r="I43" s="12" t="str">
        <f>IFERROR(I55/I7,"-")</f>
        <v>-</v>
      </c>
      <c r="J43" s="12" t="str">
        <f>IFERROR(J55/J7,"-")</f>
        <v>-</v>
      </c>
      <c r="K43" s="12">
        <f>IFERROR(K55/K7,"-")</f>
        <v>0.5066666666666667</v>
      </c>
      <c r="L43" s="12">
        <f>IFERROR(L55/L7,"-")</f>
        <v>0.04</v>
      </c>
      <c r="M43" s="12">
        <f>IFERROR(M55/M7,"-")</f>
        <v>0.04</v>
      </c>
      <c r="N43" s="12">
        <f>IFERROR(N55/N7,"-")</f>
        <v>0.04</v>
      </c>
      <c r="O43" s="12">
        <f>IFERROR(O55/O7,"-")</f>
        <v>0.11777777777777777</v>
      </c>
    </row>
    <row r="44">
      <c r="B44" t="inlineStr">
        <is>
          <t>Cobalt Eyewear</t>
        </is>
      </c>
      <c r="C44" s="12" t="str">
        <f>IFERROR(C56/C8,"-")</f>
        <v>-</v>
      </c>
      <c r="D44" s="12" t="str">
        <f>IFERROR(D56/D8,"-")</f>
        <v>-</v>
      </c>
      <c r="E44" s="12" t="str">
        <f>IFERROR(E56/E8,"-")</f>
        <v>-</v>
      </c>
      <c r="F44" s="12" t="str">
        <f>IFERROR(F56/F8,"-")</f>
        <v>-</v>
      </c>
      <c r="G44" s="12" t="str">
        <f>IFERROR(G56/G8,"-")</f>
        <v>-</v>
      </c>
      <c r="H44" s="12" t="str">
        <f>IFERROR(H56/H8,"-")</f>
        <v>-</v>
      </c>
      <c r="I44" s="12" t="str">
        <f>IFERROR(I56/I8,"-")</f>
        <v>-</v>
      </c>
      <c r="J44" s="12" t="str">
        <f>IFERROR(J56/J8,"-")</f>
        <v>-</v>
      </c>
      <c r="K44" s="12">
        <f>IFERROR(K56/K8,"-")</f>
        <v>-0.2</v>
      </c>
      <c r="L44" s="12">
        <f>IFERROR(L56/L8,"-")</f>
        <v>0.3</v>
      </c>
      <c r="M44" s="12">
        <f>IFERROR(M56/M8,"-")</f>
        <v>0.3</v>
      </c>
      <c r="N44" s="12">
        <f>IFERROR(N56/N8,"-")</f>
        <v>0.3</v>
      </c>
      <c r="O44" s="12">
        <f>IFERROR(O56/O8,"-")</f>
        <v>0.2</v>
      </c>
    </row>
    <row r="45">
      <c r="B45" t="inlineStr">
        <is>
          <t>Delta Welding Supply</t>
        </is>
      </c>
      <c r="C45" s="12" t="str">
        <f>IFERROR(C57/C9,"-")</f>
        <v>-</v>
      </c>
      <c r="D45" s="12" t="str">
        <f>IFERROR(D57/D9,"-")</f>
        <v>-</v>
      </c>
      <c r="E45" s="12" t="str">
        <f>IFERROR(E57/E9,"-")</f>
        <v>-</v>
      </c>
      <c r="F45" s="12" t="str">
        <f>IFERROR(F57/F9,"-")</f>
        <v>-</v>
      </c>
      <c r="G45" s="12" t="str">
        <f>IFERROR(G57/G9,"-")</f>
        <v>-</v>
      </c>
      <c r="H45" s="12" t="str">
        <f>IFERROR(H57/H9,"-")</f>
        <v>-</v>
      </c>
      <c r="I45" s="12" t="str">
        <f>IFERROR(I57/I9,"-")</f>
        <v>-</v>
      </c>
      <c r="J45" s="12" t="str">
        <f>IFERROR(J57/J9,"-")</f>
        <v>-</v>
      </c>
      <c r="K45" s="12" t="str">
        <f>IFERROR(K57/K9,"-")</f>
        <v>-</v>
      </c>
      <c r="L45" s="12" t="str">
        <f>IFERROR(L57/L9,"-")</f>
        <v>-</v>
      </c>
      <c r="M45" s="12" t="str">
        <f>IFERROR(M57/M9,"-")</f>
        <v>-</v>
      </c>
      <c r="N45" s="12" t="str">
        <f>IFERROR(N57/N9,"-")</f>
        <v>-</v>
      </c>
      <c r="O45" s="12" t="str">
        <f>IFERROR(O57/O9,"-")</f>
        <v>-</v>
      </c>
    </row>
    <row r="46">
      <c r="B46" t="inlineStr">
        <is>
          <t>Ember Workwear</t>
        </is>
      </c>
      <c r="C46" s="12" t="str">
        <f>IFERROR(C58/C10,"-")</f>
        <v>-</v>
      </c>
      <c r="D46" s="12" t="str">
        <f>IFERROR(D58/D10,"-")</f>
        <v>-</v>
      </c>
      <c r="E46" s="12" t="str">
        <f>IFERROR(E58/E10,"-")</f>
        <v>-</v>
      </c>
      <c r="F46" s="12" t="str">
        <f>IFERROR(F58/F10,"-")</f>
        <v>-</v>
      </c>
      <c r="G46" s="12" t="str">
        <f>IFERROR(G58/G10,"-")</f>
        <v>-</v>
      </c>
      <c r="H46" s="12" t="str">
        <f>IFERROR(H58/H10,"-")</f>
        <v>-</v>
      </c>
      <c r="I46" s="12" t="str">
        <f>IFERROR(I58/I10,"-")</f>
        <v>-</v>
      </c>
      <c r="J46" s="12" t="str">
        <f>IFERROR(J58/J10,"-")</f>
        <v>-</v>
      </c>
      <c r="K46" s="12">
        <f>IFERROR(K58/K10,"-")</f>
        <v>0.038461538461538464</v>
      </c>
      <c r="L46" s="12">
        <f>IFERROR(L58/L10,"-")</f>
        <v>0.05555555555555555</v>
      </c>
      <c r="M46" s="12">
        <f>IFERROR(M58/M10,"-")</f>
        <v>0.16666666666666666</v>
      </c>
      <c r="N46" s="12" t="str">
        <f>IFERROR(N58/N10,"-")</f>
        <v>-</v>
      </c>
      <c r="O46" s="12">
        <f>IFERROR(O58/O10,"-")</f>
        <v>0.08</v>
      </c>
    </row>
    <row r="47">
      <c r="B47" t="inlineStr">
        <is>
          <t>Falcon Hand Protection</t>
        </is>
      </c>
      <c r="C47" s="12" t="str">
        <f>IFERROR(C59/C11,"-")</f>
        <v>-</v>
      </c>
      <c r="D47" s="12" t="str">
        <f>IFERROR(D59/D11,"-")</f>
        <v>-</v>
      </c>
      <c r="E47" s="12" t="str">
        <f>IFERROR(E59/E11,"-")</f>
        <v>-</v>
      </c>
      <c r="F47" s="12" t="str">
        <f>IFERROR(F59/F11,"-")</f>
        <v>-</v>
      </c>
      <c r="G47" s="12" t="str">
        <f>IFERROR(G59/G11,"-")</f>
        <v>-</v>
      </c>
      <c r="H47" s="12" t="str">
        <f>IFERROR(H59/H11,"-")</f>
        <v>-</v>
      </c>
      <c r="I47" s="12" t="str">
        <f>IFERROR(I59/I11,"-")</f>
        <v>-</v>
      </c>
      <c r="J47" s="12" t="str">
        <f>IFERROR(J59/J11,"-")</f>
        <v>-</v>
      </c>
      <c r="K47" s="12">
        <f>IFERROR(K59/K11,"-")</f>
        <v>0.36666666666666664</v>
      </c>
      <c r="L47" s="12">
        <f>IFERROR(L59/L11,"-")</f>
        <v>0.05</v>
      </c>
      <c r="M47" s="12">
        <f>IFERROR(M59/M11,"-")</f>
        <v>0.05</v>
      </c>
      <c r="N47" s="12">
        <f>IFERROR(N59/N11,"-")</f>
        <v>0.03333333333333333</v>
      </c>
      <c r="O47" s="12">
        <f>IFERROR(O59/O11,"-")</f>
        <v>0.125</v>
      </c>
    </row>
    <row r="48">
      <c r="B48" t="inlineStr">
        <is>
          <t>Granite Gloves</t>
        </is>
      </c>
      <c r="C48" s="12" t="str">
        <f>IFERROR(C60/C12,"-")</f>
        <v>-</v>
      </c>
      <c r="D48" s="12" t="str">
        <f>IFERROR(D60/D12,"-")</f>
        <v>-</v>
      </c>
      <c r="E48" s="12" t="str">
        <f>IFERROR(E60/E12,"-")</f>
        <v>-</v>
      </c>
      <c r="F48" s="12" t="str">
        <f>IFERROR(F60/F12,"-")</f>
        <v>-</v>
      </c>
      <c r="G48" s="12" t="str">
        <f>IFERROR(G60/G12,"-")</f>
        <v>-</v>
      </c>
      <c r="H48" s="12" t="str">
        <f>IFERROR(H60/H12,"-")</f>
        <v>-</v>
      </c>
      <c r="I48" s="12" t="str">
        <f>IFERROR(I60/I12,"-")</f>
        <v>-</v>
      </c>
      <c r="J48" s="12" t="str">
        <f>IFERROR(J60/J12,"-")</f>
        <v>-</v>
      </c>
      <c r="K48" s="12">
        <f>IFERROR(K60/K12,"-")</f>
        <v>0.09767441860465116</v>
      </c>
      <c r="L48" s="12">
        <f>IFERROR(L60/L12,"-")</f>
        <v>0.176</v>
      </c>
      <c r="M48" s="12">
        <f>IFERROR(M60/M12,"-")</f>
        <v>0.205</v>
      </c>
      <c r="N48" s="12">
        <f>IFERROR(N60/N12,"-")</f>
        <v>0.15666666666666668</v>
      </c>
      <c r="O48" s="12">
        <f>IFERROR(O60/O12,"-")</f>
        <v>0.14745762711864407</v>
      </c>
    </row>
    <row r="49">
      <c r="B49" t="inlineStr">
        <is>
          <t>Hollis Rainwear</t>
        </is>
      </c>
      <c r="C49" s="12" t="str">
        <f>IFERROR(C61/C13,"-")</f>
        <v>-</v>
      </c>
      <c r="D49" s="12" t="str">
        <f>IFERROR(D61/D13,"-")</f>
        <v>-</v>
      </c>
      <c r="E49" s="12" t="str">
        <f>IFERROR(E61/E13,"-")</f>
        <v>-</v>
      </c>
      <c r="F49" s="12" t="str">
        <f>IFERROR(F61/F13,"-")</f>
        <v>-</v>
      </c>
      <c r="G49" s="12" t="str">
        <f>IFERROR(G61/G13,"-")</f>
        <v>-</v>
      </c>
      <c r="H49" s="12" t="str">
        <f>IFERROR(H61/H13,"-")</f>
        <v>-</v>
      </c>
      <c r="I49" s="12" t="str">
        <f>IFERROR(I61/I13,"-")</f>
        <v>-</v>
      </c>
      <c r="J49" s="12" t="str">
        <f>IFERROR(J61/J13,"-")</f>
        <v>-</v>
      </c>
      <c r="K49" s="12">
        <f>IFERROR(K61/K13,"-")</f>
        <v>-0.01764705882352941</v>
      </c>
      <c r="L49" s="12">
        <f>IFERROR(L61/L13,"-")</f>
        <v>0.12</v>
      </c>
      <c r="M49" s="12">
        <f>IFERROR(M61/M13,"-")</f>
        <v>0.45</v>
      </c>
      <c r="N49" s="12">
        <f>IFERROR(N61/N13,"-")</f>
        <v>-0.6</v>
      </c>
      <c r="O49" s="12">
        <f>IFERROR(O61/O13,"-")</f>
        <v>-0.85</v>
      </c>
    </row>
    <row r="50">
      <c r="B50" t="inlineStr">
        <is>
          <t>SAFEREG</t>
        </is>
      </c>
      <c r="C50" s="12" t="str">
        <f>IFERROR(C62/C14,"-")</f>
        <v>-</v>
      </c>
      <c r="D50" s="12" t="str">
        <f>IFERROR(D62/D14,"-")</f>
        <v>-</v>
      </c>
      <c r="E50" s="12" t="str">
        <f>IFERROR(E62/E14,"-")</f>
        <v>-</v>
      </c>
      <c r="F50" s="12" t="str">
        <f>IFERROR(F62/F14,"-")</f>
        <v>-</v>
      </c>
      <c r="G50" s="12" t="str">
        <f>IFERROR(G62/G14,"-")</f>
        <v>-</v>
      </c>
      <c r="H50" s="12" t="str">
        <f>IFERROR(H62/H14,"-")</f>
        <v>-</v>
      </c>
      <c r="I50" s="12" t="str">
        <f>IFERROR(I62/I14,"-")</f>
        <v>-</v>
      </c>
      <c r="J50" s="12" t="str">
        <f>IFERROR(J62/J14,"-")</f>
        <v>-</v>
      </c>
      <c r="K50" s="12" t="str">
        <f>IFERROR(K62/K14,"-")</f>
        <v>-</v>
      </c>
      <c r="L50" s="12" t="str">
        <f>IFERROR(L62/L14,"-")</f>
        <v>-</v>
      </c>
      <c r="M50" s="12" t="str">
        <f>IFERROR(M62/M14,"-")</f>
        <v>-</v>
      </c>
      <c r="N50" s="12" t="str">
        <f>IFERROR(N62/N14,"-")</f>
        <v>-</v>
      </c>
      <c r="O50" s="12" t="str">
        <f>IFERROR(O62/O14,"-")</f>
        <v>-</v>
      </c>
    </row>
    <row r="51">
      <c r="B51" s="2" t="inlineStr">
        <is>
          <t>Total Op Costs (%)</t>
        </is>
      </c>
      <c r="C51" s="15" t="str">
        <f>IFERROR(C63/C15,"-")</f>
        <v>-</v>
      </c>
      <c r="D51" s="15" t="str">
        <f>IFERROR(D63/D15,"-")</f>
        <v>-</v>
      </c>
      <c r="E51" s="15" t="str">
        <f>IFERROR(E63/E15,"-")</f>
        <v>-</v>
      </c>
      <c r="F51" s="15" t="str">
        <f>IFERROR(F63/F15,"-")</f>
        <v>-</v>
      </c>
      <c r="G51" s="15" t="str">
        <f>IFERROR(G63/G15,"-")</f>
        <v>-</v>
      </c>
      <c r="H51" s="15" t="str">
        <f>IFERROR(H63/H15,"-")</f>
        <v>-</v>
      </c>
      <c r="I51" s="15" t="str">
        <f>IFERROR(I63/I15,"-")</f>
        <v>-</v>
      </c>
      <c r="J51" s="15" t="str">
        <f>IFERROR(J63/J15,"-")</f>
        <v>-</v>
      </c>
      <c r="K51" s="15">
        <f>IFERROR(K63/K15,"-")</f>
        <v>-0.0953020134228188</v>
      </c>
      <c r="L51" s="15">
        <f>IFERROR(L63/L15,"-")</f>
        <v>0.15096153846153845</v>
      </c>
      <c r="M51" s="15">
        <f>IFERROR(M63/M15,"-")</f>
        <v>0.9636363636363636</v>
      </c>
      <c r="N51" s="15">
        <f>IFERROR(N63/N15,"-")</f>
        <v>-0.6676470588235294</v>
      </c>
      <c r="O51" s="15">
        <f>IFERROR(O63/O15,"-")</f>
        <v>-1.2947368421052632</v>
      </c>
    </row>
    <row r="53">
      <c r="B53" s="2" t="inlineStr">
        <is>
          <t>Op Costs ($)</t>
        </is>
      </c>
    </row>
    <row r="54">
      <c r="B54" t="inlineStr">
        <is>
          <t>Alder Gloves</t>
        </is>
      </c>
      <c r="C54" s="6">
        <f>'Alder-Adj'!C$58</f>
        <v>0.0</v>
      </c>
      <c r="D54" s="6">
        <f>'Alder-Adj'!D$58</f>
        <v>0.0</v>
      </c>
      <c r="E54" s="6">
        <f>'Alder-Adj'!E$58</f>
        <v>0.0</v>
      </c>
      <c r="F54" s="6">
        <f>'Alder-Adj'!F$58</f>
        <v>0.0</v>
      </c>
      <c r="G54" s="6">
        <f>'Alder-Adj'!G$58</f>
        <v>0.0</v>
      </c>
      <c r="H54" s="6">
        <f>'Alder-Adj'!H$58</f>
        <v>0.0</v>
      </c>
      <c r="I54" s="6">
        <f>'Alder-Adj'!I$58</f>
        <v>0.0</v>
      </c>
      <c r="J54" s="6">
        <f>'Alder-Adj'!J$58</f>
        <v>0.0</v>
      </c>
      <c r="K54" s="6">
        <f>'Alder-Adj'!K$58</f>
        <v>-240.0</v>
      </c>
      <c r="L54" s="6">
        <f>'Alder-Adj'!L$58</f>
        <v>-20.0</v>
      </c>
      <c r="M54" s="6">
        <f>'Alder-Adj'!M$58</f>
        <v>-20.0</v>
      </c>
      <c r="N54" s="6">
        <f>'Alder-Adj'!N$58</f>
        <v>-20.0</v>
      </c>
      <c r="O54" s="6">
        <f>SUM(C54:N54)</f>
        <v>-300.0</v>
      </c>
      <c r="Q54" s="6">
        <f>SUM(L54:N54)</f>
        <v>-60.0</v>
      </c>
    </row>
    <row r="55">
      <c r="B55" t="inlineStr">
        <is>
          <t>Beacon Hi-Vis</t>
        </is>
      </c>
      <c r="C55" s="6">
        <f>'Beacon-Adj'!C$58</f>
        <v>0.0</v>
      </c>
      <c r="D55" s="6">
        <f>'Beacon-Adj'!D$58</f>
        <v>0.0</v>
      </c>
      <c r="E55" s="6">
        <f>'Beacon-Adj'!E$58</f>
        <v>0.0</v>
      </c>
      <c r="F55" s="6">
        <f>'Beacon-Adj'!F$58</f>
        <v>0.0</v>
      </c>
      <c r="G55" s="6">
        <f>'Beacon-Adj'!G$58</f>
        <v>0.0</v>
      </c>
      <c r="H55" s="6">
        <f>'Beacon-Adj'!H$58</f>
        <v>0.0</v>
      </c>
      <c r="I55" s="6">
        <f>'Beacon-Adj'!I$58</f>
        <v>0.0</v>
      </c>
      <c r="J55" s="6">
        <f>'Beacon-Adj'!J$58</f>
        <v>0.0</v>
      </c>
      <c r="K55" s="6">
        <f>'Beacon-Adj'!K$58</f>
        <v>76.0</v>
      </c>
      <c r="L55" s="6">
        <f>'Beacon-Adj'!L$58</f>
        <v>10.0</v>
      </c>
      <c r="M55" s="6">
        <f>'Beacon-Adj'!M$58</f>
        <v>12.0</v>
      </c>
      <c r="N55" s="6">
        <f>'Beacon-Adj'!N$58</f>
        <v>8.0</v>
      </c>
      <c r="O55" s="6">
        <f>SUM(C55:N55)</f>
        <v>106.0</v>
      </c>
      <c r="Q55" s="6">
        <f>SUM(L55:N55)</f>
        <v>30.0</v>
      </c>
    </row>
    <row r="56">
      <c r="B56" t="inlineStr">
        <is>
          <t>Cobalt Eyewear</t>
        </is>
      </c>
      <c r="C56" s="6">
        <f>'Cobalt-Adj'!C$58</f>
        <v>0.0</v>
      </c>
      <c r="D56" s="6">
        <f>'Cobalt-Adj'!D$58</f>
        <v>0.0</v>
      </c>
      <c r="E56" s="6">
        <f>'Cobalt-Adj'!E$58</f>
        <v>0.0</v>
      </c>
      <c r="F56" s="6">
        <f>'Cobalt-Adj'!F$58</f>
        <v>0.0</v>
      </c>
      <c r="G56" s="6">
        <f>'Cobalt-Adj'!G$58</f>
        <v>0.0</v>
      </c>
      <c r="H56" s="6">
        <f>'Cobalt-Adj'!H$58</f>
        <v>0.0</v>
      </c>
      <c r="I56" s="6">
        <f>'Cobalt-Adj'!I$58</f>
        <v>0.0</v>
      </c>
      <c r="J56" s="6">
        <f>'Cobalt-Adj'!J$58</f>
        <v>0.0</v>
      </c>
      <c r="K56" s="6">
        <f>'Cobalt-Adj'!K$58</f>
        <v>-6.0</v>
      </c>
      <c r="L56" s="6">
        <f>'Cobalt-Adj'!L$58</f>
        <v>12.0</v>
      </c>
      <c r="M56" s="6">
        <f>'Cobalt-Adj'!M$58</f>
        <v>12.0</v>
      </c>
      <c r="N56" s="6">
        <f>'Cobalt-Adj'!N$58</f>
        <v>12.0</v>
      </c>
      <c r="O56" s="6">
        <f>SUM(C56:N56)</f>
        <v>30.0</v>
      </c>
      <c r="Q56" s="6">
        <f>SUM(L56:N56)</f>
        <v>36.0</v>
      </c>
    </row>
    <row r="57">
      <c r="B57" t="inlineStr">
        <is>
          <t>Delta Welding Supply</t>
        </is>
      </c>
      <c r="C57" s="6">
        <f>'Delta-Adj'!C$58</f>
        <v>0.0</v>
      </c>
      <c r="D57" s="6">
        <f>'Delta-Adj'!D$58</f>
        <v>0.0</v>
      </c>
      <c r="E57" s="6">
        <f>'Delta-Adj'!E$58</f>
        <v>0.0</v>
      </c>
      <c r="F57" s="6">
        <f>'Delta-Adj'!F$58</f>
        <v>0.0</v>
      </c>
      <c r="G57" s="6">
        <f>'Delta-Adj'!G$58</f>
        <v>0.0</v>
      </c>
      <c r="H57" s="6">
        <f>'Delta-Adj'!H$58</f>
        <v>0.0</v>
      </c>
      <c r="I57" s="6">
        <f>'Delta-Adj'!I$58</f>
        <v>0.0</v>
      </c>
      <c r="J57" s="6">
        <f>'Delta-Adj'!J$58</f>
        <v>0.0</v>
      </c>
      <c r="K57" s="6">
        <f>'Delta-Adj'!K$58</f>
        <v>0.0</v>
      </c>
      <c r="L57" s="6">
        <f>'Delta-Adj'!L$58</f>
        <v>0.0</v>
      </c>
      <c r="M57" s="6">
        <f>'Delta-Adj'!M$58</f>
        <v>0.0</v>
      </c>
      <c r="N57" s="6">
        <f>'Delta-Adj'!N$58</f>
        <v>0.0</v>
      </c>
      <c r="O57" s="6">
        <f>SUM(C57:N57)</f>
        <v>0.0</v>
      </c>
      <c r="Q57" s="6">
        <f>SUM(L57:N57)</f>
        <v>0.0</v>
      </c>
    </row>
    <row r="58">
      <c r="B58" t="inlineStr">
        <is>
          <t>Ember Workwear</t>
        </is>
      </c>
      <c r="C58" s="6">
        <f>'Ember-Adj'!C$58</f>
        <v>0.0</v>
      </c>
      <c r="D58" s="6">
        <f>'Ember-Adj'!D$58</f>
        <v>0.0</v>
      </c>
      <c r="E58" s="6">
        <f>'Ember-Adj'!E$58</f>
        <v>0.0</v>
      </c>
      <c r="F58" s="6">
        <f>'Ember-Adj'!F$58</f>
        <v>0.0</v>
      </c>
      <c r="G58" s="6">
        <f>'Ember-Adj'!G$58</f>
        <v>0.0</v>
      </c>
      <c r="H58" s="6">
        <f>'Ember-Adj'!H$58</f>
        <v>0.0</v>
      </c>
      <c r="I58" s="6">
        <f>'Ember-Adj'!I$58</f>
        <v>0.0</v>
      </c>
      <c r="J58" s="6">
        <f>'Ember-Adj'!J$58</f>
        <v>0.0</v>
      </c>
      <c r="K58" s="6">
        <f>'Ember-Adj'!K$58</f>
        <v>-10.0</v>
      </c>
      <c r="L58" s="6">
        <f>'Ember-Adj'!L$58</f>
        <v>-10.0</v>
      </c>
      <c r="M58" s="6">
        <f>'Ember-Adj'!M$58</f>
        <v>-10.0</v>
      </c>
      <c r="N58" s="6">
        <f>'Ember-Adj'!N$58</f>
        <v>-10.0</v>
      </c>
      <c r="O58" s="6">
        <f>SUM(C58:N58)</f>
        <v>-40.0</v>
      </c>
      <c r="Q58" s="6">
        <f>SUM(L58:N58)</f>
        <v>-30.0</v>
      </c>
    </row>
    <row r="59">
      <c r="B59" t="inlineStr">
        <is>
          <t>Falcon Hand Protection</t>
        </is>
      </c>
      <c r="C59" s="6">
        <f>'Falcon-Adj'!C$58</f>
        <v>0.0</v>
      </c>
      <c r="D59" s="6">
        <f>'Falcon-Adj'!D$58</f>
        <v>0.0</v>
      </c>
      <c r="E59" s="6">
        <f>'Falcon-Adj'!E$58</f>
        <v>0.0</v>
      </c>
      <c r="F59" s="6">
        <f>'Falcon-Adj'!F$58</f>
        <v>0.0</v>
      </c>
      <c r="G59" s="6">
        <f>'Falcon-Adj'!G$58</f>
        <v>0.0</v>
      </c>
      <c r="H59" s="6">
        <f>'Falcon-Adj'!H$58</f>
        <v>0.0</v>
      </c>
      <c r="I59" s="6">
        <f>'Falcon-Adj'!I$58</f>
        <v>0.0</v>
      </c>
      <c r="J59" s="6">
        <f>'Falcon-Adj'!J$58</f>
        <v>0.0</v>
      </c>
      <c r="K59" s="6">
        <f>'Falcon-Adj'!K$58</f>
        <v>110.0</v>
      </c>
      <c r="L59" s="6">
        <f>'Falcon-Adj'!L$58</f>
        <v>15.0</v>
      </c>
      <c r="M59" s="6">
        <f>'Falcon-Adj'!M$58</f>
        <v>15.0</v>
      </c>
      <c r="N59" s="6">
        <f>'Falcon-Adj'!N$58</f>
        <v>10.0</v>
      </c>
      <c r="O59" s="6">
        <f>SUM(C59:N59)</f>
        <v>150.0</v>
      </c>
      <c r="Q59" s="6">
        <f>SUM(L59:N59)</f>
        <v>40.0</v>
      </c>
    </row>
    <row r="60">
      <c r="B60" t="inlineStr">
        <is>
          <t>Granite Gloves</t>
        </is>
      </c>
      <c r="C60" s="6">
        <f>'Granite-Adj'!C$58</f>
        <v>0.0</v>
      </c>
      <c r="D60" s="6">
        <f>'Granite-Adj'!D$58</f>
        <v>0.0</v>
      </c>
      <c r="E60" s="6">
        <f>'Granite-Adj'!E$58</f>
        <v>0.0</v>
      </c>
      <c r="F60" s="6">
        <f>'Granite-Adj'!F$58</f>
        <v>0.0</v>
      </c>
      <c r="G60" s="6">
        <f>'Granite-Adj'!G$58</f>
        <v>0.0</v>
      </c>
      <c r="H60" s="6">
        <f>'Granite-Adj'!H$58</f>
        <v>0.0</v>
      </c>
      <c r="I60" s="6">
        <f>'Granite-Adj'!I$58</f>
        <v>0.0</v>
      </c>
      <c r="J60" s="6">
        <f>'Granite-Adj'!J$58</f>
        <v>0.0</v>
      </c>
      <c r="K60" s="6">
        <f>'Granite-Adj'!K$58</f>
        <v>-42.0</v>
      </c>
      <c r="L60" s="6">
        <f>'Granite-Adj'!L$58</f>
        <v>-44.0</v>
      </c>
      <c r="M60" s="6">
        <f>'Granite-Adj'!M$58</f>
        <v>-41.0</v>
      </c>
      <c r="N60" s="6">
        <f>'Granite-Adj'!N$58</f>
        <v>-47.0</v>
      </c>
      <c r="O60" s="6">
        <f>SUM(C60:N60)</f>
        <v>-174.0</v>
      </c>
      <c r="Q60" s="6">
        <f>SUM(L60:N60)</f>
        <v>-132.0</v>
      </c>
    </row>
    <row r="61">
      <c r="B61" t="inlineStr">
        <is>
          <t>Hollis Rainwear</t>
        </is>
      </c>
      <c r="C61" s="6">
        <f>'Hollis-Adj'!C$58</f>
        <v>0.0</v>
      </c>
      <c r="D61" s="6">
        <f>'Hollis-Adj'!D$58</f>
        <v>0.0</v>
      </c>
      <c r="E61" s="6">
        <f>'Hollis-Adj'!E$58</f>
        <v>0.0</v>
      </c>
      <c r="F61" s="6">
        <f>'Hollis-Adj'!F$58</f>
        <v>0.0</v>
      </c>
      <c r="G61" s="6">
        <f>'Hollis-Adj'!G$58</f>
        <v>0.0</v>
      </c>
      <c r="H61" s="6">
        <f>'Hollis-Adj'!H$58</f>
        <v>0.0</v>
      </c>
      <c r="I61" s="6">
        <f>'Hollis-Adj'!I$58</f>
        <v>0.0</v>
      </c>
      <c r="J61" s="6">
        <f>'Hollis-Adj'!J$58</f>
        <v>0.0</v>
      </c>
      <c r="K61" s="6">
        <f>'Hollis-Adj'!K$58</f>
        <v>-30.0</v>
      </c>
      <c r="L61" s="6">
        <f>'Hollis-Adj'!L$58</f>
        <v>-120.0</v>
      </c>
      <c r="M61" s="6">
        <f>'Hollis-Adj'!M$58</f>
        <v>-180.0</v>
      </c>
      <c r="N61" s="6">
        <f>'Hollis-Adj'!N$58</f>
        <v>-180.0</v>
      </c>
      <c r="O61" s="6">
        <f>SUM(C61:N61)</f>
        <v>-510.0</v>
      </c>
      <c r="Q61" s="6">
        <f>SUM(L61:N61)</f>
        <v>-480.0</v>
      </c>
    </row>
    <row r="62">
      <c r="B62" t="inlineStr">
        <is>
          <t>SAFEREG</t>
        </is>
      </c>
      <c r="C62" s="6">
        <f>'SAFEREG-Adj'!C$58</f>
        <v>0.0</v>
      </c>
      <c r="D62" s="6">
        <f>'SAFEREG-Adj'!D$58</f>
        <v>0.0</v>
      </c>
      <c r="E62" s="6">
        <f>'SAFEREG-Adj'!E$58</f>
        <v>0.0</v>
      </c>
      <c r="F62" s="6">
        <f>'SAFEREG-Adj'!F$58</f>
        <v>0.0</v>
      </c>
      <c r="G62" s="6">
        <f>'SAFEREG-Adj'!G$58</f>
        <v>0.0</v>
      </c>
      <c r="H62" s="6">
        <f>'SAFEREG-Adj'!H$58</f>
        <v>0.0</v>
      </c>
      <c r="I62" s="6">
        <f>'SAFEREG-Adj'!I$58</f>
        <v>0.0</v>
      </c>
      <c r="J62" s="6">
        <f>'SAFEREG-Adj'!J$58</f>
        <v>0.0</v>
      </c>
      <c r="K62" s="6">
        <f>'SAFEREG-Adj'!K$58</f>
        <v>0.0</v>
      </c>
      <c r="L62" s="6">
        <f>'SAFEREG-Adj'!L$58</f>
        <v>0.0</v>
      </c>
      <c r="M62" s="6">
        <f>'SAFEREG-Adj'!M$58</f>
        <v>0.0</v>
      </c>
      <c r="N62" s="6">
        <f>'SAFEREG-Adj'!N$58</f>
        <v>0.0</v>
      </c>
      <c r="O62" s="6">
        <f>SUM(C62:N62)</f>
        <v>0.0</v>
      </c>
      <c r="Q62" s="6">
        <f>SUM(L62:N62)</f>
        <v>0.0</v>
      </c>
    </row>
    <row r="63">
      <c r="B63" s="2" t="inlineStr">
        <is>
          <t>Total Op Costs ($)</t>
        </is>
      </c>
      <c r="C63" s="9">
        <f>SUM(C54:C62)</f>
        <v>0.0</v>
      </c>
      <c r="D63" s="9">
        <f>SUM(D54:D62)</f>
        <v>0.0</v>
      </c>
      <c r="E63" s="9">
        <f>SUM(E54:E62)</f>
        <v>0.0</v>
      </c>
      <c r="F63" s="9">
        <f>SUM(F54:F62)</f>
        <v>0.0</v>
      </c>
      <c r="G63" s="9">
        <f>SUM(G54:G62)</f>
        <v>0.0</v>
      </c>
      <c r="H63" s="9">
        <f>SUM(H54:H62)</f>
        <v>0.0</v>
      </c>
      <c r="I63" s="9">
        <f>SUM(I54:I62)</f>
        <v>0.0</v>
      </c>
      <c r="J63" s="9">
        <f>SUM(J54:J62)</f>
        <v>0.0</v>
      </c>
      <c r="K63" s="9">
        <f>SUM(K54:K62)</f>
        <v>-142.0</v>
      </c>
      <c r="L63" s="9">
        <f>SUM(L54:L62)</f>
        <v>-157.0</v>
      </c>
      <c r="M63" s="9">
        <f>SUM(M54:M62)</f>
        <v>-212.0</v>
      </c>
      <c r="N63" s="9">
        <f>SUM(N54:N62)</f>
        <v>-227.0</v>
      </c>
      <c r="O63" s="9">
        <f>SUM(O54:O62)</f>
        <v>-738.0</v>
      </c>
      <c r="Q63" s="6">
        <f>SUM(L63:N63)</f>
        <v>-596.0</v>
      </c>
    </row>
    <row r="65">
      <c r="B65" s="2" t="inlineStr">
        <is>
          <t>PBITA</t>
        </is>
      </c>
    </row>
    <row r="66">
      <c r="B66" t="inlineStr">
        <is>
          <t>Alder Gloves</t>
        </is>
      </c>
      <c r="C66" s="6">
        <f>C30-C54</f>
        <v>0.0</v>
      </c>
      <c r="D66" s="6">
        <f>D30-D54</f>
        <v>0.0</v>
      </c>
      <c r="E66" s="6">
        <f>E30-E54</f>
        <v>0.0</v>
      </c>
      <c r="F66" s="6">
        <f>F30-F54</f>
        <v>0.0</v>
      </c>
      <c r="G66" s="6">
        <f>G30-G54</f>
        <v>0.0</v>
      </c>
      <c r="H66" s="6">
        <f>H30-H54</f>
        <v>0.0</v>
      </c>
      <c r="I66" s="6">
        <f>I30-I54</f>
        <v>0.0</v>
      </c>
      <c r="J66" s="6">
        <f>J30-J54</f>
        <v>0.0</v>
      </c>
      <c r="K66" s="6">
        <f>K30-K54</f>
        <v>80.0</v>
      </c>
      <c r="L66" s="6">
        <f>L30-L54</f>
        <v>-120.0</v>
      </c>
      <c r="M66" s="6">
        <f>M30-M54</f>
        <v>-120.0</v>
      </c>
      <c r="N66" s="6">
        <f>N30-N54</f>
        <v>-120.0</v>
      </c>
      <c r="O66" s="6">
        <f>SUM(C66:N66)</f>
        <v>-280.0</v>
      </c>
      <c r="Q66" s="6">
        <f>SUM(L66:N66)</f>
        <v>-360.0</v>
      </c>
    </row>
    <row r="67">
      <c r="B67" t="inlineStr">
        <is>
          <t>Beacon Hi-Vis</t>
        </is>
      </c>
      <c r="C67" s="6">
        <f>C31-C55</f>
        <v>0.0</v>
      </c>
      <c r="D67" s="6">
        <f>D31-D55</f>
        <v>0.0</v>
      </c>
      <c r="E67" s="6">
        <f>E31-E55</f>
        <v>0.0</v>
      </c>
      <c r="F67" s="6">
        <f>F31-F55</f>
        <v>0.0</v>
      </c>
      <c r="G67" s="6">
        <f>G31-G55</f>
        <v>0.0</v>
      </c>
      <c r="H67" s="6">
        <f>H31-H55</f>
        <v>0.0</v>
      </c>
      <c r="I67" s="6">
        <f>I31-I55</f>
        <v>0.0</v>
      </c>
      <c r="J67" s="6">
        <f>J31-J55</f>
        <v>0.0</v>
      </c>
      <c r="K67" s="6">
        <f>K31-K55</f>
        <v>-16.0</v>
      </c>
      <c r="L67" s="6">
        <f>L31-L55</f>
        <v>85.0</v>
      </c>
      <c r="M67" s="6">
        <f>M31-M55</f>
        <v>103.0</v>
      </c>
      <c r="N67" s="6">
        <f>N31-N55</f>
        <v>72.0</v>
      </c>
      <c r="O67" s="6">
        <f>SUM(C67:N67)</f>
        <v>244.0</v>
      </c>
      <c r="Q67" s="6">
        <f>SUM(L67:N67)</f>
        <v>260.0</v>
      </c>
    </row>
    <row r="68">
      <c r="B68" t="inlineStr">
        <is>
          <t>Cobalt Eyewear</t>
        </is>
      </c>
      <c r="C68" s="6">
        <f>C32-C56</f>
        <v>0.0</v>
      </c>
      <c r="D68" s="6">
        <f>D32-D56</f>
        <v>0.0</v>
      </c>
      <c r="E68" s="6">
        <f>E32-E56</f>
        <v>0.0</v>
      </c>
      <c r="F68" s="6">
        <f>F32-F56</f>
        <v>0.0</v>
      </c>
      <c r="G68" s="6">
        <f>G32-G56</f>
        <v>0.0</v>
      </c>
      <c r="H68" s="6">
        <f>H32-H56</f>
        <v>0.0</v>
      </c>
      <c r="I68" s="6">
        <f>I32-I56</f>
        <v>0.0</v>
      </c>
      <c r="J68" s="6">
        <f>J32-J56</f>
        <v>0.0</v>
      </c>
      <c r="K68" s="6">
        <f>K32-K56</f>
        <v>6.08</v>
      </c>
      <c r="L68" s="6">
        <f>L32-L56</f>
        <v>-11.92</v>
      </c>
      <c r="M68" s="6">
        <f>M32-M56</f>
        <v>-11.92</v>
      </c>
      <c r="N68" s="6">
        <f>N32-N56</f>
        <v>-11.92</v>
      </c>
      <c r="O68" s="6">
        <f>SUM(C68:N68)</f>
        <v>-29.68</v>
      </c>
      <c r="Q68" s="6">
        <f>SUM(L68:N68)</f>
        <v>-35.76</v>
      </c>
    </row>
    <row r="69">
      <c r="B69" t="inlineStr">
        <is>
          <t>Delta Welding Supply</t>
        </is>
      </c>
      <c r="C69" s="6">
        <f>C33-C57</f>
        <v>0.0</v>
      </c>
      <c r="D69" s="6">
        <f>D33-D57</f>
        <v>0.0</v>
      </c>
      <c r="E69" s="6">
        <f>E33-E57</f>
        <v>0.0</v>
      </c>
      <c r="F69" s="6">
        <f>F33-F57</f>
        <v>0.0</v>
      </c>
      <c r="G69" s="6">
        <f>G33-G57</f>
        <v>0.0</v>
      </c>
      <c r="H69" s="6">
        <f>H33-H57</f>
        <v>0.0</v>
      </c>
      <c r="I69" s="6">
        <f>I33-I57</f>
        <v>0.0</v>
      </c>
      <c r="J69" s="6">
        <f>J33-J57</f>
        <v>0.0</v>
      </c>
      <c r="K69" s="6">
        <f>K33-K57</f>
        <v>0.0</v>
      </c>
      <c r="L69" s="6">
        <f>L33-L57</f>
        <v>0.0</v>
      </c>
      <c r="M69" s="6">
        <f>M33-M57</f>
        <v>0.0</v>
      </c>
      <c r="N69" s="6">
        <f>N33-N57</f>
        <v>0.0</v>
      </c>
      <c r="O69" s="6">
        <f>SUM(C69:N69)</f>
        <v>0.0</v>
      </c>
      <c r="Q69" s="6">
        <f>SUM(L69:N69)</f>
        <v>0.0</v>
      </c>
    </row>
    <row r="70">
      <c r="B70" t="inlineStr">
        <is>
          <t>Ember Workwear</t>
        </is>
      </c>
      <c r="C70" s="6">
        <f>C34-C58</f>
        <v>0.0</v>
      </c>
      <c r="D70" s="6">
        <f>D34-D58</f>
        <v>0.0</v>
      </c>
      <c r="E70" s="6">
        <f>E34-E58</f>
        <v>0.0</v>
      </c>
      <c r="F70" s="6">
        <f>F34-F58</f>
        <v>0.0</v>
      </c>
      <c r="G70" s="6">
        <f>G34-G58</f>
        <v>0.0</v>
      </c>
      <c r="H70" s="6">
        <f>H34-H58</f>
        <v>0.0</v>
      </c>
      <c r="I70" s="6">
        <f>I34-I58</f>
        <v>0.0</v>
      </c>
      <c r="J70" s="6">
        <f>J34-J58</f>
        <v>0.0</v>
      </c>
      <c r="K70" s="6">
        <f>K34-K58</f>
        <v>-73.0</v>
      </c>
      <c r="L70" s="6">
        <f>L34-L58</f>
        <v>-48.0</v>
      </c>
      <c r="M70" s="6">
        <f>M34-M58</f>
        <v>-9.0</v>
      </c>
      <c r="N70" s="6">
        <f>N34-N58</f>
        <v>10.0</v>
      </c>
      <c r="O70" s="6">
        <f>SUM(C70:N70)</f>
        <v>-120.0</v>
      </c>
      <c r="Q70" s="6">
        <f>SUM(L70:N70)</f>
        <v>-47.0</v>
      </c>
    </row>
    <row r="71">
      <c r="B71" t="inlineStr">
        <is>
          <t>Falcon Hand Protection</t>
        </is>
      </c>
      <c r="C71" s="6">
        <f>C35-C59</f>
        <v>0.0</v>
      </c>
      <c r="D71" s="6">
        <f>D35-D59</f>
        <v>0.0</v>
      </c>
      <c r="E71" s="6">
        <f>E35-E59</f>
        <v>0.0</v>
      </c>
      <c r="F71" s="6">
        <f>F35-F59</f>
        <v>0.0</v>
      </c>
      <c r="G71" s="6">
        <f>G35-G59</f>
        <v>0.0</v>
      </c>
      <c r="H71" s="6">
        <f>H35-H59</f>
        <v>0.0</v>
      </c>
      <c r="I71" s="6">
        <f>I35-I59</f>
        <v>0.0</v>
      </c>
      <c r="J71" s="6">
        <f>J35-J59</f>
        <v>0.0</v>
      </c>
      <c r="K71" s="6">
        <f>K35-K59</f>
        <v>10.0</v>
      </c>
      <c r="L71" s="6">
        <f>L35-L59</f>
        <v>105.0</v>
      </c>
      <c r="M71" s="6">
        <f>M35-M59</f>
        <v>105.0</v>
      </c>
      <c r="N71" s="6">
        <f>N35-N59</f>
        <v>110.0</v>
      </c>
      <c r="O71" s="6">
        <f>SUM(C71:N71)</f>
        <v>330.0</v>
      </c>
      <c r="Q71" s="6">
        <f>SUM(L71:N71)</f>
        <v>320.0</v>
      </c>
    </row>
    <row r="72">
      <c r="B72" t="inlineStr">
        <is>
          <t>Granite Gloves</t>
        </is>
      </c>
      <c r="C72" s="6">
        <f>C36-C60</f>
        <v>0.0</v>
      </c>
      <c r="D72" s="6">
        <f>D36-D60</f>
        <v>0.0</v>
      </c>
      <c r="E72" s="6">
        <f>E36-E60</f>
        <v>0.0</v>
      </c>
      <c r="F72" s="6">
        <f>F36-F60</f>
        <v>0.0</v>
      </c>
      <c r="G72" s="6">
        <f>G36-G60</f>
        <v>0.0</v>
      </c>
      <c r="H72" s="6">
        <f>H36-H60</f>
        <v>0.0</v>
      </c>
      <c r="I72" s="6">
        <f>I36-I60</f>
        <v>0.0</v>
      </c>
      <c r="J72" s="6">
        <f>J36-J60</f>
        <v>0.0</v>
      </c>
      <c r="K72" s="6">
        <f>K36-K60</f>
        <v>-223.0</v>
      </c>
      <c r="L72" s="6">
        <f>L36-L60</f>
        <v>-83.0</v>
      </c>
      <c r="M72" s="6">
        <f>M36-M60</f>
        <v>-61.0</v>
      </c>
      <c r="N72" s="6">
        <f>N36-N60</f>
        <v>16.0</v>
      </c>
      <c r="O72" s="6">
        <f>SUM(C72:N72)</f>
        <v>-351.0</v>
      </c>
      <c r="Q72" s="6">
        <f>SUM(L72:N72)</f>
        <v>-128.0</v>
      </c>
    </row>
    <row r="73">
      <c r="B73" t="inlineStr">
        <is>
          <t>Hollis Rainwear</t>
        </is>
      </c>
      <c r="C73" s="6">
        <f>C37-C61</f>
        <v>0.0</v>
      </c>
      <c r="D73" s="6">
        <f>D37-D61</f>
        <v>0.0</v>
      </c>
      <c r="E73" s="6">
        <f>E37-E61</f>
        <v>0.0</v>
      </c>
      <c r="F73" s="6">
        <f>F37-F61</f>
        <v>0.0</v>
      </c>
      <c r="G73" s="6">
        <f>G37-G61</f>
        <v>0.0</v>
      </c>
      <c r="H73" s="6">
        <f>H37-H61</f>
        <v>0.0</v>
      </c>
      <c r="I73" s="6">
        <f>I37-I61</f>
        <v>0.0</v>
      </c>
      <c r="J73" s="6">
        <f>J37-J61</f>
        <v>0.0</v>
      </c>
      <c r="K73" s="6">
        <f>K37-K61</f>
        <v>285.0</v>
      </c>
      <c r="L73" s="6">
        <f>L37-L61</f>
        <v>-30.0</v>
      </c>
      <c r="M73" s="6">
        <f>M37-M61</f>
        <v>165.0</v>
      </c>
      <c r="N73" s="6">
        <f>N37-N61</f>
        <v>390.0</v>
      </c>
      <c r="O73" s="6">
        <f>SUM(C73:N73)</f>
        <v>810.0</v>
      </c>
      <c r="Q73" s="6">
        <f>SUM(L73:N73)</f>
        <v>525.0</v>
      </c>
    </row>
    <row r="74">
      <c r="B74" t="inlineStr">
        <is>
          <t>SAFEREG</t>
        </is>
      </c>
      <c r="C74" s="6">
        <f>C38-C62</f>
        <v>0.0</v>
      </c>
      <c r="D74" s="6">
        <f>D38-D62</f>
        <v>0.0</v>
      </c>
      <c r="E74" s="6">
        <f>E38-E62</f>
        <v>0.0</v>
      </c>
      <c r="F74" s="6">
        <f>F38-F62</f>
        <v>0.0</v>
      </c>
      <c r="G74" s="6">
        <f>G38-G62</f>
        <v>0.0</v>
      </c>
      <c r="H74" s="6">
        <f>H38-H62</f>
        <v>0.0</v>
      </c>
      <c r="I74" s="6">
        <f>I38-I62</f>
        <v>0.0</v>
      </c>
      <c r="J74" s="6">
        <f>J38-J62</f>
        <v>0.0</v>
      </c>
      <c r="K74" s="6">
        <f>K38-K62</f>
        <v>0.0</v>
      </c>
      <c r="L74" s="6">
        <f>L38-L62</f>
        <v>0.0</v>
      </c>
      <c r="M74" s="6">
        <f>M38-M62</f>
        <v>0.0</v>
      </c>
      <c r="N74" s="6">
        <f>N38-N62</f>
        <v>0.0</v>
      </c>
      <c r="O74" s="6">
        <f>SUM(C74:N74)</f>
        <v>0.0</v>
      </c>
      <c r="Q74" s="6">
        <f>SUM(L74:N74)</f>
        <v>0.0</v>
      </c>
    </row>
    <row r="75">
      <c r="B75" s="2" t="inlineStr">
        <is>
          <t>Total PBITA</t>
        </is>
      </c>
      <c r="C75" s="9">
        <f>SUM(C66:C74)</f>
        <v>0.0</v>
      </c>
      <c r="D75" s="9">
        <f>SUM(D66:D74)</f>
        <v>0.0</v>
      </c>
      <c r="E75" s="9">
        <f>SUM(E66:E74)</f>
        <v>0.0</v>
      </c>
      <c r="F75" s="9">
        <f>SUM(F66:F74)</f>
        <v>0.0</v>
      </c>
      <c r="G75" s="9">
        <f>SUM(G66:G74)</f>
        <v>0.0</v>
      </c>
      <c r="H75" s="9">
        <f>SUM(H66:H74)</f>
        <v>0.0</v>
      </c>
      <c r="I75" s="9">
        <f>SUM(I66:I74)</f>
        <v>0.0</v>
      </c>
      <c r="J75" s="9">
        <f>SUM(J66:J74)</f>
        <v>0.0</v>
      </c>
      <c r="K75" s="9">
        <f>SUM(K66:K74)</f>
        <v>69.07999999999998</v>
      </c>
      <c r="L75" s="9">
        <f>SUM(L66:L74)</f>
        <v>-102.92</v>
      </c>
      <c r="M75" s="9">
        <f>SUM(M66:M74)</f>
        <v>171.07999999999998</v>
      </c>
      <c r="N75" s="9">
        <f>SUM(N66:N74)</f>
        <v>466.08</v>
      </c>
      <c r="O75" s="9">
        <f>SUM(O66:O74)</f>
        <v>603.3199999999999</v>
      </c>
      <c r="Q75" s="6">
        <f>SUM(L75:N75)</f>
        <v>534.24</v>
      </c>
    </row>
    <row r="77">
      <c r="B77" s="8" t="inlineStr">
        <is>
          <t>Section 2: General adjustments in Gross Margin or Opex % of Sales that are not tied to individual events (i.e., employee turnover):</t>
        </is>
      </c>
    </row>
    <row r="79">
      <c r="C79" s="4" t="inlineStr">
        <is>
          <t>January</t>
        </is>
      </c>
      <c r="D79" s="4" t="inlineStr">
        <is>
          <t>February</t>
        </is>
      </c>
      <c r="E79" s="4" t="inlineStr">
        <is>
          <t>March</t>
        </is>
      </c>
      <c r="F79" s="4" t="inlineStr">
        <is>
          <t>April</t>
        </is>
      </c>
      <c r="G79" s="4" t="inlineStr">
        <is>
          <t>May</t>
        </is>
      </c>
      <c r="H79" s="4" t="inlineStr">
        <is>
          <t>June</t>
        </is>
      </c>
      <c r="I79" s="4" t="inlineStr">
        <is>
          <t>July</t>
        </is>
      </c>
      <c r="J79" s="4" t="inlineStr">
        <is>
          <t>August</t>
        </is>
      </c>
      <c r="K79" s="4" t="inlineStr">
        <is>
          <t>September</t>
        </is>
      </c>
      <c r="L79" s="4" t="inlineStr">
        <is>
          <t>October</t>
        </is>
      </c>
      <c r="M79" s="4" t="inlineStr">
        <is>
          <t>November</t>
        </is>
      </c>
      <c r="N79" s="4" t="inlineStr">
        <is>
          <t>December</t>
        </is>
      </c>
      <c r="O79" s="4" t="inlineStr">
        <is>
          <t>Total</t>
        </is>
      </c>
    </row>
    <row r="80">
      <c r="B80" s="2" t="inlineStr">
        <is>
          <t>Gross Margin</t>
        </is>
      </c>
    </row>
    <row r="81">
      <c r="B81" s="5" t="inlineStr">
        <is>
          <t>Gross Margin - Previous FCAST</t>
        </is>
      </c>
      <c r="C81" s="12">
        <f>Safety!C35</f>
        <v>0.31612380893068437</v>
      </c>
      <c r="D81" s="12">
        <f>Safety!D35</f>
        <v>0.31498529573719136</v>
      </c>
      <c r="E81" s="12">
        <f>Safety!E35</f>
        <v>0.31445908223106245</v>
      </c>
      <c r="F81" s="12">
        <f>Safety!F35</f>
        <v>0.315383276578314</v>
      </c>
      <c r="G81" s="12">
        <f>Safety!G35</f>
        <v>0.315348182160186</v>
      </c>
      <c r="H81" s="12">
        <f>Safety!H35</f>
        <v>0.31013541102761993</v>
      </c>
      <c r="I81" s="12">
        <f>Safety!I35</f>
        <v>0.30982950840382184</v>
      </c>
      <c r="J81" s="12">
        <f>Safety!J35</f>
        <v>0.3093868222690025</v>
      </c>
      <c r="K81" s="12">
        <f>Safety!K35</f>
        <v>0.3099276947777007</v>
      </c>
      <c r="L81" s="12">
        <f>Safety!L35</f>
        <v>0.30957764393670506</v>
      </c>
      <c r="M81" s="12">
        <f>Safety!M35</f>
        <v>0.30967197154834997</v>
      </c>
      <c r="N81" s="12">
        <f>Safety!N35</f>
        <v>0.30930255395604955</v>
      </c>
    </row>
    <row r="82">
      <c r="B82" s="5" t="inlineStr">
        <is>
          <t>New Adjustments (%)</t>
        </is>
      </c>
      <c r="C82" t="inlineStr">
        <is>
          <t>None</t>
        </is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</row>
    <row r="83">
      <c r="B83" s="5" t="inlineStr">
        <is>
          <t>New Adjustments ($)</t>
        </is>
      </c>
      <c r="C83" s="6">
        <f>IF(C82="None",0,(((Safety!C28*('Safety-Adj'!C81+'Safety-Adj'!C82))-Safety!C29)))</f>
        <v>0.0</v>
      </c>
      <c r="D83" s="6">
        <f>IF(D82="None",0,(((Safety!D28*('Safety-Adj'!D81+'Safety-Adj'!D82))-Safety!D29)))</f>
        <v>0.0</v>
      </c>
      <c r="E83" s="6">
        <f>IF(E82="None",0,(((Safety!E28*('Safety-Adj'!E81+'Safety-Adj'!E82))-Safety!E29)))</f>
        <v>0.0</v>
      </c>
      <c r="F83" s="6">
        <f>IF(F82="None",0,(((Safety!F28*('Safety-Adj'!F81+'Safety-Adj'!F82))-Safety!F29)))</f>
        <v>0.0</v>
      </c>
      <c r="G83" s="6">
        <f>IF(G82="None",0,(((Safety!G28*('Safety-Adj'!G81+'Safety-Adj'!G82))-Safety!G29)))</f>
        <v>0.0</v>
      </c>
      <c r="H83" s="6">
        <f>IF(H82="None",0,(((Safety!H28*('Safety-Adj'!H81+'Safety-Adj'!H82))-Safety!H29)))</f>
        <v>0.0</v>
      </c>
      <c r="I83" s="6">
        <f>IF(I82="None",0,(((Safety!I28*('Safety-Adj'!I81+'Safety-Adj'!I82))-Safety!I29)))</f>
        <v>0.0</v>
      </c>
      <c r="J83" s="6">
        <f>IF(J82="None",0,(((Safety!J28*('Safety-Adj'!J81+'Safety-Adj'!J82))-Safety!J29)))</f>
        <v>0.0</v>
      </c>
      <c r="K83" s="6">
        <f>IF(K82="None",0,(((Safety!K28*('Safety-Adj'!K81+'Safety-Adj'!K82))-Safety!K29)))</f>
        <v>0.0</v>
      </c>
      <c r="L83" s="6">
        <f>IF(L82="None",0,(((Safety!L28*('Safety-Adj'!L81+'Safety-Adj'!L82))-Safety!L29)))</f>
        <v>0.0</v>
      </c>
      <c r="M83" s="6">
        <f>IF(M82="None",0,(((Safety!M28*('Safety-Adj'!M81+'Safety-Adj'!M82))-Safety!M29)))</f>
        <v>0.0</v>
      </c>
      <c r="N83" s="6">
        <f>IF(N82="None",0,(((Safety!N28*('Safety-Adj'!N81+'Safety-Adj'!N82))-Safety!N29)))</f>
        <v>0.0</v>
      </c>
    </row>
    <row r="84">
      <c r="B84" s="5" t="inlineStr">
        <is>
          <t>Gross Margin - Current FCAST</t>
        </is>
      </c>
      <c r="C84" s="12">
        <f>SUM(C81:C82)</f>
        <v>0.31612380893068437</v>
      </c>
      <c r="D84" s="12">
        <f>SUM(D81:D82)</f>
        <v>0.31498529573719136</v>
      </c>
      <c r="E84" s="12">
        <f>SUM(E81:E82)</f>
        <v>0.31445908223106245</v>
      </c>
      <c r="F84" s="12">
        <f>SUM(F81:F82)</f>
        <v>0.315383276578314</v>
      </c>
      <c r="G84" s="12">
        <f>SUM(G81:G82)</f>
        <v>0.315348182160186</v>
      </c>
      <c r="H84" s="12">
        <f>SUM(H81:H82)</f>
        <v>0.31013541102761993</v>
      </c>
      <c r="I84" s="12">
        <f>SUM(I81:I82)</f>
        <v>0.30982950840382184</v>
      </c>
      <c r="J84" s="12">
        <f>SUM(J81:J82)</f>
        <v>0.3093868222690025</v>
      </c>
      <c r="K84" s="12">
        <f>SUM(K81:K82)</f>
        <v>0.3099276947777007</v>
      </c>
      <c r="L84" s="12">
        <f>SUM(L81:L82)</f>
        <v>0.30957764393670506</v>
      </c>
      <c r="M84" s="12">
        <f>SUM(M81:M82)</f>
        <v>0.30967197154834997</v>
      </c>
      <c r="N84" s="12">
        <f>SUM(N81:N82)</f>
        <v>0.30930255395604955</v>
      </c>
    </row>
    <row r="86">
      <c r="B86" s="2" t="inlineStr">
        <is>
          <t>Op Costs</t>
        </is>
      </c>
    </row>
    <row r="87">
      <c r="B87" s="5" t="inlineStr">
        <is>
          <t>Op Costs - Previous FCAST</t>
        </is>
      </c>
      <c r="C87" s="12">
        <f>Safety!C36</f>
        <v>-0.21573547462969617</v>
      </c>
      <c r="D87" s="12">
        <f>Safety!D36</f>
        <v>-0.21492084986968069</v>
      </c>
      <c r="E87" s="12">
        <f>Safety!E36</f>
        <v>-0.21497136250579973</v>
      </c>
      <c r="F87" s="12">
        <f>Safety!F36</f>
        <v>-0.21416302901274392</v>
      </c>
      <c r="G87" s="12">
        <f>Safety!G36</f>
        <v>-0.21463725197025088</v>
      </c>
      <c r="H87" s="12">
        <f>Safety!H36</f>
        <v>-0.214433126832594</v>
      </c>
      <c r="I87" s="12">
        <f>Safety!I36</f>
        <v>-0.21377866374866003</v>
      </c>
      <c r="J87" s="12">
        <f>Safety!J36</f>
        <v>-0.21811914284575362</v>
      </c>
      <c r="K87" s="12">
        <f>Safety!K36</f>
        <v>-0.21084425064277695</v>
      </c>
      <c r="L87" s="12">
        <f>Safety!L36</f>
        <v>-0.2135561829230722</v>
      </c>
      <c r="M87" s="12">
        <f>Safety!M36</f>
        <v>-0.2136118892928811</v>
      </c>
      <c r="N87" s="12">
        <f>Safety!N36</f>
        <v>-0.21201799626108397</v>
      </c>
    </row>
    <row r="88">
      <c r="B88" s="5" t="inlineStr">
        <is>
          <t>New Adjustments (%)</t>
        </is>
      </c>
      <c r="C88" t="inlineStr">
        <is>
          <t>None</t>
        </is>
      </c>
      <c r="D88" t="inlineStr">
        <is>
          <t>None</t>
        </is>
      </c>
      <c r="E88" t="inlineStr">
        <is>
          <t>None</t>
        </is>
      </c>
      <c r="F88" t="inlineStr">
        <is>
          <t>None</t>
        </is>
      </c>
      <c r="G88" t="inlineStr">
        <is>
          <t>None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</row>
    <row r="89">
      <c r="B89" s="5" t="inlineStr">
        <is>
          <t>New Adjustments ($)</t>
        </is>
      </c>
      <c r="C89" s="6">
        <f>-IF(C88="None",0,(((Safety!C28*-('Safety-Adj'!C87+'Safety-Adj'!C88))-Safety!C30)))</f>
        <v>0.0</v>
      </c>
      <c r="D89" s="6">
        <f>-IF(D88="None",0,(((Safety!D28*-('Safety-Adj'!D87+'Safety-Adj'!D88))-Safety!D30)))</f>
        <v>0.0</v>
      </c>
      <c r="E89" s="6">
        <f>-IF(E88="None",0,(((Safety!E28*-('Safety-Adj'!E87+'Safety-Adj'!E88))-Safety!E30)))</f>
        <v>0.0</v>
      </c>
      <c r="F89" s="6">
        <f>-IF(F88="None",0,(((Safety!F28*-('Safety-Adj'!F87+'Safety-Adj'!F88))-Safety!F30)))</f>
        <v>0.0</v>
      </c>
      <c r="G89" s="6">
        <f>-IF(G88="None",0,(((Safety!G28*-('Safety-Adj'!G87+'Safety-Adj'!G88))-Safety!G30)))</f>
        <v>0.0</v>
      </c>
      <c r="H89" s="6">
        <f>-IF(H88="None",0,(((Safety!H28*-('Safety-Adj'!H87+'Safety-Adj'!H88))-Safety!H30)))</f>
        <v>0.0</v>
      </c>
      <c r="I89" s="6">
        <f>-IF(I88="None",0,(((Safety!I28*-('Safety-Adj'!I87+'Safety-Adj'!I88))-Safety!I30)))</f>
        <v>0.0</v>
      </c>
      <c r="J89" s="6">
        <f>-IF(J88="None",0,(((Safety!J28*-('Safety-Adj'!J87+'Safety-Adj'!J88))-Safety!J30)))</f>
        <v>0.0</v>
      </c>
      <c r="K89" s="6">
        <f>-IF(K88="None",0,(((Safety!K28*-('Safety-Adj'!K87+'Safety-Adj'!K88))-Safety!K30)))</f>
        <v>0.0</v>
      </c>
      <c r="L89" s="6">
        <f>-IF(L88="None",0,(((Safety!L28*-('Safety-Adj'!L87+'Safety-Adj'!L88))-Safety!L30)))</f>
        <v>0.0</v>
      </c>
      <c r="M89" s="6">
        <f>-IF(M88="None",0,(((Safety!M28*-('Safety-Adj'!M87+'Safety-Adj'!M88))-Safety!M30)))</f>
        <v>0.0</v>
      </c>
      <c r="N89" s="6">
        <f>-IF(N88="None",0,(((Safety!N28*-('Safety-Adj'!N87+'Safety-Adj'!N88))-Safety!N30)))</f>
        <v>0.0</v>
      </c>
    </row>
    <row r="90">
      <c r="B90" s="5" t="inlineStr">
        <is>
          <t>Op Costs - Current FCAST</t>
        </is>
      </c>
      <c r="C90" s="12">
        <f>SUM(C87:C88)</f>
        <v>-0.21573547462969617</v>
      </c>
      <c r="D90" s="12">
        <f>SUM(D87:D88)</f>
        <v>-0.21492084986968069</v>
      </c>
      <c r="E90" s="12">
        <f>SUM(E87:E88)</f>
        <v>-0.21497136250579973</v>
      </c>
      <c r="F90" s="12">
        <f>SUM(F87:F88)</f>
        <v>-0.21416302901274392</v>
      </c>
      <c r="G90" s="12">
        <f>SUM(G87:G88)</f>
        <v>-0.21463725197025088</v>
      </c>
      <c r="H90" s="12">
        <f>SUM(H87:H88)</f>
        <v>-0.214433126832594</v>
      </c>
      <c r="I90" s="12">
        <f>SUM(I87:I88)</f>
        <v>-0.21377866374866003</v>
      </c>
      <c r="J90" s="12">
        <f>SUM(J87:J88)</f>
        <v>-0.21811914284575362</v>
      </c>
      <c r="K90" s="12">
        <f>SUM(K87:K88)</f>
        <v>-0.21084425064277695</v>
      </c>
      <c r="L90" s="12">
        <f>SUM(L87:L88)</f>
        <v>-0.2135561829230722</v>
      </c>
      <c r="M90" s="12">
        <f>SUM(M87:M88)</f>
        <v>-0.2136118892928811</v>
      </c>
      <c r="N90" s="12">
        <f>SUM(N87:N88)</f>
        <v>-0.21201799626108397</v>
      </c>
    </row>
    <row r="92">
      <c r="B92" s="8" t="inlineStr">
        <is>
          <t>Section 3: Working Capital Adjustments</t>
        </is>
      </c>
    </row>
    <row r="94">
      <c r="C94" s="4" t="inlineStr">
        <is>
          <t>January</t>
        </is>
      </c>
      <c r="D94" s="4" t="inlineStr">
        <is>
          <t>February</t>
        </is>
      </c>
      <c r="E94" s="4" t="inlineStr">
        <is>
          <t>March</t>
        </is>
      </c>
      <c r="F94" s="4" t="inlineStr">
        <is>
          <t>April</t>
        </is>
      </c>
      <c r="G94" s="4" t="inlineStr">
        <is>
          <t>May</t>
        </is>
      </c>
      <c r="H94" s="4" t="inlineStr">
        <is>
          <t>June</t>
        </is>
      </c>
      <c r="I94" s="4" t="inlineStr">
        <is>
          <t>July</t>
        </is>
      </c>
      <c r="J94" s="4" t="inlineStr">
        <is>
          <t>August</t>
        </is>
      </c>
      <c r="K94" s="4" t="inlineStr">
        <is>
          <t>September</t>
        </is>
      </c>
      <c r="L94" s="4" t="inlineStr">
        <is>
          <t>October</t>
        </is>
      </c>
      <c r="M94" s="4" t="inlineStr">
        <is>
          <t>November</t>
        </is>
      </c>
      <c r="N94" s="4" t="inlineStr">
        <is>
          <t>December</t>
        </is>
      </c>
    </row>
    <row r="95">
      <c r="A95" t="n">
        <v>2090</v>
      </c>
      <c r="B95" t="inlineStr">
        <is>
          <t>Net Inventory</t>
        </is>
      </c>
      <c r="C95" s="6">
        <f>'Alder-Adj'!C90+'Beacon-Adj'!C90+'Cobalt-Adj'!C90+'Delta-Adj'!C90+'Ember-Adj'!C90+'Falcon-Adj'!C90+'Granite-Adj'!C90+'Hollis-Adj'!C90+'SAFEREG-Adj'!C90</f>
        <v>0.0</v>
      </c>
      <c r="D95" s="6">
        <f>'Alder-Adj'!D90+'Beacon-Adj'!D90+'Cobalt-Adj'!D90+'Delta-Adj'!D90+'Ember-Adj'!D90+'Falcon-Adj'!D90+'Granite-Adj'!D90+'Hollis-Adj'!D90+'SAFEREG-Adj'!D90</f>
        <v>0.0</v>
      </c>
      <c r="E95" s="6">
        <f>'Alder-Adj'!E90+'Beacon-Adj'!E90+'Cobalt-Adj'!E90+'Delta-Adj'!E90+'Ember-Adj'!E90+'Falcon-Adj'!E90+'Granite-Adj'!E90+'Hollis-Adj'!E90+'SAFEREG-Adj'!E90</f>
        <v>0.0</v>
      </c>
      <c r="F95" s="6">
        <f>'Alder-Adj'!F90+'Beacon-Adj'!F90+'Cobalt-Adj'!F90+'Delta-Adj'!F90+'Ember-Adj'!F90+'Falcon-Adj'!F90+'Granite-Adj'!F90+'Hollis-Adj'!F90+'SAFEREG-Adj'!F90</f>
        <v>0.0</v>
      </c>
      <c r="G95" s="6">
        <f>'Alder-Adj'!G90+'Beacon-Adj'!G90+'Cobalt-Adj'!G90+'Delta-Adj'!G90+'Ember-Adj'!G90+'Falcon-Adj'!G90+'Granite-Adj'!G90+'Hollis-Adj'!G90+'SAFEREG-Adj'!G90</f>
        <v>0.0</v>
      </c>
      <c r="H95" s="6">
        <f>'Alder-Adj'!H90+'Beacon-Adj'!H90+'Cobalt-Adj'!H90+'Delta-Adj'!H90+'Ember-Adj'!H90+'Falcon-Adj'!H90+'Granite-Adj'!H90+'Hollis-Adj'!H90+'SAFEREG-Adj'!H90</f>
        <v>0.0</v>
      </c>
      <c r="I95" s="6">
        <f>'Alder-Adj'!I90+'Beacon-Adj'!I90+'Cobalt-Adj'!I90+'Delta-Adj'!I90+'Ember-Adj'!I90+'Falcon-Adj'!I90+'Granite-Adj'!I90+'Hollis-Adj'!I90+'SAFEREG-Adj'!I90</f>
        <v>0.0</v>
      </c>
      <c r="J95" s="6">
        <f>'Alder-Adj'!J90+'Beacon-Adj'!J90+'Cobalt-Adj'!J90+'Delta-Adj'!J90+'Ember-Adj'!J90+'Falcon-Adj'!J90+'Granite-Adj'!J90+'Hollis-Adj'!J90+'SAFEREG-Adj'!J90</f>
        <v>0.0</v>
      </c>
      <c r="K95" s="6">
        <f>'Alder-Adj'!K90+'Beacon-Adj'!K90+'Cobalt-Adj'!K90+'Delta-Adj'!K90+'Ember-Adj'!K90+'Falcon-Adj'!K90+'Granite-Adj'!K90+'Hollis-Adj'!K90+'SAFEREG-Adj'!K90</f>
        <v>400.0</v>
      </c>
      <c r="L95" s="6">
        <f>'Alder-Adj'!L90+'Beacon-Adj'!L90+'Cobalt-Adj'!L90+'Delta-Adj'!L90+'Ember-Adj'!L90+'Falcon-Adj'!L90+'Granite-Adj'!L90+'Hollis-Adj'!L90+'SAFEREG-Adj'!L90</f>
        <v>-1400.0</v>
      </c>
      <c r="M95" s="6">
        <f>'Alder-Adj'!M90+'Beacon-Adj'!M90+'Cobalt-Adj'!M90+'Delta-Adj'!M90+'Ember-Adj'!M90+'Falcon-Adj'!M90+'Granite-Adj'!M90+'Hollis-Adj'!M90+'SAFEREG-Adj'!M90</f>
        <v>-3200.0</v>
      </c>
      <c r="N95" s="6">
        <f>'Alder-Adj'!N90+'Beacon-Adj'!N90+'Cobalt-Adj'!N90+'Delta-Adj'!N90+'Ember-Adj'!N90+'Falcon-Adj'!N90+'Granite-Adj'!N90+'Hollis-Adj'!N90+'SAFEREG-Adj'!N90</f>
        <v>-4000.0</v>
      </c>
    </row>
    <row r="96">
      <c r="A96" t="n">
        <v>2135</v>
      </c>
      <c r="B96" t="inlineStr">
        <is>
          <t>Trade Receivables</t>
        </is>
      </c>
      <c r="C96" s="6">
        <f>'Alder-Adj'!C91+'Beacon-Adj'!C91+'Cobalt-Adj'!C91+'Delta-Adj'!C91+'Ember-Adj'!C91+'Falcon-Adj'!C91+'Granite-Adj'!C91+'Hollis-Adj'!C91+'SAFEREG-Adj'!C91</f>
        <v>0.0</v>
      </c>
      <c r="D96" s="6">
        <f>'Alder-Adj'!D91+'Beacon-Adj'!D91+'Cobalt-Adj'!D91+'Delta-Adj'!D91+'Ember-Adj'!D91+'Falcon-Adj'!D91+'Granite-Adj'!D91+'Hollis-Adj'!D91+'SAFEREG-Adj'!D91</f>
        <v>0.0</v>
      </c>
      <c r="E96" s="6">
        <f>'Alder-Adj'!E91+'Beacon-Adj'!E91+'Cobalt-Adj'!E91+'Delta-Adj'!E91+'Ember-Adj'!E91+'Falcon-Adj'!E91+'Granite-Adj'!E91+'Hollis-Adj'!E91+'SAFEREG-Adj'!E91</f>
        <v>0.0</v>
      </c>
      <c r="F96" s="6">
        <f>'Alder-Adj'!F91+'Beacon-Adj'!F91+'Cobalt-Adj'!F91+'Delta-Adj'!F91+'Ember-Adj'!F91+'Falcon-Adj'!F91+'Granite-Adj'!F91+'Hollis-Adj'!F91+'SAFEREG-Adj'!F91</f>
        <v>0.0</v>
      </c>
      <c r="G96" s="6">
        <f>'Alder-Adj'!G91+'Beacon-Adj'!G91+'Cobalt-Adj'!G91+'Delta-Adj'!G91+'Ember-Adj'!G91+'Falcon-Adj'!G91+'Granite-Adj'!G91+'Hollis-Adj'!G91+'SAFEREG-Adj'!G91</f>
        <v>0.0</v>
      </c>
      <c r="H96" s="6">
        <f>'Alder-Adj'!H91+'Beacon-Adj'!H91+'Cobalt-Adj'!H91+'Delta-Adj'!H91+'Ember-Adj'!H91+'Falcon-Adj'!H91+'Granite-Adj'!H91+'Hollis-Adj'!H91+'SAFEREG-Adj'!H91</f>
        <v>0.0</v>
      </c>
      <c r="I96" s="6">
        <f>'Alder-Adj'!I91+'Beacon-Adj'!I91+'Cobalt-Adj'!I91+'Delta-Adj'!I91+'Ember-Adj'!I91+'Falcon-Adj'!I91+'Granite-Adj'!I91+'Hollis-Adj'!I91+'SAFEREG-Adj'!I91</f>
        <v>0.0</v>
      </c>
      <c r="J96" s="6">
        <f>'Alder-Adj'!J91+'Beacon-Adj'!J91+'Cobalt-Adj'!J91+'Delta-Adj'!J91+'Ember-Adj'!J91+'Falcon-Adj'!J91+'Granite-Adj'!J91+'Hollis-Adj'!J91+'SAFEREG-Adj'!J91</f>
        <v>0.0</v>
      </c>
      <c r="K96" s="6">
        <f>'Alder-Adj'!K91+'Beacon-Adj'!K91+'Cobalt-Adj'!K91+'Delta-Adj'!K91+'Ember-Adj'!K91+'Falcon-Adj'!K91+'Granite-Adj'!K91+'Hollis-Adj'!K91+'SAFEREG-Adj'!K91</f>
        <v>600.0</v>
      </c>
      <c r="L96" s="6">
        <f>'Alder-Adj'!L91+'Beacon-Adj'!L91+'Cobalt-Adj'!L91+'Delta-Adj'!L91+'Ember-Adj'!L91+'Falcon-Adj'!L91+'Granite-Adj'!L91+'Hollis-Adj'!L91+'SAFEREG-Adj'!L91</f>
        <v>-300.0</v>
      </c>
      <c r="M96" s="6">
        <f>'Alder-Adj'!M91+'Beacon-Adj'!M91+'Cobalt-Adj'!M91+'Delta-Adj'!M91+'Ember-Adj'!M91+'Falcon-Adj'!M91+'Granite-Adj'!M91+'Hollis-Adj'!M91+'SAFEREG-Adj'!M91</f>
        <v>-300.0</v>
      </c>
      <c r="N96" s="6">
        <f>'Alder-Adj'!N91+'Beacon-Adj'!N91+'Cobalt-Adj'!N91+'Delta-Adj'!N91+'Ember-Adj'!N91+'Falcon-Adj'!N91+'Granite-Adj'!N91+'Hollis-Adj'!N91+'SAFEREG-Adj'!N91</f>
        <v>0.0</v>
      </c>
    </row>
    <row r="97">
      <c r="A97" t="n">
        <v>2175</v>
      </c>
      <c r="B97" t="inlineStr">
        <is>
          <t>Other Receivables</t>
        </is>
      </c>
      <c r="C97" s="6">
        <f>'Alder-Adj'!C92+'Beacon-Adj'!C92+'Cobalt-Adj'!C92+'Delta-Adj'!C92+'Ember-Adj'!C92+'Falcon-Adj'!C92+'Granite-Adj'!C92+'Hollis-Adj'!C92+'SAFEREG-Adj'!C92</f>
        <v>0.0</v>
      </c>
      <c r="D97" s="6">
        <f>'Alder-Adj'!D92+'Beacon-Adj'!D92+'Cobalt-Adj'!D92+'Delta-Adj'!D92+'Ember-Adj'!D92+'Falcon-Adj'!D92+'Granite-Adj'!D92+'Hollis-Adj'!D92+'SAFEREG-Adj'!D92</f>
        <v>0.0</v>
      </c>
      <c r="E97" s="6">
        <f>'Alder-Adj'!E92+'Beacon-Adj'!E92+'Cobalt-Adj'!E92+'Delta-Adj'!E92+'Ember-Adj'!E92+'Falcon-Adj'!E92+'Granite-Adj'!E92+'Hollis-Adj'!E92+'SAFEREG-Adj'!E92</f>
        <v>0.0</v>
      </c>
      <c r="F97" s="6">
        <f>'Alder-Adj'!F92+'Beacon-Adj'!F92+'Cobalt-Adj'!F92+'Delta-Adj'!F92+'Ember-Adj'!F92+'Falcon-Adj'!F92+'Granite-Adj'!F92+'Hollis-Adj'!F92+'SAFEREG-Adj'!F92</f>
        <v>0.0</v>
      </c>
      <c r="G97" s="6">
        <f>'Alder-Adj'!G92+'Beacon-Adj'!G92+'Cobalt-Adj'!G92+'Delta-Adj'!G92+'Ember-Adj'!G92+'Falcon-Adj'!G92+'Granite-Adj'!G92+'Hollis-Adj'!G92+'SAFEREG-Adj'!G92</f>
        <v>0.0</v>
      </c>
      <c r="H97" s="6">
        <f>'Alder-Adj'!H92+'Beacon-Adj'!H92+'Cobalt-Adj'!H92+'Delta-Adj'!H92+'Ember-Adj'!H92+'Falcon-Adj'!H92+'Granite-Adj'!H92+'Hollis-Adj'!H92+'SAFEREG-Adj'!H92</f>
        <v>0.0</v>
      </c>
      <c r="I97" s="6">
        <f>'Alder-Adj'!I92+'Beacon-Adj'!I92+'Cobalt-Adj'!I92+'Delta-Adj'!I92+'Ember-Adj'!I92+'Falcon-Adj'!I92+'Granite-Adj'!I92+'Hollis-Adj'!I92+'SAFEREG-Adj'!I92</f>
        <v>0.0</v>
      </c>
      <c r="J97" s="6">
        <f>'Alder-Adj'!J92+'Beacon-Adj'!J92+'Cobalt-Adj'!J92+'Delta-Adj'!J92+'Ember-Adj'!J92+'Falcon-Adj'!J92+'Granite-Adj'!J92+'Hollis-Adj'!J92+'SAFEREG-Adj'!J92</f>
        <v>0.0</v>
      </c>
      <c r="K97" s="6">
        <f>'Alder-Adj'!K92+'Beacon-Adj'!K92+'Cobalt-Adj'!K92+'Delta-Adj'!K92+'Ember-Adj'!K92+'Falcon-Adj'!K92+'Granite-Adj'!K92+'Hollis-Adj'!K92+'SAFEREG-Adj'!K92</f>
        <v>0.0</v>
      </c>
      <c r="L97" s="6">
        <f>'Alder-Adj'!L92+'Beacon-Adj'!L92+'Cobalt-Adj'!L92+'Delta-Adj'!L92+'Ember-Adj'!L92+'Falcon-Adj'!L92+'Granite-Adj'!L92+'Hollis-Adj'!L92+'SAFEREG-Adj'!L92</f>
        <v>0.0</v>
      </c>
      <c r="M97" s="6">
        <f>'Alder-Adj'!M92+'Beacon-Adj'!M92+'Cobalt-Adj'!M92+'Delta-Adj'!M92+'Ember-Adj'!M92+'Falcon-Adj'!M92+'Granite-Adj'!M92+'Hollis-Adj'!M92+'SAFEREG-Adj'!M92</f>
        <v>0.0</v>
      </c>
      <c r="N97" s="6">
        <f>'Alder-Adj'!N92+'Beacon-Adj'!N92+'Cobalt-Adj'!N92+'Delta-Adj'!N92+'Ember-Adj'!N92+'Falcon-Adj'!N92+'Granite-Adj'!N92+'Hollis-Adj'!N92+'SAFEREG-Adj'!N92</f>
        <v>0.0</v>
      </c>
    </row>
    <row r="98">
      <c r="A98" t="n">
        <v>2140</v>
      </c>
      <c r="B98" t="inlineStr">
        <is>
          <t>Trade Payables</t>
        </is>
      </c>
      <c r="C98" s="6">
        <f>'Alder-Adj'!C93+'Beacon-Adj'!C93+'Cobalt-Adj'!C93+'Delta-Adj'!C93+'Ember-Adj'!C93+'Falcon-Adj'!C93+'Granite-Adj'!C93+'Hollis-Adj'!C93+'SAFEREG-Adj'!C93</f>
        <v>0.0</v>
      </c>
      <c r="D98" s="6">
        <f>'Alder-Adj'!D93+'Beacon-Adj'!D93+'Cobalt-Adj'!D93+'Delta-Adj'!D93+'Ember-Adj'!D93+'Falcon-Adj'!D93+'Granite-Adj'!D93+'Hollis-Adj'!D93+'SAFEREG-Adj'!D93</f>
        <v>0.0</v>
      </c>
      <c r="E98" s="6">
        <f>'Alder-Adj'!E93+'Beacon-Adj'!E93+'Cobalt-Adj'!E93+'Delta-Adj'!E93+'Ember-Adj'!E93+'Falcon-Adj'!E93+'Granite-Adj'!E93+'Hollis-Adj'!E93+'SAFEREG-Adj'!E93</f>
        <v>0.0</v>
      </c>
      <c r="F98" s="6">
        <f>'Alder-Adj'!F93+'Beacon-Adj'!F93+'Cobalt-Adj'!F93+'Delta-Adj'!F93+'Ember-Adj'!F93+'Falcon-Adj'!F93+'Granite-Adj'!F93+'Hollis-Adj'!F93+'SAFEREG-Adj'!F93</f>
        <v>0.0</v>
      </c>
      <c r="G98" s="6">
        <f>'Alder-Adj'!G93+'Beacon-Adj'!G93+'Cobalt-Adj'!G93+'Delta-Adj'!G93+'Ember-Adj'!G93+'Falcon-Adj'!G93+'Granite-Adj'!G93+'Hollis-Adj'!G93+'SAFEREG-Adj'!G93</f>
        <v>0.0</v>
      </c>
      <c r="H98" s="6">
        <f>'Alder-Adj'!H93+'Beacon-Adj'!H93+'Cobalt-Adj'!H93+'Delta-Adj'!H93+'Ember-Adj'!H93+'Falcon-Adj'!H93+'Granite-Adj'!H93+'Hollis-Adj'!H93+'SAFEREG-Adj'!H93</f>
        <v>0.0</v>
      </c>
      <c r="I98" s="6">
        <f>'Alder-Adj'!I93+'Beacon-Adj'!I93+'Cobalt-Adj'!I93+'Delta-Adj'!I93+'Ember-Adj'!I93+'Falcon-Adj'!I93+'Granite-Adj'!I93+'Hollis-Adj'!I93+'SAFEREG-Adj'!I93</f>
        <v>0.0</v>
      </c>
      <c r="J98" s="6">
        <f>'Alder-Adj'!J93+'Beacon-Adj'!J93+'Cobalt-Adj'!J93+'Delta-Adj'!J93+'Ember-Adj'!J93+'Falcon-Adj'!J93+'Granite-Adj'!J93+'Hollis-Adj'!J93+'SAFEREG-Adj'!J93</f>
        <v>0.0</v>
      </c>
      <c r="K98" s="6">
        <f>'Alder-Adj'!K93+'Beacon-Adj'!K93+'Cobalt-Adj'!K93+'Delta-Adj'!K93+'Ember-Adj'!K93+'Falcon-Adj'!K93+'Granite-Adj'!K93+'Hollis-Adj'!K93+'SAFEREG-Adj'!K93</f>
        <v>0.0</v>
      </c>
      <c r="L98" s="6">
        <f>'Alder-Adj'!L93+'Beacon-Adj'!L93+'Cobalt-Adj'!L93+'Delta-Adj'!L93+'Ember-Adj'!L93+'Falcon-Adj'!L93+'Granite-Adj'!L93+'Hollis-Adj'!L93+'SAFEREG-Adj'!L93</f>
        <v>0.0</v>
      </c>
      <c r="M98" s="6">
        <f>'Alder-Adj'!M93+'Beacon-Adj'!M93+'Cobalt-Adj'!M93+'Delta-Adj'!M93+'Ember-Adj'!M93+'Falcon-Adj'!M93+'Granite-Adj'!M93+'Hollis-Adj'!M93+'SAFEREG-Adj'!M93</f>
        <v>0.0</v>
      </c>
      <c r="N98" s="6">
        <f>'Alder-Adj'!N93+'Beacon-Adj'!N93+'Cobalt-Adj'!N93+'Delta-Adj'!N93+'Ember-Adj'!N93+'Falcon-Adj'!N93+'Granite-Adj'!N93+'Hollis-Adj'!N93+'SAFEREG-Adj'!N93</f>
        <v>0.0</v>
      </c>
    </row>
    <row r="99">
      <c r="A99" t="n">
        <v>2180</v>
      </c>
      <c r="B99" t="inlineStr">
        <is>
          <t>Other Payables</t>
        </is>
      </c>
      <c r="C99" s="6">
        <f>'Alder-Adj'!C94+'Beacon-Adj'!C94+'Cobalt-Adj'!C94+'Delta-Adj'!C94+'Ember-Adj'!C94+'Falcon-Adj'!C94+'Granite-Adj'!C94+'Hollis-Adj'!C94+'SAFEREG-Adj'!C94</f>
        <v>0.0</v>
      </c>
      <c r="D99" s="6">
        <f>'Alder-Adj'!D94+'Beacon-Adj'!D94+'Cobalt-Adj'!D94+'Delta-Adj'!D94+'Ember-Adj'!D94+'Falcon-Adj'!D94+'Granite-Adj'!D94+'Hollis-Adj'!D94+'SAFEREG-Adj'!D94</f>
        <v>0.0</v>
      </c>
      <c r="E99" s="6">
        <f>'Alder-Adj'!E94+'Beacon-Adj'!E94+'Cobalt-Adj'!E94+'Delta-Adj'!E94+'Ember-Adj'!E94+'Falcon-Adj'!E94+'Granite-Adj'!E94+'Hollis-Adj'!E94+'SAFEREG-Adj'!E94</f>
        <v>0.0</v>
      </c>
      <c r="F99" s="6">
        <f>'Alder-Adj'!F94+'Beacon-Adj'!F94+'Cobalt-Adj'!F94+'Delta-Adj'!F94+'Ember-Adj'!F94+'Falcon-Adj'!F94+'Granite-Adj'!F94+'Hollis-Adj'!F94+'SAFEREG-Adj'!F94</f>
        <v>0.0</v>
      </c>
      <c r="G99" s="6">
        <f>'Alder-Adj'!G94+'Beacon-Adj'!G94+'Cobalt-Adj'!G94+'Delta-Adj'!G94+'Ember-Adj'!G94+'Falcon-Adj'!G94+'Granite-Adj'!G94+'Hollis-Adj'!G94+'SAFEREG-Adj'!G94</f>
        <v>0.0</v>
      </c>
      <c r="H99" s="6">
        <f>'Alder-Adj'!H94+'Beacon-Adj'!H94+'Cobalt-Adj'!H94+'Delta-Adj'!H94+'Ember-Adj'!H94+'Falcon-Adj'!H94+'Granite-Adj'!H94+'Hollis-Adj'!H94+'SAFEREG-Adj'!H94</f>
        <v>0.0</v>
      </c>
      <c r="I99" s="6">
        <f>'Alder-Adj'!I94+'Beacon-Adj'!I94+'Cobalt-Adj'!I94+'Delta-Adj'!I94+'Ember-Adj'!I94+'Falcon-Adj'!I94+'Granite-Adj'!I94+'Hollis-Adj'!I94+'SAFEREG-Adj'!I94</f>
        <v>0.0</v>
      </c>
      <c r="J99" s="6">
        <f>'Alder-Adj'!J94+'Beacon-Adj'!J94+'Cobalt-Adj'!J94+'Delta-Adj'!J94+'Ember-Adj'!J94+'Falcon-Adj'!J94+'Granite-Adj'!J94+'Hollis-Adj'!J94+'SAFEREG-Adj'!J94</f>
        <v>0.0</v>
      </c>
      <c r="K99" s="6">
        <f>'Alder-Adj'!K94+'Beacon-Adj'!K94+'Cobalt-Adj'!K94+'Delta-Adj'!K94+'Ember-Adj'!K94+'Falcon-Adj'!K94+'Granite-Adj'!K94+'Hollis-Adj'!K94+'SAFEREG-Adj'!K94</f>
        <v>0.0</v>
      </c>
      <c r="L99" s="6">
        <f>'Alder-Adj'!L94+'Beacon-Adj'!L94+'Cobalt-Adj'!L94+'Delta-Adj'!L94+'Ember-Adj'!L94+'Falcon-Adj'!L94+'Granite-Adj'!L94+'Hollis-Adj'!L94+'SAFEREG-Adj'!L94</f>
        <v>0.0</v>
      </c>
      <c r="M99" s="6">
        <f>'Alder-Adj'!M94+'Beacon-Adj'!M94+'Cobalt-Adj'!M94+'Delta-Adj'!M94+'Ember-Adj'!M94+'Falcon-Adj'!M94+'Granite-Adj'!M94+'Hollis-Adj'!M94+'SAFEREG-Adj'!M94</f>
        <v>0.0</v>
      </c>
      <c r="N99" s="6">
        <f>'Alder-Adj'!N94+'Beacon-Adj'!N94+'Cobalt-Adj'!N94+'Delta-Adj'!N94+'Ember-Adj'!N94+'Falcon-Adj'!N94+'Granite-Adj'!N94+'Hollis-Adj'!N94+'SAFEREG-Adj'!N94</f>
        <v>0.0</v>
      </c>
    </row>
    <row r="100">
      <c r="A100" t="n">
        <v>2185</v>
      </c>
      <c r="B100" s="2" t="inlineStr">
        <is>
          <t>Total Working Capital</t>
        </is>
      </c>
      <c r="C100" s="6">
        <f>SUM(C95:C99)</f>
        <v>0.0</v>
      </c>
      <c r="D100" s="6">
        <f>SUM(D95:D99)</f>
        <v>0.0</v>
      </c>
      <c r="E100" s="6">
        <f>SUM(E95:E99)</f>
        <v>0.0</v>
      </c>
      <c r="F100" s="6">
        <f>SUM(F95:F99)</f>
        <v>0.0</v>
      </c>
      <c r="G100" s="6">
        <f>SUM(G95:G99)</f>
        <v>0.0</v>
      </c>
      <c r="H100" s="6">
        <f>SUM(H95:H99)</f>
        <v>0.0</v>
      </c>
      <c r="I100" s="6">
        <f>SUM(I95:I99)</f>
        <v>0.0</v>
      </c>
      <c r="J100" s="6">
        <f>SUM(J95:J99)</f>
        <v>0.0</v>
      </c>
      <c r="K100" s="6">
        <f>SUM(K95:K99)</f>
        <v>1000.0</v>
      </c>
      <c r="L100" s="6">
        <f>SUM(L95:L99)</f>
        <v>-1700.0</v>
      </c>
      <c r="M100" s="6">
        <f>SUM(M95:M99)</f>
        <v>-3500.0</v>
      </c>
      <c r="N100" s="6">
        <f>SUM(N95:N99)</f>
        <v>-4000.0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206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SAFECON_2DISP</t>
        </is>
      </c>
    </row>
    <row r="23">
      <c r="B23" s="3" t="inlineStr">
        <is>
          <t>Zava Safety - Consolidated</t>
        </is>
      </c>
      <c r="BU23" s="8" t="inlineStr">
        <is>
          <t>FCAST10 - Variance ($) - Favorable / (Unfavorable)</t>
        </is>
      </c>
    </row>
    <row r="24">
      <c r="C24" s="8" t="inlineStr">
        <is>
          <t>FCAST09 as Reported</t>
        </is>
      </c>
      <c r="Q24" s="8" t="inlineStr">
        <is>
          <t>FCAST09 at New Fx Rates</t>
        </is>
      </c>
      <c r="AE24" s="8" t="inlineStr">
        <is>
          <t>Fx Changes</t>
        </is>
      </c>
      <c r="AS24" s="8" t="inlineStr">
        <is>
          <t>Operational Adjustments</t>
        </is>
      </c>
      <c r="BG24" s="8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6">
        <f>'Alder'!C28+'Beacon'!C28+'Cobalt'!C28+'Delta'!C28+'Ember'!C28+'Falcon'!C28+'Granite'!C28+'Hollis'!C28+'SAFEREG'!C28</f>
        <v>49776.700000000004</v>
      </c>
      <c r="D28" s="6">
        <f>'Alder'!D28+'Beacon'!D28+'Cobalt'!D28+'Delta'!D28+'Ember'!D28+'Falcon'!D28+'Granite'!D28+'Hollis'!D28+'SAFEREG'!D28</f>
        <v>49033.4</v>
      </c>
      <c r="E28" s="6">
        <f>'Alder'!E28+'Beacon'!E28+'Cobalt'!E28+'Delta'!E28+'Ember'!E28+'Falcon'!E28+'Granite'!E28+'Hollis'!E28+'SAFEREG'!E28</f>
        <v>52588.399999999994</v>
      </c>
      <c r="F28" s="6">
        <f>'Alder'!F28+'Beacon'!F28+'Cobalt'!F28+'Delta'!F28+'Ember'!F28+'Falcon'!F28+'Granite'!F28+'Hollis'!F28+'SAFEREG'!F28</f>
        <v>56881.90000000001</v>
      </c>
      <c r="G28" s="6">
        <f>'Alder'!G28+'Beacon'!G28+'Cobalt'!G28+'Delta'!G28+'Ember'!G28+'Falcon'!G28+'Granite'!G28+'Hollis'!G28+'SAFEREG'!G28</f>
        <v>51833.5</v>
      </c>
      <c r="H28" s="6">
        <f>'Alder'!H28+'Beacon'!H28+'Cobalt'!H28+'Delta'!H28+'Ember'!H28+'Falcon'!H28+'Granite'!H28+'Hollis'!H28+'SAFEREG'!H28</f>
        <v>54124.1</v>
      </c>
      <c r="I28" s="6">
        <f>'Alder'!I28+'Beacon'!I28+'Cobalt'!I28+'Delta'!I28+'Ember'!I28+'Falcon'!I28+'Granite'!I28+'Hollis'!I28+'SAFEREG'!I28</f>
        <v>53826.700000000004</v>
      </c>
      <c r="J28" s="6">
        <f>'Alder'!J28+'Beacon'!J28+'Cobalt'!J28+'Delta'!J28+'Ember'!J28+'Falcon'!J28+'Granite'!J28+'Hollis'!J28+'SAFEREG'!J28</f>
        <v>52681.299999999996</v>
      </c>
      <c r="K28" s="6">
        <f>'Alder'!K28+'Beacon'!K28+'Cobalt'!K28+'Delta'!K28+'Ember'!K28+'Falcon'!K28+'Granite'!K28+'Hollis'!K28+'SAFEREG'!K28</f>
        <v>52195.4</v>
      </c>
      <c r="L28" s="6">
        <f>'Alder'!L28+'Beacon'!L28+'Cobalt'!L28+'Delta'!L28+'Ember'!L28+'Falcon'!L28+'Granite'!L28+'Hollis'!L28+'SAFEREG'!L28</f>
        <v>55505.3</v>
      </c>
      <c r="M28" s="6">
        <f>'Alder'!M28+'Beacon'!M28+'Cobalt'!M28+'Delta'!M28+'Ember'!M28+'Falcon'!M28+'Granite'!M28+'Hollis'!M28+'SAFEREG'!M28</f>
        <v>50331.0</v>
      </c>
      <c r="N28" s="6">
        <f>'Alder'!N28+'Beacon'!N28+'Cobalt'!N28+'Delta'!N28+'Ember'!N28+'Falcon'!N28+'Granite'!N28+'Hollis'!N28+'SAFEREG'!N28</f>
        <v>54989.2</v>
      </c>
      <c r="O28" s="19">
        <f>SUM(C28:N28)</f>
        <v>633766.9</v>
      </c>
      <c r="Q28" s="6">
        <f>'Alder'!Q28+'Beacon'!Q28+'Cobalt'!Q28+'Delta'!Q28+'Ember'!Q28+'Falcon'!Q28+'Granite'!Q28+'Hollis'!Q28+'SAFEREG'!Q28</f>
        <v>49776.700000000004</v>
      </c>
      <c r="R28" s="6">
        <f>'Alder'!R28+'Beacon'!R28+'Cobalt'!R28+'Delta'!R28+'Ember'!R28+'Falcon'!R28+'Granite'!R28+'Hollis'!R28+'SAFEREG'!R28</f>
        <v>49033.4</v>
      </c>
      <c r="S28" s="6">
        <f>'Alder'!S28+'Beacon'!S28+'Cobalt'!S28+'Delta'!S28+'Ember'!S28+'Falcon'!S28+'Granite'!S28+'Hollis'!S28+'SAFEREG'!S28</f>
        <v>52588.399999999994</v>
      </c>
      <c r="T28" s="6">
        <f>'Alder'!T28+'Beacon'!T28+'Cobalt'!T28+'Delta'!T28+'Ember'!T28+'Falcon'!T28+'Granite'!T28+'Hollis'!T28+'SAFEREG'!T28</f>
        <v>56881.90000000001</v>
      </c>
      <c r="U28" s="6">
        <f>'Alder'!U28+'Beacon'!U28+'Cobalt'!U28+'Delta'!U28+'Ember'!U28+'Falcon'!U28+'Granite'!U28+'Hollis'!U28+'SAFEREG'!U28</f>
        <v>51833.5</v>
      </c>
      <c r="V28" s="6">
        <f>'Alder'!V28+'Beacon'!V28+'Cobalt'!V28+'Delta'!V28+'Ember'!V28+'Falcon'!V28+'Granite'!V28+'Hollis'!V28+'SAFEREG'!V28</f>
        <v>54124.1</v>
      </c>
      <c r="W28" s="6">
        <f>'Alder'!W28+'Beacon'!W28+'Cobalt'!W28+'Delta'!W28+'Ember'!W28+'Falcon'!W28+'Granite'!W28+'Hollis'!W28+'SAFEREG'!W28</f>
        <v>53826.700000000004</v>
      </c>
      <c r="X28" s="6">
        <f>'Alder'!X28+'Beacon'!X28+'Cobalt'!X28+'Delta'!X28+'Ember'!X28+'Falcon'!X28+'Granite'!X28+'Hollis'!X28+'SAFEREG'!X28</f>
        <v>52681.299999999996</v>
      </c>
      <c r="Y28" s="6">
        <f>'Alder'!Y28+'Beacon'!Y28+'Cobalt'!Y28+'Delta'!Y28+'Ember'!Y28+'Falcon'!Y28+'Granite'!Y28+'Hollis'!Y28+'SAFEREG'!Y28</f>
        <v>52150.4</v>
      </c>
      <c r="Z28" s="6">
        <f>'Alder'!Z28+'Beacon'!Z28+'Cobalt'!Z28+'Delta'!Z28+'Ember'!Z28+'Falcon'!Z28+'Granite'!Z28+'Hollis'!Z28+'SAFEREG'!Z28</f>
        <v>55460.3</v>
      </c>
      <c r="AA28" s="6">
        <f>'Alder'!AA28+'Beacon'!AA28+'Cobalt'!AA28+'Delta'!AA28+'Ember'!AA28+'Falcon'!AA28+'Granite'!AA28+'Hollis'!AA28+'SAFEREG'!AA28</f>
        <v>50286.0</v>
      </c>
      <c r="AB28" s="6">
        <f>'Alder'!AB28+'Beacon'!AB28+'Cobalt'!AB28+'Delta'!AB28+'Ember'!AB28+'Falcon'!AB28+'Granite'!AB28+'Hollis'!AB28+'SAFEREG'!AB28</f>
        <v>54944.2</v>
      </c>
      <c r="AC28" s="19">
        <f>SUM(Q28:AB28)</f>
        <v>633586.9</v>
      </c>
      <c r="AE28" s="6">
        <f>Q28-C28</f>
        <v>0.0</v>
      </c>
      <c r="AF28" s="6">
        <f>R28-D28</f>
        <v>0.0</v>
      </c>
      <c r="AG28" s="6">
        <f>S28-E28</f>
        <v>0.0</v>
      </c>
      <c r="AH28" s="6">
        <f>T28-F28</f>
        <v>0.0</v>
      </c>
      <c r="AI28" s="6">
        <f>U28-G28</f>
        <v>0.0</v>
      </c>
      <c r="AJ28" s="6">
        <f>V28-H28</f>
        <v>0.0</v>
      </c>
      <c r="AK28" s="6">
        <f>W28-I28</f>
        <v>0.0</v>
      </c>
      <c r="AL28" s="6">
        <f>X28-J28</f>
        <v>0.0</v>
      </c>
      <c r="AM28" s="6">
        <f>Y28-K28</f>
        <v>-45.0</v>
      </c>
      <c r="AN28" s="6">
        <f>Z28-L28</f>
        <v>-45.0</v>
      </c>
      <c r="AO28" s="6">
        <f>AA28-M28</f>
        <v>-45.0</v>
      </c>
      <c r="AP28" s="6">
        <f>AB28-N28</f>
        <v>-45.0</v>
      </c>
      <c r="AQ28" s="19">
        <f>SUM(AE28:AP28)</f>
        <v>-180.0</v>
      </c>
      <c r="AS28" s="6">
        <f>'Safety-Adj'!C15</f>
        <v>0.0</v>
      </c>
      <c r="AT28" s="6">
        <f>'Safety-Adj'!D15</f>
        <v>0.0</v>
      </c>
      <c r="AU28" s="6">
        <f>'Safety-Adj'!E15</f>
        <v>0.0</v>
      </c>
      <c r="AV28" s="6">
        <f>'Safety-Adj'!F15</f>
        <v>0.0</v>
      </c>
      <c r="AW28" s="6">
        <f>'Safety-Adj'!G15</f>
        <v>0.0</v>
      </c>
      <c r="AX28" s="6">
        <f>'Safety-Adj'!H15</f>
        <v>0.0</v>
      </c>
      <c r="AY28" s="6">
        <f>'Safety-Adj'!I15</f>
        <v>0.0</v>
      </c>
      <c r="AZ28" s="6">
        <f>'Safety-Adj'!J15</f>
        <v>0.0</v>
      </c>
      <c r="BA28" s="6">
        <f>'Safety-Adj'!K15</f>
        <v>1490.0</v>
      </c>
      <c r="BB28" s="6">
        <f>'Safety-Adj'!L15</f>
        <v>-1040.0</v>
      </c>
      <c r="BC28" s="6">
        <f>'Safety-Adj'!M15</f>
        <v>-220.0</v>
      </c>
      <c r="BD28" s="6">
        <f>'Safety-Adj'!N15</f>
        <v>340.0</v>
      </c>
      <c r="BE28" s="19">
        <f>SUM(AS28:BD28)</f>
        <v>570.0</v>
      </c>
      <c r="BG28" s="6">
        <f>C28+AE28+AS28</f>
        <v>49776.700000000004</v>
      </c>
      <c r="BH28" s="6">
        <f>D28+AF28+AT28</f>
        <v>49033.4</v>
      </c>
      <c r="BI28" s="6">
        <f>E28+AG28+AU28</f>
        <v>52588.399999999994</v>
      </c>
      <c r="BJ28" s="6">
        <f>F28+AH28+AV28</f>
        <v>56881.90000000001</v>
      </c>
      <c r="BK28" s="6">
        <f>G28+AI28+AW28</f>
        <v>51833.5</v>
      </c>
      <c r="BL28" s="6">
        <f>H28+AJ28+AX28</f>
        <v>54124.1</v>
      </c>
      <c r="BM28" s="6">
        <f>I28+AK28+AY28</f>
        <v>53826.700000000004</v>
      </c>
      <c r="BN28" s="6">
        <f>J28+AL28+AZ28</f>
        <v>52681.299999999996</v>
      </c>
      <c r="BO28" s="6">
        <f>K28+AM28+BA28</f>
        <v>53640.4</v>
      </c>
      <c r="BP28" s="6">
        <f>L28+AN28+BB28</f>
        <v>54420.3</v>
      </c>
      <c r="BQ28" s="6">
        <f>M28+AO28+BC28</f>
        <v>50066.0</v>
      </c>
      <c r="BR28" s="6">
        <f>N28+AP28+BD28</f>
        <v>55284.2</v>
      </c>
      <c r="BS28" s="19">
        <f>SUM(BG28:BR28)</f>
        <v>634156.9</v>
      </c>
      <c r="BU28" s="6">
        <f>SUM(BG28:BO28)-SUM(C28:K28)</f>
        <v>1445.0</v>
      </c>
      <c r="BV28" s="6">
        <f>SUM(BG28:BO28)-SUM(C51:K51)</f>
        <v>10937.500000000058</v>
      </c>
      <c r="BW28" s="6">
        <f>SUM(BG28:BO28)-SUM(C64:K64)</f>
        <v>32001.29999999999</v>
      </c>
      <c r="BY28" s="6">
        <f>SUM(BP28:BR28)-SUM(L28:N28)</f>
        <v>-1055.0</v>
      </c>
      <c r="BZ28" s="6">
        <f>SUM(BP28:BR28)-SUM(L51:N51)</f>
        <v>3221.2999999999884</v>
      </c>
      <c r="CA28" s="6">
        <f>SUM(BP28:BR28)-SUM(L64:N64)</f>
        <v>10243.200000000012</v>
      </c>
      <c r="CC28" s="6">
        <f>BS28-O28</f>
        <v>390.0</v>
      </c>
      <c r="CD28" s="6">
        <f>BS28-O51</f>
        <v>14158.800000000047</v>
      </c>
      <c r="CE28" s="6">
        <f>BS28-O64</f>
        <v>42244.5</v>
      </c>
    </row>
    <row r="29">
      <c r="B29" s="5" t="inlineStr">
        <is>
          <t>Gross Margin</t>
        </is>
      </c>
      <c r="C29" s="6">
        <f>'Alder'!C29+'Beacon'!C29+'Cobalt'!C29+'Delta'!C29+'Ember'!C29+'Falcon'!C29+'Granite'!C29+'Hollis'!C29+'SAFEREG'!C29</f>
        <v>15735.599999999999</v>
      </c>
      <c r="D29" s="6">
        <f>'Alder'!D29+'Beacon'!D29+'Cobalt'!D29+'Delta'!D29+'Ember'!D29+'Falcon'!D29+'Granite'!D29+'Hollis'!D29+'SAFEREG'!D29</f>
        <v>15444.8</v>
      </c>
      <c r="E29" s="6">
        <f>'Alder'!E29+'Beacon'!E29+'Cobalt'!E29+'Delta'!E29+'Ember'!E29+'Falcon'!E29+'Granite'!E29+'Hollis'!E29+'SAFEREG'!E29</f>
        <v>16536.9</v>
      </c>
      <c r="F29" s="6">
        <f>'Alder'!F29+'Beacon'!F29+'Cobalt'!F29+'Delta'!F29+'Ember'!F29+'Falcon'!F29+'Granite'!F29+'Hollis'!F29+'SAFEREG'!F29</f>
        <v>17939.600000000002</v>
      </c>
      <c r="G29" s="6">
        <f>'Alder'!G29+'Beacon'!G29+'Cobalt'!G29+'Delta'!G29+'Ember'!G29+'Falcon'!G29+'Granite'!G29+'Hollis'!G29+'SAFEREG'!G29</f>
        <v>16345.6</v>
      </c>
      <c r="H29" s="6">
        <f>'Alder'!H29+'Beacon'!H29+'Cobalt'!H29+'Delta'!H29+'Ember'!H29+'Falcon'!H29+'Granite'!H29+'Hollis'!H29+'SAFEREG'!H29</f>
        <v>16785.800000000003</v>
      </c>
      <c r="I29" s="6">
        <f>'Alder'!I29+'Beacon'!I29+'Cobalt'!I29+'Delta'!I29+'Ember'!I29+'Falcon'!I29+'Granite'!I29+'Hollis'!I29+'SAFEREG'!I29</f>
        <v>16677.1</v>
      </c>
      <c r="J29" s="6">
        <f>'Alder'!J29+'Beacon'!J29+'Cobalt'!J29+'Delta'!J29+'Ember'!J29+'Falcon'!J29+'Granite'!J29+'Hollis'!J29+'SAFEREG'!J29</f>
        <v>16298.9</v>
      </c>
      <c r="K29" s="6">
        <f>'Alder'!K29+'Beacon'!K29+'Cobalt'!K29+'Delta'!K29+'Ember'!K29+'Falcon'!K29+'Granite'!K29+'Hollis'!K29+'SAFEREG'!K29</f>
        <v>16176.800000000001</v>
      </c>
      <c r="L29" s="6">
        <f>'Alder'!L29+'Beacon'!L29+'Cobalt'!L29+'Delta'!L29+'Ember'!L29+'Falcon'!L29+'Granite'!L29+'Hollis'!L29+'SAFEREG'!L29</f>
        <v>17183.199999999997</v>
      </c>
      <c r="M29" s="6">
        <f>'Alder'!M29+'Beacon'!M29+'Cobalt'!M29+'Delta'!M29+'Ember'!M29+'Falcon'!M29+'Granite'!M29+'Hollis'!M29+'SAFEREG'!M29</f>
        <v>15586.100000000002</v>
      </c>
      <c r="N29" s="6">
        <f>'Alder'!N29+'Beacon'!N29+'Cobalt'!N29+'Delta'!N29+'Ember'!N29+'Falcon'!N29+'Granite'!N29+'Hollis'!N29+'SAFEREG'!N29</f>
        <v>17008.3</v>
      </c>
      <c r="O29" s="19">
        <f>SUM(C29:N29)</f>
        <v>197718.69999999998</v>
      </c>
      <c r="Q29" s="6">
        <f>'Alder'!Q29+'Beacon'!Q29+'Cobalt'!Q29+'Delta'!Q29+'Ember'!Q29+'Falcon'!Q29+'Granite'!Q29+'Hollis'!Q29+'SAFEREG'!Q29</f>
        <v>15735.599999999999</v>
      </c>
      <c r="R29" s="6">
        <f>'Alder'!R29+'Beacon'!R29+'Cobalt'!R29+'Delta'!R29+'Ember'!R29+'Falcon'!R29+'Granite'!R29+'Hollis'!R29+'SAFEREG'!R29</f>
        <v>15444.8</v>
      </c>
      <c r="S29" s="6">
        <f>'Alder'!S29+'Beacon'!S29+'Cobalt'!S29+'Delta'!S29+'Ember'!S29+'Falcon'!S29+'Granite'!S29+'Hollis'!S29+'SAFEREG'!S29</f>
        <v>16536.9</v>
      </c>
      <c r="T29" s="6">
        <f>'Alder'!T29+'Beacon'!T29+'Cobalt'!T29+'Delta'!T29+'Ember'!T29+'Falcon'!T29+'Granite'!T29+'Hollis'!T29+'SAFEREG'!T29</f>
        <v>17939.600000000002</v>
      </c>
      <c r="U29" s="6">
        <f>'Alder'!U29+'Beacon'!U29+'Cobalt'!U29+'Delta'!U29+'Ember'!U29+'Falcon'!U29+'Granite'!U29+'Hollis'!U29+'SAFEREG'!U29</f>
        <v>16345.6</v>
      </c>
      <c r="V29" s="6">
        <f>'Alder'!V29+'Beacon'!V29+'Cobalt'!V29+'Delta'!V29+'Ember'!V29+'Falcon'!V29+'Granite'!V29+'Hollis'!V29+'SAFEREG'!V29</f>
        <v>16785.800000000003</v>
      </c>
      <c r="W29" s="6">
        <f>'Alder'!W29+'Beacon'!W29+'Cobalt'!W29+'Delta'!W29+'Ember'!W29+'Falcon'!W29+'Granite'!W29+'Hollis'!W29+'SAFEREG'!W29</f>
        <v>16677.1</v>
      </c>
      <c r="X29" s="6">
        <f>'Alder'!X29+'Beacon'!X29+'Cobalt'!X29+'Delta'!X29+'Ember'!X29+'Falcon'!X29+'Granite'!X29+'Hollis'!X29+'SAFEREG'!X29</f>
        <v>16298.9</v>
      </c>
      <c r="Y29" s="6">
        <f>'Alder'!Y29+'Beacon'!Y29+'Cobalt'!Y29+'Delta'!Y29+'Ember'!Y29+'Falcon'!Y29+'Granite'!Y29+'Hollis'!Y29+'SAFEREG'!Y29</f>
        <v>16163.800000000001</v>
      </c>
      <c r="Z29" s="6">
        <f>'Alder'!Z29+'Beacon'!Z29+'Cobalt'!Z29+'Delta'!Z29+'Ember'!Z29+'Falcon'!Z29+'Granite'!Z29+'Hollis'!Z29+'SAFEREG'!Z29</f>
        <v>17170.199999999997</v>
      </c>
      <c r="AA29" s="6">
        <f>'Alder'!AA29+'Beacon'!AA29+'Cobalt'!AA29+'Delta'!AA29+'Ember'!AA29+'Falcon'!AA29+'Granite'!AA29+'Hollis'!AA29+'SAFEREG'!AA29</f>
        <v>15573.100000000002</v>
      </c>
      <c r="AB29" s="6">
        <f>'Alder'!AB29+'Beacon'!AB29+'Cobalt'!AB29+'Delta'!AB29+'Ember'!AB29+'Falcon'!AB29+'Granite'!AB29+'Hollis'!AB29+'SAFEREG'!AB29</f>
        <v>16995.3</v>
      </c>
      <c r="AC29" s="19">
        <f>SUM(Q29:AB29)</f>
        <v>197666.69999999998</v>
      </c>
      <c r="AE29" s="6">
        <f>Q29-C29</f>
        <v>0.0</v>
      </c>
      <c r="AF29" s="6">
        <f>R29-D29</f>
        <v>0.0</v>
      </c>
      <c r="AG29" s="6">
        <f>S29-E29</f>
        <v>0.0</v>
      </c>
      <c r="AH29" s="6">
        <f>T29-F29</f>
        <v>0.0</v>
      </c>
      <c r="AI29" s="6">
        <f>U29-G29</f>
        <v>0.0</v>
      </c>
      <c r="AJ29" s="6">
        <f>V29-H29</f>
        <v>0.0</v>
      </c>
      <c r="AK29" s="6">
        <f>W29-I29</f>
        <v>0.0</v>
      </c>
      <c r="AL29" s="6">
        <f>X29-J29</f>
        <v>0.0</v>
      </c>
      <c r="AM29" s="6">
        <f>Y29-K29</f>
        <v>-13.0</v>
      </c>
      <c r="AN29" s="6">
        <f>Z29-L29</f>
        <v>-13.0</v>
      </c>
      <c r="AO29" s="6">
        <f>AA29-M29</f>
        <v>-13.0</v>
      </c>
      <c r="AP29" s="6">
        <f>AB29-N29</f>
        <v>-13.0</v>
      </c>
      <c r="AQ29" s="19">
        <f>SUM(AE29:AP29)</f>
        <v>-52.0</v>
      </c>
      <c r="AS29" s="6">
        <f>'Safety-Adj'!C39+'Safety-Adj'!C83</f>
        <v>0.0</v>
      </c>
      <c r="AT29" s="6">
        <f>'Safety-Adj'!D39+'Safety-Adj'!D83</f>
        <v>0.0</v>
      </c>
      <c r="AU29" s="6">
        <f>'Safety-Adj'!E39+'Safety-Adj'!E83</f>
        <v>0.0</v>
      </c>
      <c r="AV29" s="6">
        <f>'Safety-Adj'!F39+'Safety-Adj'!F83</f>
        <v>0.0</v>
      </c>
      <c r="AW29" s="6">
        <f>'Safety-Adj'!G39+'Safety-Adj'!G83</f>
        <v>0.0</v>
      </c>
      <c r="AX29" s="6">
        <f>'Safety-Adj'!H39+'Safety-Adj'!H83</f>
        <v>0.0</v>
      </c>
      <c r="AY29" s="6">
        <f>'Safety-Adj'!I39+'Safety-Adj'!I83</f>
        <v>0.0</v>
      </c>
      <c r="AZ29" s="6">
        <f>'Safety-Adj'!J39+'Safety-Adj'!J83</f>
        <v>0.0</v>
      </c>
      <c r="BA29" s="6">
        <f>'Safety-Adj'!K39+'Safety-Adj'!K83</f>
        <v>-72.92000000000002</v>
      </c>
      <c r="BB29" s="6">
        <f>'Safety-Adj'!L39+'Safety-Adj'!L83</f>
        <v>-259.92</v>
      </c>
      <c r="BC29" s="6">
        <f>'Safety-Adj'!M39+'Safety-Adj'!M83</f>
        <v>-40.92</v>
      </c>
      <c r="BD29" s="6">
        <f>'Safety-Adj'!N39+'Safety-Adj'!N83</f>
        <v>239.07999999999998</v>
      </c>
      <c r="BE29" s="19">
        <f>SUM(AS29:BD29)</f>
        <v>-134.68000000000006</v>
      </c>
      <c r="BG29" s="6">
        <f>C29+AE29+AS29</f>
        <v>15735.599999999999</v>
      </c>
      <c r="BH29" s="6">
        <f>D29+AF29+AT29</f>
        <v>15444.8</v>
      </c>
      <c r="BI29" s="6">
        <f>E29+AG29+AU29</f>
        <v>16536.9</v>
      </c>
      <c r="BJ29" s="6">
        <f>F29+AH29+AV29</f>
        <v>17939.600000000002</v>
      </c>
      <c r="BK29" s="6">
        <f>G29+AI29+AW29</f>
        <v>16345.6</v>
      </c>
      <c r="BL29" s="6">
        <f>H29+AJ29+AX29</f>
        <v>16785.800000000003</v>
      </c>
      <c r="BM29" s="6">
        <f>I29+AK29+AY29</f>
        <v>16677.1</v>
      </c>
      <c r="BN29" s="6">
        <f>J29+AL29+AZ29</f>
        <v>16298.9</v>
      </c>
      <c r="BO29" s="6">
        <f>K29+AM29+BA29</f>
        <v>16090.880000000001</v>
      </c>
      <c r="BP29" s="6">
        <f>L29+AN29+BB29</f>
        <v>16910.28</v>
      </c>
      <c r="BQ29" s="6">
        <f>M29+AO29+BC29</f>
        <v>15532.180000000002</v>
      </c>
      <c r="BR29" s="6">
        <f>N29+AP29+BD29</f>
        <v>17234.38</v>
      </c>
      <c r="BS29" s="19">
        <f>SUM(BG29:BR29)</f>
        <v>197532.02000000002</v>
      </c>
      <c r="BU29" s="6">
        <f>SUM(BG29:BO29)-SUM(C29:K29)</f>
        <v>-85.9199999999837</v>
      </c>
      <c r="BV29" s="6">
        <f>SUM(BG29:BO29)-SUM(C52:K52)</f>
        <v>2279.8800000000047</v>
      </c>
      <c r="BW29" s="6">
        <f>SUM(BG29:BO29)-SUM(C65:K65)</f>
        <v>8917.680000000022</v>
      </c>
      <c r="BY29" s="6">
        <f>SUM(BP29:BR29)-SUM(L29:N29)</f>
        <v>-100.76000000000931</v>
      </c>
      <c r="BZ29" s="6">
        <f>SUM(BP29:BR29)-SUM(L52:N52)</f>
        <v>502.6399999999994</v>
      </c>
      <c r="CA29" s="6">
        <f>SUM(BP29:BR29)-SUM(L65:N65)</f>
        <v>2634.1399999999994</v>
      </c>
      <c r="CC29" s="6">
        <f>BS29-O29</f>
        <v>-186.6799999999639</v>
      </c>
      <c r="CD29" s="6">
        <f>BS29-O52</f>
        <v>2782.5200000000186</v>
      </c>
      <c r="CE29" s="6">
        <f>BS29-O65</f>
        <v>11551.820000000036</v>
      </c>
    </row>
    <row r="30">
      <c r="B30" s="5" t="inlineStr">
        <is>
          <t>Op Costs</t>
        </is>
      </c>
      <c r="C30" s="6">
        <f>'Alder'!C30+'Beacon'!C30+'Cobalt'!C30+'Delta'!C30+'Ember'!C30+'Falcon'!C30+'Granite'!C30+'Hollis'!C30+'SAFEREG'!C30</f>
        <v>-10738.599999999999</v>
      </c>
      <c r="D30" s="6">
        <f>'Alder'!D30+'Beacon'!D30+'Cobalt'!D30+'Delta'!D30+'Ember'!D30+'Falcon'!D30+'Granite'!D30+'Hollis'!D30+'SAFEREG'!D30</f>
        <v>-10538.300000000001</v>
      </c>
      <c r="E30" s="6">
        <f>'Alder'!E30+'Beacon'!E30+'Cobalt'!E30+'Delta'!E30+'Ember'!E30+'Falcon'!E30+'Granite'!E30+'Hollis'!E30+'SAFEREG'!E30</f>
        <v>-11304.999999999998</v>
      </c>
      <c r="F30" s="6">
        <f>'Alder'!F30+'Beacon'!F30+'Cobalt'!F30+'Delta'!F30+'Ember'!F30+'Falcon'!F30+'Granite'!F30+'Hollis'!F30+'SAFEREG'!F30</f>
        <v>-12182.0</v>
      </c>
      <c r="G30" s="6">
        <f>'Alder'!G30+'Beacon'!G30+'Cobalt'!G30+'Delta'!G30+'Ember'!G30+'Falcon'!G30+'Granite'!G30+'Hollis'!G30+'SAFEREG'!G30</f>
        <v>-11125.4</v>
      </c>
      <c r="H30" s="6">
        <f>'Alder'!H30+'Beacon'!H30+'Cobalt'!H30+'Delta'!H30+'Ember'!H30+'Falcon'!H30+'Granite'!H30+'Hollis'!H30+'SAFEREG'!H30</f>
        <v>-11606.0</v>
      </c>
      <c r="I30" s="6">
        <f>'Alder'!I30+'Beacon'!I30+'Cobalt'!I30+'Delta'!I30+'Ember'!I30+'Falcon'!I30+'Granite'!I30+'Hollis'!I30+'SAFEREG'!I30</f>
        <v>-11507.0</v>
      </c>
      <c r="J30" s="6">
        <f>'Alder'!J30+'Beacon'!J30+'Cobalt'!J30+'Delta'!J30+'Ember'!J30+'Falcon'!J30+'Granite'!J30+'Hollis'!J30+'SAFEREG'!J30</f>
        <v>-11490.8</v>
      </c>
      <c r="K30" s="6">
        <f>'Alder'!K30+'Beacon'!K30+'Cobalt'!K30+'Delta'!K30+'Ember'!K30+'Falcon'!K30+'Granite'!K30+'Hollis'!K30+'SAFEREG'!K30</f>
        <v>-11005.1</v>
      </c>
      <c r="L30" s="6">
        <f>'Alder'!L30+'Beacon'!L30+'Cobalt'!L30+'Delta'!L30+'Ember'!L30+'Falcon'!L30+'Granite'!L30+'Hollis'!L30+'SAFEREG'!L30</f>
        <v>-11853.5</v>
      </c>
      <c r="M30" s="6">
        <f>'Alder'!M30+'Beacon'!M30+'Cobalt'!M30+'Delta'!M30+'Ember'!M30+'Falcon'!M30+'Granite'!M30+'Hollis'!M30+'SAFEREG'!M30</f>
        <v>-10751.3</v>
      </c>
      <c r="N30" s="6">
        <f>'Alder'!N30+'Beacon'!N30+'Cobalt'!N30+'Delta'!N30+'Ember'!N30+'Falcon'!N30+'Granite'!N30+'Hollis'!N30+'SAFEREG'!N30</f>
        <v>-11658.699999999999</v>
      </c>
      <c r="O30" s="19">
        <f>SUM(C30:N30)</f>
        <v>-135761.7</v>
      </c>
      <c r="Q30" s="6">
        <f>'Alder'!Q30+'Beacon'!Q30+'Cobalt'!Q30+'Delta'!Q30+'Ember'!Q30+'Falcon'!Q30+'Granite'!Q30+'Hollis'!Q30+'SAFEREG'!Q30</f>
        <v>-10738.599999999999</v>
      </c>
      <c r="R30" s="6">
        <f>'Alder'!R30+'Beacon'!R30+'Cobalt'!R30+'Delta'!R30+'Ember'!R30+'Falcon'!R30+'Granite'!R30+'Hollis'!R30+'SAFEREG'!R30</f>
        <v>-10538.300000000001</v>
      </c>
      <c r="S30" s="6">
        <f>'Alder'!S30+'Beacon'!S30+'Cobalt'!S30+'Delta'!S30+'Ember'!S30+'Falcon'!S30+'Granite'!S30+'Hollis'!S30+'SAFEREG'!S30</f>
        <v>-11304.999999999998</v>
      </c>
      <c r="T30" s="6">
        <f>'Alder'!T30+'Beacon'!T30+'Cobalt'!T30+'Delta'!T30+'Ember'!T30+'Falcon'!T30+'Granite'!T30+'Hollis'!T30+'SAFEREG'!T30</f>
        <v>-12182.0</v>
      </c>
      <c r="U30" s="6">
        <f>'Alder'!U30+'Beacon'!U30+'Cobalt'!U30+'Delta'!U30+'Ember'!U30+'Falcon'!U30+'Granite'!U30+'Hollis'!U30+'SAFEREG'!U30</f>
        <v>-11125.4</v>
      </c>
      <c r="V30" s="6">
        <f>'Alder'!V30+'Beacon'!V30+'Cobalt'!V30+'Delta'!V30+'Ember'!V30+'Falcon'!V30+'Granite'!V30+'Hollis'!V30+'SAFEREG'!V30</f>
        <v>-11606.0</v>
      </c>
      <c r="W30" s="6">
        <f>'Alder'!W30+'Beacon'!W30+'Cobalt'!W30+'Delta'!W30+'Ember'!W30+'Falcon'!W30+'Granite'!W30+'Hollis'!W30+'SAFEREG'!W30</f>
        <v>-11507.0</v>
      </c>
      <c r="X30" s="6">
        <f>'Alder'!X30+'Beacon'!X30+'Cobalt'!X30+'Delta'!X30+'Ember'!X30+'Falcon'!X30+'Granite'!X30+'Hollis'!X30+'SAFEREG'!X30</f>
        <v>-11490.8</v>
      </c>
      <c r="Y30" s="6">
        <f>'Alder'!Y30+'Beacon'!Y30+'Cobalt'!Y30+'Delta'!Y30+'Ember'!Y30+'Falcon'!Y30+'Granite'!Y30+'Hollis'!Y30+'SAFEREG'!Y30</f>
        <v>-10996.1</v>
      </c>
      <c r="Z30" s="6">
        <f>'Alder'!Z30+'Beacon'!Z30+'Cobalt'!Z30+'Delta'!Z30+'Ember'!Z30+'Falcon'!Z30+'Granite'!Z30+'Hollis'!Z30+'SAFEREG'!Z30</f>
        <v>-11844.5</v>
      </c>
      <c r="AA30" s="6">
        <f>'Alder'!AA30+'Beacon'!AA30+'Cobalt'!AA30+'Delta'!AA30+'Ember'!AA30+'Falcon'!AA30+'Granite'!AA30+'Hollis'!AA30+'SAFEREG'!AA30</f>
        <v>-10742.3</v>
      </c>
      <c r="AB30" s="6">
        <f>'Alder'!AB30+'Beacon'!AB30+'Cobalt'!AB30+'Delta'!AB30+'Ember'!AB30+'Falcon'!AB30+'Granite'!AB30+'Hollis'!AB30+'SAFEREG'!AB30</f>
        <v>-11649.699999999999</v>
      </c>
      <c r="AC30" s="19">
        <f>SUM(Q30:AB30)</f>
        <v>-135725.7</v>
      </c>
      <c r="AE30" s="6">
        <f>Q30-C30</f>
        <v>0.0</v>
      </c>
      <c r="AF30" s="6">
        <f>R30-D30</f>
        <v>0.0</v>
      </c>
      <c r="AG30" s="6">
        <f>S30-E30</f>
        <v>0.0</v>
      </c>
      <c r="AH30" s="6">
        <f>T30-F30</f>
        <v>0.0</v>
      </c>
      <c r="AI30" s="6">
        <f>U30-G30</f>
        <v>0.0</v>
      </c>
      <c r="AJ30" s="6">
        <f>V30-H30</f>
        <v>0.0</v>
      </c>
      <c r="AK30" s="6">
        <f>W30-I30</f>
        <v>0.0</v>
      </c>
      <c r="AL30" s="6">
        <f>X30-J30</f>
        <v>0.0</v>
      </c>
      <c r="AM30" s="6">
        <f>Y30-K30</f>
        <v>9.0</v>
      </c>
      <c r="AN30" s="6">
        <f>Z30-L30</f>
        <v>9.0</v>
      </c>
      <c r="AO30" s="6">
        <f>AA30-M30</f>
        <v>9.0</v>
      </c>
      <c r="AP30" s="6">
        <f>AB30-N30</f>
        <v>9.0</v>
      </c>
      <c r="AQ30" s="19">
        <f>SUM(AE30:AP30)</f>
        <v>36.0</v>
      </c>
      <c r="AS30" s="6">
        <f>-'Safety-Adj'!C63-'Safety-Adj'!C89</f>
        <v>0.0</v>
      </c>
      <c r="AT30" s="6">
        <f>-'Safety-Adj'!D63-'Safety-Adj'!D89</f>
        <v>0.0</v>
      </c>
      <c r="AU30" s="6">
        <f>-'Safety-Adj'!E63-'Safety-Adj'!E89</f>
        <v>0.0</v>
      </c>
      <c r="AV30" s="6">
        <f>-'Safety-Adj'!F63-'Safety-Adj'!F89</f>
        <v>0.0</v>
      </c>
      <c r="AW30" s="6">
        <f>-'Safety-Adj'!G63-'Safety-Adj'!G89</f>
        <v>0.0</v>
      </c>
      <c r="AX30" s="6">
        <f>-'Safety-Adj'!H63-'Safety-Adj'!H89</f>
        <v>0.0</v>
      </c>
      <c r="AY30" s="6">
        <f>-'Safety-Adj'!I63-'Safety-Adj'!I89</f>
        <v>0.0</v>
      </c>
      <c r="AZ30" s="6">
        <f>-'Safety-Adj'!J63-'Safety-Adj'!J89</f>
        <v>0.0</v>
      </c>
      <c r="BA30" s="6">
        <f>-'Safety-Adj'!K63-'Safety-Adj'!K89</f>
        <v>142.0</v>
      </c>
      <c r="BB30" s="6">
        <f>-'Safety-Adj'!L63-'Safety-Adj'!L89</f>
        <v>157.0</v>
      </c>
      <c r="BC30" s="6">
        <f>-'Safety-Adj'!M63-'Safety-Adj'!M89</f>
        <v>212.0</v>
      </c>
      <c r="BD30" s="6">
        <f>-'Safety-Adj'!N63-'Safety-Adj'!N89</f>
        <v>227.0</v>
      </c>
      <c r="BE30" s="19">
        <f>SUM(AS30:BD30)</f>
        <v>738.0</v>
      </c>
      <c r="BG30" s="6">
        <f>C30+AE30+AS30</f>
        <v>-10738.599999999999</v>
      </c>
      <c r="BH30" s="6">
        <f>D30+AF30+AT30</f>
        <v>-10538.300000000001</v>
      </c>
      <c r="BI30" s="6">
        <f>E30+AG30+AU30</f>
        <v>-11304.999999999998</v>
      </c>
      <c r="BJ30" s="6">
        <f>F30+AH30+AV30</f>
        <v>-12182.0</v>
      </c>
      <c r="BK30" s="6">
        <f>G30+AI30+AW30</f>
        <v>-11125.4</v>
      </c>
      <c r="BL30" s="6">
        <f>H30+AJ30+AX30</f>
        <v>-11606.0</v>
      </c>
      <c r="BM30" s="6">
        <f>I30+AK30+AY30</f>
        <v>-11507.0</v>
      </c>
      <c r="BN30" s="6">
        <f>J30+AL30+AZ30</f>
        <v>-11490.8</v>
      </c>
      <c r="BO30" s="6">
        <f>K30+AM30+BA30</f>
        <v>-10854.1</v>
      </c>
      <c r="BP30" s="6">
        <f>L30+AN30+BB30</f>
        <v>-11687.5</v>
      </c>
      <c r="BQ30" s="6">
        <f>M30+AO30+BC30</f>
        <v>-10530.3</v>
      </c>
      <c r="BR30" s="6">
        <f>N30+AP30+BD30</f>
        <v>-11422.699999999999</v>
      </c>
      <c r="BS30" s="19">
        <f>SUM(BG30:BR30)</f>
        <v>-134987.7</v>
      </c>
      <c r="BU30" s="6">
        <f>SUM(BG30:BO30)-SUM(C30:K30)</f>
        <v>151.0</v>
      </c>
      <c r="BV30" s="6">
        <f>SUM(BG30:BO30)-SUM(C53:K53)</f>
        <v>-634.1000000000204</v>
      </c>
      <c r="BW30" s="6">
        <f>SUM(BG30:BO30)-SUM(C66:K66)</f>
        <v>-3569.0000000000146</v>
      </c>
      <c r="BY30" s="6">
        <f>SUM(BP30:BR30)-SUM(L30:N30)</f>
        <v>623.0</v>
      </c>
      <c r="BZ30" s="6">
        <f>SUM(BP30:BR30)-SUM(L53:N53)</f>
        <v>372.8000000000029</v>
      </c>
      <c r="CA30" s="6">
        <f>SUM(BP30:BR30)-SUM(L66:N66)</f>
        <v>-637.6999999999971</v>
      </c>
      <c r="CC30" s="6">
        <f>BS30-O30</f>
        <v>774.0</v>
      </c>
      <c r="CD30" s="6">
        <f>BS30-O53</f>
        <v>-261.30000000001746</v>
      </c>
      <c r="CE30" s="6">
        <f>BS30-O66</f>
        <v>-4206.700000000012</v>
      </c>
    </row>
    <row r="31">
      <c r="B31" s="2" t="inlineStr">
        <is>
          <t>PBITA</t>
        </is>
      </c>
      <c r="C31" s="6">
        <f>C29+C30</f>
        <v>4997.0</v>
      </c>
      <c r="D31" s="6">
        <f>D29+D30</f>
        <v>4906.499999999998</v>
      </c>
      <c r="E31" s="6">
        <f>E29+E30</f>
        <v>5231.900000000003</v>
      </c>
      <c r="F31" s="6">
        <f>F29+F30</f>
        <v>5757.600000000002</v>
      </c>
      <c r="G31" s="6">
        <f>G29+G30</f>
        <v>5220.200000000001</v>
      </c>
      <c r="H31" s="6">
        <f>H29+H30</f>
        <v>5179.800000000003</v>
      </c>
      <c r="I31" s="6">
        <f>I29+I30</f>
        <v>5170.0999999999985</v>
      </c>
      <c r="J31" s="6">
        <f>J29+J30</f>
        <v>4808.1</v>
      </c>
      <c r="K31" s="6">
        <f>K29+K30</f>
        <v>5171.700000000001</v>
      </c>
      <c r="L31" s="6">
        <f>L29+L30</f>
        <v>5329.699999999997</v>
      </c>
      <c r="M31" s="6">
        <f>M29+M30</f>
        <v>4834.800000000003</v>
      </c>
      <c r="N31" s="6">
        <f>N29+N30</f>
        <v>5349.6</v>
      </c>
      <c r="O31" s="19">
        <f>SUM(C31:N31)</f>
        <v>61957.00000000001</v>
      </c>
      <c r="Q31" s="6">
        <f>Q29+Q30</f>
        <v>4997.0</v>
      </c>
      <c r="R31" s="6">
        <f>R29+R30</f>
        <v>4906.499999999998</v>
      </c>
      <c r="S31" s="6">
        <f>S29+S30</f>
        <v>5231.900000000003</v>
      </c>
      <c r="T31" s="6">
        <f>T29+T30</f>
        <v>5757.600000000002</v>
      </c>
      <c r="U31" s="6">
        <f>U29+U30</f>
        <v>5220.200000000001</v>
      </c>
      <c r="V31" s="6">
        <f>V29+V30</f>
        <v>5179.800000000003</v>
      </c>
      <c r="W31" s="6">
        <f>W29+W30</f>
        <v>5170.0999999999985</v>
      </c>
      <c r="X31" s="6">
        <f>X29+X30</f>
        <v>4808.1</v>
      </c>
      <c r="Y31" s="6">
        <f>Y29+Y30</f>
        <v>5167.700000000001</v>
      </c>
      <c r="Z31" s="6">
        <f>Z29+Z30</f>
        <v>5325.699999999997</v>
      </c>
      <c r="AA31" s="6">
        <f>AA29+AA30</f>
        <v>4830.800000000003</v>
      </c>
      <c r="AB31" s="6">
        <f>AB29+AB30</f>
        <v>5345.6</v>
      </c>
      <c r="AC31" s="19">
        <f>SUM(Q31:AB31)</f>
        <v>61941.00000000001</v>
      </c>
      <c r="AE31" s="6">
        <f>AE29+AE30</f>
        <v>0.0</v>
      </c>
      <c r="AF31" s="6">
        <f>AF29+AF30</f>
        <v>0.0</v>
      </c>
      <c r="AG31" s="6">
        <f>AG29+AG30</f>
        <v>0.0</v>
      </c>
      <c r="AH31" s="6">
        <f>AH29+AH30</f>
        <v>0.0</v>
      </c>
      <c r="AI31" s="6">
        <f>AI29+AI30</f>
        <v>0.0</v>
      </c>
      <c r="AJ31" s="6">
        <f>AJ29+AJ30</f>
        <v>0.0</v>
      </c>
      <c r="AK31" s="6">
        <f>AK29+AK30</f>
        <v>0.0</v>
      </c>
      <c r="AL31" s="6">
        <f>AL29+AL30</f>
        <v>0.0</v>
      </c>
      <c r="AM31" s="6">
        <f>AM29+AM30</f>
        <v>-4.0</v>
      </c>
      <c r="AN31" s="6">
        <f>AN29+AN30</f>
        <v>-4.0</v>
      </c>
      <c r="AO31" s="6">
        <f>AO29+AO30</f>
        <v>-4.0</v>
      </c>
      <c r="AP31" s="6">
        <f>AP29+AP30</f>
        <v>-4.0</v>
      </c>
      <c r="AQ31" s="19">
        <f>SUM(AE31:AP31)</f>
        <v>-16.0</v>
      </c>
      <c r="AS31" s="6">
        <f>AS29+AS30</f>
        <v>0.0</v>
      </c>
      <c r="AT31" s="6">
        <f>AT29+AT30</f>
        <v>0.0</v>
      </c>
      <c r="AU31" s="6">
        <f>AU29+AU30</f>
        <v>0.0</v>
      </c>
      <c r="AV31" s="6">
        <f>AV29+AV30</f>
        <v>0.0</v>
      </c>
      <c r="AW31" s="6">
        <f>AW29+AW30</f>
        <v>0.0</v>
      </c>
      <c r="AX31" s="6">
        <f>AX29+AX30</f>
        <v>0.0</v>
      </c>
      <c r="AY31" s="6">
        <f>AY29+AY30</f>
        <v>0.0</v>
      </c>
      <c r="AZ31" s="6">
        <f>AZ29+AZ30</f>
        <v>0.0</v>
      </c>
      <c r="BA31" s="6">
        <f>BA29+BA30</f>
        <v>69.07999999999998</v>
      </c>
      <c r="BB31" s="6">
        <f>BB29+BB30</f>
        <v>-102.92000000000002</v>
      </c>
      <c r="BC31" s="6">
        <f>BC29+BC30</f>
        <v>171.07999999999998</v>
      </c>
      <c r="BD31" s="6">
        <f>BD29+BD30</f>
        <v>466.08</v>
      </c>
      <c r="BE31" s="19">
        <f>SUM(AS31:BD31)</f>
        <v>603.3199999999999</v>
      </c>
      <c r="BG31" s="6">
        <f>BG29+BG30</f>
        <v>4997.0</v>
      </c>
      <c r="BH31" s="6">
        <f>BH29+BH30</f>
        <v>4906.499999999998</v>
      </c>
      <c r="BI31" s="6">
        <f>BI29+BI30</f>
        <v>5231.900000000003</v>
      </c>
      <c r="BJ31" s="6">
        <f>BJ29+BJ30</f>
        <v>5757.600000000002</v>
      </c>
      <c r="BK31" s="6">
        <f>BK29+BK30</f>
        <v>5220.200000000001</v>
      </c>
      <c r="BL31" s="6">
        <f>BL29+BL30</f>
        <v>5179.800000000003</v>
      </c>
      <c r="BM31" s="6">
        <f>BM29+BM30</f>
        <v>5170.0999999999985</v>
      </c>
      <c r="BN31" s="6">
        <f>BN29+BN30</f>
        <v>4808.1</v>
      </c>
      <c r="BO31" s="6">
        <f>BO29+BO30</f>
        <v>5236.780000000001</v>
      </c>
      <c r="BP31" s="6">
        <f>BP29+BP30</f>
        <v>5222.779999999999</v>
      </c>
      <c r="BQ31" s="6">
        <f>BQ29+BQ30</f>
        <v>5001.880000000003</v>
      </c>
      <c r="BR31" s="6">
        <f>BR29+BR30</f>
        <v>5811.680000000002</v>
      </c>
      <c r="BS31" s="19">
        <f>SUM(BG31:BR31)</f>
        <v>62544.32000000001</v>
      </c>
      <c r="BU31" s="6">
        <f>SUM(BG31:BO31)-SUM(C31:K31)</f>
        <v>65.07999999999447</v>
      </c>
      <c r="BV31" s="6">
        <f>SUM(BG31:BO31)-SUM(C54:K54)</f>
        <v>1645.780000000006</v>
      </c>
      <c r="BW31" s="6">
        <f>SUM(BG31:BO31)-SUM(C67:K67)</f>
        <v>5348.680000000015</v>
      </c>
      <c r="BY31" s="6">
        <f>SUM(BP31:BR31)-SUM(L31:N31)</f>
        <v>522.2400000000034</v>
      </c>
      <c r="BZ31" s="6">
        <f>SUM(BP31:BR31)-SUM(L54:N54)</f>
        <v>875.440000000006</v>
      </c>
      <c r="CA31" s="6">
        <f>SUM(BP31:BR31)-SUM(L67:N67)</f>
        <v>1996.4400000000041</v>
      </c>
      <c r="CC31" s="6">
        <f>BS31-O31</f>
        <v>587.3199999999997</v>
      </c>
      <c r="CD31" s="6">
        <f>BS31-O54</f>
        <v>2521.2200000000157</v>
      </c>
      <c r="CE31" s="6">
        <f>BS31-O67</f>
        <v>7345.12000000001</v>
      </c>
    </row>
    <row r="35">
      <c r="B35" s="5" t="inlineStr">
        <is>
          <t>GM %</t>
        </is>
      </c>
      <c r="C35" s="12">
        <f>IFERROR(C29/C28,0)</f>
        <v>0.31612380893068437</v>
      </c>
      <c r="D35" s="12">
        <f>IFERROR(D29/D28,0)</f>
        <v>0.31498529573719136</v>
      </c>
      <c r="E35" s="12">
        <f>IFERROR(E29/E28,0)</f>
        <v>0.31445908223106245</v>
      </c>
      <c r="F35" s="12">
        <f>IFERROR(F29/F28,0)</f>
        <v>0.315383276578314</v>
      </c>
      <c r="G35" s="12">
        <f>IFERROR(G29/G28,0)</f>
        <v>0.315348182160186</v>
      </c>
      <c r="H35" s="12">
        <f>IFERROR(H29/H28,0)</f>
        <v>0.31013541102761993</v>
      </c>
      <c r="I35" s="12">
        <f>IFERROR(I29/I28,0)</f>
        <v>0.30982950840382184</v>
      </c>
      <c r="J35" s="12">
        <f>IFERROR(J29/J28,0)</f>
        <v>0.3093868222690025</v>
      </c>
      <c r="K35" s="12">
        <f>IFERROR(K29/K28,0)</f>
        <v>0.3099276947777007</v>
      </c>
      <c r="L35" s="12">
        <f>IFERROR(L29/L28,0)</f>
        <v>0.30957764393670506</v>
      </c>
      <c r="M35" s="12">
        <f>IFERROR(M29/M28,0)</f>
        <v>0.30967197154834997</v>
      </c>
      <c r="N35" s="12">
        <f>IFERROR(N29/N28,0)</f>
        <v>0.30930255395604955</v>
      </c>
      <c r="O35" s="12">
        <f>IFERROR(O29/O28,0)</f>
        <v>0.31197385032257124</v>
      </c>
      <c r="Q35" s="12">
        <f>IFERROR(Q29/Q28,0)</f>
        <v>0.31612380893068437</v>
      </c>
      <c r="R35" s="12">
        <f>IFERROR(R29/R28,0)</f>
        <v>0.31498529573719136</v>
      </c>
      <c r="S35" s="12">
        <f>IFERROR(S29/S28,0)</f>
        <v>0.31445908223106245</v>
      </c>
      <c r="T35" s="12">
        <f>IFERROR(T29/T28,0)</f>
        <v>0.315383276578314</v>
      </c>
      <c r="U35" s="12">
        <f>IFERROR(U29/U28,0)</f>
        <v>0.315348182160186</v>
      </c>
      <c r="V35" s="12">
        <f>IFERROR(V29/V28,0)</f>
        <v>0.31013541102761993</v>
      </c>
      <c r="W35" s="12">
        <f>IFERROR(W29/W28,0)</f>
        <v>0.30982950840382184</v>
      </c>
      <c r="X35" s="12">
        <f>IFERROR(X29/X28,0)</f>
        <v>0.3093868222690025</v>
      </c>
      <c r="Y35" s="12">
        <f>IFERROR(Y29/Y28,0)</f>
        <v>0.3099458489292508</v>
      </c>
      <c r="Z35" s="12">
        <f>IFERROR(Z29/Z28,0)</f>
        <v>0.30959443061072506</v>
      </c>
      <c r="AA35" s="12">
        <f>IFERROR(AA29/AA28,0)</f>
        <v>0.3096905699399436</v>
      </c>
      <c r="AB35" s="12">
        <f>IFERROR(AB29/AB28,0)</f>
        <v>0.30931927300788803</v>
      </c>
      <c r="AC35" s="12">
        <f>IFERROR(AC29/AC28,0)</f>
        <v>0.31198040868584875</v>
      </c>
      <c r="AE35" s="12">
        <f>IFERROR(AE29/AE28,0)</f>
        <v>0.0</v>
      </c>
      <c r="AF35" s="12">
        <f>IFERROR(AF29/AF28,0)</f>
        <v>0.0</v>
      </c>
      <c r="AG35" s="12">
        <f>IFERROR(AG29/AG28,0)</f>
        <v>0.0</v>
      </c>
      <c r="AH35" s="12">
        <f>IFERROR(AH29/AH28,0)</f>
        <v>0.0</v>
      </c>
      <c r="AI35" s="12">
        <f>IFERROR(AI29/AI28,0)</f>
        <v>0.0</v>
      </c>
      <c r="AJ35" s="12">
        <f>IFERROR(AJ29/AJ28,0)</f>
        <v>0.0</v>
      </c>
      <c r="AK35" s="12">
        <f>IFERROR(AK29/AK28,0)</f>
        <v>0.0</v>
      </c>
      <c r="AL35" s="12">
        <f>IFERROR(AL29/AL28,0)</f>
        <v>0.0</v>
      </c>
      <c r="AM35" s="12">
        <f>IFERROR(AM29/AM28,0)</f>
        <v>0.28888888888888886</v>
      </c>
      <c r="AN35" s="12">
        <f>IFERROR(AN29/AN28,0)</f>
        <v>0.28888888888888886</v>
      </c>
      <c r="AO35" s="12">
        <f>IFERROR(AO29/AO28,0)</f>
        <v>0.28888888888888886</v>
      </c>
      <c r="AP35" s="12">
        <f>IFERROR(AP29/AP28,0)</f>
        <v>0.28888888888888886</v>
      </c>
      <c r="AQ35" s="12">
        <f>IFERROR(AQ29/AQ28,0)</f>
        <v>0.28888888888888886</v>
      </c>
      <c r="AS35" s="12">
        <f>IFERROR(AS29/AS28,0)</f>
        <v>0.0</v>
      </c>
      <c r="AT35" s="12">
        <f>IFERROR(AT29/AT28,0)</f>
        <v>0.0</v>
      </c>
      <c r="AU35" s="12">
        <f>IFERROR(AU29/AU28,0)</f>
        <v>0.0</v>
      </c>
      <c r="AV35" s="12">
        <f>IFERROR(AV29/AV28,0)</f>
        <v>0.0</v>
      </c>
      <c r="AW35" s="12">
        <f>IFERROR(AW29/AW28,0)</f>
        <v>0.0</v>
      </c>
      <c r="AX35" s="12">
        <f>IFERROR(AX29/AX28,0)</f>
        <v>0.0</v>
      </c>
      <c r="AY35" s="12">
        <f>IFERROR(AY29/AY28,0)</f>
        <v>0.0</v>
      </c>
      <c r="AZ35" s="12">
        <f>IFERROR(AZ29/AZ28,0)</f>
        <v>0.0</v>
      </c>
      <c r="BA35" s="12">
        <f>IFERROR(BA29/BA28,0)</f>
        <v>-0.048939597315436255</v>
      </c>
      <c r="BB35" s="12">
        <f>IFERROR(BB29/BB28,0)</f>
        <v>0.24992307692307694</v>
      </c>
      <c r="BC35" s="12">
        <f>IFERROR(BC29/BC28,0)</f>
        <v>0.186</v>
      </c>
      <c r="BD35" s="12">
        <f>IFERROR(BD29/BD28,0)</f>
        <v>0.7031764705882353</v>
      </c>
      <c r="BE35" s="12">
        <f>IFERROR(BE29/BE28,0)</f>
        <v>-0.23628070175438606</v>
      </c>
      <c r="BG35" s="12">
        <f>IFERROR(BG29/BG28,0)</f>
        <v>0.31612380893068437</v>
      </c>
      <c r="BH35" s="12">
        <f>IFERROR(BH29/BH28,0)</f>
        <v>0.31498529573719136</v>
      </c>
      <c r="BI35" s="12">
        <f>IFERROR(BI29/BI28,0)</f>
        <v>0.31445908223106245</v>
      </c>
      <c r="BJ35" s="12">
        <f>IFERROR(BJ29/BJ28,0)</f>
        <v>0.315383276578314</v>
      </c>
      <c r="BK35" s="12">
        <f>IFERROR(BK29/BK28,0)</f>
        <v>0.315348182160186</v>
      </c>
      <c r="BL35" s="12">
        <f>IFERROR(BL29/BL28,0)</f>
        <v>0.31013541102761993</v>
      </c>
      <c r="BM35" s="12">
        <f>IFERROR(BM29/BM28,0)</f>
        <v>0.30982950840382184</v>
      </c>
      <c r="BN35" s="12">
        <f>IFERROR(BN29/BN28,0)</f>
        <v>0.3093868222690025</v>
      </c>
      <c r="BO35" s="12">
        <f>IFERROR(BO29/BO28,0)</f>
        <v>0.29997688309557724</v>
      </c>
      <c r="BP35" s="12">
        <f>IFERROR(BP29/BP28,0)</f>
        <v>0.310734780954901</v>
      </c>
      <c r="BQ35" s="12">
        <f>IFERROR(BQ29/BQ28,0)</f>
        <v>0.3102340909998802</v>
      </c>
      <c r="BR35" s="12">
        <f>IFERROR(BR29/BR28,0)</f>
        <v>0.31174151023258007</v>
      </c>
      <c r="BS35" s="12">
        <f>IFERROR(BS29/BS28,0)</f>
        <v>0.3114876145004494</v>
      </c>
    </row>
    <row r="36">
      <c r="B36" s="5" t="inlineStr">
        <is>
          <t>Op Cost %</t>
        </is>
      </c>
      <c r="C36" s="12">
        <f>IFERROR(C30/C28,0)</f>
        <v>-0.21573547462969617</v>
      </c>
      <c r="D36" s="12">
        <f>IFERROR(D30/D28,0)</f>
        <v>-0.21492084986968069</v>
      </c>
      <c r="E36" s="12">
        <f>IFERROR(E30/E28,0)</f>
        <v>-0.21497136250579973</v>
      </c>
      <c r="F36" s="12">
        <f>IFERROR(F30/F28,0)</f>
        <v>-0.21416302901274392</v>
      </c>
      <c r="G36" s="12">
        <f>IFERROR(G30/G28,0)</f>
        <v>-0.21463725197025088</v>
      </c>
      <c r="H36" s="12">
        <f>IFERROR(H30/H28,0)</f>
        <v>-0.214433126832594</v>
      </c>
      <c r="I36" s="12">
        <f>IFERROR(I30/I28,0)</f>
        <v>-0.21377866374866003</v>
      </c>
      <c r="J36" s="12">
        <f>IFERROR(J30/J28,0)</f>
        <v>-0.21811914284575362</v>
      </c>
      <c r="K36" s="12">
        <f>IFERROR(K30/K28,0)</f>
        <v>-0.21084425064277695</v>
      </c>
      <c r="L36" s="12">
        <f>IFERROR(L30/L28,0)</f>
        <v>-0.2135561829230722</v>
      </c>
      <c r="M36" s="12">
        <f>IFERROR(M30/M28,0)</f>
        <v>-0.2136118892928811</v>
      </c>
      <c r="N36" s="12">
        <f>IFERROR(N30/N28,0)</f>
        <v>-0.21201799626108397</v>
      </c>
      <c r="O36" s="12">
        <f>IFERROR(O30/O28,0)</f>
        <v>-0.21421393259887825</v>
      </c>
      <c r="Q36" s="12">
        <f>IFERROR(Q30/Q28,0)</f>
        <v>-0.21573547462969617</v>
      </c>
      <c r="R36" s="12">
        <f>IFERROR(R30/R28,0)</f>
        <v>-0.21492084986968069</v>
      </c>
      <c r="S36" s="12">
        <f>IFERROR(S30/S28,0)</f>
        <v>-0.21497136250579973</v>
      </c>
      <c r="T36" s="12">
        <f>IFERROR(T30/T28,0)</f>
        <v>-0.21416302901274392</v>
      </c>
      <c r="U36" s="12">
        <f>IFERROR(U30/U28,0)</f>
        <v>-0.21463725197025088</v>
      </c>
      <c r="V36" s="12">
        <f>IFERROR(V30/V28,0)</f>
        <v>-0.214433126832594</v>
      </c>
      <c r="W36" s="12">
        <f>IFERROR(W30/W28,0)</f>
        <v>-0.21377866374866003</v>
      </c>
      <c r="X36" s="12">
        <f>IFERROR(X30/X28,0)</f>
        <v>-0.21811914284575362</v>
      </c>
      <c r="Y36" s="12">
        <f>IFERROR(Y30/Y28,0)</f>
        <v>-0.21085360802601705</v>
      </c>
      <c r="Z36" s="12">
        <f>IFERROR(Z30/Z28,0)</f>
        <v>-0.21356718229075572</v>
      </c>
      <c r="AA36" s="12">
        <f>IFERROR(AA30/AA28,0)</f>
        <v>-0.21362407031778227</v>
      </c>
      <c r="AB36" s="12">
        <f>IFERROR(AB30/AB28,0)</f>
        <v>-0.21202783915317722</v>
      </c>
      <c r="AC36" s="12">
        <f>IFERROR(AC30/AC28,0)</f>
        <v>-0.21421797073140245</v>
      </c>
      <c r="AE36" s="12">
        <f>IFERROR(AE30/AE28,0)</f>
        <v>0.0</v>
      </c>
      <c r="AF36" s="12">
        <f>IFERROR(AF30/AF28,0)</f>
        <v>0.0</v>
      </c>
      <c r="AG36" s="12">
        <f>IFERROR(AG30/AG28,0)</f>
        <v>0.0</v>
      </c>
      <c r="AH36" s="12">
        <f>IFERROR(AH30/AH28,0)</f>
        <v>0.0</v>
      </c>
      <c r="AI36" s="12">
        <f>IFERROR(AI30/AI28,0)</f>
        <v>0.0</v>
      </c>
      <c r="AJ36" s="12">
        <f>IFERROR(AJ30/AJ28,0)</f>
        <v>0.0</v>
      </c>
      <c r="AK36" s="12">
        <f>IFERROR(AK30/AK28,0)</f>
        <v>0.0</v>
      </c>
      <c r="AL36" s="12">
        <f>IFERROR(AL30/AL28,0)</f>
        <v>0.0</v>
      </c>
      <c r="AM36" s="12">
        <f>IFERROR(AM30/AM28,0)</f>
        <v>-0.2</v>
      </c>
      <c r="AN36" s="12">
        <f>IFERROR(AN30/AN28,0)</f>
        <v>-0.2</v>
      </c>
      <c r="AO36" s="12">
        <f>IFERROR(AO30/AO28,0)</f>
        <v>-0.2</v>
      </c>
      <c r="AP36" s="12">
        <f>IFERROR(AP30/AP28,0)</f>
        <v>-0.2</v>
      </c>
      <c r="AQ36" s="12">
        <f>IFERROR(AQ30/AQ28,0)</f>
        <v>-0.2</v>
      </c>
      <c r="AS36" s="12">
        <f>IFERROR(AS30/AS28,0)</f>
        <v>0.0</v>
      </c>
      <c r="AT36" s="12">
        <f>IFERROR(AT30/AT28,0)</f>
        <v>0.0</v>
      </c>
      <c r="AU36" s="12">
        <f>IFERROR(AU30/AU28,0)</f>
        <v>0.0</v>
      </c>
      <c r="AV36" s="12">
        <f>IFERROR(AV30/AV28,0)</f>
        <v>0.0</v>
      </c>
      <c r="AW36" s="12">
        <f>IFERROR(AW30/AW28,0)</f>
        <v>0.0</v>
      </c>
      <c r="AX36" s="12">
        <f>IFERROR(AX30/AX28,0)</f>
        <v>0.0</v>
      </c>
      <c r="AY36" s="12">
        <f>IFERROR(AY30/AY28,0)</f>
        <v>0.0</v>
      </c>
      <c r="AZ36" s="12">
        <f>IFERROR(AZ30/AZ28,0)</f>
        <v>0.0</v>
      </c>
      <c r="BA36" s="12">
        <f>IFERROR(BA30/BA28,0)</f>
        <v>0.0953020134228188</v>
      </c>
      <c r="BB36" s="12">
        <f>IFERROR(BB30/BB28,0)</f>
        <v>-0.15096153846153845</v>
      </c>
      <c r="BC36" s="12">
        <f>IFERROR(BC30/BC28,0)</f>
        <v>-0.9636363636363636</v>
      </c>
      <c r="BD36" s="12">
        <f>IFERROR(BD30/BD28,0)</f>
        <v>0.6676470588235294</v>
      </c>
      <c r="BE36" s="12">
        <f>IFERROR(BE30/BE28,0)</f>
        <v>1.2947368421052632</v>
      </c>
      <c r="BG36" s="12">
        <f>IFERROR(BG30/BG28,0)</f>
        <v>-0.21573547462969617</v>
      </c>
      <c r="BH36" s="12">
        <f>IFERROR(BH30/BH28,0)</f>
        <v>-0.21492084986968069</v>
      </c>
      <c r="BI36" s="12">
        <f>IFERROR(BI30/BI28,0)</f>
        <v>-0.21497136250579973</v>
      </c>
      <c r="BJ36" s="12">
        <f>IFERROR(BJ30/BJ28,0)</f>
        <v>-0.21416302901274392</v>
      </c>
      <c r="BK36" s="12">
        <f>IFERROR(BK30/BK28,0)</f>
        <v>-0.21463725197025088</v>
      </c>
      <c r="BL36" s="12">
        <f>IFERROR(BL30/BL28,0)</f>
        <v>-0.214433126832594</v>
      </c>
      <c r="BM36" s="12">
        <f>IFERROR(BM30/BM28,0)</f>
        <v>-0.21377866374866003</v>
      </c>
      <c r="BN36" s="12">
        <f>IFERROR(BN30/BN28,0)</f>
        <v>-0.21811914284575362</v>
      </c>
      <c r="BO36" s="12">
        <f>IFERROR(BO30/BO28,0)</f>
        <v>-0.2023493486252899</v>
      </c>
      <c r="BP36" s="12">
        <f>IFERROR(BP30/BP28,0)</f>
        <v>-0.21476360843288256</v>
      </c>
      <c r="BQ36" s="12">
        <f>IFERROR(BQ30/BQ28,0)</f>
        <v>-0.21032836655614587</v>
      </c>
      <c r="BR36" s="12">
        <f>IFERROR(BR30/BR28,0)</f>
        <v>-0.20661780400186672</v>
      </c>
      <c r="BS36" s="12">
        <f>IFERROR(BS30/BS28,0)</f>
        <v>-0.2128616750838791</v>
      </c>
    </row>
    <row r="37">
      <c r="B37" s="5" t="inlineStr">
        <is>
          <t>PBITA %</t>
        </is>
      </c>
      <c r="C37" s="12">
        <f>IFERROR(C31/C28,0)</f>
        <v>0.1003883343009882</v>
      </c>
      <c r="D37" s="12">
        <f>IFERROR(D31/D28,0)</f>
        <v>0.10006444586751068</v>
      </c>
      <c r="E37" s="12">
        <f>IFERROR(E31/E28,0)</f>
        <v>0.09948771972526269</v>
      </c>
      <c r="F37" s="12">
        <f>IFERROR(F31/F28,0)</f>
        <v>0.10122024756557009</v>
      </c>
      <c r="G37" s="12">
        <f>IFERROR(G31/G28,0)</f>
        <v>0.1007109301899351</v>
      </c>
      <c r="H37" s="12">
        <f>IFERROR(H31/H28,0)</f>
        <v>0.09570228419502594</v>
      </c>
      <c r="I37" s="12">
        <f>IFERROR(I31/I28,0)</f>
        <v>0.09605084465516181</v>
      </c>
      <c r="J37" s="12">
        <f>IFERROR(J31/J28,0)</f>
        <v>0.09126767942324887</v>
      </c>
      <c r="K37" s="12">
        <f>IFERROR(K31/K28,0)</f>
        <v>0.09908344413492377</v>
      </c>
      <c r="L37" s="12">
        <f>IFERROR(L31/L28,0)</f>
        <v>0.09602146101363288</v>
      </c>
      <c r="M37" s="12">
        <f>IFERROR(M31/M28,0)</f>
        <v>0.09606008225546886</v>
      </c>
      <c r="N37" s="12">
        <f>IFERROR(N31/N28,0)</f>
        <v>0.09728455769496556</v>
      </c>
      <c r="O37" s="12">
        <f>IFERROR(O31/O28,0)</f>
        <v>0.09775991772369305</v>
      </c>
      <c r="Q37" s="12">
        <f>IFERROR(Q31/Q28,0)</f>
        <v>0.1003883343009882</v>
      </c>
      <c r="R37" s="12">
        <f>IFERROR(R31/R28,0)</f>
        <v>0.10006444586751068</v>
      </c>
      <c r="S37" s="12">
        <f>IFERROR(S31/S28,0)</f>
        <v>0.09948771972526269</v>
      </c>
      <c r="T37" s="12">
        <f>IFERROR(T31/T28,0)</f>
        <v>0.10122024756557009</v>
      </c>
      <c r="U37" s="12">
        <f>IFERROR(U31/U28,0)</f>
        <v>0.1007109301899351</v>
      </c>
      <c r="V37" s="12">
        <f>IFERROR(V31/V28,0)</f>
        <v>0.09570228419502594</v>
      </c>
      <c r="W37" s="12">
        <f>IFERROR(W31/W28,0)</f>
        <v>0.09605084465516181</v>
      </c>
      <c r="X37" s="12">
        <f>IFERROR(X31/X28,0)</f>
        <v>0.09126767942324887</v>
      </c>
      <c r="Y37" s="12">
        <f>IFERROR(Y31/Y28,0)</f>
        <v>0.09909224090323374</v>
      </c>
      <c r="Z37" s="12">
        <f>IFERROR(Z31/Z28,0)</f>
        <v>0.09602724831996937</v>
      </c>
      <c r="AA37" s="12">
        <f>IFERROR(AA31/AA28,0)</f>
        <v>0.0960664996221613</v>
      </c>
      <c r="AB37" s="12">
        <f>IFERROR(AB31/AB28,0)</f>
        <v>0.09729143385471078</v>
      </c>
      <c r="AC37" s="12">
        <f>IFERROR(AC31/AC28,0)</f>
        <v>0.09776243795444635</v>
      </c>
      <c r="AE37" s="12">
        <f>IFERROR(AE31/AE28,0)</f>
        <v>0.0</v>
      </c>
      <c r="AF37" s="12">
        <f>IFERROR(AF31/AF28,0)</f>
        <v>0.0</v>
      </c>
      <c r="AG37" s="12">
        <f>IFERROR(AG31/AG28,0)</f>
        <v>0.0</v>
      </c>
      <c r="AH37" s="12">
        <f>IFERROR(AH31/AH28,0)</f>
        <v>0.0</v>
      </c>
      <c r="AI37" s="12">
        <f>IFERROR(AI31/AI28,0)</f>
        <v>0.0</v>
      </c>
      <c r="AJ37" s="12">
        <f>IFERROR(AJ31/AJ28,0)</f>
        <v>0.0</v>
      </c>
      <c r="AK37" s="12">
        <f>IFERROR(AK31/AK28,0)</f>
        <v>0.0</v>
      </c>
      <c r="AL37" s="12">
        <f>IFERROR(AL31/AL28,0)</f>
        <v>0.0</v>
      </c>
      <c r="AM37" s="12">
        <f>IFERROR(AM31/AM28,0)</f>
        <v>0.08888888888888889</v>
      </c>
      <c r="AN37" s="12">
        <f>IFERROR(AN31/AN28,0)</f>
        <v>0.08888888888888889</v>
      </c>
      <c r="AO37" s="12">
        <f>IFERROR(AO31/AO28,0)</f>
        <v>0.08888888888888889</v>
      </c>
      <c r="AP37" s="12">
        <f>IFERROR(AP31/AP28,0)</f>
        <v>0.08888888888888889</v>
      </c>
      <c r="AQ37" s="12">
        <f>IFERROR(AQ31/AQ28,0)</f>
        <v>0.08888888888888889</v>
      </c>
      <c r="AS37" s="12">
        <f>IFERROR(AS31/AS28,0)</f>
        <v>0.0</v>
      </c>
      <c r="AT37" s="12">
        <f>IFERROR(AT31/AT28,0)</f>
        <v>0.0</v>
      </c>
      <c r="AU37" s="12">
        <f>IFERROR(AU31/AU28,0)</f>
        <v>0.0</v>
      </c>
      <c r="AV37" s="12">
        <f>IFERROR(AV31/AV28,0)</f>
        <v>0.0</v>
      </c>
      <c r="AW37" s="12">
        <f>IFERROR(AW31/AW28,0)</f>
        <v>0.0</v>
      </c>
      <c r="AX37" s="12">
        <f>IFERROR(AX31/AX28,0)</f>
        <v>0.0</v>
      </c>
      <c r="AY37" s="12">
        <f>IFERROR(AY31/AY28,0)</f>
        <v>0.0</v>
      </c>
      <c r="AZ37" s="12">
        <f>IFERROR(AZ31/AZ28,0)</f>
        <v>0.0</v>
      </c>
      <c r="BA37" s="12">
        <f>IFERROR(BA31/BA28,0)</f>
        <v>0.04636241610738254</v>
      </c>
      <c r="BB37" s="12">
        <f>IFERROR(BB31/BB28,0)</f>
        <v>0.09896153846153848</v>
      </c>
      <c r="BC37" s="12">
        <f>IFERROR(BC31/BC28,0)</f>
        <v>-0.7776363636363636</v>
      </c>
      <c r="BD37" s="12">
        <f>IFERROR(BD31/BD28,0)</f>
        <v>1.3708235294117646</v>
      </c>
      <c r="BE37" s="12">
        <f>IFERROR(BE31/BE28,0)</f>
        <v>1.058456140350877</v>
      </c>
      <c r="BG37" s="12">
        <f>IFERROR(BG31/BG28,0)</f>
        <v>0.1003883343009882</v>
      </c>
      <c r="BH37" s="12">
        <f>IFERROR(BH31/BH28,0)</f>
        <v>0.10006444586751068</v>
      </c>
      <c r="BI37" s="12">
        <f>IFERROR(BI31/BI28,0)</f>
        <v>0.09948771972526269</v>
      </c>
      <c r="BJ37" s="12">
        <f>IFERROR(BJ31/BJ28,0)</f>
        <v>0.10122024756557009</v>
      </c>
      <c r="BK37" s="12">
        <f>IFERROR(BK31/BK28,0)</f>
        <v>0.1007109301899351</v>
      </c>
      <c r="BL37" s="12">
        <f>IFERROR(BL31/BL28,0)</f>
        <v>0.09570228419502594</v>
      </c>
      <c r="BM37" s="12">
        <f>IFERROR(BM31/BM28,0)</f>
        <v>0.09605084465516181</v>
      </c>
      <c r="BN37" s="12">
        <f>IFERROR(BN31/BN28,0)</f>
        <v>0.09126767942324887</v>
      </c>
      <c r="BO37" s="12">
        <f>IFERROR(BO31/BO28,0)</f>
        <v>0.09762753447028732</v>
      </c>
      <c r="BP37" s="12">
        <f>IFERROR(BP31/BP28,0)</f>
        <v>0.09597117252201841</v>
      </c>
      <c r="BQ37" s="12">
        <f>IFERROR(BQ31/BQ28,0)</f>
        <v>0.09990572444373433</v>
      </c>
      <c r="BR37" s="12">
        <f>IFERROR(BR31/BR28,0)</f>
        <v>0.10512370623071333</v>
      </c>
      <c r="BS37" s="12">
        <f>IFERROR(BS31/BS28,0)</f>
        <v>0.09862593941657026</v>
      </c>
    </row>
    <row r="38">
      <c r="B38" s="5" t="inlineStr">
        <is>
          <t>Sales/Day</t>
        </is>
      </c>
      <c r="C38" s="6">
        <f>IFERROR(C28/21,0)</f>
        <v>2370.319047619048</v>
      </c>
      <c r="D38" s="6">
        <f>IFERROR(D28/20,0)</f>
        <v>2451.67</v>
      </c>
      <c r="E38" s="6">
        <f>IFERROR(E28/22,0)</f>
        <v>2390.381818181818</v>
      </c>
      <c r="F38" s="6">
        <f>IFERROR(F28/22,0)</f>
        <v>2585.5409090909093</v>
      </c>
      <c r="G38" s="6">
        <f>IFERROR(G28/20,0)</f>
        <v>2591.675</v>
      </c>
      <c r="H38" s="6">
        <f>IFERROR(H28/22,0)</f>
        <v>2460.1863636363637</v>
      </c>
      <c r="I38" s="6">
        <f>IFERROR(I28/22,0)</f>
        <v>2446.668181818182</v>
      </c>
      <c r="J38" s="6">
        <f>IFERROR(J28/21,0)</f>
        <v>2508.633333333333</v>
      </c>
      <c r="K38" s="6">
        <f>IFERROR(K28/21,0)</f>
        <v>2485.495238095238</v>
      </c>
      <c r="L38" s="6">
        <f>IFERROR(L28/22,0)</f>
        <v>2522.968181818182</v>
      </c>
      <c r="M38" s="6">
        <f>IFERROR(M28/19,0)</f>
        <v>2649.0</v>
      </c>
      <c r="N38" s="6">
        <f>IFERROR(N28/22,0)</f>
        <v>2499.509090909091</v>
      </c>
      <c r="O38" s="6">
        <f>IFERROR(O28/254,0)</f>
        <v>2495.145275590551</v>
      </c>
      <c r="Q38" s="6">
        <f>IFERROR(Q28/21,0)</f>
        <v>2370.319047619048</v>
      </c>
      <c r="R38" s="6">
        <f>IFERROR(R28/20,0)</f>
        <v>2451.67</v>
      </c>
      <c r="S38" s="6">
        <f>IFERROR(S28/22,0)</f>
        <v>2390.381818181818</v>
      </c>
      <c r="T38" s="6">
        <f>IFERROR(T28/22,0)</f>
        <v>2585.5409090909093</v>
      </c>
      <c r="U38" s="6">
        <f>IFERROR(U28/20,0)</f>
        <v>2591.675</v>
      </c>
      <c r="V38" s="6">
        <f>IFERROR(V28/22,0)</f>
        <v>2460.1863636363637</v>
      </c>
      <c r="W38" s="6">
        <f>IFERROR(W28/22,0)</f>
        <v>2446.668181818182</v>
      </c>
      <c r="X38" s="6">
        <f>IFERROR(X28/21,0)</f>
        <v>2508.633333333333</v>
      </c>
      <c r="Y38" s="6">
        <f>IFERROR(Y28/21,0)</f>
        <v>2483.352380952381</v>
      </c>
      <c r="Z38" s="6">
        <f>IFERROR(Z28/22,0)</f>
        <v>2520.9227272727276</v>
      </c>
      <c r="AA38" s="6">
        <f>IFERROR(AA28/19,0)</f>
        <v>2646.6315789473683</v>
      </c>
      <c r="AB38" s="6">
        <f>IFERROR(AB28/22,0)</f>
        <v>2497.4636363636364</v>
      </c>
      <c r="AC38" s="6">
        <f>IFERROR(AC28/254,0)</f>
        <v>2494.4366141732285</v>
      </c>
      <c r="AE38" s="6">
        <f>IFERROR(AE28/21,0)</f>
        <v>0.0</v>
      </c>
      <c r="AF38" s="6">
        <f>IFERROR(AF28/20,0)</f>
        <v>0.0</v>
      </c>
      <c r="AG38" s="6">
        <f>IFERROR(AG28/22,0)</f>
        <v>0.0</v>
      </c>
      <c r="AH38" s="6">
        <f>IFERROR(AH28/22,0)</f>
        <v>0.0</v>
      </c>
      <c r="AI38" s="6">
        <f>IFERROR(AI28/20,0)</f>
        <v>0.0</v>
      </c>
      <c r="AJ38" s="6">
        <f>IFERROR(AJ28/22,0)</f>
        <v>0.0</v>
      </c>
      <c r="AK38" s="6">
        <f>IFERROR(AK28/22,0)</f>
        <v>0.0</v>
      </c>
      <c r="AL38" s="6">
        <f>IFERROR(AL28/21,0)</f>
        <v>0.0</v>
      </c>
      <c r="AM38" s="6">
        <f>IFERROR(AM28/21,0)</f>
        <v>-2.142857142857143</v>
      </c>
      <c r="AN38" s="6">
        <f>IFERROR(AN28/22,0)</f>
        <v>-2.0454545454545454</v>
      </c>
      <c r="AO38" s="6">
        <f>IFERROR(AO28/19,0)</f>
        <v>-2.3684210526315788</v>
      </c>
      <c r="AP38" s="6">
        <f>IFERROR(AP28/22,0)</f>
        <v>-2.0454545454545454</v>
      </c>
      <c r="AQ38" s="6">
        <f>IFERROR(AQ28/254,0)</f>
        <v>-0.7086614173228346</v>
      </c>
      <c r="AS38" s="6">
        <f>IFERROR(AS28/21,0)</f>
        <v>0.0</v>
      </c>
      <c r="AT38" s="6">
        <f>IFERROR(AT28/20,0)</f>
        <v>0.0</v>
      </c>
      <c r="AU38" s="6">
        <f>IFERROR(AU28/22,0)</f>
        <v>0.0</v>
      </c>
      <c r="AV38" s="6">
        <f>IFERROR(AV28/22,0)</f>
        <v>0.0</v>
      </c>
      <c r="AW38" s="6">
        <f>IFERROR(AW28/20,0)</f>
        <v>0.0</v>
      </c>
      <c r="AX38" s="6">
        <f>IFERROR(AX28/22,0)</f>
        <v>0.0</v>
      </c>
      <c r="AY38" s="6">
        <f>IFERROR(AY28/22,0)</f>
        <v>0.0</v>
      </c>
      <c r="AZ38" s="6">
        <f>IFERROR(AZ28/21,0)</f>
        <v>0.0</v>
      </c>
      <c r="BA38" s="6">
        <f>IFERROR(BA28/21,0)</f>
        <v>70.95238095238095</v>
      </c>
      <c r="BB38" s="6">
        <f>IFERROR(BB28/22,0)</f>
        <v>-47.27272727272727</v>
      </c>
      <c r="BC38" s="6">
        <f>IFERROR(BC28/19,0)</f>
        <v>-11.578947368421053</v>
      </c>
      <c r="BD38" s="6">
        <f>IFERROR(BD28/22,0)</f>
        <v>15.454545454545455</v>
      </c>
      <c r="BE38" s="6">
        <f>IFERROR(BE28/254,0)</f>
        <v>2.2440944881889764</v>
      </c>
      <c r="BG38" s="6">
        <f>IFERROR(BG28/21,0)</f>
        <v>2370.319047619048</v>
      </c>
      <c r="BH38" s="6">
        <f>IFERROR(BH28/20,0)</f>
        <v>2451.67</v>
      </c>
      <c r="BI38" s="6">
        <f>IFERROR(BI28/22,0)</f>
        <v>2390.381818181818</v>
      </c>
      <c r="BJ38" s="6">
        <f>IFERROR(BJ28/22,0)</f>
        <v>2585.5409090909093</v>
      </c>
      <c r="BK38" s="6">
        <f>IFERROR(BK28/20,0)</f>
        <v>2591.675</v>
      </c>
      <c r="BL38" s="6">
        <f>IFERROR(BL28/22,0)</f>
        <v>2460.1863636363637</v>
      </c>
      <c r="BM38" s="6">
        <f>IFERROR(BM28/22,0)</f>
        <v>2446.668181818182</v>
      </c>
      <c r="BN38" s="6">
        <f>IFERROR(BN28/21,0)</f>
        <v>2508.633333333333</v>
      </c>
      <c r="BO38" s="6">
        <f>IFERROR(BO28/21,0)</f>
        <v>2554.304761904762</v>
      </c>
      <c r="BP38" s="6">
        <f>IFERROR(BP28/22,0)</f>
        <v>2473.65</v>
      </c>
      <c r="BQ38" s="6">
        <f>IFERROR(BQ28/19,0)</f>
        <v>2635.0526315789475</v>
      </c>
      <c r="BR38" s="6">
        <f>IFERROR(BR28/22,0)</f>
        <v>2512.918181818182</v>
      </c>
      <c r="BS38" s="6">
        <f>IFERROR(BS28/254,0)</f>
        <v>2496.6807086614176</v>
      </c>
    </row>
    <row r="40">
      <c r="B40" s="5" t="inlineStr">
        <is>
          <t>Net Inventory</t>
        </is>
      </c>
      <c r="C40" s="6">
        <f>'Alder'!C40+'Beacon'!C40+'Cobalt'!C40+'Delta'!C40+'Ember'!C40+'Falcon'!C40+'Granite'!C40+'Hollis'!C40+'SAFEREG'!C40</f>
        <v>85813.1</v>
      </c>
      <c r="D40" s="6">
        <f>'Alder'!D40+'Beacon'!D40+'Cobalt'!D40+'Delta'!D40+'Ember'!D40+'Falcon'!D40+'Granite'!D40+'Hollis'!D40+'SAFEREG'!D40</f>
        <v>85188.2</v>
      </c>
      <c r="E40" s="6">
        <f>'Alder'!E40+'Beacon'!E40+'Cobalt'!E40+'Delta'!E40+'Ember'!E40+'Falcon'!E40+'Granite'!E40+'Hollis'!E40+'SAFEREG'!E40</f>
        <v>90743.6</v>
      </c>
      <c r="F40" s="6">
        <f>'Alder'!F40+'Beacon'!F40+'Cobalt'!F40+'Delta'!F40+'Ember'!F40+'Falcon'!F40+'Granite'!F40+'Hollis'!F40+'SAFEREG'!F40</f>
        <v>98182.0</v>
      </c>
      <c r="G40" s="6">
        <f>'Alder'!G40+'Beacon'!G40+'Cobalt'!G40+'Delta'!G40+'Ember'!G40+'Falcon'!G40+'Granite'!G40+'Hollis'!G40+'SAFEREG'!G40</f>
        <v>87470.4</v>
      </c>
      <c r="H40" s="6">
        <f>'Alder'!H40+'Beacon'!H40+'Cobalt'!H40+'Delta'!H40+'Ember'!H40+'Falcon'!H40+'Granite'!H40+'Hollis'!H40+'SAFEREG'!H40</f>
        <v>88474.90000000001</v>
      </c>
      <c r="I40" s="6">
        <f>'Alder'!I40+'Beacon'!I40+'Cobalt'!I40+'Delta'!I40+'Ember'!I40+'Falcon'!I40+'Granite'!I40+'Hollis'!I40+'SAFEREG'!I40</f>
        <v>86267.1</v>
      </c>
      <c r="J40" s="6">
        <f>'Alder'!J40+'Beacon'!J40+'Cobalt'!J40+'Delta'!J40+'Ember'!J40+'Falcon'!J40+'Granite'!J40+'Hollis'!J40+'SAFEREG'!J40</f>
        <v>81103.40000000001</v>
      </c>
      <c r="K40" s="6">
        <f>'Alder'!K40+'Beacon'!K40+'Cobalt'!K40+'Delta'!K40+'Ember'!K40+'Falcon'!K40+'Granite'!K40+'Hollis'!K40+'SAFEREG'!K40</f>
        <v>83019.8</v>
      </c>
      <c r="L40" s="6">
        <f>'Alder'!L40+'Beacon'!L40+'Cobalt'!L40+'Delta'!L40+'Ember'!L40+'Falcon'!L40+'Granite'!L40+'Hollis'!L40+'SAFEREG'!L40</f>
        <v>82986.40000000001</v>
      </c>
      <c r="M40" s="6">
        <f>'Alder'!M40+'Beacon'!M40+'Cobalt'!M40+'Delta'!M40+'Ember'!M40+'Falcon'!M40+'Granite'!M40+'Hollis'!M40+'SAFEREG'!M40</f>
        <v>76603.4</v>
      </c>
      <c r="N40" s="6">
        <f>'Alder'!N40+'Beacon'!N40+'Cobalt'!N40+'Delta'!N40+'Ember'!N40+'Falcon'!N40+'Granite'!N40+'Hollis'!N40+'SAFEREG'!N40</f>
        <v>84145.9</v>
      </c>
      <c r="O40" s="6">
        <f>N40</f>
        <v>84145.9</v>
      </c>
      <c r="Q40" s="6">
        <f>'Alder'!Q40+'Beacon'!Q40+'Cobalt'!Q40+'Delta'!Q40+'Ember'!Q40+'Falcon'!Q40+'Granite'!Q40+'Hollis'!Q40+'SAFEREG'!Q40</f>
        <v>85813.1</v>
      </c>
      <c r="R40" s="6">
        <f>'Alder'!R40+'Beacon'!R40+'Cobalt'!R40+'Delta'!R40+'Ember'!R40+'Falcon'!R40+'Granite'!R40+'Hollis'!R40+'SAFEREG'!R40</f>
        <v>85188.2</v>
      </c>
      <c r="S40" s="6">
        <f>'Alder'!S40+'Beacon'!S40+'Cobalt'!S40+'Delta'!S40+'Ember'!S40+'Falcon'!S40+'Granite'!S40+'Hollis'!S40+'SAFEREG'!S40</f>
        <v>90743.6</v>
      </c>
      <c r="T40" s="6">
        <f>'Alder'!T40+'Beacon'!T40+'Cobalt'!T40+'Delta'!T40+'Ember'!T40+'Falcon'!T40+'Granite'!T40+'Hollis'!T40+'SAFEREG'!T40</f>
        <v>98182.0</v>
      </c>
      <c r="U40" s="6">
        <f>'Alder'!U40+'Beacon'!U40+'Cobalt'!U40+'Delta'!U40+'Ember'!U40+'Falcon'!U40+'Granite'!U40+'Hollis'!U40+'SAFEREG'!U40</f>
        <v>87470.4</v>
      </c>
      <c r="V40" s="6">
        <f>'Alder'!V40+'Beacon'!V40+'Cobalt'!V40+'Delta'!V40+'Ember'!V40+'Falcon'!V40+'Granite'!V40+'Hollis'!V40+'SAFEREG'!V40</f>
        <v>88474.90000000001</v>
      </c>
      <c r="W40" s="6">
        <f>'Alder'!W40+'Beacon'!W40+'Cobalt'!W40+'Delta'!W40+'Ember'!W40+'Falcon'!W40+'Granite'!W40+'Hollis'!W40+'SAFEREG'!W40</f>
        <v>86267.1</v>
      </c>
      <c r="X40" s="6">
        <f>'Alder'!X40+'Beacon'!X40+'Cobalt'!X40+'Delta'!X40+'Ember'!X40+'Falcon'!X40+'Granite'!X40+'Hollis'!X40+'SAFEREG'!X40</f>
        <v>81103.40000000001</v>
      </c>
      <c r="Y40" s="6">
        <f>'Alder'!Y40+'Beacon'!Y40+'Cobalt'!Y40+'Delta'!Y40+'Ember'!Y40+'Falcon'!Y40+'Granite'!Y40+'Hollis'!Y40+'SAFEREG'!Y40</f>
        <v>83019.8</v>
      </c>
      <c r="Z40" s="6">
        <f>'Alder'!Z40+'Beacon'!Z40+'Cobalt'!Z40+'Delta'!Z40+'Ember'!Z40+'Falcon'!Z40+'Granite'!Z40+'Hollis'!Z40+'SAFEREG'!Z40</f>
        <v>82986.40000000001</v>
      </c>
      <c r="AA40" s="6">
        <f>'Alder'!AA40+'Beacon'!AA40+'Cobalt'!AA40+'Delta'!AA40+'Ember'!AA40+'Falcon'!AA40+'Granite'!AA40+'Hollis'!AA40+'SAFEREG'!AA40</f>
        <v>76603.4</v>
      </c>
      <c r="AB40" s="6">
        <f>'Alder'!AB40+'Beacon'!AB40+'Cobalt'!AB40+'Delta'!AB40+'Ember'!AB40+'Falcon'!AB40+'Granite'!AB40+'Hollis'!AB40+'SAFEREG'!AB40</f>
        <v>84145.9</v>
      </c>
      <c r="AC40" s="6">
        <f>AB40</f>
        <v>84145.9</v>
      </c>
      <c r="AE40" s="6">
        <f>Q40-C40</f>
        <v>0.0</v>
      </c>
      <c r="AF40" s="6">
        <f>R40-D40</f>
        <v>0.0</v>
      </c>
      <c r="AG40" s="6">
        <f>S40-E40</f>
        <v>0.0</v>
      </c>
      <c r="AH40" s="6">
        <f>T40-F40</f>
        <v>0.0</v>
      </c>
      <c r="AI40" s="6">
        <f>U40-G40</f>
        <v>0.0</v>
      </c>
      <c r="AJ40" s="6">
        <f>V40-H40</f>
        <v>0.0</v>
      </c>
      <c r="AK40" s="6">
        <f>W40-I40</f>
        <v>0.0</v>
      </c>
      <c r="AL40" s="6">
        <f>X40-J40</f>
        <v>0.0</v>
      </c>
      <c r="AM40" s="6">
        <f>Y40-K40</f>
        <v>0.0</v>
      </c>
      <c r="AN40" s="6">
        <f>Z40-L40</f>
        <v>0.0</v>
      </c>
      <c r="AO40" s="6">
        <f>AA40-M40</f>
        <v>0.0</v>
      </c>
      <c r="AP40" s="6">
        <f>AB40-N40</f>
        <v>0.0</v>
      </c>
      <c r="AQ40" s="6">
        <f>AP40</f>
        <v>0.0</v>
      </c>
      <c r="AS40" s="6">
        <f>'Safety-Adj'!C95</f>
        <v>0.0</v>
      </c>
      <c r="AT40" s="6">
        <f>'Safety-Adj'!D95</f>
        <v>0.0</v>
      </c>
      <c r="AU40" s="6">
        <f>'Safety-Adj'!E95</f>
        <v>0.0</v>
      </c>
      <c r="AV40" s="6">
        <f>'Safety-Adj'!F95</f>
        <v>0.0</v>
      </c>
      <c r="AW40" s="6">
        <f>'Safety-Adj'!G95</f>
        <v>0.0</v>
      </c>
      <c r="AX40" s="6">
        <f>'Safety-Adj'!H95</f>
        <v>0.0</v>
      </c>
      <c r="AY40" s="6">
        <f>'Safety-Adj'!I95</f>
        <v>0.0</v>
      </c>
      <c r="AZ40" s="6">
        <f>'Safety-Adj'!J95</f>
        <v>0.0</v>
      </c>
      <c r="BA40" s="6">
        <f>'Safety-Adj'!K95</f>
        <v>400.0</v>
      </c>
      <c r="BB40" s="6">
        <f>'Safety-Adj'!L95</f>
        <v>-1400.0</v>
      </c>
      <c r="BC40" s="6">
        <f>'Safety-Adj'!M95</f>
        <v>-3200.0</v>
      </c>
      <c r="BD40" s="6">
        <f>'Safety-Adj'!N95</f>
        <v>-4000.0</v>
      </c>
      <c r="BE40" s="6">
        <f>BD40</f>
        <v>-4000.0</v>
      </c>
      <c r="BG40" s="6">
        <f>C40+AE40+AS40</f>
        <v>85813.1</v>
      </c>
      <c r="BH40" s="6">
        <f>D40+AF40+AT40</f>
        <v>85188.2</v>
      </c>
      <c r="BI40" s="6">
        <f>E40+AG40+AU40</f>
        <v>90743.6</v>
      </c>
      <c r="BJ40" s="6">
        <f>F40+AH40+AV40</f>
        <v>98182.0</v>
      </c>
      <c r="BK40" s="6">
        <f>G40+AI40+AW40</f>
        <v>87470.4</v>
      </c>
      <c r="BL40" s="6">
        <f>H40+AJ40+AX40</f>
        <v>88474.90000000001</v>
      </c>
      <c r="BM40" s="6">
        <f>I40+AK40+AY40</f>
        <v>86267.1</v>
      </c>
      <c r="BN40" s="6">
        <f>J40+AL40+AZ40</f>
        <v>81103.40000000001</v>
      </c>
      <c r="BO40" s="6">
        <f>K40+AM40+BA40</f>
        <v>83419.8</v>
      </c>
      <c r="BP40" s="6">
        <f>L40+AN40+BB40</f>
        <v>81586.40000000001</v>
      </c>
      <c r="BQ40" s="6">
        <f>M40+AO40+BC40</f>
        <v>73403.4</v>
      </c>
      <c r="BR40" s="6">
        <f>N40+AP40+BD40</f>
        <v>80145.9</v>
      </c>
      <c r="BS40" s="6">
        <f>BR40</f>
        <v>80145.9</v>
      </c>
    </row>
    <row r="41">
      <c r="B41" s="5" t="inlineStr">
        <is>
          <t>Trade Receivables</t>
        </is>
      </c>
      <c r="C41" s="6">
        <f>'Alder'!C41+'Beacon'!C41+'Cobalt'!C41+'Delta'!C41+'Ember'!C41+'Falcon'!C41+'Granite'!C41+'Hollis'!C41+'SAFEREG'!C41</f>
        <v>75494.8</v>
      </c>
      <c r="D41" s="6">
        <f>'Alder'!D41+'Beacon'!D41+'Cobalt'!D41+'Delta'!D41+'Ember'!D41+'Falcon'!D41+'Granite'!D41+'Hollis'!D41+'SAFEREG'!D41</f>
        <v>74367.2</v>
      </c>
      <c r="E41" s="6">
        <f>'Alder'!E41+'Beacon'!E41+'Cobalt'!E41+'Delta'!E41+'Ember'!E41+'Falcon'!E41+'Granite'!E41+'Hollis'!E41+'SAFEREG'!E41</f>
        <v>79758.9</v>
      </c>
      <c r="F41" s="6">
        <f>'Alder'!F41+'Beacon'!F41+'Cobalt'!F41+'Delta'!F41+'Ember'!F41+'Falcon'!F41+'Granite'!F41+'Hollis'!F41+'SAFEREG'!F41</f>
        <v>86270.8</v>
      </c>
      <c r="G41" s="6">
        <f>'Alder'!G41+'Beacon'!G41+'Cobalt'!G41+'Delta'!G41+'Ember'!G41+'Falcon'!G41+'Granite'!G41+'Hollis'!G41+'SAFEREG'!G41</f>
        <v>78614.2</v>
      </c>
      <c r="H41" s="6">
        <f>'Alder'!H41+'Beacon'!H41+'Cobalt'!H41+'Delta'!H41+'Ember'!H41+'Falcon'!H41+'Granite'!H41+'Hollis'!H41+'SAFEREG'!H41</f>
        <v>82088.20000000001</v>
      </c>
      <c r="I41" s="6">
        <f>'Alder'!I41+'Beacon'!I41+'Cobalt'!I41+'Delta'!I41+'Ember'!I41+'Falcon'!I41+'Granite'!I41+'Hollis'!I41+'SAFEREG'!I41</f>
        <v>81637.3</v>
      </c>
      <c r="J41" s="6">
        <f>'Alder'!J41+'Beacon'!J41+'Cobalt'!J41+'Delta'!J41+'Ember'!J41+'Falcon'!J41+'Granite'!J41+'Hollis'!J41+'SAFEREG'!J41</f>
        <v>79899.99999999999</v>
      </c>
      <c r="K41" s="6">
        <f>'Alder'!K41+'Beacon'!K41+'Cobalt'!K41+'Delta'!K41+'Ember'!K41+'Falcon'!K41+'Granite'!K41+'Hollis'!K41+'SAFEREG'!K41</f>
        <v>81354.49999999999</v>
      </c>
      <c r="L41" s="6">
        <f>'Alder'!L41+'Beacon'!L41+'Cobalt'!L41+'Delta'!L41+'Ember'!L41+'Falcon'!L41+'Granite'!L41+'Hollis'!L41+'SAFEREG'!L41</f>
        <v>82537.29999999999</v>
      </c>
      <c r="M41" s="6">
        <f>'Alder'!M41+'Beacon'!M41+'Cobalt'!M41+'Delta'!M41+'Ember'!M41+'Falcon'!M41+'Granite'!M41+'Hollis'!M41+'SAFEREG'!M41</f>
        <v>75933.40000000001</v>
      </c>
      <c r="N41" s="6">
        <f>'Alder'!N41+'Beacon'!N41+'Cobalt'!N41+'Delta'!N41+'Ember'!N41+'Falcon'!N41+'Granite'!N41+'Hollis'!N41+'SAFEREG'!N41</f>
        <v>83847.7</v>
      </c>
      <c r="O41" s="6">
        <f>N41</f>
        <v>83847.7</v>
      </c>
      <c r="Q41" s="6">
        <f>'Alder'!Q41+'Beacon'!Q41+'Cobalt'!Q41+'Delta'!Q41+'Ember'!Q41+'Falcon'!Q41+'Granite'!Q41+'Hollis'!Q41+'SAFEREG'!Q41</f>
        <v>75494.8</v>
      </c>
      <c r="R41" s="6">
        <f>'Alder'!R41+'Beacon'!R41+'Cobalt'!R41+'Delta'!R41+'Ember'!R41+'Falcon'!R41+'Granite'!R41+'Hollis'!R41+'SAFEREG'!R41</f>
        <v>74367.2</v>
      </c>
      <c r="S41" s="6">
        <f>'Alder'!S41+'Beacon'!S41+'Cobalt'!S41+'Delta'!S41+'Ember'!S41+'Falcon'!S41+'Granite'!S41+'Hollis'!S41+'SAFEREG'!S41</f>
        <v>79758.9</v>
      </c>
      <c r="T41" s="6">
        <f>'Alder'!T41+'Beacon'!T41+'Cobalt'!T41+'Delta'!T41+'Ember'!T41+'Falcon'!T41+'Granite'!T41+'Hollis'!T41+'SAFEREG'!T41</f>
        <v>86270.8</v>
      </c>
      <c r="U41" s="6">
        <f>'Alder'!U41+'Beacon'!U41+'Cobalt'!U41+'Delta'!U41+'Ember'!U41+'Falcon'!U41+'Granite'!U41+'Hollis'!U41+'SAFEREG'!U41</f>
        <v>78614.2</v>
      </c>
      <c r="V41" s="6">
        <f>'Alder'!V41+'Beacon'!V41+'Cobalt'!V41+'Delta'!V41+'Ember'!V41+'Falcon'!V41+'Granite'!V41+'Hollis'!V41+'SAFEREG'!V41</f>
        <v>82088.20000000001</v>
      </c>
      <c r="W41" s="6">
        <f>'Alder'!W41+'Beacon'!W41+'Cobalt'!W41+'Delta'!W41+'Ember'!W41+'Falcon'!W41+'Granite'!W41+'Hollis'!W41+'SAFEREG'!W41</f>
        <v>81637.3</v>
      </c>
      <c r="X41" s="6">
        <f>'Alder'!X41+'Beacon'!X41+'Cobalt'!X41+'Delta'!X41+'Ember'!X41+'Falcon'!X41+'Granite'!X41+'Hollis'!X41+'SAFEREG'!X41</f>
        <v>79899.99999999999</v>
      </c>
      <c r="Y41" s="6">
        <f>'Alder'!Y41+'Beacon'!Y41+'Cobalt'!Y41+'Delta'!Y41+'Ember'!Y41+'Falcon'!Y41+'Granite'!Y41+'Hollis'!Y41+'SAFEREG'!Y41</f>
        <v>81354.49999999999</v>
      </c>
      <c r="Z41" s="6">
        <f>'Alder'!Z41+'Beacon'!Z41+'Cobalt'!Z41+'Delta'!Z41+'Ember'!Z41+'Falcon'!Z41+'Granite'!Z41+'Hollis'!Z41+'SAFEREG'!Z41</f>
        <v>82537.29999999999</v>
      </c>
      <c r="AA41" s="6">
        <f>'Alder'!AA41+'Beacon'!AA41+'Cobalt'!AA41+'Delta'!AA41+'Ember'!AA41+'Falcon'!AA41+'Granite'!AA41+'Hollis'!AA41+'SAFEREG'!AA41</f>
        <v>75933.40000000001</v>
      </c>
      <c r="AB41" s="6">
        <f>'Alder'!AB41+'Beacon'!AB41+'Cobalt'!AB41+'Delta'!AB41+'Ember'!AB41+'Falcon'!AB41+'Granite'!AB41+'Hollis'!AB41+'SAFEREG'!AB41</f>
        <v>83847.7</v>
      </c>
      <c r="AC41" s="6">
        <f>AB41</f>
        <v>83847.7</v>
      </c>
      <c r="AE41" s="6">
        <f>Q41-C41</f>
        <v>0.0</v>
      </c>
      <c r="AF41" s="6">
        <f>R41-D41</f>
        <v>0.0</v>
      </c>
      <c r="AG41" s="6">
        <f>S41-E41</f>
        <v>0.0</v>
      </c>
      <c r="AH41" s="6">
        <f>T41-F41</f>
        <v>0.0</v>
      </c>
      <c r="AI41" s="6">
        <f>U41-G41</f>
        <v>0.0</v>
      </c>
      <c r="AJ41" s="6">
        <f>V41-H41</f>
        <v>0.0</v>
      </c>
      <c r="AK41" s="6">
        <f>W41-I41</f>
        <v>0.0</v>
      </c>
      <c r="AL41" s="6">
        <f>X41-J41</f>
        <v>0.0</v>
      </c>
      <c r="AM41" s="6">
        <f>Y41-K41</f>
        <v>0.0</v>
      </c>
      <c r="AN41" s="6">
        <f>Z41-L41</f>
        <v>0.0</v>
      </c>
      <c r="AO41" s="6">
        <f>AA41-M41</f>
        <v>0.0</v>
      </c>
      <c r="AP41" s="6">
        <f>AB41-N41</f>
        <v>0.0</v>
      </c>
      <c r="AQ41" s="6">
        <f>AP41</f>
        <v>0.0</v>
      </c>
      <c r="AS41" s="6">
        <f>'Safety-Adj'!C96</f>
        <v>0.0</v>
      </c>
      <c r="AT41" s="6">
        <f>'Safety-Adj'!D96</f>
        <v>0.0</v>
      </c>
      <c r="AU41" s="6">
        <f>'Safety-Adj'!E96</f>
        <v>0.0</v>
      </c>
      <c r="AV41" s="6">
        <f>'Safety-Adj'!F96</f>
        <v>0.0</v>
      </c>
      <c r="AW41" s="6">
        <f>'Safety-Adj'!G96</f>
        <v>0.0</v>
      </c>
      <c r="AX41" s="6">
        <f>'Safety-Adj'!H96</f>
        <v>0.0</v>
      </c>
      <c r="AY41" s="6">
        <f>'Safety-Adj'!I96</f>
        <v>0.0</v>
      </c>
      <c r="AZ41" s="6">
        <f>'Safety-Adj'!J96</f>
        <v>0.0</v>
      </c>
      <c r="BA41" s="6">
        <f>'Safety-Adj'!K96</f>
        <v>600.0</v>
      </c>
      <c r="BB41" s="6">
        <f>'Safety-Adj'!L96</f>
        <v>-300.0</v>
      </c>
      <c r="BC41" s="6">
        <f>'Safety-Adj'!M96</f>
        <v>-300.0</v>
      </c>
      <c r="BD41" s="6">
        <f>'Safety-Adj'!N96</f>
        <v>0.0</v>
      </c>
      <c r="BE41" s="6">
        <f>BD41</f>
        <v>0.0</v>
      </c>
      <c r="BG41" s="6">
        <f>C41+AE41+AS41</f>
        <v>75494.8</v>
      </c>
      <c r="BH41" s="6">
        <f>D41+AF41+AT41</f>
        <v>74367.2</v>
      </c>
      <c r="BI41" s="6">
        <f>E41+AG41+AU41</f>
        <v>79758.9</v>
      </c>
      <c r="BJ41" s="6">
        <f>F41+AH41+AV41</f>
        <v>86270.8</v>
      </c>
      <c r="BK41" s="6">
        <f>G41+AI41+AW41</f>
        <v>78614.2</v>
      </c>
      <c r="BL41" s="6">
        <f>H41+AJ41+AX41</f>
        <v>82088.20000000001</v>
      </c>
      <c r="BM41" s="6">
        <f>I41+AK41+AY41</f>
        <v>81637.3</v>
      </c>
      <c r="BN41" s="6">
        <f>J41+AL41+AZ41</f>
        <v>79899.99999999999</v>
      </c>
      <c r="BO41" s="6">
        <f>K41+AM41+BA41</f>
        <v>81954.49999999999</v>
      </c>
      <c r="BP41" s="6">
        <f>L41+AN41+BB41</f>
        <v>82237.29999999999</v>
      </c>
      <c r="BQ41" s="6">
        <f>M41+AO41+BC41</f>
        <v>75633.40000000001</v>
      </c>
      <c r="BR41" s="6">
        <f>N41+AP41+BD41</f>
        <v>83847.7</v>
      </c>
      <c r="BS41" s="6">
        <f>BR41</f>
        <v>83847.7</v>
      </c>
    </row>
    <row r="42">
      <c r="B42" s="5" t="inlineStr">
        <is>
          <t>Other Receivables</t>
        </is>
      </c>
      <c r="C42" s="6">
        <f>'Alder'!C42+'Beacon'!C42+'Cobalt'!C42+'Delta'!C42+'Ember'!C42+'Falcon'!C42+'Granite'!C42+'Hollis'!C42+'SAFEREG'!C42</f>
        <v>771.6000000000001</v>
      </c>
      <c r="D42" s="6">
        <f>'Alder'!D42+'Beacon'!D42+'Cobalt'!D42+'Delta'!D42+'Ember'!D42+'Falcon'!D42+'Granite'!D42+'Hollis'!D42+'SAFEREG'!D42</f>
        <v>760.5</v>
      </c>
      <c r="E42" s="6">
        <f>'Alder'!E42+'Beacon'!E42+'Cobalt'!E42+'Delta'!E42+'Ember'!E42+'Falcon'!E42+'Granite'!E42+'Hollis'!E42+'SAFEREG'!E42</f>
        <v>813.8000000000001</v>
      </c>
      <c r="F42" s="6">
        <f>'Alder'!F42+'Beacon'!F42+'Cobalt'!F42+'Delta'!F42+'Ember'!F42+'Falcon'!F42+'Granite'!F42+'Hollis'!F42+'SAFEREG'!F42</f>
        <v>878.2</v>
      </c>
      <c r="G42" s="6">
        <f>'Alder'!G42+'Beacon'!G42+'Cobalt'!G42+'Delta'!G42+'Ember'!G42+'Falcon'!G42+'Granite'!G42+'Hollis'!G42+'SAFEREG'!G42</f>
        <v>802.3999999999999</v>
      </c>
      <c r="H42" s="6">
        <f>'Alder'!H42+'Beacon'!H42+'Cobalt'!H42+'Delta'!H42+'Ember'!H42+'Falcon'!H42+'Granite'!H42+'Hollis'!H42+'SAFEREG'!H42</f>
        <v>837.0</v>
      </c>
      <c r="I42" s="6">
        <f>'Alder'!I42+'Beacon'!I42+'Cobalt'!I42+'Delta'!I42+'Ember'!I42+'Falcon'!I42+'Granite'!I42+'Hollis'!I42+'SAFEREG'!I42</f>
        <v>832.4</v>
      </c>
      <c r="J42" s="6">
        <f>'Alder'!J42+'Beacon'!J42+'Cobalt'!J42+'Delta'!J42+'Ember'!J42+'Falcon'!J42+'Granite'!J42+'Hollis'!J42+'SAFEREG'!J42</f>
        <v>815.2</v>
      </c>
      <c r="K42" s="6">
        <f>'Alder'!K42+'Beacon'!K42+'Cobalt'!K42+'Delta'!K42+'Ember'!K42+'Falcon'!K42+'Granite'!K42+'Hollis'!K42+'SAFEREG'!K42</f>
        <v>829.6</v>
      </c>
      <c r="L42" s="6">
        <f>'Alder'!L42+'Beacon'!L42+'Cobalt'!L42+'Delta'!L42+'Ember'!L42+'Falcon'!L42+'Granite'!L42+'Hollis'!L42+'SAFEREG'!L42</f>
        <v>841.1999999999998</v>
      </c>
      <c r="M42" s="6">
        <f>'Alder'!M42+'Beacon'!M42+'Cobalt'!M42+'Delta'!M42+'Ember'!M42+'Falcon'!M42+'Granite'!M42+'Hollis'!M42+'SAFEREG'!M42</f>
        <v>776.0000000000001</v>
      </c>
      <c r="N42" s="6">
        <f>'Alder'!N42+'Beacon'!N42+'Cobalt'!N42+'Delta'!N42+'Ember'!N42+'Falcon'!N42+'Granite'!N42+'Hollis'!N42+'SAFEREG'!N42</f>
        <v>854.1999999999999</v>
      </c>
      <c r="O42" s="6">
        <f>N42</f>
        <v>854.1999999999999</v>
      </c>
      <c r="Q42" s="6">
        <f>'Alder'!Q42+'Beacon'!Q42+'Cobalt'!Q42+'Delta'!Q42+'Ember'!Q42+'Falcon'!Q42+'Granite'!Q42+'Hollis'!Q42+'SAFEREG'!Q42</f>
        <v>771.6000000000001</v>
      </c>
      <c r="R42" s="6">
        <f>'Alder'!R42+'Beacon'!R42+'Cobalt'!R42+'Delta'!R42+'Ember'!R42+'Falcon'!R42+'Granite'!R42+'Hollis'!R42+'SAFEREG'!R42</f>
        <v>760.5</v>
      </c>
      <c r="S42" s="6">
        <f>'Alder'!S42+'Beacon'!S42+'Cobalt'!S42+'Delta'!S42+'Ember'!S42+'Falcon'!S42+'Granite'!S42+'Hollis'!S42+'SAFEREG'!S42</f>
        <v>813.8000000000001</v>
      </c>
      <c r="T42" s="6">
        <f>'Alder'!T42+'Beacon'!T42+'Cobalt'!T42+'Delta'!T42+'Ember'!T42+'Falcon'!T42+'Granite'!T42+'Hollis'!T42+'SAFEREG'!T42</f>
        <v>878.2</v>
      </c>
      <c r="U42" s="6">
        <f>'Alder'!U42+'Beacon'!U42+'Cobalt'!U42+'Delta'!U42+'Ember'!U42+'Falcon'!U42+'Granite'!U42+'Hollis'!U42+'SAFEREG'!U42</f>
        <v>802.3999999999999</v>
      </c>
      <c r="V42" s="6">
        <f>'Alder'!V42+'Beacon'!V42+'Cobalt'!V42+'Delta'!V42+'Ember'!V42+'Falcon'!V42+'Granite'!V42+'Hollis'!V42+'SAFEREG'!V42</f>
        <v>837.0</v>
      </c>
      <c r="W42" s="6">
        <f>'Alder'!W42+'Beacon'!W42+'Cobalt'!W42+'Delta'!W42+'Ember'!W42+'Falcon'!W42+'Granite'!W42+'Hollis'!W42+'SAFEREG'!W42</f>
        <v>832.4</v>
      </c>
      <c r="X42" s="6">
        <f>'Alder'!X42+'Beacon'!X42+'Cobalt'!X42+'Delta'!X42+'Ember'!X42+'Falcon'!X42+'Granite'!X42+'Hollis'!X42+'SAFEREG'!X42</f>
        <v>815.2</v>
      </c>
      <c r="Y42" s="6">
        <f>'Alder'!Y42+'Beacon'!Y42+'Cobalt'!Y42+'Delta'!Y42+'Ember'!Y42+'Falcon'!Y42+'Granite'!Y42+'Hollis'!Y42+'SAFEREG'!Y42</f>
        <v>829.6</v>
      </c>
      <c r="Z42" s="6">
        <f>'Alder'!Z42+'Beacon'!Z42+'Cobalt'!Z42+'Delta'!Z42+'Ember'!Z42+'Falcon'!Z42+'Granite'!Z42+'Hollis'!Z42+'SAFEREG'!Z42</f>
        <v>841.1999999999998</v>
      </c>
      <c r="AA42" s="6">
        <f>'Alder'!AA42+'Beacon'!AA42+'Cobalt'!AA42+'Delta'!AA42+'Ember'!AA42+'Falcon'!AA42+'Granite'!AA42+'Hollis'!AA42+'SAFEREG'!AA42</f>
        <v>776.0000000000001</v>
      </c>
      <c r="AB42" s="6">
        <f>'Alder'!AB42+'Beacon'!AB42+'Cobalt'!AB42+'Delta'!AB42+'Ember'!AB42+'Falcon'!AB42+'Granite'!AB42+'Hollis'!AB42+'SAFEREG'!AB42</f>
        <v>854.1999999999999</v>
      </c>
      <c r="AC42" s="6">
        <f>AB42</f>
        <v>854.1999999999999</v>
      </c>
      <c r="AE42" s="6">
        <f>Q42-C42</f>
        <v>0.0</v>
      </c>
      <c r="AF42" s="6">
        <f>R42-D42</f>
        <v>0.0</v>
      </c>
      <c r="AG42" s="6">
        <f>S42-E42</f>
        <v>0.0</v>
      </c>
      <c r="AH42" s="6">
        <f>T42-F42</f>
        <v>0.0</v>
      </c>
      <c r="AI42" s="6">
        <f>U42-G42</f>
        <v>0.0</v>
      </c>
      <c r="AJ42" s="6">
        <f>V42-H42</f>
        <v>0.0</v>
      </c>
      <c r="AK42" s="6">
        <f>W42-I42</f>
        <v>0.0</v>
      </c>
      <c r="AL42" s="6">
        <f>X42-J42</f>
        <v>0.0</v>
      </c>
      <c r="AM42" s="6">
        <f>Y42-K42</f>
        <v>0.0</v>
      </c>
      <c r="AN42" s="6">
        <f>Z42-L42</f>
        <v>0.0</v>
      </c>
      <c r="AO42" s="6">
        <f>AA42-M42</f>
        <v>0.0</v>
      </c>
      <c r="AP42" s="6">
        <f>AB42-N42</f>
        <v>0.0</v>
      </c>
      <c r="AQ42" s="6">
        <f>AP42</f>
        <v>0.0</v>
      </c>
      <c r="AS42" s="6">
        <f>'Safety-Adj'!C97</f>
        <v>0.0</v>
      </c>
      <c r="AT42" s="6">
        <f>'Safety-Adj'!D97</f>
        <v>0.0</v>
      </c>
      <c r="AU42" s="6">
        <f>'Safety-Adj'!E97</f>
        <v>0.0</v>
      </c>
      <c r="AV42" s="6">
        <f>'Safety-Adj'!F97</f>
        <v>0.0</v>
      </c>
      <c r="AW42" s="6">
        <f>'Safety-Adj'!G97</f>
        <v>0.0</v>
      </c>
      <c r="AX42" s="6">
        <f>'Safety-Adj'!H97</f>
        <v>0.0</v>
      </c>
      <c r="AY42" s="6">
        <f>'Safety-Adj'!I97</f>
        <v>0.0</v>
      </c>
      <c r="AZ42" s="6">
        <f>'Safety-Adj'!J97</f>
        <v>0.0</v>
      </c>
      <c r="BA42" s="6">
        <f>'Safety-Adj'!K97</f>
        <v>0.0</v>
      </c>
      <c r="BB42" s="6">
        <f>'Safety-Adj'!L97</f>
        <v>0.0</v>
      </c>
      <c r="BC42" s="6">
        <f>'Safety-Adj'!M97</f>
        <v>0.0</v>
      </c>
      <c r="BD42" s="6">
        <f>'Safety-Adj'!N97</f>
        <v>0.0</v>
      </c>
      <c r="BE42" s="6">
        <f>BD42</f>
        <v>0.0</v>
      </c>
      <c r="BG42" s="6">
        <f>C42+AE42+AS42</f>
        <v>771.6000000000001</v>
      </c>
      <c r="BH42" s="6">
        <f>D42+AF42+AT42</f>
        <v>760.5</v>
      </c>
      <c r="BI42" s="6">
        <f>E42+AG42+AU42</f>
        <v>813.8000000000001</v>
      </c>
      <c r="BJ42" s="6">
        <f>F42+AH42+AV42</f>
        <v>878.2</v>
      </c>
      <c r="BK42" s="6">
        <f>G42+AI42+AW42</f>
        <v>802.3999999999999</v>
      </c>
      <c r="BL42" s="6">
        <f>H42+AJ42+AX42</f>
        <v>837.0</v>
      </c>
      <c r="BM42" s="6">
        <f>I42+AK42+AY42</f>
        <v>832.4</v>
      </c>
      <c r="BN42" s="6">
        <f>J42+AL42+AZ42</f>
        <v>815.2</v>
      </c>
      <c r="BO42" s="6">
        <f>K42+AM42+BA42</f>
        <v>829.6</v>
      </c>
      <c r="BP42" s="6">
        <f>L42+AN42+BB42</f>
        <v>841.1999999999998</v>
      </c>
      <c r="BQ42" s="6">
        <f>M42+AO42+BC42</f>
        <v>776.0000000000001</v>
      </c>
      <c r="BR42" s="6">
        <f>N42+AP42+BD42</f>
        <v>854.1999999999999</v>
      </c>
      <c r="BS42" s="6">
        <f>BR42</f>
        <v>854.1999999999999</v>
      </c>
    </row>
    <row r="43">
      <c r="B43" s="5" t="inlineStr">
        <is>
          <t>Trade Payables</t>
        </is>
      </c>
      <c r="C43" s="6">
        <f>'Alder'!C43+'Beacon'!C43+'Cobalt'!C43+'Delta'!C43+'Ember'!C43+'Falcon'!C43+'Granite'!C43+'Hollis'!C43+'SAFEREG'!C43</f>
        <v>-48792.2</v>
      </c>
      <c r="D43" s="6">
        <f>'Alder'!D43+'Beacon'!D43+'Cobalt'!D43+'Delta'!D43+'Ember'!D43+'Falcon'!D43+'Granite'!D43+'Hollis'!D43+'SAFEREG'!D43</f>
        <v>-48143.7</v>
      </c>
      <c r="E43" s="6">
        <f>'Alder'!E43+'Beacon'!E43+'Cobalt'!E43+'Delta'!E43+'Ember'!E43+'Falcon'!E43+'Granite'!E43+'Hollis'!E43+'SAFEREG'!E43</f>
        <v>-51673.799999999996</v>
      </c>
      <c r="F43" s="6">
        <f>'Alder'!F43+'Beacon'!F43+'Cobalt'!F43+'Delta'!F43+'Ember'!F43+'Falcon'!F43+'Granite'!F43+'Hollis'!F43+'SAFEREG'!F43</f>
        <v>-55817.4</v>
      </c>
      <c r="G43" s="6">
        <f>'Alder'!G43+'Beacon'!G43+'Cobalt'!G43+'Delta'!G43+'Ember'!G43+'Falcon'!G43+'Granite'!G43+'Hollis'!G43+'SAFEREG'!G43</f>
        <v>-50866.0</v>
      </c>
      <c r="H43" s="6">
        <f>'Alder'!H43+'Beacon'!H43+'Cobalt'!H43+'Delta'!H43+'Ember'!H43+'Falcon'!H43+'Granite'!H43+'Hollis'!H43+'SAFEREG'!H43</f>
        <v>-53518.29999999999</v>
      </c>
      <c r="I43" s="6">
        <f>'Alder'!I43+'Beacon'!I43+'Cobalt'!I43+'Delta'!I43+'Ember'!I43+'Falcon'!I43+'Granite'!I43+'Hollis'!I43+'SAFEREG'!I43</f>
        <v>-53247.700000000004</v>
      </c>
      <c r="J43" s="6">
        <f>'Alder'!J43+'Beacon'!J43+'Cobalt'!J43+'Delta'!J43+'Ember'!J43+'Falcon'!J43+'Granite'!J43+'Hollis'!J43+'SAFEREG'!J43</f>
        <v>-52148.0</v>
      </c>
      <c r="K43" s="6">
        <f>'Alder'!K43+'Beacon'!K43+'Cobalt'!K43+'Delta'!K43+'Ember'!K43+'Falcon'!K43+'Granite'!K43+'Hollis'!K43+'SAFEREG'!K43</f>
        <v>-54053.299999999996</v>
      </c>
      <c r="L43" s="6">
        <f>'Alder'!L43+'Beacon'!L43+'Cobalt'!L43+'Delta'!L43+'Ember'!L43+'Falcon'!L43+'Granite'!L43+'Hollis'!L43+'SAFEREG'!L43</f>
        <v>-54074.1</v>
      </c>
      <c r="M43" s="6">
        <f>'Alder'!M43+'Beacon'!M43+'Cobalt'!M43+'Delta'!M43+'Ember'!M43+'Falcon'!M43+'Granite'!M43+'Hollis'!M43+'SAFEREG'!M43</f>
        <v>-49808.2</v>
      </c>
      <c r="N43" s="6">
        <f>'Alder'!N43+'Beacon'!N43+'Cobalt'!N43+'Delta'!N43+'Ember'!N43+'Falcon'!N43+'Granite'!N43+'Hollis'!N43+'SAFEREG'!N43</f>
        <v>-54847.799999999996</v>
      </c>
      <c r="O43" s="6">
        <f>N43</f>
        <v>-54847.799999999996</v>
      </c>
      <c r="Q43" s="6">
        <f>'Alder'!Q43+'Beacon'!Q43+'Cobalt'!Q43+'Delta'!Q43+'Ember'!Q43+'Falcon'!Q43+'Granite'!Q43+'Hollis'!Q43+'SAFEREG'!Q43</f>
        <v>-48792.2</v>
      </c>
      <c r="R43" s="6">
        <f>'Alder'!R43+'Beacon'!R43+'Cobalt'!R43+'Delta'!R43+'Ember'!R43+'Falcon'!R43+'Granite'!R43+'Hollis'!R43+'SAFEREG'!R43</f>
        <v>-48143.7</v>
      </c>
      <c r="S43" s="6">
        <f>'Alder'!S43+'Beacon'!S43+'Cobalt'!S43+'Delta'!S43+'Ember'!S43+'Falcon'!S43+'Granite'!S43+'Hollis'!S43+'SAFEREG'!S43</f>
        <v>-51673.799999999996</v>
      </c>
      <c r="T43" s="6">
        <f>'Alder'!T43+'Beacon'!T43+'Cobalt'!T43+'Delta'!T43+'Ember'!T43+'Falcon'!T43+'Granite'!T43+'Hollis'!T43+'SAFEREG'!T43</f>
        <v>-55817.4</v>
      </c>
      <c r="U43" s="6">
        <f>'Alder'!U43+'Beacon'!U43+'Cobalt'!U43+'Delta'!U43+'Ember'!U43+'Falcon'!U43+'Granite'!U43+'Hollis'!U43+'SAFEREG'!U43</f>
        <v>-50866.0</v>
      </c>
      <c r="V43" s="6">
        <f>'Alder'!V43+'Beacon'!V43+'Cobalt'!V43+'Delta'!V43+'Ember'!V43+'Falcon'!V43+'Granite'!V43+'Hollis'!V43+'SAFEREG'!V43</f>
        <v>-53518.29999999999</v>
      </c>
      <c r="W43" s="6">
        <f>'Alder'!W43+'Beacon'!W43+'Cobalt'!W43+'Delta'!W43+'Ember'!W43+'Falcon'!W43+'Granite'!W43+'Hollis'!W43+'SAFEREG'!W43</f>
        <v>-53247.700000000004</v>
      </c>
      <c r="X43" s="6">
        <f>'Alder'!X43+'Beacon'!X43+'Cobalt'!X43+'Delta'!X43+'Ember'!X43+'Falcon'!X43+'Granite'!X43+'Hollis'!X43+'SAFEREG'!X43</f>
        <v>-52148.0</v>
      </c>
      <c r="Y43" s="6">
        <f>'Alder'!Y43+'Beacon'!Y43+'Cobalt'!Y43+'Delta'!Y43+'Ember'!Y43+'Falcon'!Y43+'Granite'!Y43+'Hollis'!Y43+'SAFEREG'!Y43</f>
        <v>-54053.299999999996</v>
      </c>
      <c r="Z43" s="6">
        <f>'Alder'!Z43+'Beacon'!Z43+'Cobalt'!Z43+'Delta'!Z43+'Ember'!Z43+'Falcon'!Z43+'Granite'!Z43+'Hollis'!Z43+'SAFEREG'!Z43</f>
        <v>-54074.1</v>
      </c>
      <c r="AA43" s="6">
        <f>'Alder'!AA43+'Beacon'!AA43+'Cobalt'!AA43+'Delta'!AA43+'Ember'!AA43+'Falcon'!AA43+'Granite'!AA43+'Hollis'!AA43+'SAFEREG'!AA43</f>
        <v>-49808.2</v>
      </c>
      <c r="AB43" s="6">
        <f>'Alder'!AB43+'Beacon'!AB43+'Cobalt'!AB43+'Delta'!AB43+'Ember'!AB43+'Falcon'!AB43+'Granite'!AB43+'Hollis'!AB43+'SAFEREG'!AB43</f>
        <v>-54847.799999999996</v>
      </c>
      <c r="AC43" s="6">
        <f>AB43</f>
        <v>-54847.799999999996</v>
      </c>
      <c r="AE43" s="6">
        <f>Q43-C43</f>
        <v>0.0</v>
      </c>
      <c r="AF43" s="6">
        <f>R43-D43</f>
        <v>0.0</v>
      </c>
      <c r="AG43" s="6">
        <f>S43-E43</f>
        <v>0.0</v>
      </c>
      <c r="AH43" s="6">
        <f>T43-F43</f>
        <v>0.0</v>
      </c>
      <c r="AI43" s="6">
        <f>U43-G43</f>
        <v>0.0</v>
      </c>
      <c r="AJ43" s="6">
        <f>V43-H43</f>
        <v>0.0</v>
      </c>
      <c r="AK43" s="6">
        <f>W43-I43</f>
        <v>0.0</v>
      </c>
      <c r="AL43" s="6">
        <f>X43-J43</f>
        <v>0.0</v>
      </c>
      <c r="AM43" s="6">
        <f>Y43-K43</f>
        <v>0.0</v>
      </c>
      <c r="AN43" s="6">
        <f>Z43-L43</f>
        <v>0.0</v>
      </c>
      <c r="AO43" s="6">
        <f>AA43-M43</f>
        <v>0.0</v>
      </c>
      <c r="AP43" s="6">
        <f>AB43-N43</f>
        <v>0.0</v>
      </c>
      <c r="AQ43" s="6">
        <f>AP43</f>
        <v>0.0</v>
      </c>
      <c r="AS43" s="6">
        <f>'Safety-Adj'!C98</f>
        <v>0.0</v>
      </c>
      <c r="AT43" s="6">
        <f>'Safety-Adj'!D98</f>
        <v>0.0</v>
      </c>
      <c r="AU43" s="6">
        <f>'Safety-Adj'!E98</f>
        <v>0.0</v>
      </c>
      <c r="AV43" s="6">
        <f>'Safety-Adj'!F98</f>
        <v>0.0</v>
      </c>
      <c r="AW43" s="6">
        <f>'Safety-Adj'!G98</f>
        <v>0.0</v>
      </c>
      <c r="AX43" s="6">
        <f>'Safety-Adj'!H98</f>
        <v>0.0</v>
      </c>
      <c r="AY43" s="6">
        <f>'Safety-Adj'!I98</f>
        <v>0.0</v>
      </c>
      <c r="AZ43" s="6">
        <f>'Safety-Adj'!J98</f>
        <v>0.0</v>
      </c>
      <c r="BA43" s="6">
        <f>'Safety-Adj'!K98</f>
        <v>0.0</v>
      </c>
      <c r="BB43" s="6">
        <f>'Safety-Adj'!L98</f>
        <v>0.0</v>
      </c>
      <c r="BC43" s="6">
        <f>'Safety-Adj'!M98</f>
        <v>0.0</v>
      </c>
      <c r="BD43" s="6">
        <f>'Safety-Adj'!N98</f>
        <v>0.0</v>
      </c>
      <c r="BE43" s="6">
        <f>BD43</f>
        <v>0.0</v>
      </c>
      <c r="BG43" s="6">
        <f>C43+AE43+AS43</f>
        <v>-48792.2</v>
      </c>
      <c r="BH43" s="6">
        <f>D43+AF43+AT43</f>
        <v>-48143.7</v>
      </c>
      <c r="BI43" s="6">
        <f>E43+AG43+AU43</f>
        <v>-51673.799999999996</v>
      </c>
      <c r="BJ43" s="6">
        <f>F43+AH43+AV43</f>
        <v>-55817.4</v>
      </c>
      <c r="BK43" s="6">
        <f>G43+AI43+AW43</f>
        <v>-50866.0</v>
      </c>
      <c r="BL43" s="6">
        <f>H43+AJ43+AX43</f>
        <v>-53518.29999999999</v>
      </c>
      <c r="BM43" s="6">
        <f>I43+AK43+AY43</f>
        <v>-53247.700000000004</v>
      </c>
      <c r="BN43" s="6">
        <f>J43+AL43+AZ43</f>
        <v>-52148.0</v>
      </c>
      <c r="BO43" s="6">
        <f>K43+AM43+BA43</f>
        <v>-54053.299999999996</v>
      </c>
      <c r="BP43" s="6">
        <f>L43+AN43+BB43</f>
        <v>-54074.1</v>
      </c>
      <c r="BQ43" s="6">
        <f>M43+AO43+BC43</f>
        <v>-49808.2</v>
      </c>
      <c r="BR43" s="6">
        <f>N43+AP43+BD43</f>
        <v>-54847.799999999996</v>
      </c>
      <c r="BS43" s="6">
        <f>BR43</f>
        <v>-54847.799999999996</v>
      </c>
    </row>
    <row r="44">
      <c r="B44" s="5" t="inlineStr">
        <is>
          <t>Other Payables</t>
        </is>
      </c>
      <c r="C44" s="6">
        <f>'Alder'!C44+'Beacon'!C44+'Cobalt'!C44+'Delta'!C44+'Ember'!C44+'Falcon'!C44+'Granite'!C44+'Hollis'!C44+'SAFEREG'!C44</f>
        <v>-1673.5</v>
      </c>
      <c r="D44" s="6">
        <f>'Alder'!D44+'Beacon'!D44+'Cobalt'!D44+'Delta'!D44+'Ember'!D44+'Falcon'!D44+'Granite'!D44+'Hollis'!D44+'SAFEREG'!D44</f>
        <v>-1650.9</v>
      </c>
      <c r="E44" s="6">
        <f>'Alder'!E44+'Beacon'!E44+'Cobalt'!E44+'Delta'!E44+'Ember'!E44+'Falcon'!E44+'Granite'!E44+'Hollis'!E44+'SAFEREG'!E44</f>
        <v>-1757.8</v>
      </c>
      <c r="F44" s="6">
        <f>'Alder'!F44+'Beacon'!F44+'Cobalt'!F44+'Delta'!F44+'Ember'!F44+'Falcon'!F44+'Granite'!F44+'Hollis'!F44+'SAFEREG'!F44</f>
        <v>-1886.4</v>
      </c>
      <c r="G44" s="6">
        <f>'Alder'!G44+'Beacon'!G44+'Cobalt'!G44+'Delta'!G44+'Ember'!G44+'Falcon'!G44+'Granite'!G44+'Hollis'!G44+'SAFEREG'!G44</f>
        <v>-1734.7999999999997</v>
      </c>
      <c r="H44" s="6">
        <f>'Alder'!H44+'Beacon'!H44+'Cobalt'!H44+'Delta'!H44+'Ember'!H44+'Falcon'!H44+'Granite'!H44+'Hollis'!H44+'SAFEREG'!H44</f>
        <v>-1803.7</v>
      </c>
      <c r="I44" s="6">
        <f>'Alder'!I44+'Beacon'!I44+'Cobalt'!I44+'Delta'!I44+'Ember'!I44+'Falcon'!I44+'Granite'!I44+'Hollis'!I44+'SAFEREG'!I44</f>
        <v>-1794.7</v>
      </c>
      <c r="J44" s="6">
        <f>'Alder'!J44+'Beacon'!J44+'Cobalt'!J44+'Delta'!J44+'Ember'!J44+'Falcon'!J44+'Granite'!J44+'Hollis'!J44+'SAFEREG'!J44</f>
        <v>-1760.5</v>
      </c>
      <c r="K44" s="6">
        <f>'Alder'!K44+'Beacon'!K44+'Cobalt'!K44+'Delta'!K44+'Ember'!K44+'Falcon'!K44+'Granite'!K44+'Hollis'!K44+'SAFEREG'!K44</f>
        <v>-1789.1999999999998</v>
      </c>
      <c r="L44" s="6">
        <f>'Alder'!L44+'Beacon'!L44+'Cobalt'!L44+'Delta'!L44+'Ember'!L44+'Falcon'!L44+'Granite'!L44+'Hollis'!L44+'SAFEREG'!L44</f>
        <v>-1812.6999999999998</v>
      </c>
      <c r="M44" s="6">
        <f>'Alder'!M44+'Beacon'!M44+'Cobalt'!M44+'Delta'!M44+'Ember'!M44+'Falcon'!M44+'Granite'!M44+'Hollis'!M44+'SAFEREG'!M44</f>
        <v>-1682.1000000000001</v>
      </c>
      <c r="N44" s="6">
        <f>'Alder'!N44+'Beacon'!N44+'Cobalt'!N44+'Delta'!N44+'Ember'!N44+'Falcon'!N44+'Granite'!N44+'Hollis'!N44+'SAFEREG'!N44</f>
        <v>-1838.3999999999999</v>
      </c>
      <c r="O44" s="6">
        <f>N44</f>
        <v>-1838.3999999999999</v>
      </c>
      <c r="Q44" s="6">
        <f>'Alder'!Q44+'Beacon'!Q44+'Cobalt'!Q44+'Delta'!Q44+'Ember'!Q44+'Falcon'!Q44+'Granite'!Q44+'Hollis'!Q44+'SAFEREG'!Q44</f>
        <v>-1673.5</v>
      </c>
      <c r="R44" s="6">
        <f>'Alder'!R44+'Beacon'!R44+'Cobalt'!R44+'Delta'!R44+'Ember'!R44+'Falcon'!R44+'Granite'!R44+'Hollis'!R44+'SAFEREG'!R44</f>
        <v>-1650.9</v>
      </c>
      <c r="S44" s="6">
        <f>'Alder'!S44+'Beacon'!S44+'Cobalt'!S44+'Delta'!S44+'Ember'!S44+'Falcon'!S44+'Granite'!S44+'Hollis'!S44+'SAFEREG'!S44</f>
        <v>-1757.8</v>
      </c>
      <c r="T44" s="6">
        <f>'Alder'!T44+'Beacon'!T44+'Cobalt'!T44+'Delta'!T44+'Ember'!T44+'Falcon'!T44+'Granite'!T44+'Hollis'!T44+'SAFEREG'!T44</f>
        <v>-1886.4</v>
      </c>
      <c r="U44" s="6">
        <f>'Alder'!U44+'Beacon'!U44+'Cobalt'!U44+'Delta'!U44+'Ember'!U44+'Falcon'!U44+'Granite'!U44+'Hollis'!U44+'SAFEREG'!U44</f>
        <v>-1734.7999999999997</v>
      </c>
      <c r="V44" s="6">
        <f>'Alder'!V44+'Beacon'!V44+'Cobalt'!V44+'Delta'!V44+'Ember'!V44+'Falcon'!V44+'Granite'!V44+'Hollis'!V44+'SAFEREG'!V44</f>
        <v>-1803.7</v>
      </c>
      <c r="W44" s="6">
        <f>'Alder'!W44+'Beacon'!W44+'Cobalt'!W44+'Delta'!W44+'Ember'!W44+'Falcon'!W44+'Granite'!W44+'Hollis'!W44+'SAFEREG'!W44</f>
        <v>-1794.7</v>
      </c>
      <c r="X44" s="6">
        <f>'Alder'!X44+'Beacon'!X44+'Cobalt'!X44+'Delta'!X44+'Ember'!X44+'Falcon'!X44+'Granite'!X44+'Hollis'!X44+'SAFEREG'!X44</f>
        <v>-1760.5</v>
      </c>
      <c r="Y44" s="6">
        <f>'Alder'!Y44+'Beacon'!Y44+'Cobalt'!Y44+'Delta'!Y44+'Ember'!Y44+'Falcon'!Y44+'Granite'!Y44+'Hollis'!Y44+'SAFEREG'!Y44</f>
        <v>-1789.1999999999998</v>
      </c>
      <c r="Z44" s="6">
        <f>'Alder'!Z44+'Beacon'!Z44+'Cobalt'!Z44+'Delta'!Z44+'Ember'!Z44+'Falcon'!Z44+'Granite'!Z44+'Hollis'!Z44+'SAFEREG'!Z44</f>
        <v>-1812.6999999999998</v>
      </c>
      <c r="AA44" s="6">
        <f>'Alder'!AA44+'Beacon'!AA44+'Cobalt'!AA44+'Delta'!AA44+'Ember'!AA44+'Falcon'!AA44+'Granite'!AA44+'Hollis'!AA44+'SAFEREG'!AA44</f>
        <v>-1682.1000000000001</v>
      </c>
      <c r="AB44" s="6">
        <f>'Alder'!AB44+'Beacon'!AB44+'Cobalt'!AB44+'Delta'!AB44+'Ember'!AB44+'Falcon'!AB44+'Granite'!AB44+'Hollis'!AB44+'SAFEREG'!AB44</f>
        <v>-1838.3999999999999</v>
      </c>
      <c r="AC44" s="6">
        <f>AB44</f>
        <v>-1838.3999999999999</v>
      </c>
      <c r="AE44" s="6">
        <f>Q44-C44</f>
        <v>0.0</v>
      </c>
      <c r="AF44" s="6">
        <f>R44-D44</f>
        <v>0.0</v>
      </c>
      <c r="AG44" s="6">
        <f>S44-E44</f>
        <v>0.0</v>
      </c>
      <c r="AH44" s="6">
        <f>T44-F44</f>
        <v>0.0</v>
      </c>
      <c r="AI44" s="6">
        <f>U44-G44</f>
        <v>0.0</v>
      </c>
      <c r="AJ44" s="6">
        <f>V44-H44</f>
        <v>0.0</v>
      </c>
      <c r="AK44" s="6">
        <f>W44-I44</f>
        <v>0.0</v>
      </c>
      <c r="AL44" s="6">
        <f>X44-J44</f>
        <v>0.0</v>
      </c>
      <c r="AM44" s="6">
        <f>Y44-K44</f>
        <v>0.0</v>
      </c>
      <c r="AN44" s="6">
        <f>Z44-L44</f>
        <v>0.0</v>
      </c>
      <c r="AO44" s="6">
        <f>AA44-M44</f>
        <v>0.0</v>
      </c>
      <c r="AP44" s="6">
        <f>AB44-N44</f>
        <v>0.0</v>
      </c>
      <c r="AQ44" s="6">
        <f>AP44</f>
        <v>0.0</v>
      </c>
      <c r="AS44" s="6">
        <f>'Safety-Adj'!C99</f>
        <v>0.0</v>
      </c>
      <c r="AT44" s="6">
        <f>'Safety-Adj'!D99</f>
        <v>0.0</v>
      </c>
      <c r="AU44" s="6">
        <f>'Safety-Adj'!E99</f>
        <v>0.0</v>
      </c>
      <c r="AV44" s="6">
        <f>'Safety-Adj'!F99</f>
        <v>0.0</v>
      </c>
      <c r="AW44" s="6">
        <f>'Safety-Adj'!G99</f>
        <v>0.0</v>
      </c>
      <c r="AX44" s="6">
        <f>'Safety-Adj'!H99</f>
        <v>0.0</v>
      </c>
      <c r="AY44" s="6">
        <f>'Safety-Adj'!I99</f>
        <v>0.0</v>
      </c>
      <c r="AZ44" s="6">
        <f>'Safety-Adj'!J99</f>
        <v>0.0</v>
      </c>
      <c r="BA44" s="6">
        <f>'Safety-Adj'!K99</f>
        <v>0.0</v>
      </c>
      <c r="BB44" s="6">
        <f>'Safety-Adj'!L99</f>
        <v>0.0</v>
      </c>
      <c r="BC44" s="6">
        <f>'Safety-Adj'!M99</f>
        <v>0.0</v>
      </c>
      <c r="BD44" s="6">
        <f>'Safety-Adj'!N99</f>
        <v>0.0</v>
      </c>
      <c r="BE44" s="6">
        <f>BD44</f>
        <v>0.0</v>
      </c>
      <c r="BG44" s="6">
        <f>C44+AE44+AS44</f>
        <v>-1673.5</v>
      </c>
      <c r="BH44" s="6">
        <f>D44+AF44+AT44</f>
        <v>-1650.9</v>
      </c>
      <c r="BI44" s="6">
        <f>E44+AG44+AU44</f>
        <v>-1757.8</v>
      </c>
      <c r="BJ44" s="6">
        <f>F44+AH44+AV44</f>
        <v>-1886.4</v>
      </c>
      <c r="BK44" s="6">
        <f>G44+AI44+AW44</f>
        <v>-1734.7999999999997</v>
      </c>
      <c r="BL44" s="6">
        <f>H44+AJ44+AX44</f>
        <v>-1803.7</v>
      </c>
      <c r="BM44" s="6">
        <f>I44+AK44+AY44</f>
        <v>-1794.7</v>
      </c>
      <c r="BN44" s="6">
        <f>J44+AL44+AZ44</f>
        <v>-1760.5</v>
      </c>
      <c r="BO44" s="6">
        <f>K44+AM44+BA44</f>
        <v>-1789.1999999999998</v>
      </c>
      <c r="BP44" s="6">
        <f>L44+AN44+BB44</f>
        <v>-1812.6999999999998</v>
      </c>
      <c r="BQ44" s="6">
        <f>M44+AO44+BC44</f>
        <v>-1682.1000000000001</v>
      </c>
      <c r="BR44" s="6">
        <f>N44+AP44+BD44</f>
        <v>-1838.3999999999999</v>
      </c>
      <c r="BS44" s="6">
        <f>BR44</f>
        <v>-1838.3999999999999</v>
      </c>
    </row>
    <row r="45">
      <c r="B45" s="2" t="inlineStr">
        <is>
          <t>Total working capital</t>
        </is>
      </c>
      <c r="C45" s="6">
        <f>SUM(C40:C44)</f>
        <v>111613.80000000003</v>
      </c>
      <c r="D45" s="6">
        <f>SUM(D40:D44)</f>
        <v>110521.3</v>
      </c>
      <c r="E45" s="6">
        <f>SUM(E40:E44)</f>
        <v>117884.7</v>
      </c>
      <c r="F45" s="6">
        <f>SUM(F40:F44)</f>
        <v>127627.20000000001</v>
      </c>
      <c r="G45" s="6">
        <f>SUM(G40:G44)</f>
        <v>114286.19999999997</v>
      </c>
      <c r="H45" s="6">
        <f>SUM(H40:H44)</f>
        <v>116078.10000000005</v>
      </c>
      <c r="I45" s="6">
        <f>SUM(I40:I44)</f>
        <v>113694.40000000001</v>
      </c>
      <c r="J45" s="6">
        <f>SUM(J40:J44)</f>
        <v>107910.1</v>
      </c>
      <c r="K45" s="6">
        <f>SUM(K40:K44)</f>
        <v>109361.40000000001</v>
      </c>
      <c r="L45" s="6">
        <f>SUM(L40:L44)</f>
        <v>110478.10000000002</v>
      </c>
      <c r="M45" s="6">
        <f>SUM(M40:M44)</f>
        <v>101822.49999999999</v>
      </c>
      <c r="N45" s="6">
        <f>SUM(N40:N44)</f>
        <v>112161.6</v>
      </c>
      <c r="O45" s="6">
        <f>N45</f>
        <v>112161.6</v>
      </c>
      <c r="Q45" s="6">
        <f>SUM(Q40:Q44)</f>
        <v>111613.80000000003</v>
      </c>
      <c r="R45" s="6">
        <f>SUM(R40:R44)</f>
        <v>110521.3</v>
      </c>
      <c r="S45" s="6">
        <f>SUM(S40:S44)</f>
        <v>117884.7</v>
      </c>
      <c r="T45" s="6">
        <f>SUM(T40:T44)</f>
        <v>127627.20000000001</v>
      </c>
      <c r="U45" s="6">
        <f>SUM(U40:U44)</f>
        <v>114286.19999999997</v>
      </c>
      <c r="V45" s="6">
        <f>SUM(V40:V44)</f>
        <v>116078.10000000005</v>
      </c>
      <c r="W45" s="6">
        <f>SUM(W40:W44)</f>
        <v>113694.40000000001</v>
      </c>
      <c r="X45" s="6">
        <f>SUM(X40:X44)</f>
        <v>107910.1</v>
      </c>
      <c r="Y45" s="6">
        <f>SUM(Y40:Y44)</f>
        <v>109361.40000000001</v>
      </c>
      <c r="Z45" s="6">
        <f>SUM(Z40:Z44)</f>
        <v>110478.10000000002</v>
      </c>
      <c r="AA45" s="6">
        <f>SUM(AA40:AA44)</f>
        <v>101822.49999999999</v>
      </c>
      <c r="AB45" s="6">
        <f>SUM(AB40:AB44)</f>
        <v>112161.6</v>
      </c>
      <c r="AC45" s="6">
        <f>AB45</f>
        <v>112161.6</v>
      </c>
      <c r="AE45" s="6">
        <f>SUM(AE40:AE44)</f>
        <v>0.0</v>
      </c>
      <c r="AF45" s="6">
        <f>SUM(AF40:AF44)</f>
        <v>0.0</v>
      </c>
      <c r="AG45" s="6">
        <f>SUM(AG40:AG44)</f>
        <v>0.0</v>
      </c>
      <c r="AH45" s="6">
        <f>SUM(AH40:AH44)</f>
        <v>0.0</v>
      </c>
      <c r="AI45" s="6">
        <f>SUM(AI40:AI44)</f>
        <v>0.0</v>
      </c>
      <c r="AJ45" s="6">
        <f>SUM(AJ40:AJ44)</f>
        <v>0.0</v>
      </c>
      <c r="AK45" s="6">
        <f>SUM(AK40:AK44)</f>
        <v>0.0</v>
      </c>
      <c r="AL45" s="6">
        <f>SUM(AL40:AL44)</f>
        <v>0.0</v>
      </c>
      <c r="AM45" s="6">
        <f>SUM(AM40:AM44)</f>
        <v>0.0</v>
      </c>
      <c r="AN45" s="6">
        <f>SUM(AN40:AN44)</f>
        <v>0.0</v>
      </c>
      <c r="AO45" s="6">
        <f>SUM(AO40:AO44)</f>
        <v>0.0</v>
      </c>
      <c r="AP45" s="6">
        <f>SUM(AP40:AP44)</f>
        <v>0.0</v>
      </c>
      <c r="AQ45" s="6">
        <f>AP45</f>
        <v>0.0</v>
      </c>
      <c r="AS45" s="6">
        <f>SUM(AS40:AS44)</f>
        <v>0.0</v>
      </c>
      <c r="AT45" s="6">
        <f>SUM(AT40:AT44)</f>
        <v>0.0</v>
      </c>
      <c r="AU45" s="6">
        <f>SUM(AU40:AU44)</f>
        <v>0.0</v>
      </c>
      <c r="AV45" s="6">
        <f>SUM(AV40:AV44)</f>
        <v>0.0</v>
      </c>
      <c r="AW45" s="6">
        <f>SUM(AW40:AW44)</f>
        <v>0.0</v>
      </c>
      <c r="AX45" s="6">
        <f>SUM(AX40:AX44)</f>
        <v>0.0</v>
      </c>
      <c r="AY45" s="6">
        <f>SUM(AY40:AY44)</f>
        <v>0.0</v>
      </c>
      <c r="AZ45" s="6">
        <f>SUM(AZ40:AZ44)</f>
        <v>0.0</v>
      </c>
      <c r="BA45" s="6">
        <f>SUM(BA40:BA44)</f>
        <v>1000.0</v>
      </c>
      <c r="BB45" s="6">
        <f>SUM(BB40:BB44)</f>
        <v>-1700.0</v>
      </c>
      <c r="BC45" s="6">
        <f>SUM(BC40:BC44)</f>
        <v>-3500.0</v>
      </c>
      <c r="BD45" s="6">
        <f>SUM(BD40:BD44)</f>
        <v>-4000.0</v>
      </c>
      <c r="BE45" s="6">
        <f>BD45</f>
        <v>-4000.0</v>
      </c>
      <c r="BG45" s="6">
        <f>SUM(BG40:BG44)</f>
        <v>111613.80000000003</v>
      </c>
      <c r="BH45" s="6">
        <f>SUM(BH40:BH44)</f>
        <v>110521.3</v>
      </c>
      <c r="BI45" s="6">
        <f>SUM(BI40:BI44)</f>
        <v>117884.7</v>
      </c>
      <c r="BJ45" s="6">
        <f>SUM(BJ40:BJ44)</f>
        <v>127627.20000000001</v>
      </c>
      <c r="BK45" s="6">
        <f>SUM(BK40:BK44)</f>
        <v>114286.19999999997</v>
      </c>
      <c r="BL45" s="6">
        <f>SUM(BL40:BL44)</f>
        <v>116078.10000000005</v>
      </c>
      <c r="BM45" s="6">
        <f>SUM(BM40:BM44)</f>
        <v>113694.40000000001</v>
      </c>
      <c r="BN45" s="6">
        <f>SUM(BN40:BN44)</f>
        <v>107910.1</v>
      </c>
      <c r="BO45" s="6">
        <f>SUM(BO40:BO44)</f>
        <v>110361.40000000001</v>
      </c>
      <c r="BP45" s="6">
        <f>SUM(BP40:BP44)</f>
        <v>108778.10000000002</v>
      </c>
      <c r="BQ45" s="6">
        <f>SUM(BQ40:BQ44)</f>
        <v>98322.49999999999</v>
      </c>
      <c r="BR45" s="6">
        <f>SUM(BR40:BR44)</f>
        <v>108161.6</v>
      </c>
      <c r="BS45" s="6">
        <f>BR45</f>
        <v>108161.6</v>
      </c>
    </row>
    <row r="46">
      <c r="B46" s="5" t="inlineStr">
        <is>
          <t>Working capital/sales (monthly)</t>
        </is>
      </c>
      <c r="C46" s="12">
        <f>IFERROR(C45/(C28*12),0)</f>
        <v>0.18685750562009942</v>
      </c>
      <c r="D46" s="12">
        <f>IFERROR(D45/(D28*12),0)</f>
        <v>0.1878333612054912</v>
      </c>
      <c r="E46" s="12">
        <f>IFERROR(E45/(E28*12),0)</f>
        <v>0.18680402902541246</v>
      </c>
      <c r="F46" s="12">
        <f>IFERROR(F45/(F28*12),0)</f>
        <v>0.186976876651448</v>
      </c>
      <c r="G46" s="12">
        <f>IFERROR(G45/(G28*12),0)</f>
        <v>0.18373928058109132</v>
      </c>
      <c r="H46" s="12">
        <f>IFERROR(H45/(H28*12),0)</f>
        <v>0.17872214041434417</v>
      </c>
      <c r="I46" s="12">
        <f>IFERROR(I45/(I28*12),0)</f>
        <v>0.17601921227445363</v>
      </c>
      <c r="J46" s="12">
        <f>IFERROR(J45/(J28*12),0)</f>
        <v>0.17069640144289025</v>
      </c>
      <c r="K46" s="12">
        <f>IFERROR(K45/(K28*12),0)</f>
        <v>0.17460255118267126</v>
      </c>
      <c r="L46" s="12">
        <f>IFERROR(L45/(L28*12),0)</f>
        <v>0.16586719346320683</v>
      </c>
      <c r="M46" s="12">
        <f>IFERROR(M45/(M28*12),0)</f>
        <v>0.1685881133562483</v>
      </c>
      <c r="N46" s="12">
        <f>IFERROR(N45/(N28*12),0)</f>
        <v>0.1699751951292254</v>
      </c>
      <c r="Q46" s="12">
        <f>IFERROR(Q45/(Q28*12),0)</f>
        <v>0.18685750562009942</v>
      </c>
      <c r="R46" s="12">
        <f>IFERROR(R45/(R28*12),0)</f>
        <v>0.1878333612054912</v>
      </c>
      <c r="S46" s="12">
        <f>IFERROR(S45/(S28*12),0)</f>
        <v>0.18680402902541246</v>
      </c>
      <c r="T46" s="12">
        <f>IFERROR(T45/(T28*12),0)</f>
        <v>0.186976876651448</v>
      </c>
      <c r="U46" s="12">
        <f>IFERROR(U45/(U28*12),0)</f>
        <v>0.18373928058109132</v>
      </c>
      <c r="V46" s="12">
        <f>IFERROR(V45/(V28*12),0)</f>
        <v>0.17872214041434417</v>
      </c>
      <c r="W46" s="12">
        <f>IFERROR(W45/(W28*12),0)</f>
        <v>0.17601921227445363</v>
      </c>
      <c r="X46" s="12">
        <f>IFERROR(X45/(X28*12),0)</f>
        <v>0.17069640144289025</v>
      </c>
      <c r="Y46" s="12">
        <f>IFERROR(Y45/(Y28*12),0)</f>
        <v>0.1747532137816776</v>
      </c>
      <c r="Z46" s="12">
        <f>IFERROR(Z45/(Z28*12),0)</f>
        <v>0.16600177664623764</v>
      </c>
      <c r="AA46" s="12">
        <f>IFERROR(AA45/(AA28*12),0)</f>
        <v>0.16873897970276683</v>
      </c>
      <c r="AB46" s="12">
        <f>IFERROR(AB45/(AB28*12),0)</f>
        <v>0.17011440698017263</v>
      </c>
      <c r="AE46" s="12">
        <f>IFERROR(AE45/(AE28*12),0)</f>
        <v>0.0</v>
      </c>
      <c r="AF46" s="12">
        <f>IFERROR(AF45/(AF28*12),0)</f>
        <v>0.0</v>
      </c>
      <c r="AG46" s="12">
        <f>IFERROR(AG45/(AG28*12),0)</f>
        <v>0.0</v>
      </c>
      <c r="AH46" s="12">
        <f>IFERROR(AH45/(AH28*12),0)</f>
        <v>0.0</v>
      </c>
      <c r="AI46" s="12">
        <f>IFERROR(AI45/(AI28*12),0)</f>
        <v>0.0</v>
      </c>
      <c r="AJ46" s="12">
        <f>IFERROR(AJ45/(AJ28*12),0)</f>
        <v>0.0</v>
      </c>
      <c r="AK46" s="12">
        <f>IFERROR(AK45/(AK28*12),0)</f>
        <v>0.0</v>
      </c>
      <c r="AL46" s="12">
        <f>IFERROR(AL45/(AL28*12),0)</f>
        <v>0.0</v>
      </c>
      <c r="AM46" s="12">
        <f>IFERROR(AM45/(AM28*12),0)</f>
        <v>0.0</v>
      </c>
      <c r="AN46" s="12">
        <f>IFERROR(AN45/(AN28*12),0)</f>
        <v>0.0</v>
      </c>
      <c r="AO46" s="12">
        <f>IFERROR(AO45/(AO28*12),0)</f>
        <v>0.0</v>
      </c>
      <c r="AP46" s="12">
        <f>IFERROR(AP45/(AP28*12),0)</f>
        <v>0.0</v>
      </c>
      <c r="AS46" s="12">
        <f>IFERROR(AS45/(AS28*12),0)</f>
        <v>0.0</v>
      </c>
      <c r="AT46" s="12">
        <f>IFERROR(AT45/(AT28*12),0)</f>
        <v>0.0</v>
      </c>
      <c r="AU46" s="12">
        <f>IFERROR(AU45/(AU28*12),0)</f>
        <v>0.0</v>
      </c>
      <c r="AV46" s="12">
        <f>IFERROR(AV45/(AV28*12),0)</f>
        <v>0.0</v>
      </c>
      <c r="AW46" s="12">
        <f>IFERROR(AW45/(AW28*12),0)</f>
        <v>0.0</v>
      </c>
      <c r="AX46" s="12">
        <f>IFERROR(AX45/(AX28*12),0)</f>
        <v>0.0</v>
      </c>
      <c r="AY46" s="12">
        <f>IFERROR(AY45/(AY28*12),0)</f>
        <v>0.0</v>
      </c>
      <c r="AZ46" s="12">
        <f>IFERROR(AZ45/(AZ28*12),0)</f>
        <v>0.0</v>
      </c>
      <c r="BA46" s="12">
        <f>IFERROR(BA45/(BA28*12),0)</f>
        <v>0.05592841163310962</v>
      </c>
      <c r="BB46" s="12">
        <f>IFERROR(BB45/(BB28*12),0)</f>
        <v>0.1362179487179487</v>
      </c>
      <c r="BC46" s="12">
        <f>IFERROR(BC45/(BC28*12),0)</f>
        <v>1.3257575757575757</v>
      </c>
      <c r="BD46" s="12">
        <f>IFERROR(BD45/(BD28*12),0)</f>
        <v>-0.9803921568627451</v>
      </c>
      <c r="BG46" s="12">
        <f>IFERROR(BG45/(BG28*12),0)</f>
        <v>0.18685750562009942</v>
      </c>
      <c r="BH46" s="12">
        <f>IFERROR(BH45/(BH28*12),0)</f>
        <v>0.1878333612054912</v>
      </c>
      <c r="BI46" s="12">
        <f>IFERROR(BI45/(BI28*12),0)</f>
        <v>0.18680402902541246</v>
      </c>
      <c r="BJ46" s="12">
        <f>IFERROR(BJ45/(BJ28*12),0)</f>
        <v>0.186976876651448</v>
      </c>
      <c r="BK46" s="12">
        <f>IFERROR(BK45/(BK28*12),0)</f>
        <v>0.18373928058109132</v>
      </c>
      <c r="BL46" s="12">
        <f>IFERROR(BL45/(BL28*12),0)</f>
        <v>0.17872214041434417</v>
      </c>
      <c r="BM46" s="12">
        <f>IFERROR(BM45/(BM28*12),0)</f>
        <v>0.17601921227445363</v>
      </c>
      <c r="BN46" s="12">
        <f>IFERROR(BN45/(BN28*12),0)</f>
        <v>0.17069640144289025</v>
      </c>
      <c r="BO46" s="12">
        <f>IFERROR(BO45/(BO28*12),0)</f>
        <v>0.17145254944656144</v>
      </c>
      <c r="BP46" s="12">
        <f>IFERROR(BP45/(BP28*12),0)</f>
        <v>0.16657096095880888</v>
      </c>
      <c r="BQ46" s="12">
        <f>IFERROR(BQ45/(BQ28*12),0)</f>
        <v>0.1636548089854725</v>
      </c>
      <c r="BR46" s="12">
        <f>IFERROR(BR45/(BR28*12),0)</f>
        <v>0.16303874645317593</v>
      </c>
    </row>
    <row r="49">
      <c r="B49" s="8" t="inlineStr">
        <is>
          <t>Budget 2026</t>
        </is>
      </c>
    </row>
    <row r="50">
      <c r="C50" s="20" t="inlineStr">
        <is>
          <t>January</t>
        </is>
      </c>
      <c r="D50" s="20" t="inlineStr">
        <is>
          <t>February</t>
        </is>
      </c>
      <c r="E50" s="20" t="inlineStr">
        <is>
          <t>March</t>
        </is>
      </c>
      <c r="F50" s="20" t="inlineStr">
        <is>
          <t>April</t>
        </is>
      </c>
      <c r="G50" s="20" t="inlineStr">
        <is>
          <t>May</t>
        </is>
      </c>
      <c r="H50" s="20" t="inlineStr">
        <is>
          <t>June</t>
        </is>
      </c>
      <c r="I50" s="20" t="inlineStr">
        <is>
          <t>July</t>
        </is>
      </c>
      <c r="J50" s="20" t="inlineStr">
        <is>
          <t>August</t>
        </is>
      </c>
      <c r="K50" s="20" t="inlineStr">
        <is>
          <t>September</t>
        </is>
      </c>
      <c r="L50" s="20" t="inlineStr">
        <is>
          <t>October</t>
        </is>
      </c>
      <c r="M50" s="20" t="inlineStr">
        <is>
          <t>November</t>
        </is>
      </c>
      <c r="N50" s="20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6">
        <f>'Alder'!C51+'Beacon'!C51+'Cobalt'!C51+'Delta'!C51+'Ember'!C51+'Falcon'!C51+'Granite'!C51+'Hollis'!C51+'SAFEREG'!C51</f>
        <v>49083.0</v>
      </c>
      <c r="D51" s="6">
        <f>'Alder'!D51+'Beacon'!D51+'Cobalt'!D51+'Delta'!D51+'Ember'!D51+'Falcon'!D51+'Granite'!D51+'Hollis'!D51+'SAFEREG'!D51</f>
        <v>48050.0</v>
      </c>
      <c r="E51" s="6">
        <f>'Alder'!E51+'Beacon'!E51+'Cobalt'!E51+'Delta'!E51+'Ember'!E51+'Falcon'!E51+'Granite'!E51+'Hollis'!E51+'SAFEREG'!E51</f>
        <v>51666.4</v>
      </c>
      <c r="F51" s="6">
        <f>'Alder'!F51+'Beacon'!F51+'Cobalt'!F51+'Delta'!F51+'Ember'!F51+'Falcon'!F51+'Granite'!F51+'Hollis'!F51+'SAFEREG'!F51</f>
        <v>55799.9</v>
      </c>
      <c r="G51" s="6">
        <f>'Alder'!G51+'Beacon'!G51+'Cobalt'!G51+'Delta'!G51+'Ember'!G51+'Falcon'!G51+'Granite'!G51+'Hollis'!G51+'SAFEREG'!G51</f>
        <v>50633.4</v>
      </c>
      <c r="H51" s="6">
        <f>'Alder'!H51+'Beacon'!H51+'Cobalt'!H51+'Delta'!H51+'Ember'!H51+'Falcon'!H51+'Granite'!H51+'Hollis'!H51+'SAFEREG'!H51</f>
        <v>53216.8</v>
      </c>
      <c r="I51" s="6">
        <f>'Alder'!I51+'Beacon'!I51+'Cobalt'!I51+'Delta'!I51+'Ember'!I51+'Falcon'!I51+'Granite'!I51+'Hollis'!I51+'SAFEREG'!I51</f>
        <v>52699.6</v>
      </c>
      <c r="J51" s="6">
        <f>'Alder'!J51+'Beacon'!J51+'Cobalt'!J51+'Delta'!J51+'Ember'!J51+'Falcon'!J51+'Granite'!J51+'Hollis'!J51+'SAFEREG'!J51</f>
        <v>51666.6</v>
      </c>
      <c r="K51" s="6">
        <f>'Alder'!K51+'Beacon'!K51+'Cobalt'!K51+'Delta'!K51+'Ember'!K51+'Falcon'!K51+'Granite'!K51+'Hollis'!K51+'SAFEREG'!K51</f>
        <v>50633.2</v>
      </c>
      <c r="L51" s="6">
        <f>'Alder'!L51+'Beacon'!L51+'Cobalt'!L51+'Delta'!L51+'Ember'!L51+'Falcon'!L51+'Granite'!L51+'Hollis'!L51+'SAFEREG'!L51</f>
        <v>54249.799999999996</v>
      </c>
      <c r="M51" s="6">
        <f>'Alder'!M51+'Beacon'!M51+'Cobalt'!M51+'Delta'!M51+'Ember'!M51+'Falcon'!M51+'Granite'!M51+'Hollis'!M51+'SAFEREG'!M51</f>
        <v>49083.100000000006</v>
      </c>
      <c r="N51" s="6">
        <f>'Alder'!N51+'Beacon'!N51+'Cobalt'!N51+'Delta'!N51+'Ember'!N51+'Falcon'!N51+'Granite'!N51+'Hollis'!N51+'SAFEREG'!N51</f>
        <v>53216.3</v>
      </c>
      <c r="O51" s="6">
        <f>SUM(C51:N51)</f>
        <v>619998.1</v>
      </c>
    </row>
    <row r="52">
      <c r="B52" t="inlineStr">
        <is>
          <t>Gross Margin</t>
        </is>
      </c>
      <c r="C52" s="6">
        <f>'Alder'!C52+'Beacon'!C52+'Cobalt'!C52+'Delta'!C52+'Ember'!C52+'Falcon'!C52+'Granite'!C52+'Hollis'!C52+'SAFEREG'!C52</f>
        <v>15417.599999999999</v>
      </c>
      <c r="D52" s="6">
        <f>'Alder'!D52+'Beacon'!D52+'Cobalt'!D52+'Delta'!D52+'Ember'!D52+'Falcon'!D52+'Granite'!D52+'Hollis'!D52+'SAFEREG'!D52</f>
        <v>15093.2</v>
      </c>
      <c r="E52" s="6">
        <f>'Alder'!E52+'Beacon'!E52+'Cobalt'!E52+'Delta'!E52+'Ember'!E52+'Falcon'!E52+'Granite'!E52+'Hollis'!E52+'SAFEREG'!E52</f>
        <v>16228.9</v>
      </c>
      <c r="F52" s="6">
        <f>'Alder'!F52+'Beacon'!F52+'Cobalt'!F52+'Delta'!F52+'Ember'!F52+'Falcon'!F52+'Granite'!F52+'Hollis'!F52+'SAFEREG'!F52</f>
        <v>17527.5</v>
      </c>
      <c r="G52" s="6">
        <f>'Alder'!G52+'Beacon'!G52+'Cobalt'!G52+'Delta'!G52+'Ember'!G52+'Falcon'!G52+'Granite'!G52+'Hollis'!G52+'SAFEREG'!G52</f>
        <v>15904.900000000001</v>
      </c>
      <c r="H52" s="6">
        <f>'Alder'!H52+'Beacon'!H52+'Cobalt'!H52+'Delta'!H52+'Ember'!H52+'Falcon'!H52+'Granite'!H52+'Hollis'!H52+'SAFEREG'!H52</f>
        <v>16716.100000000002</v>
      </c>
      <c r="I52" s="6">
        <f>'Alder'!I52+'Beacon'!I52+'Cobalt'!I52+'Delta'!I52+'Ember'!I52+'Falcon'!I52+'Granite'!I52+'Hollis'!I52+'SAFEREG'!I52</f>
        <v>16553.3</v>
      </c>
      <c r="J52" s="6">
        <f>'Alder'!J52+'Beacon'!J52+'Cobalt'!J52+'Delta'!J52+'Ember'!J52+'Falcon'!J52+'Granite'!J52+'Hollis'!J52+'SAFEREG'!J52</f>
        <v>16229.1</v>
      </c>
      <c r="K52" s="6">
        <f>'Alder'!K52+'Beacon'!K52+'Cobalt'!K52+'Delta'!K52+'Ember'!K52+'Falcon'!K52+'Granite'!K52+'Hollis'!K52+'SAFEREG'!K52</f>
        <v>15904.7</v>
      </c>
      <c r="L52" s="6">
        <f>'Alder'!L52+'Beacon'!L52+'Cobalt'!L52+'Delta'!L52+'Ember'!L52+'Falcon'!L52+'Granite'!L52+'Hollis'!L52+'SAFEREG'!L52</f>
        <v>17040.699999999997</v>
      </c>
      <c r="M52" s="6">
        <f>'Alder'!M52+'Beacon'!M52+'Cobalt'!M52+'Delta'!M52+'Ember'!M52+'Falcon'!M52+'Granite'!M52+'Hollis'!M52+'SAFEREG'!M52</f>
        <v>15417.9</v>
      </c>
      <c r="N52" s="6">
        <f>'Alder'!N52+'Beacon'!N52+'Cobalt'!N52+'Delta'!N52+'Ember'!N52+'Falcon'!N52+'Granite'!N52+'Hollis'!N52+'SAFEREG'!N52</f>
        <v>16715.600000000002</v>
      </c>
      <c r="O52" s="6">
        <f>SUM(C52:N52)</f>
        <v>194749.5</v>
      </c>
    </row>
    <row r="53">
      <c r="B53" t="inlineStr">
        <is>
          <t>Op Costs</t>
        </is>
      </c>
      <c r="C53" s="6">
        <f>'Alder'!C53+'Beacon'!C53+'Cobalt'!C53+'Delta'!C53+'Ember'!C53+'Falcon'!C53+'Granite'!C53+'Hollis'!C53+'SAFEREG'!C53</f>
        <v>-10679.099999999999</v>
      </c>
      <c r="D53" s="6">
        <f>'Alder'!D53+'Beacon'!D53+'Cobalt'!D53+'Delta'!D53+'Ember'!D53+'Falcon'!D53+'Granite'!D53+'Hollis'!D53+'SAFEREG'!D53</f>
        <v>-10462.000000000002</v>
      </c>
      <c r="E53" s="6">
        <f>'Alder'!E53+'Beacon'!E53+'Cobalt'!E53+'Delta'!E53+'Ember'!E53+'Falcon'!E53+'Granite'!E53+'Hollis'!E53+'SAFEREG'!E53</f>
        <v>-11225.599999999999</v>
      </c>
      <c r="F53" s="6">
        <f>'Alder'!F53+'Beacon'!F53+'Cobalt'!F53+'Delta'!F53+'Ember'!F53+'Falcon'!F53+'Granite'!F53+'Hollis'!F53+'SAFEREG'!F53</f>
        <v>-12101.3</v>
      </c>
      <c r="G53" s="6">
        <f>'Alder'!G53+'Beacon'!G53+'Cobalt'!G53+'Delta'!G53+'Ember'!G53+'Falcon'!G53+'Granite'!G53+'Hollis'!G53+'SAFEREG'!G53</f>
        <v>-11011.9</v>
      </c>
      <c r="H53" s="6">
        <f>'Alder'!H53+'Beacon'!H53+'Cobalt'!H53+'Delta'!H53+'Ember'!H53+'Falcon'!H53+'Granite'!H53+'Hollis'!H53+'SAFEREG'!H53</f>
        <v>-11552.800000000001</v>
      </c>
      <c r="I53" s="6">
        <f>'Alder'!I53+'Beacon'!I53+'Cobalt'!I53+'Delta'!I53+'Ember'!I53+'Falcon'!I53+'Granite'!I53+'Hollis'!I53+'SAFEREG'!I53</f>
        <v>-11445.0</v>
      </c>
      <c r="J53" s="6">
        <f>'Alder'!J53+'Beacon'!J53+'Cobalt'!J53+'Delta'!J53+'Ember'!J53+'Falcon'!J53+'Granite'!J53+'Hollis'!J53+'SAFEREG'!J53</f>
        <v>-11226.9</v>
      </c>
      <c r="K53" s="6">
        <f>'Alder'!K53+'Beacon'!K53+'Cobalt'!K53+'Delta'!K53+'Ember'!K53+'Falcon'!K53+'Granite'!K53+'Hollis'!K53+'SAFEREG'!K53</f>
        <v>-11008.5</v>
      </c>
      <c r="L53" s="6">
        <f>'Alder'!L53+'Beacon'!L53+'Cobalt'!L53+'Delta'!L53+'Ember'!L53+'Falcon'!L53+'Granite'!L53+'Hollis'!L53+'SAFEREG'!L53</f>
        <v>-11771.2</v>
      </c>
      <c r="M53" s="6">
        <f>'Alder'!M53+'Beacon'!M53+'Cobalt'!M53+'Delta'!M53+'Ember'!M53+'Falcon'!M53+'Granite'!M53+'Hollis'!M53+'SAFEREG'!M53</f>
        <v>-10684.699999999999</v>
      </c>
      <c r="N53" s="6">
        <f>'Alder'!N53+'Beacon'!N53+'Cobalt'!N53+'Delta'!N53+'Ember'!N53+'Falcon'!N53+'Granite'!N53+'Hollis'!N53+'SAFEREG'!N53</f>
        <v>-11557.400000000001</v>
      </c>
      <c r="O53" s="6">
        <f>SUM(C53:N53)</f>
        <v>-134726.4</v>
      </c>
    </row>
    <row r="54">
      <c r="B54" t="inlineStr">
        <is>
          <t>PBITA</t>
        </is>
      </c>
      <c r="C54" s="6">
        <f>C52+C53</f>
        <v>4738.5</v>
      </c>
      <c r="D54" s="6">
        <f>D52+D53</f>
        <v>4631.199999999999</v>
      </c>
      <c r="E54" s="6">
        <f>E52+E53</f>
        <v>5003.300000000001</v>
      </c>
      <c r="F54" s="6">
        <f>F52+F53</f>
        <v>5426.200000000001</v>
      </c>
      <c r="G54" s="6">
        <f>G52+G53</f>
        <v>4893.000000000002</v>
      </c>
      <c r="H54" s="6">
        <f>H52+H53</f>
        <v>5163.300000000001</v>
      </c>
      <c r="I54" s="6">
        <f>I52+I53</f>
        <v>5108.299999999999</v>
      </c>
      <c r="J54" s="6">
        <f>J52+J53</f>
        <v>5002.200000000001</v>
      </c>
      <c r="K54" s="6">
        <f>K52+K53</f>
        <v>4896.200000000001</v>
      </c>
      <c r="L54" s="6">
        <f>L52+L53</f>
        <v>5269.499999999996</v>
      </c>
      <c r="M54" s="6">
        <f>M52+M53</f>
        <v>4733.200000000001</v>
      </c>
      <c r="N54" s="6">
        <f>N52+N53</f>
        <v>5158.200000000001</v>
      </c>
      <c r="O54" s="6">
        <f>SUM(C54:N54)</f>
        <v>60023.09999999999</v>
      </c>
    </row>
    <row r="55">
      <c r="B55" t="inlineStr">
        <is>
          <t>Net Inventory</t>
        </is>
      </c>
      <c r="C55" s="6">
        <f>'Alder'!C55+'Beacon'!C55+'Cobalt'!C55+'Delta'!C55+'Ember'!C55+'Falcon'!C55+'Granite'!C55+'Hollis'!C55+'SAFEREG'!C55</f>
        <v>84927.3</v>
      </c>
      <c r="D55" s="6">
        <f>'Alder'!D55+'Beacon'!D55+'Cobalt'!D55+'Delta'!D55+'Ember'!D55+'Falcon'!D55+'Granite'!D55+'Hollis'!D55+'SAFEREG'!D55</f>
        <v>83666.2</v>
      </c>
      <c r="E55" s="6">
        <f>'Alder'!E55+'Beacon'!E55+'Cobalt'!E55+'Delta'!E55+'Ember'!E55+'Falcon'!E55+'Granite'!E55+'Hollis'!E55+'SAFEREG'!E55</f>
        <v>89845.3</v>
      </c>
      <c r="F55" s="6">
        <f>'Alder'!F55+'Beacon'!F55+'Cobalt'!F55+'Delta'!F55+'Ember'!F55+'Falcon'!F55+'Granite'!F55+'Hollis'!F55+'SAFEREG'!F55</f>
        <v>96096.80000000002</v>
      </c>
      <c r="G55" s="6">
        <f>'Alder'!G55+'Beacon'!G55+'Cobalt'!G55+'Delta'!G55+'Ember'!G55+'Falcon'!G55+'Granite'!G55+'Hollis'!G55+'SAFEREG'!G55</f>
        <v>87623.9</v>
      </c>
      <c r="H55" s="6">
        <f>'Alder'!H55+'Beacon'!H55+'Cobalt'!H55+'Delta'!H55+'Ember'!H55+'Falcon'!H55+'Granite'!H55+'Hollis'!H55+'SAFEREG'!H55</f>
        <v>92050.6</v>
      </c>
      <c r="I55" s="6">
        <f>'Alder'!I55+'Beacon'!I55+'Cobalt'!I55+'Delta'!I55+'Ember'!I55+'Falcon'!I55+'Granite'!I55+'Hollis'!I55+'SAFEREG'!I55</f>
        <v>91390.2</v>
      </c>
      <c r="J55" s="6">
        <f>'Alder'!J55+'Beacon'!J55+'Cobalt'!J55+'Delta'!J55+'Ember'!J55+'Falcon'!J55+'Granite'!J55+'Hollis'!J55+'SAFEREG'!J55</f>
        <v>90209.5</v>
      </c>
      <c r="K55" s="6">
        <f>'Alder'!K55+'Beacon'!K55+'Cobalt'!K55+'Delta'!K55+'Ember'!K55+'Falcon'!K55+'Granite'!K55+'Hollis'!K55+'SAFEREG'!K55</f>
        <v>88155.3</v>
      </c>
      <c r="L55" s="6">
        <f>'Alder'!L55+'Beacon'!L55+'Cobalt'!L55+'Delta'!L55+'Ember'!L55+'Falcon'!L55+'Granite'!L55+'Hollis'!L55+'SAFEREG'!L55</f>
        <v>93644.7</v>
      </c>
      <c r="M55" s="6">
        <f>'Alder'!M55+'Beacon'!M55+'Cobalt'!M55+'Delta'!M55+'Ember'!M55+'Falcon'!M55+'Granite'!M55+'Hollis'!M55+'SAFEREG'!M55</f>
        <v>84849.5</v>
      </c>
      <c r="N55" s="6">
        <f>'Alder'!N55+'Beacon'!N55+'Cobalt'!N55+'Delta'!N55+'Ember'!N55+'Falcon'!N55+'Granite'!N55+'Hollis'!N55+'SAFEREG'!N55</f>
        <v>91808.20000000001</v>
      </c>
      <c r="O55" s="6">
        <f>N55</f>
        <v>91808.20000000001</v>
      </c>
    </row>
    <row r="56">
      <c r="B56" t="inlineStr">
        <is>
          <t>Trade Receivables</t>
        </is>
      </c>
      <c r="C56" s="6">
        <f>'Alder'!C56+'Beacon'!C56+'Cobalt'!C56+'Delta'!C56+'Ember'!C56+'Falcon'!C56+'Granite'!C56+'Hollis'!C56+'SAFEREG'!C56</f>
        <v>73624.5</v>
      </c>
      <c r="D56" s="6">
        <f>'Alder'!D56+'Beacon'!D56+'Cobalt'!D56+'Delta'!D56+'Ember'!D56+'Falcon'!D56+'Granite'!D56+'Hollis'!D56+'SAFEREG'!D56</f>
        <v>72074.9</v>
      </c>
      <c r="E56" s="6">
        <f>'Alder'!E56+'Beacon'!E56+'Cobalt'!E56+'Delta'!E56+'Ember'!E56+'Falcon'!E56+'Granite'!E56+'Hollis'!E56+'SAFEREG'!E56</f>
        <v>77499.6</v>
      </c>
      <c r="F56" s="6">
        <f>'Alder'!F56+'Beacon'!F56+'Cobalt'!F56+'Delta'!F56+'Ember'!F56+'Falcon'!F56+'Granite'!F56+'Hollis'!F56+'SAFEREG'!F56</f>
        <v>83700.0</v>
      </c>
      <c r="G56" s="6">
        <f>'Alder'!G56+'Beacon'!G56+'Cobalt'!G56+'Delta'!G56+'Ember'!G56+'Falcon'!G56+'Granite'!G56+'Hollis'!G56+'SAFEREG'!G56</f>
        <v>75950.1</v>
      </c>
      <c r="H56" s="6">
        <f>'Alder'!H56+'Beacon'!H56+'Cobalt'!H56+'Delta'!H56+'Ember'!H56+'Falcon'!H56+'Granite'!H56+'Hollis'!H56+'SAFEREG'!H56</f>
        <v>79825.3</v>
      </c>
      <c r="I56" s="6">
        <f>'Alder'!I56+'Beacon'!I56+'Cobalt'!I56+'Delta'!I56+'Ember'!I56+'Falcon'!I56+'Granite'!I56+'Hollis'!I56+'SAFEREG'!I56</f>
        <v>79049.5</v>
      </c>
      <c r="J56" s="6">
        <f>'Alder'!J56+'Beacon'!J56+'Cobalt'!J56+'Delta'!J56+'Ember'!J56+'Falcon'!J56+'Granite'!J56+'Hollis'!J56+'SAFEREG'!J56</f>
        <v>77500.0</v>
      </c>
      <c r="K56" s="6">
        <f>'Alder'!K56+'Beacon'!K56+'Cobalt'!K56+'Delta'!K56+'Ember'!K56+'Falcon'!K56+'Granite'!K56+'Hollis'!K56+'SAFEREG'!K56</f>
        <v>75949.59999999999</v>
      </c>
      <c r="L56" s="6">
        <f>'Alder'!L56+'Beacon'!L56+'Cobalt'!L56+'Delta'!L56+'Ember'!L56+'Falcon'!L56+'Granite'!L56+'Hollis'!L56+'SAFEREG'!L56</f>
        <v>81374.7</v>
      </c>
      <c r="M56" s="6">
        <f>'Alder'!M56+'Beacon'!M56+'Cobalt'!M56+'Delta'!M56+'Ember'!M56+'Falcon'!M56+'Granite'!M56+'Hollis'!M56+'SAFEREG'!M56</f>
        <v>73624.59999999999</v>
      </c>
      <c r="N56" s="6">
        <f>'Alder'!N56+'Beacon'!N56+'Cobalt'!N56+'Delta'!N56+'Ember'!N56+'Falcon'!N56+'Granite'!N56+'Hollis'!N56+'SAFEREG'!N56</f>
        <v>79824.6</v>
      </c>
      <c r="O56" s="6">
        <f>N56</f>
        <v>79824.6</v>
      </c>
    </row>
    <row r="57">
      <c r="B57" t="inlineStr">
        <is>
          <t>Other Receivables</t>
        </is>
      </c>
      <c r="C57" s="6">
        <f>'Alder'!C57+'Beacon'!C57+'Cobalt'!C57+'Delta'!C57+'Ember'!C57+'Falcon'!C57+'Granite'!C57+'Hollis'!C57+'SAFEREG'!C57</f>
        <v>761.1</v>
      </c>
      <c r="D57" s="6">
        <f>'Alder'!D57+'Beacon'!D57+'Cobalt'!D57+'Delta'!D57+'Ember'!D57+'Falcon'!D57+'Granite'!D57+'Hollis'!D57+'SAFEREG'!D57</f>
        <v>745.8</v>
      </c>
      <c r="E57" s="6">
        <f>'Alder'!E57+'Beacon'!E57+'Cobalt'!E57+'Delta'!E57+'Ember'!E57+'Falcon'!E57+'Granite'!E57+'Hollis'!E57+'SAFEREG'!E57</f>
        <v>799.8000000000001</v>
      </c>
      <c r="F57" s="6">
        <f>'Alder'!F57+'Beacon'!F57+'Cobalt'!F57+'Delta'!F57+'Ember'!F57+'Falcon'!F57+'Granite'!F57+'Hollis'!F57+'SAFEREG'!F57</f>
        <v>862.1</v>
      </c>
      <c r="G57" s="6">
        <f>'Alder'!G57+'Beacon'!G57+'Cobalt'!G57+'Delta'!G57+'Ember'!G57+'Falcon'!G57+'Granite'!G57+'Hollis'!G57+'SAFEREG'!G57</f>
        <v>784.6000000000001</v>
      </c>
      <c r="H57" s="6">
        <f>'Alder'!H57+'Beacon'!H57+'Cobalt'!H57+'Delta'!H57+'Ember'!H57+'Falcon'!H57+'Granite'!H57+'Hollis'!H57+'SAFEREG'!H57</f>
        <v>823.1</v>
      </c>
      <c r="I57" s="6">
        <f>'Alder'!I57+'Beacon'!I57+'Cobalt'!I57+'Delta'!I57+'Ember'!I57+'Falcon'!I57+'Granite'!I57+'Hollis'!I57+'SAFEREG'!I57</f>
        <v>815.3999999999999</v>
      </c>
      <c r="J57" s="6">
        <f>'Alder'!J57+'Beacon'!J57+'Cobalt'!J57+'Delta'!J57+'Ember'!J57+'Falcon'!J57+'Granite'!J57+'Hollis'!J57+'SAFEREG'!J57</f>
        <v>800.0</v>
      </c>
      <c r="K57" s="6">
        <f>'Alder'!K57+'Beacon'!K57+'Cobalt'!K57+'Delta'!K57+'Ember'!K57+'Falcon'!K57+'Granite'!K57+'Hollis'!K57+'SAFEREG'!K57</f>
        <v>784.4000000000001</v>
      </c>
      <c r="L57" s="6">
        <f>'Alder'!L57+'Beacon'!L57+'Cobalt'!L57+'Delta'!L57+'Ember'!L57+'Falcon'!L57+'Granite'!L57+'Hollis'!L57+'SAFEREG'!L57</f>
        <v>838.9</v>
      </c>
      <c r="M57" s="6">
        <f>'Alder'!M57+'Beacon'!M57+'Cobalt'!M57+'Delta'!M57+'Ember'!M57+'Falcon'!M57+'Granite'!M57+'Hollis'!M57+'SAFEREG'!M57</f>
        <v>761.1</v>
      </c>
      <c r="N57" s="6">
        <f>'Alder'!N57+'Beacon'!N57+'Cobalt'!N57+'Delta'!N57+'Ember'!N57+'Falcon'!N57+'Granite'!N57+'Hollis'!N57+'SAFEREG'!N57</f>
        <v>823.1</v>
      </c>
      <c r="O57" s="6">
        <f>N57</f>
        <v>823.1</v>
      </c>
    </row>
    <row r="58">
      <c r="B58" t="inlineStr">
        <is>
          <t>Trade Payables</t>
        </is>
      </c>
      <c r="C58" s="6">
        <f>'Alder'!C58+'Beacon'!C58+'Cobalt'!C58+'Delta'!C58+'Ember'!C58+'Falcon'!C58+'Granite'!C58+'Hollis'!C58+'SAFEREG'!C58</f>
        <v>-47131.5</v>
      </c>
      <c r="D58" s="6">
        <f>'Alder'!D58+'Beacon'!D58+'Cobalt'!D58+'Delta'!D58+'Ember'!D58+'Falcon'!D58+'Granite'!D58+'Hollis'!D58+'SAFEREG'!D58</f>
        <v>-46139.6</v>
      </c>
      <c r="E58" s="6">
        <f>'Alder'!E58+'Beacon'!E58+'Cobalt'!E58+'Delta'!E58+'Ember'!E58+'Falcon'!E58+'Granite'!E58+'Hollis'!E58+'SAFEREG'!E58</f>
        <v>-49612.399999999994</v>
      </c>
      <c r="F58" s="6">
        <f>'Alder'!F58+'Beacon'!F58+'Cobalt'!F58+'Delta'!F58+'Ember'!F58+'Falcon'!F58+'Granite'!F58+'Hollis'!F58+'SAFEREG'!F58</f>
        <v>-53581.4</v>
      </c>
      <c r="G58" s="6">
        <f>'Alder'!G58+'Beacon'!G58+'Cobalt'!G58+'Delta'!G58+'Ember'!G58+'Falcon'!G58+'Granite'!G58+'Hollis'!G58+'SAFEREG'!G58</f>
        <v>-48619.8</v>
      </c>
      <c r="H58" s="6">
        <f>'Alder'!H58+'Beacon'!H58+'Cobalt'!H58+'Delta'!H58+'Ember'!H58+'Falcon'!H58+'Granite'!H58+'Hollis'!H58+'SAFEREG'!H58</f>
        <v>-51100.99999999999</v>
      </c>
      <c r="I58" s="6">
        <f>'Alder'!I58+'Beacon'!I58+'Cobalt'!I58+'Delta'!I58+'Ember'!I58+'Falcon'!I58+'Granite'!I58+'Hollis'!I58+'SAFEREG'!I58</f>
        <v>-50604.700000000004</v>
      </c>
      <c r="J58" s="6">
        <f>'Alder'!J58+'Beacon'!J58+'Cobalt'!J58+'Delta'!J58+'Ember'!J58+'Falcon'!J58+'Granite'!J58+'Hollis'!J58+'SAFEREG'!J58</f>
        <v>-49612.5</v>
      </c>
      <c r="K58" s="6">
        <f>'Alder'!K58+'Beacon'!K58+'Cobalt'!K58+'Delta'!K58+'Ember'!K58+'Falcon'!K58+'Granite'!K58+'Hollis'!K58+'SAFEREG'!K58</f>
        <v>-48619.8</v>
      </c>
      <c r="L58" s="6">
        <f>'Alder'!L58+'Beacon'!L58+'Cobalt'!L58+'Delta'!L58+'Ember'!L58+'Falcon'!L58+'Granite'!L58+'Hollis'!L58+'SAFEREG'!L58</f>
        <v>-52092.8</v>
      </c>
      <c r="M58" s="6">
        <f>'Alder'!M58+'Beacon'!M58+'Cobalt'!M58+'Delta'!M58+'Ember'!M58+'Falcon'!M58+'Granite'!M58+'Hollis'!M58+'SAFEREG'!M58</f>
        <v>-47131.200000000004</v>
      </c>
      <c r="N58" s="6">
        <f>'Alder'!N58+'Beacon'!N58+'Cobalt'!N58+'Delta'!N58+'Ember'!N58+'Falcon'!N58+'Granite'!N58+'Hollis'!N58+'SAFEREG'!N58</f>
        <v>-51100.8</v>
      </c>
      <c r="O58" s="6">
        <f>N58</f>
        <v>-51100.8</v>
      </c>
    </row>
    <row r="59">
      <c r="B59" t="inlineStr">
        <is>
          <t>Other Payables</t>
        </is>
      </c>
      <c r="C59" s="6">
        <f>'Alder'!C59+'Beacon'!C59+'Cobalt'!C59+'Delta'!C59+'Ember'!C59+'Falcon'!C59+'Granite'!C59+'Hollis'!C59+'SAFEREG'!C59</f>
        <v>-1652.4</v>
      </c>
      <c r="D59" s="6">
        <f>'Alder'!D59+'Beacon'!D59+'Cobalt'!D59+'Delta'!D59+'Ember'!D59+'Falcon'!D59+'Granite'!D59+'Hollis'!D59+'SAFEREG'!D59</f>
        <v>-1621.6</v>
      </c>
      <c r="E59" s="6">
        <f>'Alder'!E59+'Beacon'!E59+'Cobalt'!E59+'Delta'!E59+'Ember'!E59+'Falcon'!E59+'Granite'!E59+'Hollis'!E59+'SAFEREG'!E59</f>
        <v>-1730.0</v>
      </c>
      <c r="F59" s="6">
        <f>'Alder'!F59+'Beacon'!F59+'Cobalt'!F59+'Delta'!F59+'Ember'!F59+'Falcon'!F59+'Granite'!F59+'Hollis'!F59+'SAFEREG'!F59</f>
        <v>-1854.0</v>
      </c>
      <c r="G59" s="6">
        <f>'Alder'!G59+'Beacon'!G59+'Cobalt'!G59+'Delta'!G59+'Ember'!G59+'Falcon'!G59+'Granite'!G59+'Hollis'!G59+'SAFEREG'!G59</f>
        <v>-1699.1</v>
      </c>
      <c r="H59" s="6">
        <f>'Alder'!H59+'Beacon'!H59+'Cobalt'!H59+'Delta'!H59+'Ember'!H59+'Falcon'!H59+'Granite'!H59+'Hollis'!H59+'SAFEREG'!H59</f>
        <v>-1776.6000000000001</v>
      </c>
      <c r="I59" s="6">
        <f>'Alder'!I59+'Beacon'!I59+'Cobalt'!I59+'Delta'!I59+'Ember'!I59+'Falcon'!I59+'Granite'!I59+'Hollis'!I59+'SAFEREG'!I59</f>
        <v>-1761.1</v>
      </c>
      <c r="J59" s="6">
        <f>'Alder'!J59+'Beacon'!J59+'Cobalt'!J59+'Delta'!J59+'Ember'!J59+'Falcon'!J59+'Granite'!J59+'Hollis'!J59+'SAFEREG'!J59</f>
        <v>-1730.0</v>
      </c>
      <c r="K59" s="6">
        <f>'Alder'!K59+'Beacon'!K59+'Cobalt'!K59+'Delta'!K59+'Ember'!K59+'Falcon'!K59+'Granite'!K59+'Hollis'!K59+'SAFEREG'!K59</f>
        <v>-1699.0</v>
      </c>
      <c r="L59" s="6">
        <f>'Alder'!L59+'Beacon'!L59+'Cobalt'!L59+'Delta'!L59+'Ember'!L59+'Falcon'!L59+'Granite'!L59+'Hollis'!L59+'SAFEREG'!L59</f>
        <v>-1807.6</v>
      </c>
      <c r="M59" s="6">
        <f>'Alder'!M59+'Beacon'!M59+'Cobalt'!M59+'Delta'!M59+'Ember'!M59+'Falcon'!M59+'Granite'!M59+'Hollis'!M59+'SAFEREG'!M59</f>
        <v>-1652.4</v>
      </c>
      <c r="N59" s="6">
        <f>'Alder'!N59+'Beacon'!N59+'Cobalt'!N59+'Delta'!N59+'Ember'!N59+'Falcon'!N59+'Granite'!N59+'Hollis'!N59+'SAFEREG'!N59</f>
        <v>-1776.5</v>
      </c>
      <c r="O59" s="6">
        <f>N59</f>
        <v>-1776.5</v>
      </c>
    </row>
    <row r="60">
      <c r="B60" t="inlineStr">
        <is>
          <t>Total working capital</t>
        </is>
      </c>
      <c r="C60" s="6">
        <f>SUM(C55:C59)</f>
        <v>110529.0</v>
      </c>
      <c r="D60" s="6">
        <f>SUM(D55:D59)</f>
        <v>108725.69999999995</v>
      </c>
      <c r="E60" s="6">
        <f>SUM(E55:E59)</f>
        <v>116802.30000000002</v>
      </c>
      <c r="F60" s="6">
        <f>SUM(F55:F59)</f>
        <v>125223.50000000003</v>
      </c>
      <c r="G60" s="6">
        <f>SUM(G55:G59)</f>
        <v>114039.7</v>
      </c>
      <c r="H60" s="6">
        <f>SUM(H55:H59)</f>
        <v>119821.40000000002</v>
      </c>
      <c r="I60" s="6">
        <f>SUM(I55:I59)</f>
        <v>118889.29999999999</v>
      </c>
      <c r="J60" s="6">
        <f>SUM(J55:J59)</f>
        <v>117167.0</v>
      </c>
      <c r="K60" s="6">
        <f>SUM(K55:K59)</f>
        <v>114570.49999999999</v>
      </c>
      <c r="L60" s="6">
        <f>SUM(L55:L59)</f>
        <v>121957.89999999998</v>
      </c>
      <c r="M60" s="6">
        <f>SUM(M55:M59)</f>
        <v>110451.59999999998</v>
      </c>
      <c r="N60" s="6">
        <f>SUM(N55:N59)</f>
        <v>119578.60000000002</v>
      </c>
      <c r="O60" s="6">
        <f>N60</f>
        <v>119578.60000000002</v>
      </c>
    </row>
    <row r="62">
      <c r="B62" s="8" t="inlineStr">
        <is>
          <t>2025 Actual</t>
        </is>
      </c>
    </row>
    <row r="63">
      <c r="C63" s="20" t="inlineStr">
        <is>
          <t>January</t>
        </is>
      </c>
      <c r="D63" s="20" t="inlineStr">
        <is>
          <t>February</t>
        </is>
      </c>
      <c r="E63" s="20" t="inlineStr">
        <is>
          <t>March</t>
        </is>
      </c>
      <c r="F63" s="20" t="inlineStr">
        <is>
          <t>April</t>
        </is>
      </c>
      <c r="G63" s="20" t="inlineStr">
        <is>
          <t>May</t>
        </is>
      </c>
      <c r="H63" s="20" t="inlineStr">
        <is>
          <t>June</t>
        </is>
      </c>
      <c r="I63" s="20" t="inlineStr">
        <is>
          <t>July</t>
        </is>
      </c>
      <c r="J63" s="20" t="inlineStr">
        <is>
          <t>August</t>
        </is>
      </c>
      <c r="K63" s="20" t="inlineStr">
        <is>
          <t>September</t>
        </is>
      </c>
      <c r="L63" s="20" t="inlineStr">
        <is>
          <t>October</t>
        </is>
      </c>
      <c r="M63" s="20" t="inlineStr">
        <is>
          <t>November</t>
        </is>
      </c>
      <c r="N63" s="20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6">
        <f>'Alder'!C64+'Beacon'!C64+'Cobalt'!C64+'Delta'!C64+'Ember'!C64+'Falcon'!C64+'Granite'!C64+'Hollis'!C64+'SAFEREG'!C64</f>
        <v>46990.7</v>
      </c>
      <c r="D64" s="6">
        <f>'Alder'!D64+'Beacon'!D64+'Cobalt'!D64+'Delta'!D64+'Ember'!D64+'Falcon'!D64+'Granite'!D64+'Hollis'!D64+'SAFEREG'!D64</f>
        <v>45717.100000000006</v>
      </c>
      <c r="E64" s="6">
        <f>'Alder'!E64+'Beacon'!E64+'Cobalt'!E64+'Delta'!E64+'Ember'!E64+'Falcon'!E64+'Granite'!E64+'Hollis'!E64+'SAFEREG'!E64</f>
        <v>49328.6</v>
      </c>
      <c r="F64" s="6">
        <f>'Alder'!F64+'Beacon'!F64+'Cobalt'!F64+'Delta'!F64+'Ember'!F64+'Falcon'!F64+'Granite'!F64+'Hollis'!F64+'SAFEREG'!F64</f>
        <v>53313.799999999996</v>
      </c>
      <c r="G64" s="6">
        <f>'Alder'!G64+'Beacon'!G64+'Cobalt'!G64+'Delta'!G64+'Ember'!G64+'Falcon'!G64+'Granite'!G64+'Hollis'!G64+'SAFEREG'!G64</f>
        <v>48140.4</v>
      </c>
      <c r="H64" s="6">
        <f>'Alder'!H64+'Beacon'!H64+'Cobalt'!H64+'Delta'!H64+'Ember'!H64+'Falcon'!H64+'Granite'!H64+'Hollis'!H64+'SAFEREG'!H64</f>
        <v>50828.200000000004</v>
      </c>
      <c r="I64" s="6">
        <f>'Alder'!I64+'Beacon'!I64+'Cobalt'!I64+'Delta'!I64+'Ember'!I64+'Falcon'!I64+'Granite'!I64+'Hollis'!I64+'SAFEREG'!I64</f>
        <v>50581.700000000004</v>
      </c>
      <c r="J64" s="6">
        <f>'Alder'!J64+'Beacon'!J64+'Cobalt'!J64+'Delta'!J64+'Ember'!J64+'Falcon'!J64+'Granite'!J64+'Hollis'!J64+'SAFEREG'!J64</f>
        <v>48966.899999999994</v>
      </c>
      <c r="K64" s="6">
        <f>'Alder'!K64+'Beacon'!K64+'Cobalt'!K64+'Delta'!K64+'Ember'!K64+'Falcon'!K64+'Granite'!K64+'Hollis'!K64+'SAFEREG'!K64</f>
        <v>48517.700000000004</v>
      </c>
      <c r="L64" s="6">
        <f>'Alder'!L64+'Beacon'!L64+'Cobalt'!L64+'Delta'!L64+'Ember'!L64+'Falcon'!L64+'Granite'!L64+'Hollis'!L64+'SAFEREG'!L64</f>
        <v>51865.9</v>
      </c>
      <c r="M64" s="6">
        <f>'Alder'!M64+'Beacon'!M64+'Cobalt'!M64+'Delta'!M64+'Ember'!M64+'Falcon'!M64+'Granite'!M64+'Hollis'!M64+'SAFEREG'!M64</f>
        <v>46746.0</v>
      </c>
      <c r="N64" s="6">
        <f>'Alder'!N64+'Beacon'!N64+'Cobalt'!N64+'Delta'!N64+'Ember'!N64+'Falcon'!N64+'Granite'!N64+'Hollis'!N64+'SAFEREG'!N64</f>
        <v>50915.399999999994</v>
      </c>
      <c r="O64" s="6">
        <f>SUM(C64:N64)</f>
        <v>591912.4</v>
      </c>
    </row>
    <row r="65">
      <c r="B65" t="inlineStr">
        <is>
          <t>Gross Margin</t>
        </is>
      </c>
      <c r="C65" s="6">
        <f>'Alder'!C65+'Beacon'!C65+'Cobalt'!C65+'Delta'!C65+'Ember'!C65+'Falcon'!C65+'Granite'!C65+'Hollis'!C65+'SAFEREG'!C65</f>
        <v>14798.8</v>
      </c>
      <c r="D65" s="6">
        <f>'Alder'!D65+'Beacon'!D65+'Cobalt'!D65+'Delta'!D65+'Ember'!D65+'Falcon'!D65+'Granite'!D65+'Hollis'!D65+'SAFEREG'!D65</f>
        <v>14364.400000000001</v>
      </c>
      <c r="E65" s="6">
        <f>'Alder'!E65+'Beacon'!E65+'Cobalt'!E65+'Delta'!E65+'Ember'!E65+'Falcon'!E65+'Granite'!E65+'Hollis'!E65+'SAFEREG'!E65</f>
        <v>15557.899999999998</v>
      </c>
      <c r="F65" s="6">
        <f>'Alder'!F65+'Beacon'!F65+'Cobalt'!F65+'Delta'!F65+'Ember'!F65+'Falcon'!F65+'Granite'!F65+'Hollis'!F65+'SAFEREG'!F65</f>
        <v>16673.0</v>
      </c>
      <c r="G65" s="6">
        <f>'Alder'!G65+'Beacon'!G65+'Cobalt'!G65+'Delta'!G65+'Ember'!G65+'Falcon'!G65+'Granite'!G65+'Hollis'!G65+'SAFEREG'!G65</f>
        <v>15143.599999999999</v>
      </c>
      <c r="H65" s="6">
        <f>'Alder'!H65+'Beacon'!H65+'Cobalt'!H65+'Delta'!H65+'Ember'!H65+'Falcon'!H65+'Granite'!H65+'Hollis'!H65+'SAFEREG'!H65</f>
        <v>15955.099999999999</v>
      </c>
      <c r="I65" s="6">
        <f>'Alder'!I65+'Beacon'!I65+'Cobalt'!I65+'Delta'!I65+'Ember'!I65+'Falcon'!I65+'Granite'!I65+'Hollis'!I65+'SAFEREG'!I65</f>
        <v>15818.599999999999</v>
      </c>
      <c r="J65" s="6">
        <f>'Alder'!J65+'Beacon'!J65+'Cobalt'!J65+'Delta'!J65+'Ember'!J65+'Falcon'!J65+'Granite'!J65+'Hollis'!J65+'SAFEREG'!J65</f>
        <v>15395.600000000002</v>
      </c>
      <c r="K65" s="6">
        <f>'Alder'!K65+'Beacon'!K65+'Cobalt'!K65+'Delta'!K65+'Ember'!K65+'Falcon'!K65+'Granite'!K65+'Hollis'!K65+'SAFEREG'!K65</f>
        <v>15230.499999999998</v>
      </c>
      <c r="L65" s="6">
        <f>'Alder'!L65+'Beacon'!L65+'Cobalt'!L65+'Delta'!L65+'Ember'!L65+'Falcon'!L65+'Granite'!L65+'Hollis'!L65+'SAFEREG'!L65</f>
        <v>16314.3</v>
      </c>
      <c r="M65" s="6">
        <f>'Alder'!M65+'Beacon'!M65+'Cobalt'!M65+'Delta'!M65+'Ember'!M65+'Falcon'!M65+'Granite'!M65+'Hollis'!M65+'SAFEREG'!M65</f>
        <v>14738.900000000001</v>
      </c>
      <c r="N65" s="6">
        <f>'Alder'!N65+'Beacon'!N65+'Cobalt'!N65+'Delta'!N65+'Ember'!N65+'Falcon'!N65+'Granite'!N65+'Hollis'!N65+'SAFEREG'!N65</f>
        <v>15989.5</v>
      </c>
      <c r="O65" s="6">
        <f>SUM(C65:N65)</f>
        <v>185980.19999999998</v>
      </c>
    </row>
    <row r="66">
      <c r="B66" t="inlineStr">
        <is>
          <t>Op Costs</t>
        </is>
      </c>
      <c r="C66" s="6">
        <f>'Alder'!C66+'Beacon'!C66+'Cobalt'!C66+'Delta'!C66+'Ember'!C66+'Falcon'!C66+'Granite'!C66+'Hollis'!C66+'SAFEREG'!C66</f>
        <v>-10367.800000000001</v>
      </c>
      <c r="D66" s="6">
        <f>'Alder'!D66+'Beacon'!D66+'Cobalt'!D66+'Delta'!D66+'Ember'!D66+'Falcon'!D66+'Granite'!D66+'Hollis'!D66+'SAFEREG'!D66</f>
        <v>-10166.0</v>
      </c>
      <c r="E66" s="6">
        <f>'Alder'!E66+'Beacon'!E66+'Cobalt'!E66+'Delta'!E66+'Ember'!E66+'Falcon'!E66+'Granite'!E66+'Hollis'!E66+'SAFEREG'!E66</f>
        <v>-10886.999999999998</v>
      </c>
      <c r="F66" s="6">
        <f>'Alder'!F66+'Beacon'!F66+'Cobalt'!F66+'Delta'!F66+'Ember'!F66+'Falcon'!F66+'Granite'!F66+'Hollis'!F66+'SAFEREG'!F66</f>
        <v>-11714.8</v>
      </c>
      <c r="G66" s="6">
        <f>'Alder'!G66+'Beacon'!G66+'Cobalt'!G66+'Delta'!G66+'Ember'!G66+'Falcon'!G66+'Granite'!G66+'Hollis'!G66+'SAFEREG'!G66</f>
        <v>-10661.2</v>
      </c>
      <c r="H66" s="6">
        <f>'Alder'!H66+'Beacon'!H66+'Cobalt'!H66+'Delta'!H66+'Ember'!H66+'Falcon'!H66+'Granite'!H66+'Hollis'!H66+'SAFEREG'!H66</f>
        <v>-11249.099999999999</v>
      </c>
      <c r="I66" s="6">
        <f>'Alder'!I66+'Beacon'!I66+'Cobalt'!I66+'Delta'!I66+'Ember'!I66+'Falcon'!I66+'Granite'!I66+'Hollis'!I66+'SAFEREG'!I66</f>
        <v>-11144.5</v>
      </c>
      <c r="J66" s="6">
        <f>'Alder'!J66+'Beacon'!J66+'Cobalt'!J66+'Delta'!J66+'Ember'!J66+'Falcon'!J66+'Granite'!J66+'Hollis'!J66+'SAFEREG'!J66</f>
        <v>-10886.800000000001</v>
      </c>
      <c r="K66" s="6">
        <f>'Alder'!K66+'Beacon'!K66+'Cobalt'!K66+'Delta'!K66+'Ember'!K66+'Falcon'!K66+'Granite'!K66+'Hollis'!K66+'SAFEREG'!K66</f>
        <v>-10701.000000000002</v>
      </c>
      <c r="L66" s="6">
        <f>'Alder'!L66+'Beacon'!L66+'Cobalt'!L66+'Delta'!L66+'Ember'!L66+'Falcon'!L66+'Granite'!L66+'Hollis'!L66+'SAFEREG'!L66</f>
        <v>-11416.800000000001</v>
      </c>
      <c r="M66" s="6">
        <f>'Alder'!M66+'Beacon'!M66+'Cobalt'!M66+'Delta'!M66+'Ember'!M66+'Falcon'!M66+'Granite'!M66+'Hollis'!M66+'SAFEREG'!M66</f>
        <v>-10367.8</v>
      </c>
      <c r="N66" s="6">
        <f>'Alder'!N66+'Beacon'!N66+'Cobalt'!N66+'Delta'!N66+'Ember'!N66+'Falcon'!N66+'Granite'!N66+'Hollis'!N66+'SAFEREG'!N66</f>
        <v>-11218.2</v>
      </c>
      <c r="O66" s="6">
        <f>SUM(C66:N66)</f>
        <v>-130781.0</v>
      </c>
    </row>
    <row r="67">
      <c r="B67" t="inlineStr">
        <is>
          <t>PBITA</t>
        </is>
      </c>
      <c r="C67" s="6">
        <f>C65+C66</f>
        <v>4430.999999999998</v>
      </c>
      <c r="D67" s="6">
        <f>D65+D66</f>
        <v>4198.4000000000015</v>
      </c>
      <c r="E67" s="6">
        <f>E65+E66</f>
        <v>4670.9</v>
      </c>
      <c r="F67" s="6">
        <f>F65+F66</f>
        <v>4958.200000000001</v>
      </c>
      <c r="G67" s="6">
        <f>G65+G66</f>
        <v>4482.399999999998</v>
      </c>
      <c r="H67" s="6">
        <f>H65+H66</f>
        <v>4706.0</v>
      </c>
      <c r="I67" s="6">
        <f>I65+I66</f>
        <v>4674.0999999999985</v>
      </c>
      <c r="J67" s="6">
        <f>J65+J66</f>
        <v>4508.800000000001</v>
      </c>
      <c r="K67" s="6">
        <f>K65+K66</f>
        <v>4529.499999999996</v>
      </c>
      <c r="L67" s="6">
        <f>L65+L66</f>
        <v>4897.499999999998</v>
      </c>
      <c r="M67" s="6">
        <f>M65+M66</f>
        <v>4371.100000000002</v>
      </c>
      <c r="N67" s="6">
        <f>N65+N66</f>
        <v>4771.299999999999</v>
      </c>
      <c r="O67" s="6">
        <f>SUM(C67:N67)</f>
        <v>55199.2</v>
      </c>
    </row>
    <row r="68">
      <c r="B68" t="inlineStr">
        <is>
          <t>Net Inventory</t>
        </is>
      </c>
      <c r="C68" s="6">
        <f>'Alder'!C68+'Beacon'!C68+'Cobalt'!C68+'Delta'!C68+'Ember'!C68+'Falcon'!C68+'Granite'!C68+'Hollis'!C68+'SAFEREG'!C68</f>
        <v>90725.6</v>
      </c>
      <c r="D68" s="6">
        <f>'Alder'!D68+'Beacon'!D68+'Cobalt'!D68+'Delta'!D68+'Ember'!D68+'Falcon'!D68+'Granite'!D68+'Hollis'!D68+'SAFEREG'!D68</f>
        <v>87368.69999999998</v>
      </c>
      <c r="E68" s="6">
        <f>'Alder'!E68+'Beacon'!E68+'Cobalt'!E68+'Delta'!E68+'Ember'!E68+'Falcon'!E68+'Granite'!E68+'Hollis'!E68+'SAFEREG'!E68</f>
        <v>94392.30000000002</v>
      </c>
      <c r="F68" s="6">
        <f>'Alder'!F68+'Beacon'!F68+'Cobalt'!F68+'Delta'!F68+'Ember'!F68+'Falcon'!F68+'Granite'!F68+'Hollis'!F68+'SAFEREG'!F68</f>
        <v>102158.8</v>
      </c>
      <c r="G68" s="6">
        <f>'Alder'!G68+'Beacon'!G68+'Cobalt'!G68+'Delta'!G68+'Ember'!G68+'Falcon'!G68+'Granite'!G68+'Hollis'!G68+'SAFEREG'!G68</f>
        <v>92328.8</v>
      </c>
      <c r="H68" s="6">
        <f>'Alder'!H68+'Beacon'!H68+'Cobalt'!H68+'Delta'!H68+'Ember'!H68+'Falcon'!H68+'Granite'!H68+'Hollis'!H68+'SAFEREG'!H68</f>
        <v>98237.9</v>
      </c>
      <c r="I68" s="6">
        <f>'Alder'!I68+'Beacon'!I68+'Cobalt'!I68+'Delta'!I68+'Ember'!I68+'Falcon'!I68+'Granite'!I68+'Hollis'!I68+'SAFEREG'!I68</f>
        <v>98353.20000000001</v>
      </c>
      <c r="J68" s="6">
        <f>'Alder'!J68+'Beacon'!J68+'Cobalt'!J68+'Delta'!J68+'Ember'!J68+'Falcon'!J68+'Granite'!J68+'Hollis'!J68+'SAFEREG'!J68</f>
        <v>93929.0</v>
      </c>
      <c r="K68" s="6">
        <f>'Alder'!K68+'Beacon'!K68+'Cobalt'!K68+'Delta'!K68+'Ember'!K68+'Falcon'!K68+'Granite'!K68+'Hollis'!K68+'SAFEREG'!K68</f>
        <v>93481.8</v>
      </c>
      <c r="L68" s="6">
        <f>'Alder'!L68+'Beacon'!L68+'Cobalt'!L68+'Delta'!L68+'Ember'!L68+'Falcon'!L68+'Granite'!L68+'Hollis'!L68+'SAFEREG'!L68</f>
        <v>100164.8</v>
      </c>
      <c r="M68" s="6">
        <f>'Alder'!M68+'Beacon'!M68+'Cobalt'!M68+'Delta'!M68+'Ember'!M68+'Falcon'!M68+'Granite'!M68+'Hollis'!M68+'SAFEREG'!M68</f>
        <v>89648.7</v>
      </c>
      <c r="N68" s="6">
        <f>'Alder'!N68+'Beacon'!N68+'Cobalt'!N68+'Delta'!N68+'Ember'!N68+'Falcon'!N68+'Granite'!N68+'Hollis'!N68+'SAFEREG'!N68</f>
        <v>98217.3</v>
      </c>
      <c r="O68" s="6">
        <f>N68</f>
        <v>98217.3</v>
      </c>
    </row>
    <row r="69">
      <c r="B69" t="inlineStr">
        <is>
          <t>Trade Receivables</t>
        </is>
      </c>
      <c r="C69" s="6">
        <f>'Alder'!C69+'Beacon'!C69+'Cobalt'!C69+'Delta'!C69+'Ember'!C69+'Falcon'!C69+'Granite'!C69+'Hollis'!C69+'SAFEREG'!C69</f>
        <v>72052.5</v>
      </c>
      <c r="D69" s="6">
        <f>'Alder'!D69+'Beacon'!D69+'Cobalt'!D69+'Delta'!D69+'Ember'!D69+'Falcon'!D69+'Granite'!D69+'Hollis'!D69+'SAFEREG'!D69</f>
        <v>70099.6</v>
      </c>
      <c r="E69" s="6">
        <f>'Alder'!E69+'Beacon'!E69+'Cobalt'!E69+'Delta'!E69+'Ember'!E69+'Falcon'!E69+'Granite'!E69+'Hollis'!E69+'SAFEREG'!E69</f>
        <v>75637.2</v>
      </c>
      <c r="F69" s="6">
        <f>'Alder'!F69+'Beacon'!F69+'Cobalt'!F69+'Delta'!F69+'Ember'!F69+'Falcon'!F69+'Granite'!F69+'Hollis'!F69+'SAFEREG'!F69</f>
        <v>81747.7</v>
      </c>
      <c r="G69" s="6">
        <f>'Alder'!G69+'Beacon'!G69+'Cobalt'!G69+'Delta'!G69+'Ember'!G69+'Falcon'!G69+'Granite'!G69+'Hollis'!G69+'SAFEREG'!G69</f>
        <v>73815.3</v>
      </c>
      <c r="H69" s="6">
        <f>'Alder'!H69+'Beacon'!H69+'Cobalt'!H69+'Delta'!H69+'Ember'!H69+'Falcon'!H69+'Granite'!H69+'Hollis'!H69+'SAFEREG'!H69</f>
        <v>77936.6</v>
      </c>
      <c r="I69" s="6">
        <f>'Alder'!I69+'Beacon'!I69+'Cobalt'!I69+'Delta'!I69+'Ember'!I69+'Falcon'!I69+'Granite'!I69+'Hollis'!I69+'SAFEREG'!I69</f>
        <v>77558.6</v>
      </c>
      <c r="J69" s="6">
        <f>'Alder'!J69+'Beacon'!J69+'Cobalt'!J69+'Delta'!J69+'Ember'!J69+'Falcon'!J69+'Granite'!J69+'Hollis'!J69+'SAFEREG'!J69</f>
        <v>75082.6</v>
      </c>
      <c r="K69" s="6">
        <f>'Alder'!K69+'Beacon'!K69+'Cobalt'!K69+'Delta'!K69+'Ember'!K69+'Falcon'!K69+'Granite'!K69+'Hollis'!K69+'SAFEREG'!K69</f>
        <v>74393.79999999999</v>
      </c>
      <c r="L69" s="6">
        <f>'Alder'!L69+'Beacon'!L69+'Cobalt'!L69+'Delta'!L69+'Ember'!L69+'Falcon'!L69+'Granite'!L69+'Hollis'!L69+'SAFEREG'!L69</f>
        <v>79527.8</v>
      </c>
      <c r="M69" s="6">
        <f>'Alder'!M69+'Beacon'!M69+'Cobalt'!M69+'Delta'!M69+'Ember'!M69+'Falcon'!M69+'Granite'!M69+'Hollis'!M69+'SAFEREG'!M69</f>
        <v>71677.1</v>
      </c>
      <c r="N69" s="6">
        <f>'Alder'!N69+'Beacon'!N69+'Cobalt'!N69+'Delta'!N69+'Ember'!N69+'Falcon'!N69+'Granite'!N69+'Hollis'!N69+'SAFEREG'!N69</f>
        <v>78070.29999999999</v>
      </c>
      <c r="O69" s="6">
        <f>N69</f>
        <v>78070.29999999999</v>
      </c>
    </row>
    <row r="70">
      <c r="B70" t="inlineStr">
        <is>
          <t>Other Receivables</t>
        </is>
      </c>
      <c r="C70" s="6">
        <f>'Alder'!C70+'Beacon'!C70+'Cobalt'!C70+'Delta'!C70+'Ember'!C70+'Falcon'!C70+'Granite'!C70+'Hollis'!C70+'SAFEREG'!C70</f>
        <v>730.0</v>
      </c>
      <c r="D70" s="6">
        <f>'Alder'!D70+'Beacon'!D70+'Cobalt'!D70+'Delta'!D70+'Ember'!D70+'Falcon'!D70+'Granite'!D70+'Hollis'!D70+'SAFEREG'!D70</f>
        <v>710.8</v>
      </c>
      <c r="E70" s="6">
        <f>'Alder'!E70+'Beacon'!E70+'Cobalt'!E70+'Delta'!E70+'Ember'!E70+'Falcon'!E70+'Granite'!E70+'Hollis'!E70+'SAFEREG'!E70</f>
        <v>764.9000000000001</v>
      </c>
      <c r="F70" s="6">
        <f>'Alder'!F70+'Beacon'!F70+'Cobalt'!F70+'Delta'!F70+'Ember'!F70+'Falcon'!F70+'Granite'!F70+'Hollis'!F70+'SAFEREG'!F70</f>
        <v>824.9</v>
      </c>
      <c r="G70" s="6">
        <f>'Alder'!G70+'Beacon'!G70+'Cobalt'!G70+'Delta'!G70+'Ember'!G70+'Falcon'!G70+'Granite'!G70+'Hollis'!G70+'SAFEREG'!G70</f>
        <v>747.0999999999999</v>
      </c>
      <c r="H70" s="6">
        <f>'Alder'!H70+'Beacon'!H70+'Cobalt'!H70+'Delta'!H70+'Ember'!H70+'Falcon'!H70+'Granite'!H70+'Hollis'!H70+'SAFEREG'!H70</f>
        <v>787.4</v>
      </c>
      <c r="I70" s="6">
        <f>'Alder'!I70+'Beacon'!I70+'Cobalt'!I70+'Delta'!I70+'Ember'!I70+'Falcon'!I70+'Granite'!I70+'Hollis'!I70+'SAFEREG'!I70</f>
        <v>783.6</v>
      </c>
      <c r="J70" s="6">
        <f>'Alder'!J70+'Beacon'!J70+'Cobalt'!J70+'Delta'!J70+'Ember'!J70+'Falcon'!J70+'Granite'!J70+'Hollis'!J70+'SAFEREG'!J70</f>
        <v>759.6</v>
      </c>
      <c r="K70" s="6">
        <f>'Alder'!K70+'Beacon'!K70+'Cobalt'!K70+'Delta'!K70+'Ember'!K70+'Falcon'!K70+'Granite'!K70+'Hollis'!K70+'SAFEREG'!K70</f>
        <v>752.7999999999998</v>
      </c>
      <c r="L70" s="6">
        <f>'Alder'!L70+'Beacon'!L70+'Cobalt'!L70+'Delta'!L70+'Ember'!L70+'Falcon'!L70+'Granite'!L70+'Hollis'!L70+'SAFEREG'!L70</f>
        <v>802.9000000000001</v>
      </c>
      <c r="M70" s="6">
        <f>'Alder'!M70+'Beacon'!M70+'Cobalt'!M70+'Delta'!M70+'Ember'!M70+'Falcon'!M70+'Granite'!M70+'Hollis'!M70+'SAFEREG'!M70</f>
        <v>726.0999999999999</v>
      </c>
      <c r="N70" s="6">
        <f>'Alder'!N70+'Beacon'!N70+'Cobalt'!N70+'Delta'!N70+'Ember'!N70+'Falcon'!N70+'Granite'!N70+'Hollis'!N70+'SAFEREG'!N70</f>
        <v>788.8</v>
      </c>
      <c r="O70" s="6">
        <f>N70</f>
        <v>788.8</v>
      </c>
    </row>
    <row r="71">
      <c r="B71" t="inlineStr">
        <is>
          <t>Trade Payables</t>
        </is>
      </c>
      <c r="C71" s="6">
        <f>'Alder'!C71+'Beacon'!C71+'Cobalt'!C71+'Delta'!C71+'Ember'!C71+'Falcon'!C71+'Granite'!C71+'Hollis'!C71+'SAFEREG'!C71</f>
        <v>-43995.600000000006</v>
      </c>
      <c r="D71" s="6">
        <f>'Alder'!D71+'Beacon'!D71+'Cobalt'!D71+'Delta'!D71+'Ember'!D71+'Falcon'!D71+'Granite'!D71+'Hollis'!D71+'SAFEREG'!D71</f>
        <v>-42848.8</v>
      </c>
      <c r="E71" s="6">
        <f>'Alder'!E71+'Beacon'!E71+'Cobalt'!E71+'Delta'!E71+'Ember'!E71+'Falcon'!E71+'Granite'!E71+'Hollis'!E71+'SAFEREG'!E71</f>
        <v>-46153.09999999999</v>
      </c>
      <c r="F71" s="6">
        <f>'Alder'!F71+'Beacon'!F71+'Cobalt'!F71+'Delta'!F71+'Ember'!F71+'Falcon'!F71+'Granite'!F71+'Hollis'!F71+'SAFEREG'!F71</f>
        <v>-50075.899999999994</v>
      </c>
      <c r="G71" s="6">
        <f>'Alder'!G71+'Beacon'!G71+'Cobalt'!G71+'Delta'!G71+'Ember'!G71+'Falcon'!G71+'Granite'!G71+'Hollis'!G71+'SAFEREG'!G71</f>
        <v>-45095.600000000006</v>
      </c>
      <c r="H71" s="6">
        <f>'Alder'!H71+'Beacon'!H71+'Cobalt'!H71+'Delta'!H71+'Ember'!H71+'Falcon'!H71+'Granite'!H71+'Hollis'!H71+'SAFEREG'!H71</f>
        <v>-47659.899999999994</v>
      </c>
      <c r="I71" s="6">
        <f>'Alder'!I71+'Beacon'!I71+'Cobalt'!I71+'Delta'!I71+'Ember'!I71+'Falcon'!I71+'Granite'!I71+'Hollis'!I71+'SAFEREG'!I71</f>
        <v>-47509.5</v>
      </c>
      <c r="J71" s="6">
        <f>'Alder'!J71+'Beacon'!J71+'Cobalt'!J71+'Delta'!J71+'Ember'!J71+'Falcon'!J71+'Granite'!J71+'Hollis'!J71+'SAFEREG'!J71</f>
        <v>-45880.899999999994</v>
      </c>
      <c r="K71" s="6">
        <f>'Alder'!K71+'Beacon'!K71+'Cobalt'!K71+'Delta'!K71+'Ember'!K71+'Falcon'!K71+'Granite'!K71+'Hollis'!K71+'SAFEREG'!K71</f>
        <v>-45492.4</v>
      </c>
      <c r="L71" s="6">
        <f>'Alder'!L71+'Beacon'!L71+'Cobalt'!L71+'Delta'!L71+'Ember'!L71+'Falcon'!L71+'Granite'!L71+'Hollis'!L71+'SAFEREG'!L71</f>
        <v>-48587.3</v>
      </c>
      <c r="M71" s="6">
        <f>'Alder'!M71+'Beacon'!M71+'Cobalt'!M71+'Delta'!M71+'Ember'!M71+'Falcon'!M71+'Granite'!M71+'Hollis'!M71+'SAFEREG'!M71</f>
        <v>-43743.0</v>
      </c>
      <c r="N71" s="6">
        <f>'Alder'!N71+'Beacon'!N71+'Cobalt'!N71+'Delta'!N71+'Ember'!N71+'Falcon'!N71+'Granite'!N71+'Hollis'!N71+'SAFEREG'!N71</f>
        <v>-47732.0</v>
      </c>
      <c r="O71" s="6">
        <f>N71</f>
        <v>-47732.0</v>
      </c>
    </row>
    <row r="72">
      <c r="B72" t="inlineStr">
        <is>
          <t>Other Payables</t>
        </is>
      </c>
      <c r="C72" s="6">
        <f>'Alder'!C72+'Beacon'!C72+'Cobalt'!C72+'Delta'!C72+'Ember'!C72+'Falcon'!C72+'Granite'!C72+'Hollis'!C72+'SAFEREG'!C72</f>
        <v>-1589.8</v>
      </c>
      <c r="D72" s="6">
        <f>'Alder'!D72+'Beacon'!D72+'Cobalt'!D72+'Delta'!D72+'Ember'!D72+'Falcon'!D72+'Granite'!D72+'Hollis'!D72+'SAFEREG'!D72</f>
        <v>-1551.5</v>
      </c>
      <c r="E72" s="6">
        <f>'Alder'!E72+'Beacon'!E72+'Cobalt'!E72+'Delta'!E72+'Ember'!E72+'Falcon'!E72+'Granite'!E72+'Hollis'!E72+'SAFEREG'!E72</f>
        <v>-1659.8</v>
      </c>
      <c r="F72" s="6">
        <f>'Alder'!F72+'Beacon'!F72+'Cobalt'!F72+'Delta'!F72+'Ember'!F72+'Falcon'!F72+'Granite'!F72+'Hollis'!F72+'SAFEREG'!F72</f>
        <v>-1779.4</v>
      </c>
      <c r="G72" s="6">
        <f>'Alder'!G72+'Beacon'!G72+'Cobalt'!G72+'Delta'!G72+'Ember'!G72+'Falcon'!G72+'Granite'!G72+'Hollis'!G72+'SAFEREG'!G72</f>
        <v>-1624.1999999999998</v>
      </c>
      <c r="H72" s="6">
        <f>'Alder'!H72+'Beacon'!H72+'Cobalt'!H72+'Delta'!H72+'Ember'!H72+'Falcon'!H72+'Granite'!H72+'Hollis'!H72+'SAFEREG'!H72</f>
        <v>-1704.9</v>
      </c>
      <c r="I72" s="6">
        <f>'Alder'!I72+'Beacon'!I72+'Cobalt'!I72+'Delta'!I72+'Ember'!I72+'Falcon'!I72+'Granite'!I72+'Hollis'!I72+'SAFEREG'!I72</f>
        <v>-1697.3999999999999</v>
      </c>
      <c r="J72" s="6">
        <f>'Alder'!J72+'Beacon'!J72+'Cobalt'!J72+'Delta'!J72+'Ember'!J72+'Falcon'!J72+'Granite'!J72+'Hollis'!J72+'SAFEREG'!J72</f>
        <v>-1648.9999999999998</v>
      </c>
      <c r="K72" s="6">
        <f>'Alder'!K72+'Beacon'!K72+'Cobalt'!K72+'Delta'!K72+'Ember'!K72+'Falcon'!K72+'Granite'!K72+'Hollis'!K72+'SAFEREG'!K72</f>
        <v>-1635.6</v>
      </c>
      <c r="L72" s="6">
        <f>'Alder'!L72+'Beacon'!L72+'Cobalt'!L72+'Delta'!L72+'Ember'!L72+'Falcon'!L72+'Granite'!L72+'Hollis'!L72+'SAFEREG'!L72</f>
        <v>-1735.9999999999998</v>
      </c>
      <c r="M72" s="6">
        <f>'Alder'!M72+'Beacon'!M72+'Cobalt'!M72+'Delta'!M72+'Ember'!M72+'Falcon'!M72+'Granite'!M72+'Hollis'!M72+'SAFEREG'!M72</f>
        <v>-1582.5</v>
      </c>
      <c r="N72" s="6">
        <f>'Alder'!N72+'Beacon'!N72+'Cobalt'!N72+'Delta'!N72+'Ember'!N72+'Falcon'!N72+'Granite'!N72+'Hollis'!N72+'SAFEREG'!N72</f>
        <v>-1707.3999999999999</v>
      </c>
      <c r="O72" s="6">
        <f>N72</f>
        <v>-1707.3999999999999</v>
      </c>
    </row>
    <row r="73">
      <c r="B73" t="inlineStr">
        <is>
          <t>Total working capital</t>
        </is>
      </c>
      <c r="C73" s="6">
        <f>SUM(C68:C72)</f>
        <v>117922.7</v>
      </c>
      <c r="D73" s="6">
        <f>SUM(D68:D72)</f>
        <v>113778.79999999997</v>
      </c>
      <c r="E73" s="6">
        <f>SUM(E68:E72)</f>
        <v>122981.5</v>
      </c>
      <c r="F73" s="6">
        <f>SUM(F68:F72)</f>
        <v>132876.1</v>
      </c>
      <c r="G73" s="6">
        <f>SUM(G68:G72)</f>
        <v>120171.40000000001</v>
      </c>
      <c r="H73" s="6">
        <f>SUM(H68:H72)</f>
        <v>127597.1</v>
      </c>
      <c r="I73" s="6">
        <f>SUM(I68:I72)</f>
        <v>127488.50000000003</v>
      </c>
      <c r="J73" s="6">
        <f>SUM(J68:J72)</f>
        <v>122241.30000000002</v>
      </c>
      <c r="K73" s="6">
        <f>SUM(K68:K72)</f>
        <v>121500.39999999997</v>
      </c>
      <c r="L73" s="6">
        <f>SUM(L68:L72)</f>
        <v>130172.20000000001</v>
      </c>
      <c r="M73" s="6">
        <f>SUM(M68:M72)</f>
        <v>116726.4</v>
      </c>
      <c r="N73" s="6">
        <f>SUM(N68:N72)</f>
        <v>127636.99999999997</v>
      </c>
      <c r="O73" s="6">
        <f>N73</f>
        <v>127636.99999999997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Alder Gloves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2" t="inlineStr">
        <is>
          <t>Sales</t>
        </is>
      </c>
      <c r="C8" s="6">
        <f>'Alder'!BU28</f>
        <v>0.0</v>
      </c>
      <c r="D8" s="6">
        <f>'Alder'!BV28</f>
        <v>4321.500000000015</v>
      </c>
      <c r="E8" s="6">
        <f>'Alder'!BW28</f>
        <v>9085.900000000009</v>
      </c>
      <c r="F8" s="6">
        <f>'Alder'!BY28</f>
        <v>-600.0</v>
      </c>
      <c r="G8" s="6">
        <f>'Alder'!BZ28</f>
        <v>890.0</v>
      </c>
      <c r="H8" s="6">
        <f>'Alder'!CA28</f>
        <v>2526.399999999994</v>
      </c>
      <c r="I8" s="6">
        <f>'Alder'!CC28</f>
        <v>-600.0</v>
      </c>
      <c r="J8" s="6">
        <f>'Alder'!CD28</f>
        <v>5211.5</v>
      </c>
      <c r="K8" s="6">
        <f>'Alder'!CE28</f>
        <v>11612.299999999988</v>
      </c>
    </row>
    <row r="10">
      <c r="B10" s="2" t="inlineStr">
        <is>
          <t>Gross Margin</t>
        </is>
      </c>
      <c r="C10" s="6">
        <f>'Alder'!BU29</f>
        <v>-160.0</v>
      </c>
      <c r="D10" s="6">
        <f>'Alder'!BV29</f>
        <v>-475.7000000000007</v>
      </c>
      <c r="E10" s="6">
        <f>'Alder'!BW29</f>
        <v>123.49999999999636</v>
      </c>
      <c r="F10" s="6">
        <f>'Alder'!BY29</f>
        <v>-420.0</v>
      </c>
      <c r="G10" s="6">
        <f>'Alder'!BZ29</f>
        <v>-1101.0</v>
      </c>
      <c r="H10" s="6">
        <f>'Alder'!CA29</f>
        <v>-909.6000000000004</v>
      </c>
      <c r="I10" s="6">
        <f>'Alder'!CC29</f>
        <v>-580.0</v>
      </c>
      <c r="J10" s="6">
        <f>'Alder'!CD29</f>
        <v>-1576.7000000000044</v>
      </c>
      <c r="K10" s="6">
        <f>'Alder'!CE29</f>
        <v>-786.0999999999985</v>
      </c>
    </row>
    <row r="12">
      <c r="B12" s="2" t="inlineStr">
        <is>
          <t>Op Costs</t>
        </is>
      </c>
      <c r="C12" s="6">
        <f>'Alder'!BU30</f>
        <v>240.0</v>
      </c>
      <c r="D12" s="6">
        <f>'Alder'!BV30</f>
        <v>-174.70000000000073</v>
      </c>
      <c r="E12" s="6">
        <f>'Alder'!BW30</f>
        <v>-899.6000000000022</v>
      </c>
      <c r="F12" s="6">
        <f>'Alder'!BY30</f>
        <v>60.0</v>
      </c>
      <c r="G12" s="6">
        <f>'Alder'!BZ30</f>
        <v>-77.20000000000073</v>
      </c>
      <c r="H12" s="6">
        <f>'Alder'!CA30</f>
        <v>-330.8000000000002</v>
      </c>
      <c r="I12" s="6">
        <f>'Alder'!CC30</f>
        <v>300.0</v>
      </c>
      <c r="J12" s="6">
        <f>'Alder'!CD30</f>
        <v>-251.90000000000146</v>
      </c>
      <c r="K12" s="6">
        <f>'Alder'!CE30</f>
        <v>-1230.400000000005</v>
      </c>
    </row>
    <row r="14">
      <c r="B14" s="2" t="inlineStr">
        <is>
          <t>PBITA</t>
        </is>
      </c>
      <c r="C14" s="6">
        <f>'Alder'!BU31</f>
        <v>80.0</v>
      </c>
      <c r="D14" s="6">
        <f>'Alder'!BV31</f>
        <v>-650.4000000000005</v>
      </c>
      <c r="E14" s="6">
        <f>'Alder'!BW31</f>
        <v>-776.0999999999995</v>
      </c>
      <c r="F14" s="6">
        <f>'Alder'!BY31</f>
        <v>-360.0</v>
      </c>
      <c r="G14" s="6">
        <f>'Alder'!BZ31</f>
        <v>-1178.2000000000007</v>
      </c>
      <c r="H14" s="6">
        <f>'Alder'!CA31</f>
        <v>-1240.3999999999996</v>
      </c>
      <c r="I14" s="6">
        <f>'Alder'!CC31</f>
        <v>-280.0</v>
      </c>
      <c r="J14" s="6">
        <f>'Alder'!CD31</f>
        <v>-1828.600000000003</v>
      </c>
      <c r="K14" s="6">
        <f>'Alder'!CE31</f>
        <v>-2016.499999999999</v>
      </c>
    </row>
    <row r="17">
      <c r="B17" s="8" t="inlineStr">
        <is>
          <t>Commentary (business controller):</t>
        </is>
      </c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8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4" t="inlineStr">
        <is>
          <t>January</t>
        </is>
      </c>
      <c r="D4" s="4" t="inlineStr">
        <is>
          <t>February</t>
        </is>
      </c>
      <c r="E4" s="4" t="inlineStr">
        <is>
          <t>March</t>
        </is>
      </c>
      <c r="F4" s="4" t="inlineStr">
        <is>
          <t>April</t>
        </is>
      </c>
      <c r="G4" s="4" t="inlineStr">
        <is>
          <t>May</t>
        </is>
      </c>
      <c r="H4" s="4" t="inlineStr">
        <is>
          <t>June</t>
        </is>
      </c>
      <c r="I4" s="4" t="inlineStr">
        <is>
          <t>July</t>
        </is>
      </c>
      <c r="J4" s="4" t="inlineStr">
        <is>
          <t>August</t>
        </is>
      </c>
      <c r="K4" s="4" t="inlineStr">
        <is>
          <t>September</t>
        </is>
      </c>
      <c r="L4" s="4" t="inlineStr">
        <is>
          <t>October</t>
        </is>
      </c>
      <c r="M4" s="4" t="inlineStr">
        <is>
          <t>November</t>
        </is>
      </c>
      <c r="N4" s="4" t="inlineStr">
        <is>
          <t>December</t>
        </is>
      </c>
      <c r="O4" s="4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Insert Adj. 1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1" t="n">
        <v>0</v>
      </c>
      <c r="L6" s="21" t="n">
        <v>-200</v>
      </c>
      <c r="M6" s="21" t="n">
        <v>-200</v>
      </c>
      <c r="N6" s="21" t="n">
        <v>-200</v>
      </c>
      <c r="O6" s="6">
        <f>SUM(C6:N6)</f>
        <v>-600.0</v>
      </c>
    </row>
    <row r="7">
      <c r="B7" t="inlineStr">
        <is>
          <t>Insert Adj. 2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6">
        <f>SUM(C7:N7)</f>
        <v>0.0</v>
      </c>
    </row>
    <row r="8">
      <c r="B8" t="inlineStr">
        <is>
          <t>Insert Adj. 3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6">
        <f>SUM(C8:N8)</f>
        <v>0.0</v>
      </c>
    </row>
    <row r="9">
      <c r="B9" t="inlineStr">
        <is>
          <t>Insert Adj. 4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6">
        <f>SUM(C9:N9)</f>
        <v>0.0</v>
      </c>
    </row>
    <row r="10">
      <c r="B10" t="inlineStr">
        <is>
          <t>Insert Adj. 5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6">
        <f>SUM(C10:N10)</f>
        <v>0.0</v>
      </c>
    </row>
    <row r="11">
      <c r="B11" t="inlineStr">
        <is>
          <t>Insert Adj. 6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6">
        <f>SUM(C11:N11)</f>
        <v>0.0</v>
      </c>
    </row>
    <row r="12">
      <c r="B12" t="inlineStr">
        <is>
          <t>Insert Adj. 7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6">
        <f>SUM(C12:N12)</f>
        <v>0.0</v>
      </c>
    </row>
    <row r="13">
      <c r="B13" t="inlineStr">
        <is>
          <t>Insert Adj. 8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6">
        <f>SUM(C13:N13)</f>
        <v>0.0</v>
      </c>
    </row>
    <row r="14">
      <c r="B14" s="2" t="inlineStr">
        <is>
          <t>Total Sales</t>
        </is>
      </c>
      <c r="C14" s="9">
        <f>SUM(C6:C13)</f>
        <v>0.0</v>
      </c>
      <c r="D14" s="9">
        <f>SUM(D6:D13)</f>
        <v>0.0</v>
      </c>
      <c r="E14" s="9">
        <f>SUM(E6:E13)</f>
        <v>0.0</v>
      </c>
      <c r="F14" s="9">
        <f>SUM(F6:F13)</f>
        <v>0.0</v>
      </c>
      <c r="G14" s="9">
        <f>SUM(G6:G13)</f>
        <v>0.0</v>
      </c>
      <c r="H14" s="9">
        <f>SUM(H6:H13)</f>
        <v>0.0</v>
      </c>
      <c r="I14" s="9">
        <f>SUM(I6:I13)</f>
        <v>0.0</v>
      </c>
      <c r="J14" s="9">
        <f>SUM(J6:J13)</f>
        <v>0.0</v>
      </c>
      <c r="K14" s="9">
        <f>SUM(K6:K13)</f>
        <v>0.0</v>
      </c>
      <c r="L14" s="9">
        <f>SUM(L6:L13)</f>
        <v>-200.0</v>
      </c>
      <c r="M14" s="9">
        <f>SUM(M6:M13)</f>
        <v>-200.0</v>
      </c>
      <c r="N14" s="9">
        <f>SUM(N6:N13)</f>
        <v>-200.0</v>
      </c>
      <c r="O14" s="9">
        <f>SUM(O6:O13)</f>
        <v>-600.0</v>
      </c>
    </row>
    <row r="16">
      <c r="B16" s="2" t="inlineStr">
        <is>
          <t>Gross Margin (%)</t>
        </is>
      </c>
    </row>
    <row r="17">
      <c r="B17" t="str">
        <f>B6</f>
        <v>Insert Adj. 1</v>
      </c>
      <c r="C17" s="12">
        <f>IFERROR(C28/C6,0)</f>
        <v>0.0</v>
      </c>
      <c r="D17" s="12">
        <f>IFERROR(D28/D6,0)</f>
        <v>0.0</v>
      </c>
      <c r="E17" s="12">
        <f>IFERROR(E28/E6,0)</f>
        <v>0.0</v>
      </c>
      <c r="F17" s="12">
        <f>IFERROR(F28/F6,0)</f>
        <v>0.0</v>
      </c>
      <c r="G17" s="12">
        <f>IFERROR(G28/G6,0)</f>
        <v>0.0</v>
      </c>
      <c r="H17" s="12">
        <f>IFERROR(H28/H6,0)</f>
        <v>0.0</v>
      </c>
      <c r="I17" s="12">
        <f>IFERROR(I28/I6,0)</f>
        <v>0.0</v>
      </c>
      <c r="J17" s="12">
        <f>IFERROR(J28/J6,0)</f>
        <v>0.0</v>
      </c>
      <c r="K17" s="12">
        <f>IFERROR(K28/K6,0)</f>
        <v>0.0</v>
      </c>
      <c r="L17" s="12">
        <f>IFERROR(L28/L6,0)</f>
        <v>0.7</v>
      </c>
      <c r="M17" s="12">
        <f>IFERROR(M28/M6,0)</f>
        <v>0.7</v>
      </c>
      <c r="N17" s="12">
        <f>IFERROR(N28/N6,0)</f>
        <v>0.7</v>
      </c>
      <c r="O17" s="12">
        <f>IFERROR(O28/O6,0)</f>
        <v>0.9666666666666667</v>
      </c>
    </row>
    <row r="18">
      <c r="B18" t="str">
        <f>B7</f>
        <v>Insert Adj. 2</v>
      </c>
      <c r="C18" s="12">
        <f>IFERROR(C29/C7,0)</f>
        <v>0.0</v>
      </c>
      <c r="D18" s="12">
        <f>IFERROR(D29/D7,0)</f>
        <v>0.0</v>
      </c>
      <c r="E18" s="12">
        <f>IFERROR(E29/E7,0)</f>
        <v>0.0</v>
      </c>
      <c r="F18" s="12">
        <f>IFERROR(F29/F7,0)</f>
        <v>0.0</v>
      </c>
      <c r="G18" s="12">
        <f>IFERROR(G29/G7,0)</f>
        <v>0.0</v>
      </c>
      <c r="H18" s="12">
        <f>IFERROR(H29/H7,0)</f>
        <v>0.0</v>
      </c>
      <c r="I18" s="12">
        <f>IFERROR(I29/I7,0)</f>
        <v>0.0</v>
      </c>
      <c r="J18" s="12">
        <f>IFERROR(J29/J7,0)</f>
        <v>0.0</v>
      </c>
      <c r="K18" s="12">
        <f>IFERROR(K29/K7,0)</f>
        <v>0.0</v>
      </c>
      <c r="L18" s="12">
        <f>IFERROR(L29/L7,0)</f>
        <v>0.0</v>
      </c>
      <c r="M18" s="12">
        <f>IFERROR(M29/M7,0)</f>
        <v>0.0</v>
      </c>
      <c r="N18" s="12">
        <f>IFERROR(N29/N7,0)</f>
        <v>0.0</v>
      </c>
      <c r="O18" s="12">
        <f>IFERROR(O29/O7,0)</f>
        <v>0.0</v>
      </c>
    </row>
    <row r="19">
      <c r="B19" t="str">
        <f>B8</f>
        <v>Insert Adj. 3</v>
      </c>
      <c r="C19" s="12">
        <f>IFERROR(C30/C8,0)</f>
        <v>0.0</v>
      </c>
      <c r="D19" s="12">
        <f>IFERROR(D30/D8,0)</f>
        <v>0.0</v>
      </c>
      <c r="E19" s="12">
        <f>IFERROR(E30/E8,0)</f>
        <v>0.0</v>
      </c>
      <c r="F19" s="12">
        <f>IFERROR(F30/F8,0)</f>
        <v>0.0</v>
      </c>
      <c r="G19" s="12">
        <f>IFERROR(G30/G8,0)</f>
        <v>0.0</v>
      </c>
      <c r="H19" s="12">
        <f>IFERROR(H30/H8,0)</f>
        <v>0.0</v>
      </c>
      <c r="I19" s="12">
        <f>IFERROR(I30/I8,0)</f>
        <v>0.0</v>
      </c>
      <c r="J19" s="12">
        <f>IFERROR(J30/J8,0)</f>
        <v>0.0</v>
      </c>
      <c r="K19" s="12">
        <f>IFERROR(K30/K8,0)</f>
        <v>0.0</v>
      </c>
      <c r="L19" s="12">
        <f>IFERROR(L30/L8,0)</f>
        <v>0.0</v>
      </c>
      <c r="M19" s="12">
        <f>IFERROR(M30/M8,0)</f>
        <v>0.0</v>
      </c>
      <c r="N19" s="12">
        <f>IFERROR(N30/N8,0)</f>
        <v>0.0</v>
      </c>
      <c r="O19" s="12">
        <f>IFERROR(O30/O8,0)</f>
        <v>0.0</v>
      </c>
    </row>
    <row r="20">
      <c r="B20" t="str">
        <f>B9</f>
        <v>Insert Adj. 4</v>
      </c>
      <c r="C20" s="12">
        <f>IFERROR(C31/C9,0)</f>
        <v>0.0</v>
      </c>
      <c r="D20" s="12">
        <f>IFERROR(D31/D9,0)</f>
        <v>0.0</v>
      </c>
      <c r="E20" s="12">
        <f>IFERROR(E31/E9,0)</f>
        <v>0.0</v>
      </c>
      <c r="F20" s="12">
        <f>IFERROR(F31/F9,0)</f>
        <v>0.0</v>
      </c>
      <c r="G20" s="12">
        <f>IFERROR(G31/G9,0)</f>
        <v>0.0</v>
      </c>
      <c r="H20" s="12">
        <f>IFERROR(H31/H9,0)</f>
        <v>0.0</v>
      </c>
      <c r="I20" s="12">
        <f>IFERROR(I31/I9,0)</f>
        <v>0.0</v>
      </c>
      <c r="J20" s="12">
        <f>IFERROR(J31/J9,0)</f>
        <v>0.0</v>
      </c>
      <c r="K20" s="12">
        <f>IFERROR(K31/K9,0)</f>
        <v>0.0</v>
      </c>
      <c r="L20" s="12">
        <f>IFERROR(L31/L9,0)</f>
        <v>0.0</v>
      </c>
      <c r="M20" s="12">
        <f>IFERROR(M31/M9,0)</f>
        <v>0.0</v>
      </c>
      <c r="N20" s="12">
        <f>IFERROR(N31/N9,0)</f>
        <v>0.0</v>
      </c>
      <c r="O20" s="12">
        <f>IFERROR(O31/O9,0)</f>
        <v>0.0</v>
      </c>
    </row>
    <row r="21">
      <c r="B21" t="str">
        <f>B10</f>
        <v>Insert Adj. 5</v>
      </c>
      <c r="C21" s="12">
        <f>IFERROR(C32/C10,0)</f>
        <v>0.0</v>
      </c>
      <c r="D21" s="12">
        <f>IFERROR(D32/D10,0)</f>
        <v>0.0</v>
      </c>
      <c r="E21" s="12">
        <f>IFERROR(E32/E10,0)</f>
        <v>0.0</v>
      </c>
      <c r="F21" s="12">
        <f>IFERROR(F32/F10,0)</f>
        <v>0.0</v>
      </c>
      <c r="G21" s="12">
        <f>IFERROR(G32/G10,0)</f>
        <v>0.0</v>
      </c>
      <c r="H21" s="12">
        <f>IFERROR(H32/H10,0)</f>
        <v>0.0</v>
      </c>
      <c r="I21" s="12">
        <f>IFERROR(I32/I10,0)</f>
        <v>0.0</v>
      </c>
      <c r="J21" s="12">
        <f>IFERROR(J32/J10,0)</f>
        <v>0.0</v>
      </c>
      <c r="K21" s="12">
        <f>IFERROR(K32/K10,0)</f>
        <v>0.0</v>
      </c>
      <c r="L21" s="12">
        <f>IFERROR(L32/L10,0)</f>
        <v>0.0</v>
      </c>
      <c r="M21" s="12">
        <f>IFERROR(M32/M10,0)</f>
        <v>0.0</v>
      </c>
      <c r="N21" s="12">
        <f>IFERROR(N32/N10,0)</f>
        <v>0.0</v>
      </c>
      <c r="O21" s="12">
        <f>IFERROR(O32/O10,0)</f>
        <v>0.0</v>
      </c>
    </row>
    <row r="22">
      <c r="B22" t="str">
        <f>B11</f>
        <v>Insert Adj. 6</v>
      </c>
      <c r="C22" s="12">
        <f>IFERROR(C33/C11,0)</f>
        <v>0.0</v>
      </c>
      <c r="D22" s="12">
        <f>IFERROR(D33/D11,0)</f>
        <v>0.0</v>
      </c>
      <c r="E22" s="12">
        <f>IFERROR(E33/E11,0)</f>
        <v>0.0</v>
      </c>
      <c r="F22" s="12">
        <f>IFERROR(F33/F11,0)</f>
        <v>0.0</v>
      </c>
      <c r="G22" s="12">
        <f>IFERROR(G33/G11,0)</f>
        <v>0.0</v>
      </c>
      <c r="H22" s="12">
        <f>IFERROR(H33/H11,0)</f>
        <v>0.0</v>
      </c>
      <c r="I22" s="12">
        <f>IFERROR(I33/I11,0)</f>
        <v>0.0</v>
      </c>
      <c r="J22" s="12">
        <f>IFERROR(J33/J11,0)</f>
        <v>0.0</v>
      </c>
      <c r="K22" s="12">
        <f>IFERROR(K33/K11,0)</f>
        <v>0.0</v>
      </c>
      <c r="L22" s="12">
        <f>IFERROR(L33/L11,0)</f>
        <v>0.0</v>
      </c>
      <c r="M22" s="12">
        <f>IFERROR(M33/M11,0)</f>
        <v>0.0</v>
      </c>
      <c r="N22" s="12">
        <f>IFERROR(N33/N11,0)</f>
        <v>0.0</v>
      </c>
      <c r="O22" s="12">
        <f>IFERROR(O33/O11,0)</f>
        <v>0.0</v>
      </c>
    </row>
    <row r="23">
      <c r="B23" t="str">
        <f>B12</f>
        <v>Insert Adj. 7</v>
      </c>
      <c r="C23" s="12">
        <f>IFERROR(C34/C12,0)</f>
        <v>0.0</v>
      </c>
      <c r="D23" s="12">
        <f>IFERROR(D34/D12,0)</f>
        <v>0.0</v>
      </c>
      <c r="E23" s="12">
        <f>IFERROR(E34/E12,0)</f>
        <v>0.0</v>
      </c>
      <c r="F23" s="12">
        <f>IFERROR(F34/F12,0)</f>
        <v>0.0</v>
      </c>
      <c r="G23" s="12">
        <f>IFERROR(G34/G12,0)</f>
        <v>0.0</v>
      </c>
      <c r="H23" s="12">
        <f>IFERROR(H34/H12,0)</f>
        <v>0.0</v>
      </c>
      <c r="I23" s="12">
        <f>IFERROR(I34/I12,0)</f>
        <v>0.0</v>
      </c>
      <c r="J23" s="12">
        <f>IFERROR(J34/J12,0)</f>
        <v>0.0</v>
      </c>
      <c r="K23" s="12">
        <f>IFERROR(K34/K12,0)</f>
        <v>0.0</v>
      </c>
      <c r="L23" s="12">
        <f>IFERROR(L34/L12,0)</f>
        <v>0.0</v>
      </c>
      <c r="M23" s="12">
        <f>IFERROR(M34/M12,0)</f>
        <v>0.0</v>
      </c>
      <c r="N23" s="12">
        <f>IFERROR(N34/N12,0)</f>
        <v>0.0</v>
      </c>
      <c r="O23" s="12">
        <f>IFERROR(O34/O12,0)</f>
        <v>0.0</v>
      </c>
    </row>
    <row r="24">
      <c r="B24" t="str">
        <f>B13</f>
        <v>Insert Adj. 8</v>
      </c>
      <c r="C24" s="12">
        <f>IFERROR(C35/C13,0)</f>
        <v>0.0</v>
      </c>
      <c r="D24" s="12">
        <f>IFERROR(D35/D13,0)</f>
        <v>0.0</v>
      </c>
      <c r="E24" s="12">
        <f>IFERROR(E35/E13,0)</f>
        <v>0.0</v>
      </c>
      <c r="F24" s="12">
        <f>IFERROR(F35/F13,0)</f>
        <v>0.0</v>
      </c>
      <c r="G24" s="12">
        <f>IFERROR(G35/G13,0)</f>
        <v>0.0</v>
      </c>
      <c r="H24" s="12">
        <f>IFERROR(H35/H13,0)</f>
        <v>0.0</v>
      </c>
      <c r="I24" s="12">
        <f>IFERROR(I35/I13,0)</f>
        <v>0.0</v>
      </c>
      <c r="J24" s="12">
        <f>IFERROR(J35/J13,0)</f>
        <v>0.0</v>
      </c>
      <c r="K24" s="12">
        <f>IFERROR(K35/K13,0)</f>
        <v>0.0</v>
      </c>
      <c r="L24" s="12">
        <f>IFERROR(L35/L13,0)</f>
        <v>0.0</v>
      </c>
      <c r="M24" s="12">
        <f>IFERROR(M35/M13,0)</f>
        <v>0.0</v>
      </c>
      <c r="N24" s="12">
        <f>IFERROR(N35/N13,0)</f>
        <v>0.0</v>
      </c>
      <c r="O24" s="12">
        <f>IFERROR(O35/O13,0)</f>
        <v>0.0</v>
      </c>
    </row>
    <row r="25">
      <c r="B25" s="2" t="inlineStr">
        <is>
          <t>Total Gross Margin (%)</t>
        </is>
      </c>
      <c r="C25" s="15">
        <f>IFERROR(C36/C14,0)</f>
        <v>0.0</v>
      </c>
      <c r="D25" s="15">
        <f>IFERROR(D36/D14,0)</f>
        <v>0.0</v>
      </c>
      <c r="E25" s="15">
        <f>IFERROR(E36/E14,0)</f>
        <v>0.0</v>
      </c>
      <c r="F25" s="15">
        <f>IFERROR(F36/F14,0)</f>
        <v>0.0</v>
      </c>
      <c r="G25" s="15">
        <f>IFERROR(G36/G14,0)</f>
        <v>0.0</v>
      </c>
      <c r="H25" s="15">
        <f>IFERROR(H36/H14,0)</f>
        <v>0.0</v>
      </c>
      <c r="I25" s="15">
        <f>IFERROR(I36/I14,0)</f>
        <v>0.0</v>
      </c>
      <c r="J25" s="15">
        <f>IFERROR(J36/J14,0)</f>
        <v>0.0</v>
      </c>
      <c r="K25" s="15">
        <f>IFERROR(K36/K14,0)</f>
        <v>0.0</v>
      </c>
      <c r="L25" s="15">
        <f>IFERROR(L36/L14,0)</f>
        <v>0.7</v>
      </c>
      <c r="M25" s="15">
        <f>IFERROR(M36/M14,0)</f>
        <v>0.7</v>
      </c>
      <c r="N25" s="15">
        <f>IFERROR(N36/N14,0)</f>
        <v>0.7</v>
      </c>
      <c r="O25" s="15">
        <f>IFERROR(O36/O14,0)</f>
        <v>0.9666666666666667</v>
      </c>
    </row>
    <row r="27">
      <c r="B27" s="2" t="inlineStr">
        <is>
          <t>Gross Margin ($)</t>
        </is>
      </c>
    </row>
    <row r="28">
      <c r="B28" t="inlineStr">
        <is>
          <t>Insert Adj. 1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21" t="n">
        <v>-160</v>
      </c>
      <c r="L28" s="21" t="n">
        <v>-140</v>
      </c>
      <c r="M28" s="21" t="n">
        <v>-140</v>
      </c>
      <c r="N28" s="21" t="n">
        <v>-140</v>
      </c>
      <c r="O28" s="6">
        <f>SUM(C28:N28)</f>
        <v>-580.0</v>
      </c>
    </row>
    <row r="29">
      <c r="B29" t="inlineStr">
        <is>
          <t>Insert Adj. 2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6">
        <f>SUM(C29:N29)</f>
        <v>0.0</v>
      </c>
    </row>
    <row r="30">
      <c r="B30" t="inlineStr">
        <is>
          <t>Insert Adj. 3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6">
        <f>SUM(C30:N30)</f>
        <v>0.0</v>
      </c>
    </row>
    <row r="31">
      <c r="B31" t="inlineStr">
        <is>
          <t>Insert Adj. 4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6">
        <f>SUM(C31:N31)</f>
        <v>0.0</v>
      </c>
    </row>
    <row r="32">
      <c r="B32" t="inlineStr">
        <is>
          <t>Insert Adj. 5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6">
        <f>SUM(C32:N32)</f>
        <v>0.0</v>
      </c>
    </row>
    <row r="33">
      <c r="B33" t="inlineStr">
        <is>
          <t>Insert Adj. 6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6">
        <f>SUM(C33:N33)</f>
        <v>0.0</v>
      </c>
    </row>
    <row r="34">
      <c r="B34" t="inlineStr">
        <is>
          <t>Insert Adj. 7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6">
        <f>SUM(C34:N34)</f>
        <v>0.0</v>
      </c>
    </row>
    <row r="35">
      <c r="B35" t="inlineStr">
        <is>
          <t>Insert Adj. 8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6">
        <f>SUM(C35:N35)</f>
        <v>0.0</v>
      </c>
    </row>
    <row r="36">
      <c r="B36" s="2" t="inlineStr">
        <is>
          <t>Total Gross Margin ($)</t>
        </is>
      </c>
      <c r="C36" s="9">
        <f>SUM(C28:C35)</f>
        <v>0.0</v>
      </c>
      <c r="D36" s="9">
        <f>SUM(D28:D35)</f>
        <v>0.0</v>
      </c>
      <c r="E36" s="9">
        <f>SUM(E28:E35)</f>
        <v>0.0</v>
      </c>
      <c r="F36" s="9">
        <f>SUM(F28:F35)</f>
        <v>0.0</v>
      </c>
      <c r="G36" s="9">
        <f>SUM(G28:G35)</f>
        <v>0.0</v>
      </c>
      <c r="H36" s="9">
        <f>SUM(H28:H35)</f>
        <v>0.0</v>
      </c>
      <c r="I36" s="9">
        <f>SUM(I28:I35)</f>
        <v>0.0</v>
      </c>
      <c r="J36" s="9">
        <f>SUM(J28:J35)</f>
        <v>0.0</v>
      </c>
      <c r="K36" s="9">
        <f>SUM(K28:K35)</f>
        <v>-160.0</v>
      </c>
      <c r="L36" s="9">
        <f>SUM(L28:L35)</f>
        <v>-140.0</v>
      </c>
      <c r="M36" s="9">
        <f>SUM(M28:M35)</f>
        <v>-140.0</v>
      </c>
      <c r="N36" s="9">
        <f>SUM(N28:N35)</f>
        <v>-140.0</v>
      </c>
      <c r="O36" s="9">
        <f>SUM(O28:O35)</f>
        <v>-580.0</v>
      </c>
    </row>
    <row r="38">
      <c r="B38" s="2" t="inlineStr">
        <is>
          <t>Op Costs (%)</t>
        </is>
      </c>
    </row>
    <row r="39">
      <c r="B39" t="str">
        <f>B6</f>
        <v>Insert Adj. 1</v>
      </c>
      <c r="C39" s="12">
        <f>IFERROR(C50/C6,0)</f>
        <v>0.0</v>
      </c>
      <c r="D39" s="12">
        <f>IFERROR(D50/D6,0)</f>
        <v>0.0</v>
      </c>
      <c r="E39" s="12">
        <f>IFERROR(E50/E6,0)</f>
        <v>0.0</v>
      </c>
      <c r="F39" s="12">
        <f>IFERROR(F50/F6,0)</f>
        <v>0.0</v>
      </c>
      <c r="G39" s="12">
        <f>IFERROR(G50/G6,0)</f>
        <v>0.0</v>
      </c>
      <c r="H39" s="12">
        <f>IFERROR(H50/H6,0)</f>
        <v>0.0</v>
      </c>
      <c r="I39" s="12">
        <f>IFERROR(I50/I6,0)</f>
        <v>0.0</v>
      </c>
      <c r="J39" s="12">
        <f>IFERROR(J50/J6,0)</f>
        <v>0.0</v>
      </c>
      <c r="K39" s="12">
        <f>IFERROR(K50/K6,0)</f>
        <v>0.0</v>
      </c>
      <c r="L39" s="12">
        <f>IFERROR(L50/L6,0)</f>
        <v>0.1</v>
      </c>
      <c r="M39" s="12">
        <f>IFERROR(M50/M6,0)</f>
        <v>0.1</v>
      </c>
      <c r="N39" s="12">
        <f>IFERROR(N50/N6,0)</f>
        <v>0.1</v>
      </c>
      <c r="O39" s="12">
        <f>IFERROR(O50/O6,0)</f>
        <v>-0.13333333333333333</v>
      </c>
    </row>
    <row r="40">
      <c r="B40" t="str">
        <f>B7</f>
        <v>Insert Adj. 2</v>
      </c>
      <c r="C40" s="12">
        <f>IFERROR(C51/C7,0)</f>
        <v>0.0</v>
      </c>
      <c r="D40" s="12">
        <f>IFERROR(D51/D7,0)</f>
        <v>0.0</v>
      </c>
      <c r="E40" s="12">
        <f>IFERROR(E51/E7,0)</f>
        <v>0.0</v>
      </c>
      <c r="F40" s="12">
        <f>IFERROR(F51/F7,0)</f>
        <v>0.0</v>
      </c>
      <c r="G40" s="12">
        <f>IFERROR(G51/G7,0)</f>
        <v>0.0</v>
      </c>
      <c r="H40" s="12">
        <f>IFERROR(H51/H7,0)</f>
        <v>0.0</v>
      </c>
      <c r="I40" s="12">
        <f>IFERROR(I51/I7,0)</f>
        <v>0.0</v>
      </c>
      <c r="J40" s="12">
        <f>IFERROR(J51/J7,0)</f>
        <v>0.0</v>
      </c>
      <c r="K40" s="12">
        <f>IFERROR(K51/K7,0)</f>
        <v>0.0</v>
      </c>
      <c r="L40" s="12">
        <f>IFERROR(L51/L7,0)</f>
        <v>0.0</v>
      </c>
      <c r="M40" s="12">
        <f>IFERROR(M51/M7,0)</f>
        <v>0.0</v>
      </c>
      <c r="N40" s="12">
        <f>IFERROR(N51/N7,0)</f>
        <v>0.0</v>
      </c>
      <c r="O40" s="12">
        <f>IFERROR(O51/O7,0)</f>
        <v>0.0</v>
      </c>
    </row>
    <row r="41">
      <c r="B41" t="str">
        <f>B8</f>
        <v>Insert Adj. 3</v>
      </c>
      <c r="C41" s="12">
        <f>IFERROR(C52/C8,0)</f>
        <v>0.0</v>
      </c>
      <c r="D41" s="12">
        <f>IFERROR(D52/D8,0)</f>
        <v>0.0</v>
      </c>
      <c r="E41" s="12">
        <f>IFERROR(E52/E8,0)</f>
        <v>0.0</v>
      </c>
      <c r="F41" s="12">
        <f>IFERROR(F52/F8,0)</f>
        <v>0.0</v>
      </c>
      <c r="G41" s="12">
        <f>IFERROR(G52/G8,0)</f>
        <v>0.0</v>
      </c>
      <c r="H41" s="12">
        <f>IFERROR(H52/H8,0)</f>
        <v>0.0</v>
      </c>
      <c r="I41" s="12">
        <f>IFERROR(I52/I8,0)</f>
        <v>0.0</v>
      </c>
      <c r="J41" s="12">
        <f>IFERROR(J52/J8,0)</f>
        <v>0.0</v>
      </c>
      <c r="K41" s="12">
        <f>IFERROR(K52/K8,0)</f>
        <v>0.0</v>
      </c>
      <c r="L41" s="12">
        <f>IFERROR(L52/L8,0)</f>
        <v>0.0</v>
      </c>
      <c r="M41" s="12">
        <f>IFERROR(M52/M8,0)</f>
        <v>0.0</v>
      </c>
      <c r="N41" s="12">
        <f>IFERROR(N52/N8,0)</f>
        <v>0.0</v>
      </c>
      <c r="O41" s="12">
        <f>IFERROR(O52/O8,0)</f>
        <v>0.0</v>
      </c>
    </row>
    <row r="42">
      <c r="B42" t="str">
        <f>B9</f>
        <v>Insert Adj. 4</v>
      </c>
      <c r="C42" s="12">
        <f>IFERROR(C53/C9,0)</f>
        <v>0.0</v>
      </c>
      <c r="D42" s="12">
        <f>IFERROR(D53/D9,0)</f>
        <v>0.0</v>
      </c>
      <c r="E42" s="12">
        <f>IFERROR(E53/E9,0)</f>
        <v>0.0</v>
      </c>
      <c r="F42" s="12">
        <f>IFERROR(F53/F9,0)</f>
        <v>0.0</v>
      </c>
      <c r="G42" s="12">
        <f>IFERROR(G53/G9,0)</f>
        <v>0.0</v>
      </c>
      <c r="H42" s="12">
        <f>IFERROR(H53/H9,0)</f>
        <v>0.0</v>
      </c>
      <c r="I42" s="12">
        <f>IFERROR(I53/I9,0)</f>
        <v>0.0</v>
      </c>
      <c r="J42" s="12">
        <f>IFERROR(J53/J9,0)</f>
        <v>0.0</v>
      </c>
      <c r="K42" s="12">
        <f>IFERROR(K53/K9,0)</f>
        <v>0.0</v>
      </c>
      <c r="L42" s="12">
        <f>IFERROR(L53/L9,0)</f>
        <v>0.0</v>
      </c>
      <c r="M42" s="12">
        <f>IFERROR(M53/M9,0)</f>
        <v>0.0</v>
      </c>
      <c r="N42" s="12">
        <f>IFERROR(N53/N9,0)</f>
        <v>0.0</v>
      </c>
      <c r="O42" s="12">
        <f>IFERROR(O53/O9,0)</f>
        <v>0.0</v>
      </c>
    </row>
    <row r="43">
      <c r="B43" t="str">
        <f>B10</f>
        <v>Insert Adj. 5</v>
      </c>
      <c r="C43" s="12">
        <f>IFERROR(C54/C10,0)</f>
        <v>0.0</v>
      </c>
      <c r="D43" s="12">
        <f>IFERROR(D54/D10,0)</f>
        <v>0.0</v>
      </c>
      <c r="E43" s="12">
        <f>IFERROR(E54/E10,0)</f>
        <v>0.0</v>
      </c>
      <c r="F43" s="12">
        <f>IFERROR(F54/F10,0)</f>
        <v>0.0</v>
      </c>
      <c r="G43" s="12">
        <f>IFERROR(G54/G10,0)</f>
        <v>0.0</v>
      </c>
      <c r="H43" s="12">
        <f>IFERROR(H54/H10,0)</f>
        <v>0.0</v>
      </c>
      <c r="I43" s="12">
        <f>IFERROR(I54/I10,0)</f>
        <v>0.0</v>
      </c>
      <c r="J43" s="12">
        <f>IFERROR(J54/J10,0)</f>
        <v>0.0</v>
      </c>
      <c r="K43" s="12">
        <f>IFERROR(K54/K10,0)</f>
        <v>0.0</v>
      </c>
      <c r="L43" s="12">
        <f>IFERROR(L54/L10,0)</f>
        <v>0.0</v>
      </c>
      <c r="M43" s="12">
        <f>IFERROR(M54/M10,0)</f>
        <v>0.0</v>
      </c>
      <c r="N43" s="12">
        <f>IFERROR(N54/N10,0)</f>
        <v>0.0</v>
      </c>
      <c r="O43" s="12">
        <f>IFERROR(O54/O10,0)</f>
        <v>0.0</v>
      </c>
    </row>
    <row r="44">
      <c r="B44" t="str">
        <f>B11</f>
        <v>Insert Adj. 6</v>
      </c>
      <c r="C44" s="12">
        <f>IFERROR(C55/C11,0)</f>
        <v>0.0</v>
      </c>
      <c r="D44" s="12">
        <f>IFERROR(D55/D11,0)</f>
        <v>0.0</v>
      </c>
      <c r="E44" s="12">
        <f>IFERROR(E55/E11,0)</f>
        <v>0.0</v>
      </c>
      <c r="F44" s="12">
        <f>IFERROR(F55/F11,0)</f>
        <v>0.0</v>
      </c>
      <c r="G44" s="12">
        <f>IFERROR(G55/G11,0)</f>
        <v>0.0</v>
      </c>
      <c r="H44" s="12">
        <f>IFERROR(H55/H11,0)</f>
        <v>0.0</v>
      </c>
      <c r="I44" s="12">
        <f>IFERROR(I55/I11,0)</f>
        <v>0.0</v>
      </c>
      <c r="J44" s="12">
        <f>IFERROR(J55/J11,0)</f>
        <v>0.0</v>
      </c>
      <c r="K44" s="12">
        <f>IFERROR(K55/K11,0)</f>
        <v>0.0</v>
      </c>
      <c r="L44" s="12">
        <f>IFERROR(L55/L11,0)</f>
        <v>0.0</v>
      </c>
      <c r="M44" s="12">
        <f>IFERROR(M55/M11,0)</f>
        <v>0.0</v>
      </c>
      <c r="N44" s="12">
        <f>IFERROR(N55/N11,0)</f>
        <v>0.0</v>
      </c>
      <c r="O44" s="12">
        <f>IFERROR(O55/O11,0)</f>
        <v>0.0</v>
      </c>
    </row>
    <row r="45">
      <c r="B45" t="str">
        <f>B12</f>
        <v>Insert Adj. 7</v>
      </c>
      <c r="C45" s="12">
        <f>IFERROR(C56/C12,0)</f>
        <v>0.0</v>
      </c>
      <c r="D45" s="12">
        <f>IFERROR(D56/D12,0)</f>
        <v>0.0</v>
      </c>
      <c r="E45" s="12">
        <f>IFERROR(E56/E12,0)</f>
        <v>0.0</v>
      </c>
      <c r="F45" s="12">
        <f>IFERROR(F56/F12,0)</f>
        <v>0.0</v>
      </c>
      <c r="G45" s="12">
        <f>IFERROR(G56/G12,0)</f>
        <v>0.0</v>
      </c>
      <c r="H45" s="12">
        <f>IFERROR(H56/H12,0)</f>
        <v>0.0</v>
      </c>
      <c r="I45" s="12">
        <f>IFERROR(I56/I12,0)</f>
        <v>0.0</v>
      </c>
      <c r="J45" s="12">
        <f>IFERROR(J56/J12,0)</f>
        <v>0.0</v>
      </c>
      <c r="K45" s="12">
        <f>IFERROR(K56/K12,0)</f>
        <v>0.0</v>
      </c>
      <c r="L45" s="12">
        <f>IFERROR(L56/L12,0)</f>
        <v>0.0</v>
      </c>
      <c r="M45" s="12">
        <f>IFERROR(M56/M12,0)</f>
        <v>0.0</v>
      </c>
      <c r="N45" s="12">
        <f>IFERROR(N56/N12,0)</f>
        <v>0.0</v>
      </c>
      <c r="O45" s="12">
        <f>IFERROR(O56/O12,0)</f>
        <v>0.0</v>
      </c>
    </row>
    <row r="46">
      <c r="B46" t="str">
        <f>B13</f>
        <v>Insert Adj. 8</v>
      </c>
      <c r="C46" s="12">
        <f>IFERROR(C57/C13,0)</f>
        <v>0.0</v>
      </c>
      <c r="D46" s="12">
        <f>IFERROR(D57/D13,0)</f>
        <v>0.0</v>
      </c>
      <c r="E46" s="12">
        <f>IFERROR(E57/E13,0)</f>
        <v>0.0</v>
      </c>
      <c r="F46" s="12">
        <f>IFERROR(F57/F13,0)</f>
        <v>0.0</v>
      </c>
      <c r="G46" s="12">
        <f>IFERROR(G57/G13,0)</f>
        <v>0.0</v>
      </c>
      <c r="H46" s="12">
        <f>IFERROR(H57/H13,0)</f>
        <v>0.0</v>
      </c>
      <c r="I46" s="12">
        <f>IFERROR(I57/I13,0)</f>
        <v>0.0</v>
      </c>
      <c r="J46" s="12">
        <f>IFERROR(J57/J13,0)</f>
        <v>0.0</v>
      </c>
      <c r="K46" s="12">
        <f>IFERROR(K57/K13,0)</f>
        <v>0.0</v>
      </c>
      <c r="L46" s="12">
        <f>IFERROR(L57/L13,0)</f>
        <v>0.0</v>
      </c>
      <c r="M46" s="12">
        <f>IFERROR(M57/M13,0)</f>
        <v>0.0</v>
      </c>
      <c r="N46" s="12">
        <f>IFERROR(N57/N13,0)</f>
        <v>0.0</v>
      </c>
      <c r="O46" s="12">
        <f>IFERROR(O57/O13,0)</f>
        <v>0.0</v>
      </c>
    </row>
    <row r="47">
      <c r="B47" s="2" t="inlineStr">
        <is>
          <t>Total Op Costs (%)</t>
        </is>
      </c>
      <c r="C47" s="15">
        <f>IFERROR(C58/C14,0)</f>
        <v>0.0</v>
      </c>
      <c r="D47" s="15">
        <f>IFERROR(D58/D14,0)</f>
        <v>0.0</v>
      </c>
      <c r="E47" s="15">
        <f>IFERROR(E58/E14,0)</f>
        <v>0.0</v>
      </c>
      <c r="F47" s="15">
        <f>IFERROR(F58/F14,0)</f>
        <v>0.0</v>
      </c>
      <c r="G47" s="15">
        <f>IFERROR(G58/G14,0)</f>
        <v>0.0</v>
      </c>
      <c r="H47" s="15">
        <f>IFERROR(H58/H14,0)</f>
        <v>0.0</v>
      </c>
      <c r="I47" s="15">
        <f>IFERROR(I58/I14,0)</f>
        <v>0.0</v>
      </c>
      <c r="J47" s="15">
        <f>IFERROR(J58/J14,0)</f>
        <v>0.0</v>
      </c>
      <c r="K47" s="15">
        <f>IFERROR(K58/K14,0)</f>
        <v>0.0</v>
      </c>
      <c r="L47" s="15">
        <f>IFERROR(L58/L14,0)</f>
        <v>0.1</v>
      </c>
      <c r="M47" s="15">
        <f>IFERROR(M58/M14,0)</f>
        <v>0.1</v>
      </c>
      <c r="N47" s="15">
        <f>IFERROR(N58/N14,0)</f>
        <v>0.1</v>
      </c>
      <c r="O47" s="15">
        <f>IFERROR(O58/O14,0)</f>
        <v>0.5</v>
      </c>
    </row>
    <row r="49">
      <c r="B49" s="2" t="inlineStr">
        <is>
          <t>Op Costs ($)</t>
        </is>
      </c>
    </row>
    <row r="50">
      <c r="B50" t="inlineStr">
        <is>
          <t>Insert Adj. 1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21" t="n">
        <v>140</v>
      </c>
      <c r="L50" s="21" t="n">
        <v>-20</v>
      </c>
      <c r="M50" s="21" t="n">
        <v>-20</v>
      </c>
      <c r="N50" s="21" t="n">
        <v>-20</v>
      </c>
      <c r="O50" s="6">
        <f>SUM(C50:N50)</f>
        <v>80.0</v>
      </c>
    </row>
    <row r="51">
      <c r="B51" t="inlineStr">
        <is>
          <t>Insert Adj. 2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21" t="n">
        <v>-380</v>
      </c>
      <c r="L51" s="21" t="n">
        <v>0</v>
      </c>
      <c r="M51" s="21" t="n">
        <v>0</v>
      </c>
      <c r="N51" s="21" t="n">
        <v>0</v>
      </c>
      <c r="O51" s="6">
        <f>SUM(C51:N51)</f>
        <v>-380.0</v>
      </c>
    </row>
    <row r="52">
      <c r="B52" t="inlineStr">
        <is>
          <t>Insert Adj. 3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6">
        <f>SUM(C52:N52)</f>
        <v>0.0</v>
      </c>
    </row>
    <row r="53">
      <c r="B53" t="inlineStr">
        <is>
          <t>Insert Adj. 4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6">
        <f>SUM(C53:N53)</f>
        <v>0.0</v>
      </c>
    </row>
    <row r="54">
      <c r="B54" t="inlineStr">
        <is>
          <t>Insert Adj. 5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6">
        <f>SUM(C54:N54)</f>
        <v>0.0</v>
      </c>
    </row>
    <row r="55">
      <c r="B55" t="inlineStr">
        <is>
          <t>Insert Adj. 6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6">
        <f>SUM(C55:N55)</f>
        <v>0.0</v>
      </c>
    </row>
    <row r="56">
      <c r="B56" t="inlineStr">
        <is>
          <t>Insert Adj. 7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6">
        <f>SUM(C56:N56)</f>
        <v>0.0</v>
      </c>
    </row>
    <row r="57">
      <c r="B57" t="inlineStr">
        <is>
          <t>Insert Adj. 8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6">
        <f>SUM(C57:N57)</f>
        <v>0.0</v>
      </c>
    </row>
    <row r="58">
      <c r="B58" s="2" t="inlineStr">
        <is>
          <t>Total Op Costs ($)</t>
        </is>
      </c>
      <c r="C58" s="9">
        <f>SUM(C50:C57)</f>
        <v>0.0</v>
      </c>
      <c r="D58" s="9">
        <f>SUM(D50:D57)</f>
        <v>0.0</v>
      </c>
      <c r="E58" s="9">
        <f>SUM(E50:E57)</f>
        <v>0.0</v>
      </c>
      <c r="F58" s="9">
        <f>SUM(F50:F57)</f>
        <v>0.0</v>
      </c>
      <c r="G58" s="9">
        <f>SUM(G50:G57)</f>
        <v>0.0</v>
      </c>
      <c r="H58" s="9">
        <f>SUM(H50:H57)</f>
        <v>0.0</v>
      </c>
      <c r="I58" s="9">
        <f>SUM(I50:I57)</f>
        <v>0.0</v>
      </c>
      <c r="J58" s="9">
        <f>SUM(J50:J57)</f>
        <v>0.0</v>
      </c>
      <c r="K58" s="9">
        <f>SUM(K50:K57)</f>
        <v>-240.0</v>
      </c>
      <c r="L58" s="9">
        <f>SUM(L50:L57)</f>
        <v>-20.0</v>
      </c>
      <c r="M58" s="9">
        <f>SUM(M50:M57)</f>
        <v>-20.0</v>
      </c>
      <c r="N58" s="9">
        <f>SUM(N50:N57)</f>
        <v>-20.0</v>
      </c>
      <c r="O58" s="9">
        <f>SUM(O50:O57)</f>
        <v>-300.0</v>
      </c>
    </row>
    <row r="60">
      <c r="B60" s="2" t="inlineStr">
        <is>
          <t>PBITA</t>
        </is>
      </c>
    </row>
    <row r="61">
      <c r="B61" t="str">
        <f>B6</f>
        <v>Insert Adj. 1</v>
      </c>
      <c r="C61" s="6">
        <f>C28-C50</f>
        <v>0.0</v>
      </c>
      <c r="D61" s="6">
        <f>D28-D50</f>
        <v>0.0</v>
      </c>
      <c r="E61" s="6">
        <f>E28-E50</f>
        <v>0.0</v>
      </c>
      <c r="F61" s="6">
        <f>F28-F50</f>
        <v>0.0</v>
      </c>
      <c r="G61" s="6">
        <f>G28-G50</f>
        <v>0.0</v>
      </c>
      <c r="H61" s="6">
        <f>H28-H50</f>
        <v>0.0</v>
      </c>
      <c r="I61" s="6">
        <f>I28-I50</f>
        <v>0.0</v>
      </c>
      <c r="J61" s="6">
        <f>J28-J50</f>
        <v>0.0</v>
      </c>
      <c r="K61" s="6">
        <f>K28-K50</f>
        <v>-300.0</v>
      </c>
      <c r="L61" s="6">
        <f>L28-L50</f>
        <v>-120.0</v>
      </c>
      <c r="M61" s="6">
        <f>M28-M50</f>
        <v>-120.0</v>
      </c>
      <c r="N61" s="6">
        <f>N28-N50</f>
        <v>-120.0</v>
      </c>
      <c r="O61" s="6">
        <f>SUM(C61:N61)</f>
        <v>-660.0</v>
      </c>
    </row>
    <row r="62">
      <c r="B62" t="str">
        <f>B7</f>
        <v>Insert Adj. 2</v>
      </c>
      <c r="C62" s="6">
        <f>C29-C51</f>
        <v>0.0</v>
      </c>
      <c r="D62" s="6">
        <f>D29-D51</f>
        <v>0.0</v>
      </c>
      <c r="E62" s="6">
        <f>E29-E51</f>
        <v>0.0</v>
      </c>
      <c r="F62" s="6">
        <f>F29-F51</f>
        <v>0.0</v>
      </c>
      <c r="G62" s="6">
        <f>G29-G51</f>
        <v>0.0</v>
      </c>
      <c r="H62" s="6">
        <f>H29-H51</f>
        <v>0.0</v>
      </c>
      <c r="I62" s="6">
        <f>I29-I51</f>
        <v>0.0</v>
      </c>
      <c r="J62" s="6">
        <f>J29-J51</f>
        <v>0.0</v>
      </c>
      <c r="K62" s="6">
        <f>K29-K51</f>
        <v>380.0</v>
      </c>
      <c r="L62" s="6">
        <f>L29-L51</f>
        <v>0.0</v>
      </c>
      <c r="M62" s="6">
        <f>M29-M51</f>
        <v>0.0</v>
      </c>
      <c r="N62" s="6">
        <f>N29-N51</f>
        <v>0.0</v>
      </c>
      <c r="O62" s="6">
        <f>SUM(C62:N62)</f>
        <v>380.0</v>
      </c>
    </row>
    <row r="63">
      <c r="B63" t="str">
        <f>B8</f>
        <v>Insert Adj. 3</v>
      </c>
      <c r="C63" s="6">
        <f>C30-C52</f>
        <v>0.0</v>
      </c>
      <c r="D63" s="6">
        <f>D30-D52</f>
        <v>0.0</v>
      </c>
      <c r="E63" s="6">
        <f>E30-E52</f>
        <v>0.0</v>
      </c>
      <c r="F63" s="6">
        <f>F30-F52</f>
        <v>0.0</v>
      </c>
      <c r="G63" s="6">
        <f>G30-G52</f>
        <v>0.0</v>
      </c>
      <c r="H63" s="6">
        <f>H30-H52</f>
        <v>0.0</v>
      </c>
      <c r="I63" s="6">
        <f>I30-I52</f>
        <v>0.0</v>
      </c>
      <c r="J63" s="6">
        <f>J30-J52</f>
        <v>0.0</v>
      </c>
      <c r="K63" s="6">
        <f>K30-K52</f>
        <v>0.0</v>
      </c>
      <c r="L63" s="6">
        <f>L30-L52</f>
        <v>0.0</v>
      </c>
      <c r="M63" s="6">
        <f>M30-M52</f>
        <v>0.0</v>
      </c>
      <c r="N63" s="6">
        <f>N30-N52</f>
        <v>0.0</v>
      </c>
      <c r="O63" s="6">
        <f>SUM(C63:N63)</f>
        <v>0.0</v>
      </c>
    </row>
    <row r="64">
      <c r="B64" t="str">
        <f>B9</f>
        <v>Insert Adj. 4</v>
      </c>
      <c r="C64" s="6">
        <f>C31-C53</f>
        <v>0.0</v>
      </c>
      <c r="D64" s="6">
        <f>D31-D53</f>
        <v>0.0</v>
      </c>
      <c r="E64" s="6">
        <f>E31-E53</f>
        <v>0.0</v>
      </c>
      <c r="F64" s="6">
        <f>F31-F53</f>
        <v>0.0</v>
      </c>
      <c r="G64" s="6">
        <f>G31-G53</f>
        <v>0.0</v>
      </c>
      <c r="H64" s="6">
        <f>H31-H53</f>
        <v>0.0</v>
      </c>
      <c r="I64" s="6">
        <f>I31-I53</f>
        <v>0.0</v>
      </c>
      <c r="J64" s="6">
        <f>J31-J53</f>
        <v>0.0</v>
      </c>
      <c r="K64" s="6">
        <f>K31-K53</f>
        <v>0.0</v>
      </c>
      <c r="L64" s="6">
        <f>L31-L53</f>
        <v>0.0</v>
      </c>
      <c r="M64" s="6">
        <f>M31-M53</f>
        <v>0.0</v>
      </c>
      <c r="N64" s="6">
        <f>N31-N53</f>
        <v>0.0</v>
      </c>
      <c r="O64" s="6">
        <f>SUM(C64:N64)</f>
        <v>0.0</v>
      </c>
    </row>
    <row r="65">
      <c r="B65" t="str">
        <f>B10</f>
        <v>Insert Adj. 5</v>
      </c>
      <c r="C65" s="6">
        <f>C32-C54</f>
        <v>0.0</v>
      </c>
      <c r="D65" s="6">
        <f>D32-D54</f>
        <v>0.0</v>
      </c>
      <c r="E65" s="6">
        <f>E32-E54</f>
        <v>0.0</v>
      </c>
      <c r="F65" s="6">
        <f>F32-F54</f>
        <v>0.0</v>
      </c>
      <c r="G65" s="6">
        <f>G32-G54</f>
        <v>0.0</v>
      </c>
      <c r="H65" s="6">
        <f>H32-H54</f>
        <v>0.0</v>
      </c>
      <c r="I65" s="6">
        <f>I32-I54</f>
        <v>0.0</v>
      </c>
      <c r="J65" s="6">
        <f>J32-J54</f>
        <v>0.0</v>
      </c>
      <c r="K65" s="6">
        <f>K32-K54</f>
        <v>0.0</v>
      </c>
      <c r="L65" s="6">
        <f>L32-L54</f>
        <v>0.0</v>
      </c>
      <c r="M65" s="6">
        <f>M32-M54</f>
        <v>0.0</v>
      </c>
      <c r="N65" s="6">
        <f>N32-N54</f>
        <v>0.0</v>
      </c>
      <c r="O65" s="6">
        <f>SUM(C65:N65)</f>
        <v>0.0</v>
      </c>
    </row>
    <row r="66">
      <c r="B66" t="str">
        <f>B11</f>
        <v>Insert Adj. 6</v>
      </c>
      <c r="C66" s="6">
        <f>C33-C55</f>
        <v>0.0</v>
      </c>
      <c r="D66" s="6">
        <f>D33-D55</f>
        <v>0.0</v>
      </c>
      <c r="E66" s="6">
        <f>E33-E55</f>
        <v>0.0</v>
      </c>
      <c r="F66" s="6">
        <f>F33-F55</f>
        <v>0.0</v>
      </c>
      <c r="G66" s="6">
        <f>G33-G55</f>
        <v>0.0</v>
      </c>
      <c r="H66" s="6">
        <f>H33-H55</f>
        <v>0.0</v>
      </c>
      <c r="I66" s="6">
        <f>I33-I55</f>
        <v>0.0</v>
      </c>
      <c r="J66" s="6">
        <f>J33-J55</f>
        <v>0.0</v>
      </c>
      <c r="K66" s="6">
        <f>K33-K55</f>
        <v>0.0</v>
      </c>
      <c r="L66" s="6">
        <f>L33-L55</f>
        <v>0.0</v>
      </c>
      <c r="M66" s="6">
        <f>M33-M55</f>
        <v>0.0</v>
      </c>
      <c r="N66" s="6">
        <f>N33-N55</f>
        <v>0.0</v>
      </c>
      <c r="O66" s="6">
        <f>SUM(C66:N66)</f>
        <v>0.0</v>
      </c>
    </row>
    <row r="67">
      <c r="B67" t="str">
        <f>B12</f>
        <v>Insert Adj. 7</v>
      </c>
      <c r="C67" s="6">
        <f>C34-C56</f>
        <v>0.0</v>
      </c>
      <c r="D67" s="6">
        <f>D34-D56</f>
        <v>0.0</v>
      </c>
      <c r="E67" s="6">
        <f>E34-E56</f>
        <v>0.0</v>
      </c>
      <c r="F67" s="6">
        <f>F34-F56</f>
        <v>0.0</v>
      </c>
      <c r="G67" s="6">
        <f>G34-G56</f>
        <v>0.0</v>
      </c>
      <c r="H67" s="6">
        <f>H34-H56</f>
        <v>0.0</v>
      </c>
      <c r="I67" s="6">
        <f>I34-I56</f>
        <v>0.0</v>
      </c>
      <c r="J67" s="6">
        <f>J34-J56</f>
        <v>0.0</v>
      </c>
      <c r="K67" s="6">
        <f>K34-K56</f>
        <v>0.0</v>
      </c>
      <c r="L67" s="6">
        <f>L34-L56</f>
        <v>0.0</v>
      </c>
      <c r="M67" s="6">
        <f>M34-M56</f>
        <v>0.0</v>
      </c>
      <c r="N67" s="6">
        <f>N34-N56</f>
        <v>0.0</v>
      </c>
      <c r="O67" s="6">
        <f>SUM(C67:N67)</f>
        <v>0.0</v>
      </c>
    </row>
    <row r="68">
      <c r="B68" t="str">
        <f>B13</f>
        <v>Insert Adj. 8</v>
      </c>
      <c r="C68" s="6">
        <f>C35-C57</f>
        <v>0.0</v>
      </c>
      <c r="D68" s="6">
        <f>D35-D57</f>
        <v>0.0</v>
      </c>
      <c r="E68" s="6">
        <f>E35-E57</f>
        <v>0.0</v>
      </c>
      <c r="F68" s="6">
        <f>F35-F57</f>
        <v>0.0</v>
      </c>
      <c r="G68" s="6">
        <f>G35-G57</f>
        <v>0.0</v>
      </c>
      <c r="H68" s="6">
        <f>H35-H57</f>
        <v>0.0</v>
      </c>
      <c r="I68" s="6">
        <f>I35-I57</f>
        <v>0.0</v>
      </c>
      <c r="J68" s="6">
        <f>J35-J57</f>
        <v>0.0</v>
      </c>
      <c r="K68" s="6">
        <f>K35-K57</f>
        <v>0.0</v>
      </c>
      <c r="L68" s="6">
        <f>L35-L57</f>
        <v>0.0</v>
      </c>
      <c r="M68" s="6">
        <f>M35-M57</f>
        <v>0.0</v>
      </c>
      <c r="N68" s="6">
        <f>N35-N57</f>
        <v>0.0</v>
      </c>
      <c r="O68" s="6">
        <f>SUM(C68:N68)</f>
        <v>0.0</v>
      </c>
    </row>
    <row r="69">
      <c r="B69" s="2" t="inlineStr">
        <is>
          <t>Total PBITA</t>
        </is>
      </c>
      <c r="C69" s="9">
        <f>SUM(C61:C68)</f>
        <v>0.0</v>
      </c>
      <c r="D69" s="9">
        <f>SUM(D61:D68)</f>
        <v>0.0</v>
      </c>
      <c r="E69" s="9">
        <f>SUM(E61:E68)</f>
        <v>0.0</v>
      </c>
      <c r="F69" s="9">
        <f>SUM(F61:F68)</f>
        <v>0.0</v>
      </c>
      <c r="G69" s="9">
        <f>SUM(G61:G68)</f>
        <v>0.0</v>
      </c>
      <c r="H69" s="9">
        <f>SUM(H61:H68)</f>
        <v>0.0</v>
      </c>
      <c r="I69" s="9">
        <f>SUM(I61:I68)</f>
        <v>0.0</v>
      </c>
      <c r="J69" s="9">
        <f>SUM(J61:J68)</f>
        <v>0.0</v>
      </c>
      <c r="K69" s="9">
        <f>SUM(K61:K68)</f>
        <v>80.0</v>
      </c>
      <c r="L69" s="9">
        <f>SUM(L61:L68)</f>
        <v>-120.0</v>
      </c>
      <c r="M69" s="9">
        <f>SUM(M61:M68)</f>
        <v>-120.0</v>
      </c>
      <c r="N69" s="9">
        <f>SUM(N61:N68)</f>
        <v>-120.0</v>
      </c>
      <c r="O69" s="9">
        <f>SUM(O61:O68)</f>
        <v>-280.0</v>
      </c>
    </row>
    <row r="71">
      <c r="B71" s="8" t="inlineStr">
        <is>
          <t>Section 2: General adjustments in Gross Margin or Opex % of Sales that are not tied to individual events (i.e., employee turnover):</t>
        </is>
      </c>
    </row>
    <row r="73">
      <c r="C73" s="4" t="inlineStr">
        <is>
          <t>January</t>
        </is>
      </c>
      <c r="D73" s="4" t="inlineStr">
        <is>
          <t>February</t>
        </is>
      </c>
      <c r="E73" s="4" t="inlineStr">
        <is>
          <t>March</t>
        </is>
      </c>
      <c r="F73" s="4" t="inlineStr">
        <is>
          <t>April</t>
        </is>
      </c>
      <c r="G73" s="4" t="inlineStr">
        <is>
          <t>May</t>
        </is>
      </c>
      <c r="H73" s="4" t="inlineStr">
        <is>
          <t>June</t>
        </is>
      </c>
      <c r="I73" s="4" t="inlineStr">
        <is>
          <t>July</t>
        </is>
      </c>
      <c r="J73" s="4" t="inlineStr">
        <is>
          <t>August</t>
        </is>
      </c>
      <c r="K73" s="4" t="inlineStr">
        <is>
          <t>September</t>
        </is>
      </c>
      <c r="L73" s="4" t="inlineStr">
        <is>
          <t>October</t>
        </is>
      </c>
      <c r="M73" s="4" t="inlineStr">
        <is>
          <t>November</t>
        </is>
      </c>
      <c r="N73" s="4" t="inlineStr">
        <is>
          <t>December</t>
        </is>
      </c>
      <c r="O73" s="4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2">
        <f>'Alder'!C35</f>
        <v>0.26461928518851724</v>
      </c>
      <c r="D75" s="12">
        <f>'Alder'!D35</f>
        <v>0.2619732234809475</v>
      </c>
      <c r="E75" s="12">
        <f>'Alder'!E35</f>
        <v>0.2614399023794997</v>
      </c>
      <c r="F75" s="12">
        <f>'Alder'!F35</f>
        <v>0.2626208569695672</v>
      </c>
      <c r="G75" s="12">
        <f>'Alder'!G35</f>
        <v>0.26195599252406904</v>
      </c>
      <c r="H75" s="12">
        <f>'Alder'!H35</f>
        <v>0.24014859222457963</v>
      </c>
      <c r="I75" s="12">
        <f>'Alder'!I35</f>
        <v>0.24061321901982244</v>
      </c>
      <c r="J75" s="12">
        <f>'Alder'!J35</f>
        <v>0.2387730383194081</v>
      </c>
      <c r="K75" s="12">
        <f>'Alder'!K35</f>
        <v>0.2408247069894773</v>
      </c>
      <c r="L75" s="12">
        <f>'Alder'!L35</f>
        <v>0.2354339278971101</v>
      </c>
      <c r="M75" s="12">
        <f>'Alder'!M35</f>
        <v>0.23818995120921585</v>
      </c>
      <c r="N75" s="12">
        <f>'Alder'!N35</f>
        <v>0.23942871490392426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6">
        <f>IF(C76="None",0,((('Alder'!C28*(C75+C76))-'Alder'!C29)))</f>
        <v>0.0</v>
      </c>
      <c r="D77" s="6">
        <f>IF(D76="None",0,((('Alder'!D28*(D75+D76))-'Alder'!D29)))</f>
        <v>0.0</v>
      </c>
      <c r="E77" s="6">
        <f>IF(E76="None",0,((('Alder'!E28*(E75+E76))-'Alder'!E29)))</f>
        <v>0.0</v>
      </c>
      <c r="F77" s="6">
        <f>IF(F76="None",0,((('Alder'!F28*(F75+F76))-'Alder'!F29)))</f>
        <v>0.0</v>
      </c>
      <c r="G77" s="6">
        <f>IF(G76="None",0,((('Alder'!G28*(G75+G76))-'Alder'!G29)))</f>
        <v>0.0</v>
      </c>
      <c r="H77" s="6">
        <f>IF(H76="None",0,((('Alder'!H28*(H75+H76))-'Alder'!H29)))</f>
        <v>0.0</v>
      </c>
      <c r="I77" s="6">
        <f>IF(I76="None",0,((('Alder'!I28*(I75+I76))-'Alder'!I29)))</f>
        <v>0.0</v>
      </c>
      <c r="J77" s="6">
        <f>IF(J76="None",0,((('Alder'!J28*(J75+J76))-'Alder'!J29)))</f>
        <v>0.0</v>
      </c>
      <c r="K77" s="6">
        <f>IF(K76="None",0,((('Alder'!K28*(K75+K76))-'Alder'!K29)))</f>
        <v>0.0</v>
      </c>
      <c r="L77" s="6">
        <f>IF(L76="None",0,((('Alder'!L28*(L75+L76))-'Alder'!L29)))</f>
        <v>0.0</v>
      </c>
      <c r="M77" s="6">
        <f>IF(M76="None",0,((('Alder'!M28*(M75+M76))-'Alder'!M29)))</f>
        <v>0.0</v>
      </c>
      <c r="N77" s="6">
        <f>IF(N76="None",0,((('Alder'!N28*(N75+N76))-'Alder'!N29)))</f>
        <v>0.0</v>
      </c>
      <c r="O77" s="6">
        <f>SUM(C77:N77)</f>
        <v>0.0</v>
      </c>
    </row>
    <row r="78">
      <c r="B78" t="inlineStr">
        <is>
          <t>Gross Margin - Current FCAST</t>
        </is>
      </c>
      <c r="C78" s="12">
        <f>SUM(C75:C76)</f>
        <v>0.26461928518851724</v>
      </c>
      <c r="D78" s="12">
        <f>SUM(D75:D76)</f>
        <v>0.2619732234809475</v>
      </c>
      <c r="E78" s="12">
        <f>SUM(E75:E76)</f>
        <v>0.2614399023794997</v>
      </c>
      <c r="F78" s="12">
        <f>SUM(F75:F76)</f>
        <v>0.2626208569695672</v>
      </c>
      <c r="G78" s="12">
        <f>SUM(G75:G76)</f>
        <v>0.26195599252406904</v>
      </c>
      <c r="H78" s="12">
        <f>SUM(H75:H76)</f>
        <v>0.24014859222457963</v>
      </c>
      <c r="I78" s="12">
        <f>SUM(I75:I76)</f>
        <v>0.24061321901982244</v>
      </c>
      <c r="J78" s="12">
        <f>SUM(J75:J76)</f>
        <v>0.2387730383194081</v>
      </c>
      <c r="K78" s="12">
        <f>SUM(K75:K76)</f>
        <v>0.2408247069894773</v>
      </c>
      <c r="L78" s="12">
        <f>SUM(L75:L76)</f>
        <v>0.2354339278971101</v>
      </c>
      <c r="M78" s="12">
        <f>SUM(M75:M76)</f>
        <v>0.23818995120921585</v>
      </c>
      <c r="N78" s="12">
        <f>SUM(N75:N76)</f>
        <v>0.23942871490392426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2">
        <f>'Alder'!C36</f>
        <v>-0.20042528829639322</v>
      </c>
      <c r="D82" s="12">
        <f>'Alder'!D36</f>
        <v>-0.19913491246138001</v>
      </c>
      <c r="E82" s="12">
        <f>'Alder'!E36</f>
        <v>-0.19549267846247714</v>
      </c>
      <c r="F82" s="12">
        <f>'Alder'!F36</f>
        <v>-0.19898676370901566</v>
      </c>
      <c r="G82" s="12">
        <f>'Alder'!G36</f>
        <v>-0.20072717563726028</v>
      </c>
      <c r="H82" s="12">
        <f>'Alder'!H36</f>
        <v>-0.19957264634597524</v>
      </c>
      <c r="I82" s="12">
        <f>'Alder'!I36</f>
        <v>-0.20073270096071993</v>
      </c>
      <c r="J82" s="12">
        <f>'Alder'!J36</f>
        <v>-0.19965129107166277</v>
      </c>
      <c r="K82" s="12">
        <f>'Alder'!K36</f>
        <v>-0.19670397187721167</v>
      </c>
      <c r="L82" s="12">
        <f>'Alder'!L36</f>
        <v>-0.20013771962948976</v>
      </c>
      <c r="M82" s="12">
        <f>'Alder'!M36</f>
        <v>-0.1988001201503503</v>
      </c>
      <c r="N82" s="12">
        <f>'Alder'!N36</f>
        <v>-0.19752019732080878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6">
        <f>-IF(C83="None",0,((('Alder'!C28*-(C82+C83))-'Alder'!C30)))</f>
        <v>0.0</v>
      </c>
      <c r="D84" s="6">
        <f>-IF(D83="None",0,((('Alder'!D28*-(D82+D83))-'Alder'!D30)))</f>
        <v>0.0</v>
      </c>
      <c r="E84" s="6">
        <f>-IF(E83="None",0,((('Alder'!E28*-(E82+E83))-'Alder'!E30)))</f>
        <v>0.0</v>
      </c>
      <c r="F84" s="6">
        <f>-IF(F83="None",0,((('Alder'!F28*-(F82+F83))-'Alder'!F30)))</f>
        <v>0.0</v>
      </c>
      <c r="G84" s="6">
        <f>-IF(G83="None",0,((('Alder'!G28*-(G82+G83))-'Alder'!G30)))</f>
        <v>0.0</v>
      </c>
      <c r="H84" s="6">
        <f>-IF(H83="None",0,((('Alder'!H28*-(H82+H83))-'Alder'!H30)))</f>
        <v>0.0</v>
      </c>
      <c r="I84" s="6">
        <f>-IF(I83="None",0,((('Alder'!I28*-(I82+I83))-'Alder'!I30)))</f>
        <v>0.0</v>
      </c>
      <c r="J84" s="6">
        <f>-IF(J83="None",0,((('Alder'!J28*-(J82+J83))-'Alder'!J30)))</f>
        <v>0.0</v>
      </c>
      <c r="K84" s="6">
        <f>-IF(K83="None",0,((('Alder'!K28*-(K82+K83))-'Alder'!K30)))</f>
        <v>0.0</v>
      </c>
      <c r="L84" s="6">
        <f>-IF(L83="None",0,((('Alder'!L28*-(L82+L83))-'Alder'!L30)))</f>
        <v>0.0</v>
      </c>
      <c r="M84" s="6">
        <f>-IF(M83="None",0,((('Alder'!M28*-(M82+M83))-'Alder'!M30)))</f>
        <v>0.0</v>
      </c>
      <c r="N84" s="6">
        <f>-IF(N83="None",0,((('Alder'!N28*-(N82+N83))-'Alder'!N30)))</f>
        <v>0.0</v>
      </c>
      <c r="O84" s="6">
        <f>SUM(C84:N84)</f>
        <v>0.0</v>
      </c>
    </row>
    <row r="85">
      <c r="B85" t="inlineStr">
        <is>
          <t>Op Costs - Current FCAST</t>
        </is>
      </c>
      <c r="C85" s="12">
        <f>SUM(C82:C83)</f>
        <v>-0.20042528829639322</v>
      </c>
      <c r="D85" s="12">
        <f>SUM(D82:D83)</f>
        <v>-0.19913491246138001</v>
      </c>
      <c r="E85" s="12">
        <f>SUM(E82:E83)</f>
        <v>-0.19549267846247714</v>
      </c>
      <c r="F85" s="12">
        <f>SUM(F82:F83)</f>
        <v>-0.19898676370901566</v>
      </c>
      <c r="G85" s="12">
        <f>SUM(G82:G83)</f>
        <v>-0.20072717563726028</v>
      </c>
      <c r="H85" s="12">
        <f>SUM(H82:H83)</f>
        <v>-0.19957264634597524</v>
      </c>
      <c r="I85" s="12">
        <f>SUM(I82:I83)</f>
        <v>-0.20073270096071993</v>
      </c>
      <c r="J85" s="12">
        <f>SUM(J82:J83)</f>
        <v>-0.19965129107166277</v>
      </c>
      <c r="K85" s="12">
        <f>SUM(K82:K83)</f>
        <v>-0.19670397187721167</v>
      </c>
      <c r="L85" s="12">
        <f>SUM(L82:L83)</f>
        <v>-0.20013771962948976</v>
      </c>
      <c r="M85" s="12">
        <f>SUM(M82:M83)</f>
        <v>-0.1988001201503503</v>
      </c>
      <c r="N85" s="12">
        <f>SUM(N82:N83)</f>
        <v>-0.19752019732080878</v>
      </c>
      <c r="O85" t="inlineStr">
        <is>
          <t>N/A</t>
        </is>
      </c>
    </row>
    <row r="87">
      <c r="B87" s="8" t="inlineStr">
        <is>
          <t>Section 3: Working Capital Adjustments</t>
        </is>
      </c>
    </row>
    <row r="89">
      <c r="C89" s="4" t="inlineStr">
        <is>
          <t>January</t>
        </is>
      </c>
      <c r="D89" s="4" t="inlineStr">
        <is>
          <t>February</t>
        </is>
      </c>
      <c r="E89" s="4" t="inlineStr">
        <is>
          <t>March</t>
        </is>
      </c>
      <c r="F89" s="4" t="inlineStr">
        <is>
          <t>April</t>
        </is>
      </c>
      <c r="G89" s="4" t="inlineStr">
        <is>
          <t>May</t>
        </is>
      </c>
      <c r="H89" s="4" t="inlineStr">
        <is>
          <t>June</t>
        </is>
      </c>
      <c r="I89" s="4" t="inlineStr">
        <is>
          <t>July</t>
        </is>
      </c>
      <c r="J89" s="4" t="inlineStr">
        <is>
          <t>August</t>
        </is>
      </c>
      <c r="K89" s="4" t="inlineStr">
        <is>
          <t>September</t>
        </is>
      </c>
      <c r="L89" s="4" t="inlineStr">
        <is>
          <t>October</t>
        </is>
      </c>
      <c r="M89" s="4" t="inlineStr">
        <is>
          <t>November</t>
        </is>
      </c>
      <c r="N89" s="4" t="inlineStr">
        <is>
          <t>December</t>
        </is>
      </c>
      <c r="O89" s="4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21" t="n">
        <v>0</v>
      </c>
      <c r="L90" s="21" t="n">
        <v>-1200</v>
      </c>
      <c r="M90" s="21" t="n">
        <v>-2000</v>
      </c>
      <c r="N90" s="21" t="n">
        <v>-2500</v>
      </c>
    </row>
    <row r="91">
      <c r="A91" t="n">
        <v>2135</v>
      </c>
      <c r="B91" t="inlineStr">
        <is>
          <t>Trade Receivables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21" t="n">
        <v>0</v>
      </c>
      <c r="L91" s="21" t="n">
        <v>0</v>
      </c>
      <c r="M91" s="21" t="n">
        <v>0</v>
      </c>
      <c r="N91" s="21" t="n">
        <v>0</v>
      </c>
    </row>
    <row r="92">
      <c r="A92" t="n">
        <v>2175</v>
      </c>
      <c r="B92" t="inlineStr">
        <is>
          <t>Other Receivables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21" t="n">
        <v>0</v>
      </c>
      <c r="L92" s="21" t="n">
        <v>0</v>
      </c>
      <c r="M92" s="21" t="n">
        <v>0</v>
      </c>
      <c r="N92" s="21" t="n">
        <v>0</v>
      </c>
    </row>
    <row r="93">
      <c r="A93" t="n">
        <v>2140</v>
      </c>
      <c r="B93" t="inlineStr">
        <is>
          <t>Trade Payables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21" t="n">
        <v>0</v>
      </c>
      <c r="L93" s="21" t="n">
        <v>0</v>
      </c>
      <c r="M93" s="21" t="n">
        <v>0</v>
      </c>
      <c r="N93" s="21" t="n">
        <v>0</v>
      </c>
    </row>
    <row r="94">
      <c r="A94" t="n">
        <v>2180</v>
      </c>
      <c r="B94" t="inlineStr">
        <is>
          <t>Other Payables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21" t="n">
        <v>0</v>
      </c>
      <c r="L94" s="21" t="n">
        <v>0</v>
      </c>
      <c r="M94" s="21" t="n">
        <v>0</v>
      </c>
      <c r="N94" s="21" t="n">
        <v>0</v>
      </c>
    </row>
    <row r="95">
      <c r="A95" t="n">
        <v>2185</v>
      </c>
      <c r="B95" s="2" t="inlineStr">
        <is>
          <t>Total Working Capital</t>
        </is>
      </c>
      <c r="C95" s="6">
        <f>SUM(C90:C94)</f>
        <v>0.0</v>
      </c>
      <c r="D95" s="6">
        <f>SUM(D90:D94)</f>
        <v>0.0</v>
      </c>
      <c r="E95" s="6">
        <f>SUM(E90:E94)</f>
        <v>0.0</v>
      </c>
      <c r="F95" s="6">
        <f>SUM(F90:F94)</f>
        <v>0.0</v>
      </c>
      <c r="G95" s="6">
        <f>SUM(G90:G94)</f>
        <v>0.0</v>
      </c>
      <c r="H95" s="6">
        <f>SUM(H90:H94)</f>
        <v>0.0</v>
      </c>
      <c r="I95" s="6">
        <f>SUM(I90:I94)</f>
        <v>0.0</v>
      </c>
      <c r="J95" s="6">
        <f>SUM(J90:J94)</f>
        <v>0.0</v>
      </c>
      <c r="K95" s="6">
        <f>SUM(K90:K94)</f>
        <v>0.0</v>
      </c>
      <c r="L95" s="6">
        <f>SUM(L90:L94)</f>
        <v>-1200.0</v>
      </c>
      <c r="M95" s="6">
        <f>SUM(M90:M94)</f>
        <v>-2000.0</v>
      </c>
      <c r="N95" s="6">
        <f>SUM(N90:N94)</f>
        <v>-2500.0</v>
      </c>
    </row>
    <row r="97">
      <c r="B97" s="22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ALDER_DISP</t>
        </is>
      </c>
    </row>
    <row r="23">
      <c r="B23" s="3" t="inlineStr">
        <is>
          <t>Alder Gloves</t>
        </is>
      </c>
      <c r="BU23" s="8" t="inlineStr">
        <is>
          <t>FCAST10 - Variance ($) - Favorable / (Unfavorable)</t>
        </is>
      </c>
    </row>
    <row r="24">
      <c r="C24" s="8" t="inlineStr">
        <is>
          <t>FCAST09 as Reported</t>
        </is>
      </c>
      <c r="Q24" s="8" t="inlineStr">
        <is>
          <t>FCAST09 at New Fx Rates</t>
        </is>
      </c>
      <c r="AE24" s="8" t="inlineStr">
        <is>
          <t>Fx Changes</t>
        </is>
      </c>
      <c r="AS24" s="8" t="inlineStr">
        <is>
          <t>Operational Adjustments</t>
        </is>
      </c>
      <c r="BG24" s="8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6" t="n">
        <v>12227</v>
      </c>
      <c r="D28" s="6" t="n">
        <v>12137.5</v>
      </c>
      <c r="E28" s="6" t="n">
        <v>13112</v>
      </c>
      <c r="F28" s="6" t="n">
        <v>14014.5</v>
      </c>
      <c r="G28" s="6" t="n">
        <v>12734.2</v>
      </c>
      <c r="H28" s="6" t="n">
        <v>13244.3</v>
      </c>
      <c r="I28" s="6" t="n">
        <v>13156.8</v>
      </c>
      <c r="J28" s="6" t="n">
        <v>12962.1</v>
      </c>
      <c r="K28" s="6" t="n">
        <v>12857.9</v>
      </c>
      <c r="L28" s="6" t="n">
        <v>13505.7</v>
      </c>
      <c r="M28" s="6" t="n">
        <v>12317.9</v>
      </c>
      <c r="N28" s="6" t="n">
        <v>13541.4</v>
      </c>
      <c r="O28" s="19">
        <f>SUM(C28:N28)</f>
        <v>155811.3</v>
      </c>
      <c r="Q28" s="6" t="n">
        <v>12227</v>
      </c>
      <c r="R28" s="6" t="n">
        <v>12137.5</v>
      </c>
      <c r="S28" s="6" t="n">
        <v>13112</v>
      </c>
      <c r="T28" s="6" t="n">
        <v>14014.5</v>
      </c>
      <c r="U28" s="6" t="n">
        <v>12734.2</v>
      </c>
      <c r="V28" s="6" t="n">
        <v>13244.3</v>
      </c>
      <c r="W28" s="6" t="n">
        <v>13156.8</v>
      </c>
      <c r="X28" s="6" t="n">
        <v>12962.1</v>
      </c>
      <c r="Y28" s="6" t="n">
        <v>12857.9</v>
      </c>
      <c r="Z28" s="6" t="n">
        <v>13505.7</v>
      </c>
      <c r="AA28" s="6" t="n">
        <v>12317.9</v>
      </c>
      <c r="AB28" s="6" t="n">
        <v>13541.4</v>
      </c>
      <c r="AC28" s="19">
        <f>SUM(Q28:AB28)</f>
        <v>155811.3</v>
      </c>
      <c r="AE28" s="6">
        <f>Q28-C28</f>
        <v>0.0</v>
      </c>
      <c r="AF28" s="6">
        <f>R28-D28</f>
        <v>0.0</v>
      </c>
      <c r="AG28" s="6">
        <f>S28-E28</f>
        <v>0.0</v>
      </c>
      <c r="AH28" s="6">
        <f>T28-F28</f>
        <v>0.0</v>
      </c>
      <c r="AI28" s="6">
        <f>U28-G28</f>
        <v>0.0</v>
      </c>
      <c r="AJ28" s="6">
        <f>V28-H28</f>
        <v>0.0</v>
      </c>
      <c r="AK28" s="6">
        <f>W28-I28</f>
        <v>0.0</v>
      </c>
      <c r="AL28" s="6">
        <f>X28-J28</f>
        <v>0.0</v>
      </c>
      <c r="AM28" s="6">
        <f>Y28-K28</f>
        <v>0.0</v>
      </c>
      <c r="AN28" s="6">
        <f>Z28-L28</f>
        <v>0.0</v>
      </c>
      <c r="AO28" s="6">
        <f>AA28-M28</f>
        <v>0.0</v>
      </c>
      <c r="AP28" s="6">
        <f>AB28-N28</f>
        <v>0.0</v>
      </c>
      <c r="AQ28" s="19">
        <f>SUM(AE28:AP28)</f>
        <v>0.0</v>
      </c>
      <c r="AS28" s="6">
        <f>'Alder-Adj'!C14</f>
        <v>0.0</v>
      </c>
      <c r="AT28" s="6">
        <f>'Alder-Adj'!D14</f>
        <v>0.0</v>
      </c>
      <c r="AU28" s="6">
        <f>'Alder-Adj'!E14</f>
        <v>0.0</v>
      </c>
      <c r="AV28" s="6">
        <f>'Alder-Adj'!F14</f>
        <v>0.0</v>
      </c>
      <c r="AW28" s="6">
        <f>'Alder-Adj'!G14</f>
        <v>0.0</v>
      </c>
      <c r="AX28" s="6">
        <f>'Alder-Adj'!H14</f>
        <v>0.0</v>
      </c>
      <c r="AY28" s="6">
        <f>'Alder-Adj'!I14</f>
        <v>0.0</v>
      </c>
      <c r="AZ28" s="6">
        <f>'Alder-Adj'!J14</f>
        <v>0.0</v>
      </c>
      <c r="BA28" s="6">
        <f>'Alder-Adj'!K14</f>
        <v>0.0</v>
      </c>
      <c r="BB28" s="6">
        <f>'Alder-Adj'!L14</f>
        <v>-200.0</v>
      </c>
      <c r="BC28" s="6">
        <f>'Alder-Adj'!M14</f>
        <v>-200.0</v>
      </c>
      <c r="BD28" s="6">
        <f>'Alder-Adj'!N14</f>
        <v>-200.0</v>
      </c>
      <c r="BE28" s="19">
        <f>SUM(AS28:BD28)</f>
        <v>-600.0</v>
      </c>
      <c r="BG28" s="6">
        <f>C28+AE28+AS28</f>
        <v>12227.0</v>
      </c>
      <c r="BH28" s="6">
        <f>D28+AF28+AT28</f>
        <v>12137.5</v>
      </c>
      <c r="BI28" s="6">
        <f>E28+AG28+AU28</f>
        <v>13112.0</v>
      </c>
      <c r="BJ28" s="6">
        <f>F28+AH28+AV28</f>
        <v>14014.5</v>
      </c>
      <c r="BK28" s="6">
        <f>G28+AI28+AW28</f>
        <v>12734.2</v>
      </c>
      <c r="BL28" s="6">
        <f>H28+AJ28+AX28</f>
        <v>13244.3</v>
      </c>
      <c r="BM28" s="6">
        <f>I28+AK28+AY28</f>
        <v>13156.8</v>
      </c>
      <c r="BN28" s="6">
        <f>J28+AL28+AZ28</f>
        <v>12962.1</v>
      </c>
      <c r="BO28" s="6">
        <f>K28+AM28+BA28</f>
        <v>12857.9</v>
      </c>
      <c r="BP28" s="6">
        <f>L28+AN28+BB28</f>
        <v>13305.7</v>
      </c>
      <c r="BQ28" s="6">
        <f>M28+AO28+BC28</f>
        <v>12117.9</v>
      </c>
      <c r="BR28" s="6">
        <f>N28+AP28+BD28</f>
        <v>13341.4</v>
      </c>
      <c r="BS28" s="19">
        <f>SUM(BG28:BR28)</f>
        <v>155211.3</v>
      </c>
      <c r="BU28" s="6">
        <f>SUM(BG28:BO28)-SUM(C28:K28)</f>
        <v>0.0</v>
      </c>
      <c r="BV28" s="6">
        <f>SUM(BG28:BO28)-SUM(C51:K51)</f>
        <v>4321.500000000015</v>
      </c>
      <c r="BW28" s="6">
        <f>SUM(BG28:BO28)-SUM(C64:K64)</f>
        <v>9085.900000000009</v>
      </c>
      <c r="BY28" s="6">
        <f>SUM(BP28:BR28)-SUM(L28:N28)</f>
        <v>-600.0</v>
      </c>
      <c r="BZ28" s="6">
        <f>SUM(BP28:BR28)-SUM(L51:N51)</f>
        <v>890.0</v>
      </c>
      <c r="CA28" s="6">
        <f>SUM(BP28:BR28)-SUM(L64:N64)</f>
        <v>2526.399999999994</v>
      </c>
      <c r="CC28" s="6">
        <f>BS28-O28</f>
        <v>-600.0</v>
      </c>
      <c r="CD28" s="6">
        <f>BS28-O51</f>
        <v>5211.5</v>
      </c>
      <c r="CE28" s="6">
        <f>BS28-O64</f>
        <v>11612.299999999988</v>
      </c>
    </row>
    <row r="29">
      <c r="B29" s="5" t="inlineStr">
        <is>
          <t>Gross Margin</t>
        </is>
      </c>
      <c r="C29" s="6" t="n">
        <v>3235.5</v>
      </c>
      <c r="D29" s="6" t="n">
        <v>3179.7</v>
      </c>
      <c r="E29" s="6" t="n">
        <v>3428</v>
      </c>
      <c r="F29" s="6" t="n">
        <v>3680.5</v>
      </c>
      <c r="G29" s="6" t="n">
        <v>3335.8</v>
      </c>
      <c r="H29" s="6" t="n">
        <v>3180.6</v>
      </c>
      <c r="I29" s="6" t="n">
        <v>3165.7</v>
      </c>
      <c r="J29" s="6" t="n">
        <v>3095</v>
      </c>
      <c r="K29" s="6" t="n">
        <v>3096.5</v>
      </c>
      <c r="L29" s="6" t="n">
        <v>3179.7</v>
      </c>
      <c r="M29" s="6" t="n">
        <v>2934</v>
      </c>
      <c r="N29" s="6" t="n">
        <v>3242.2</v>
      </c>
      <c r="O29" s="19">
        <f>SUM(C29:N29)</f>
        <v>38753.2</v>
      </c>
      <c r="Q29" s="6" t="n">
        <v>3235.5</v>
      </c>
      <c r="R29" s="6" t="n">
        <v>3179.7</v>
      </c>
      <c r="S29" s="6" t="n">
        <v>3428</v>
      </c>
      <c r="T29" s="6" t="n">
        <v>3680.5</v>
      </c>
      <c r="U29" s="6" t="n">
        <v>3335.8</v>
      </c>
      <c r="V29" s="6" t="n">
        <v>3180.6</v>
      </c>
      <c r="W29" s="6" t="n">
        <v>3165.7</v>
      </c>
      <c r="X29" s="6" t="n">
        <v>3095</v>
      </c>
      <c r="Y29" s="6" t="n">
        <v>3096.5</v>
      </c>
      <c r="Z29" s="6" t="n">
        <v>3179.7</v>
      </c>
      <c r="AA29" s="6" t="n">
        <v>2934</v>
      </c>
      <c r="AB29" s="6" t="n">
        <v>3242.2</v>
      </c>
      <c r="AC29" s="19">
        <f>SUM(Q29:AB29)</f>
        <v>38753.2</v>
      </c>
      <c r="AE29" s="6">
        <f>Q29-C29</f>
        <v>0.0</v>
      </c>
      <c r="AF29" s="6">
        <f>R29-D29</f>
        <v>0.0</v>
      </c>
      <c r="AG29" s="6">
        <f>S29-E29</f>
        <v>0.0</v>
      </c>
      <c r="AH29" s="6">
        <f>T29-F29</f>
        <v>0.0</v>
      </c>
      <c r="AI29" s="6">
        <f>U29-G29</f>
        <v>0.0</v>
      </c>
      <c r="AJ29" s="6">
        <f>V29-H29</f>
        <v>0.0</v>
      </c>
      <c r="AK29" s="6">
        <f>W29-I29</f>
        <v>0.0</v>
      </c>
      <c r="AL29" s="6">
        <f>X29-J29</f>
        <v>0.0</v>
      </c>
      <c r="AM29" s="6">
        <f>Y29-K29</f>
        <v>0.0</v>
      </c>
      <c r="AN29" s="6">
        <f>Z29-L29</f>
        <v>0.0</v>
      </c>
      <c r="AO29" s="6">
        <f>AA29-M29</f>
        <v>0.0</v>
      </c>
      <c r="AP29" s="6">
        <f>AB29-N29</f>
        <v>0.0</v>
      </c>
      <c r="AQ29" s="19">
        <f>SUM(AE29:AP29)</f>
        <v>0.0</v>
      </c>
      <c r="AS29" s="6">
        <f>'Alder-Adj'!C36+'Alder-Adj'!C77</f>
        <v>0.0</v>
      </c>
      <c r="AT29" s="6">
        <f>'Alder-Adj'!D36+'Alder-Adj'!D77</f>
        <v>0.0</v>
      </c>
      <c r="AU29" s="6">
        <f>'Alder-Adj'!E36+'Alder-Adj'!E77</f>
        <v>0.0</v>
      </c>
      <c r="AV29" s="6">
        <f>'Alder-Adj'!F36+'Alder-Adj'!F77</f>
        <v>0.0</v>
      </c>
      <c r="AW29" s="6">
        <f>'Alder-Adj'!G36+'Alder-Adj'!G77</f>
        <v>0.0</v>
      </c>
      <c r="AX29" s="6">
        <f>'Alder-Adj'!H36+'Alder-Adj'!H77</f>
        <v>0.0</v>
      </c>
      <c r="AY29" s="6">
        <f>'Alder-Adj'!I36+'Alder-Adj'!I77</f>
        <v>0.0</v>
      </c>
      <c r="AZ29" s="6">
        <f>'Alder-Adj'!J36+'Alder-Adj'!J77</f>
        <v>0.0</v>
      </c>
      <c r="BA29" s="6">
        <f>'Alder-Adj'!K36+'Alder-Adj'!K77</f>
        <v>-160.0</v>
      </c>
      <c r="BB29" s="6">
        <f>'Alder-Adj'!L36+'Alder-Adj'!L77</f>
        <v>-140.0</v>
      </c>
      <c r="BC29" s="6">
        <f>'Alder-Adj'!M36+'Alder-Adj'!M77</f>
        <v>-140.0</v>
      </c>
      <c r="BD29" s="6">
        <f>'Alder-Adj'!N36+'Alder-Adj'!N77</f>
        <v>-140.0</v>
      </c>
      <c r="BE29" s="19">
        <f>SUM(AS29:BD29)</f>
        <v>-580.0</v>
      </c>
      <c r="BG29" s="6">
        <f>C29+AE29+AS29</f>
        <v>3235.5</v>
      </c>
      <c r="BH29" s="6">
        <f>D29+AF29+AT29</f>
        <v>3179.7</v>
      </c>
      <c r="BI29" s="6">
        <f>E29+AG29+AU29</f>
        <v>3428.0</v>
      </c>
      <c r="BJ29" s="6">
        <f>F29+AH29+AV29</f>
        <v>3680.5</v>
      </c>
      <c r="BK29" s="6">
        <f>G29+AI29+AW29</f>
        <v>3335.8</v>
      </c>
      <c r="BL29" s="6">
        <f>H29+AJ29+AX29</f>
        <v>3180.6</v>
      </c>
      <c r="BM29" s="6">
        <f>I29+AK29+AY29</f>
        <v>3165.7</v>
      </c>
      <c r="BN29" s="6">
        <f>J29+AL29+AZ29</f>
        <v>3095.0</v>
      </c>
      <c r="BO29" s="6">
        <f>K29+AM29+BA29</f>
        <v>2936.5</v>
      </c>
      <c r="BP29" s="6">
        <f>L29+AN29+BB29</f>
        <v>3039.7</v>
      </c>
      <c r="BQ29" s="6">
        <f>M29+AO29+BC29</f>
        <v>2794.0</v>
      </c>
      <c r="BR29" s="6">
        <f>N29+AP29+BD29</f>
        <v>3102.2</v>
      </c>
      <c r="BS29" s="19">
        <f>SUM(BG29:BR29)</f>
        <v>38173.2</v>
      </c>
      <c r="BU29" s="6">
        <f>SUM(BG29:BO29)-SUM(C29:K29)</f>
        <v>-160.0</v>
      </c>
      <c r="BV29" s="6">
        <f>SUM(BG29:BO29)-SUM(C52:K52)</f>
        <v>-475.7000000000007</v>
      </c>
      <c r="BW29" s="6">
        <f>SUM(BG29:BO29)-SUM(C65:K65)</f>
        <v>123.49999999999636</v>
      </c>
      <c r="BY29" s="6">
        <f>SUM(BP29:BR29)-SUM(L29:N29)</f>
        <v>-420.0</v>
      </c>
      <c r="BZ29" s="6">
        <f>SUM(BP29:BR29)-SUM(L52:N52)</f>
        <v>-1101.0</v>
      </c>
      <c r="CA29" s="6">
        <f>SUM(BP29:BR29)-SUM(L65:N65)</f>
        <v>-909.6000000000004</v>
      </c>
      <c r="CC29" s="6">
        <f>BS29-O29</f>
        <v>-580.0</v>
      </c>
      <c r="CD29" s="6">
        <f>BS29-O52</f>
        <v>-1576.7000000000044</v>
      </c>
      <c r="CE29" s="6">
        <f>BS29-O65</f>
        <v>-786.0999999999985</v>
      </c>
    </row>
    <row r="30">
      <c r="B30" s="5" t="inlineStr">
        <is>
          <t>Op Costs</t>
        </is>
      </c>
      <c r="C30" s="6" t="n">
        <v>-2450.6</v>
      </c>
      <c r="D30" s="6" t="n">
        <v>-2417</v>
      </c>
      <c r="E30" s="6" t="n">
        <v>-2563.3</v>
      </c>
      <c r="F30" s="6" t="n">
        <v>-2788.7</v>
      </c>
      <c r="G30" s="6" t="n">
        <v>-2556.1</v>
      </c>
      <c r="H30" s="6" t="n">
        <v>-2643.2</v>
      </c>
      <c r="I30" s="6" t="n">
        <v>-2641</v>
      </c>
      <c r="J30" s="6" t="n">
        <v>-2587.9</v>
      </c>
      <c r="K30" s="6" t="n">
        <v>-2529.2</v>
      </c>
      <c r="L30" s="6" t="n">
        <v>-2703</v>
      </c>
      <c r="M30" s="6" t="n">
        <v>-2448.8</v>
      </c>
      <c r="N30" s="6" t="n">
        <v>-2674.7</v>
      </c>
      <c r="O30" s="19">
        <f>SUM(C30:N30)</f>
        <v>-31003.500000000004</v>
      </c>
      <c r="Q30" s="6" t="n">
        <v>-2450.6</v>
      </c>
      <c r="R30" s="6" t="n">
        <v>-2417</v>
      </c>
      <c r="S30" s="6" t="n">
        <v>-2563.3</v>
      </c>
      <c r="T30" s="6" t="n">
        <v>-2788.7</v>
      </c>
      <c r="U30" s="6" t="n">
        <v>-2556.1</v>
      </c>
      <c r="V30" s="6" t="n">
        <v>-2643.2</v>
      </c>
      <c r="W30" s="6" t="n">
        <v>-2641</v>
      </c>
      <c r="X30" s="6" t="n">
        <v>-2587.9</v>
      </c>
      <c r="Y30" s="6" t="n">
        <v>-2529.2</v>
      </c>
      <c r="Z30" s="6" t="n">
        <v>-2703</v>
      </c>
      <c r="AA30" s="6" t="n">
        <v>-2448.8</v>
      </c>
      <c r="AB30" s="6" t="n">
        <v>-2674.7</v>
      </c>
      <c r="AC30" s="19">
        <f>SUM(Q30:AB30)</f>
        <v>-31003.500000000004</v>
      </c>
      <c r="AE30" s="6">
        <f>Q30-C30</f>
        <v>0.0</v>
      </c>
      <c r="AF30" s="6">
        <f>R30-D30</f>
        <v>0.0</v>
      </c>
      <c r="AG30" s="6">
        <f>S30-E30</f>
        <v>0.0</v>
      </c>
      <c r="AH30" s="6">
        <f>T30-F30</f>
        <v>0.0</v>
      </c>
      <c r="AI30" s="6">
        <f>U30-G30</f>
        <v>0.0</v>
      </c>
      <c r="AJ30" s="6">
        <f>V30-H30</f>
        <v>0.0</v>
      </c>
      <c r="AK30" s="6">
        <f>W30-I30</f>
        <v>0.0</v>
      </c>
      <c r="AL30" s="6">
        <f>X30-J30</f>
        <v>0.0</v>
      </c>
      <c r="AM30" s="6">
        <f>Y30-K30</f>
        <v>0.0</v>
      </c>
      <c r="AN30" s="6">
        <f>Z30-L30</f>
        <v>0.0</v>
      </c>
      <c r="AO30" s="6">
        <f>AA30-M30</f>
        <v>0.0</v>
      </c>
      <c r="AP30" s="6">
        <f>AB30-N30</f>
        <v>0.0</v>
      </c>
      <c r="AQ30" s="19">
        <f>SUM(AE30:AP30)</f>
        <v>0.0</v>
      </c>
      <c r="AS30" s="6">
        <f>-'Alder-Adj'!C58-'Alder-Adj'!C84</f>
        <v>0.0</v>
      </c>
      <c r="AT30" s="6">
        <f>-'Alder-Adj'!D58-'Alder-Adj'!D84</f>
        <v>0.0</v>
      </c>
      <c r="AU30" s="6">
        <f>-'Alder-Adj'!E58-'Alder-Adj'!E84</f>
        <v>0.0</v>
      </c>
      <c r="AV30" s="6">
        <f>-'Alder-Adj'!F58-'Alder-Adj'!F84</f>
        <v>0.0</v>
      </c>
      <c r="AW30" s="6">
        <f>-'Alder-Adj'!G58-'Alder-Adj'!G84</f>
        <v>0.0</v>
      </c>
      <c r="AX30" s="6">
        <f>-'Alder-Adj'!H58-'Alder-Adj'!H84</f>
        <v>0.0</v>
      </c>
      <c r="AY30" s="6">
        <f>-'Alder-Adj'!I58-'Alder-Adj'!I84</f>
        <v>0.0</v>
      </c>
      <c r="AZ30" s="6">
        <f>-'Alder-Adj'!J58-'Alder-Adj'!J84</f>
        <v>0.0</v>
      </c>
      <c r="BA30" s="6">
        <f>-'Alder-Adj'!K58-'Alder-Adj'!K84</f>
        <v>240.0</v>
      </c>
      <c r="BB30" s="6">
        <f>-'Alder-Adj'!L58-'Alder-Adj'!L84</f>
        <v>20.0</v>
      </c>
      <c r="BC30" s="6">
        <f>-'Alder-Adj'!M58-'Alder-Adj'!M84</f>
        <v>20.0</v>
      </c>
      <c r="BD30" s="6">
        <f>-'Alder-Adj'!N58-'Alder-Adj'!N84</f>
        <v>20.0</v>
      </c>
      <c r="BE30" s="19">
        <f>SUM(AS30:BD30)</f>
        <v>300.0</v>
      </c>
      <c r="BG30" s="6">
        <f>C30+AE30+AS30</f>
        <v>-2450.6</v>
      </c>
      <c r="BH30" s="6">
        <f>D30+AF30+AT30</f>
        <v>-2417.0</v>
      </c>
      <c r="BI30" s="6">
        <f>E30+AG30+AU30</f>
        <v>-2563.3</v>
      </c>
      <c r="BJ30" s="6">
        <f>F30+AH30+AV30</f>
        <v>-2788.7</v>
      </c>
      <c r="BK30" s="6">
        <f>G30+AI30+AW30</f>
        <v>-2556.1</v>
      </c>
      <c r="BL30" s="6">
        <f>H30+AJ30+AX30</f>
        <v>-2643.2</v>
      </c>
      <c r="BM30" s="6">
        <f>I30+AK30+AY30</f>
        <v>-2641.0</v>
      </c>
      <c r="BN30" s="6">
        <f>J30+AL30+AZ30</f>
        <v>-2587.9</v>
      </c>
      <c r="BO30" s="6">
        <f>K30+AM30+BA30</f>
        <v>-2289.2</v>
      </c>
      <c r="BP30" s="6">
        <f>L30+AN30+BB30</f>
        <v>-2683.0</v>
      </c>
      <c r="BQ30" s="6">
        <f>M30+AO30+BC30</f>
        <v>-2428.8</v>
      </c>
      <c r="BR30" s="6">
        <f>N30+AP30+BD30</f>
        <v>-2654.7</v>
      </c>
      <c r="BS30" s="19">
        <f>SUM(BG30:BR30)</f>
        <v>-30703.500000000004</v>
      </c>
      <c r="BU30" s="6">
        <f>SUM(BG30:BO30)-SUM(C30:K30)</f>
        <v>240.0</v>
      </c>
      <c r="BV30" s="6">
        <f>SUM(BG30:BO30)-SUM(C53:K53)</f>
        <v>-174.70000000000073</v>
      </c>
      <c r="BW30" s="6">
        <f>SUM(BG30:BO30)-SUM(C66:K66)</f>
        <v>-899.6000000000022</v>
      </c>
      <c r="BY30" s="6">
        <f>SUM(BP30:BR30)-SUM(L30:N30)</f>
        <v>60.0</v>
      </c>
      <c r="BZ30" s="6">
        <f>SUM(BP30:BR30)-SUM(L53:N53)</f>
        <v>-77.20000000000073</v>
      </c>
      <c r="CA30" s="6">
        <f>SUM(BP30:BR30)-SUM(L66:N66)</f>
        <v>-330.8000000000002</v>
      </c>
      <c r="CC30" s="6">
        <f>BS30-O30</f>
        <v>300.0</v>
      </c>
      <c r="CD30" s="6">
        <f>BS30-O53</f>
        <v>-251.90000000000146</v>
      </c>
      <c r="CE30" s="6">
        <f>BS30-O66</f>
        <v>-1230.400000000005</v>
      </c>
    </row>
    <row r="31">
      <c r="B31" s="2" t="inlineStr">
        <is>
          <t>PBITA</t>
        </is>
      </c>
      <c r="C31" s="6">
        <f>C29+C30</f>
        <v>784.9000000000001</v>
      </c>
      <c r="D31" s="6">
        <f>D29+D30</f>
        <v>762.6999999999998</v>
      </c>
      <c r="E31" s="6">
        <f>E29+E30</f>
        <v>864.6999999999998</v>
      </c>
      <c r="F31" s="6">
        <f>F29+F30</f>
        <v>891.8000000000002</v>
      </c>
      <c r="G31" s="6">
        <f>G29+G30</f>
        <v>779.7000000000003</v>
      </c>
      <c r="H31" s="6">
        <f>H29+H30</f>
        <v>537.4000000000001</v>
      </c>
      <c r="I31" s="6">
        <f>I29+I30</f>
        <v>524.6999999999998</v>
      </c>
      <c r="J31" s="6">
        <f>J29+J30</f>
        <v>507.0999999999999</v>
      </c>
      <c r="K31" s="6">
        <f>K29+K30</f>
        <v>567.3000000000002</v>
      </c>
      <c r="L31" s="6">
        <f>L29+L30</f>
        <v>476.6999999999998</v>
      </c>
      <c r="M31" s="6">
        <f>M29+M30</f>
        <v>485.1999999999998</v>
      </c>
      <c r="N31" s="6">
        <f>N29+N30</f>
        <v>567.5</v>
      </c>
      <c r="O31" s="19">
        <f>SUM(C31:N31)</f>
        <v>7749.7</v>
      </c>
      <c r="Q31" s="6">
        <f>Q29+Q30</f>
        <v>784.9000000000001</v>
      </c>
      <c r="R31" s="6">
        <f>R29+R30</f>
        <v>762.6999999999998</v>
      </c>
      <c r="S31" s="6">
        <f>S29+S30</f>
        <v>864.6999999999998</v>
      </c>
      <c r="T31" s="6">
        <f>T29+T30</f>
        <v>891.8000000000002</v>
      </c>
      <c r="U31" s="6">
        <f>U29+U30</f>
        <v>779.7000000000003</v>
      </c>
      <c r="V31" s="6">
        <f>V29+V30</f>
        <v>537.4000000000001</v>
      </c>
      <c r="W31" s="6">
        <f>W29+W30</f>
        <v>524.6999999999998</v>
      </c>
      <c r="X31" s="6">
        <f>X29+X30</f>
        <v>507.0999999999999</v>
      </c>
      <c r="Y31" s="6">
        <f>Y29+Y30</f>
        <v>567.3000000000002</v>
      </c>
      <c r="Z31" s="6">
        <f>Z29+Z30</f>
        <v>476.6999999999998</v>
      </c>
      <c r="AA31" s="6">
        <f>AA29+AA30</f>
        <v>485.1999999999998</v>
      </c>
      <c r="AB31" s="6">
        <f>AB29+AB30</f>
        <v>567.5</v>
      </c>
      <c r="AC31" s="19">
        <f>SUM(Q31:AB31)</f>
        <v>7749.7</v>
      </c>
      <c r="AE31" s="6">
        <f>AE29+AE30</f>
        <v>0.0</v>
      </c>
      <c r="AF31" s="6">
        <f>AF29+AF30</f>
        <v>0.0</v>
      </c>
      <c r="AG31" s="6">
        <f>AG29+AG30</f>
        <v>0.0</v>
      </c>
      <c r="AH31" s="6">
        <f>AH29+AH30</f>
        <v>0.0</v>
      </c>
      <c r="AI31" s="6">
        <f>AI29+AI30</f>
        <v>0.0</v>
      </c>
      <c r="AJ31" s="6">
        <f>AJ29+AJ30</f>
        <v>0.0</v>
      </c>
      <c r="AK31" s="6">
        <f>AK29+AK30</f>
        <v>0.0</v>
      </c>
      <c r="AL31" s="6">
        <f>AL29+AL30</f>
        <v>0.0</v>
      </c>
      <c r="AM31" s="6">
        <f>AM29+AM30</f>
        <v>0.0</v>
      </c>
      <c r="AN31" s="6">
        <f>AN29+AN30</f>
        <v>0.0</v>
      </c>
      <c r="AO31" s="6">
        <f>AO29+AO30</f>
        <v>0.0</v>
      </c>
      <c r="AP31" s="6">
        <f>AP29+AP30</f>
        <v>0.0</v>
      </c>
      <c r="AQ31" s="19">
        <f>SUM(AE31:AP31)</f>
        <v>0.0</v>
      </c>
      <c r="AS31" s="6">
        <f>AS29+AS30</f>
        <v>0.0</v>
      </c>
      <c r="AT31" s="6">
        <f>AT29+AT30</f>
        <v>0.0</v>
      </c>
      <c r="AU31" s="6">
        <f>AU29+AU30</f>
        <v>0.0</v>
      </c>
      <c r="AV31" s="6">
        <f>AV29+AV30</f>
        <v>0.0</v>
      </c>
      <c r="AW31" s="6">
        <f>AW29+AW30</f>
        <v>0.0</v>
      </c>
      <c r="AX31" s="6">
        <f>AX29+AX30</f>
        <v>0.0</v>
      </c>
      <c r="AY31" s="6">
        <f>AY29+AY30</f>
        <v>0.0</v>
      </c>
      <c r="AZ31" s="6">
        <f>AZ29+AZ30</f>
        <v>0.0</v>
      </c>
      <c r="BA31" s="6">
        <f>BA29+BA30</f>
        <v>80.0</v>
      </c>
      <c r="BB31" s="6">
        <f>BB29+BB30</f>
        <v>-120.0</v>
      </c>
      <c r="BC31" s="6">
        <f>BC29+BC30</f>
        <v>-120.0</v>
      </c>
      <c r="BD31" s="6">
        <f>BD29+BD30</f>
        <v>-120.0</v>
      </c>
      <c r="BE31" s="19">
        <f>SUM(AS31:BD31)</f>
        <v>-280.0</v>
      </c>
      <c r="BG31" s="6">
        <f>BG29+BG30</f>
        <v>784.9000000000001</v>
      </c>
      <c r="BH31" s="6">
        <f>BH29+BH30</f>
        <v>762.6999999999998</v>
      </c>
      <c r="BI31" s="6">
        <f>BI29+BI30</f>
        <v>864.6999999999998</v>
      </c>
      <c r="BJ31" s="6">
        <f>BJ29+BJ30</f>
        <v>891.8000000000002</v>
      </c>
      <c r="BK31" s="6">
        <f>BK29+BK30</f>
        <v>779.7000000000003</v>
      </c>
      <c r="BL31" s="6">
        <f>BL29+BL30</f>
        <v>537.4000000000001</v>
      </c>
      <c r="BM31" s="6">
        <f>BM29+BM30</f>
        <v>524.6999999999998</v>
      </c>
      <c r="BN31" s="6">
        <f>BN29+BN30</f>
        <v>507.0999999999999</v>
      </c>
      <c r="BO31" s="6">
        <f>BO29+BO30</f>
        <v>647.3000000000002</v>
      </c>
      <c r="BP31" s="6">
        <f>BP29+BP30</f>
        <v>356.6999999999998</v>
      </c>
      <c r="BQ31" s="6">
        <f>BQ29+BQ30</f>
        <v>365.1999999999998</v>
      </c>
      <c r="BR31" s="6">
        <f>BR29+BR30</f>
        <v>447.5</v>
      </c>
      <c r="BS31" s="19">
        <f>SUM(BG31:BR31)</f>
        <v>7469.7</v>
      </c>
      <c r="BU31" s="6">
        <f>SUM(BG31:BO31)-SUM(C31:K31)</f>
        <v>80.0</v>
      </c>
      <c r="BV31" s="6">
        <f>SUM(BG31:BO31)-SUM(C54:K54)</f>
        <v>-650.4000000000005</v>
      </c>
      <c r="BW31" s="6">
        <f>SUM(BG31:BO31)-SUM(C67:K67)</f>
        <v>-776.0999999999995</v>
      </c>
      <c r="BY31" s="6">
        <f>SUM(BP31:BR31)-SUM(L31:N31)</f>
        <v>-360.0</v>
      </c>
      <c r="BZ31" s="6">
        <f>SUM(BP31:BR31)-SUM(L54:N54)</f>
        <v>-1178.2000000000007</v>
      </c>
      <c r="CA31" s="6">
        <f>SUM(BP31:BR31)-SUM(L67:N67)</f>
        <v>-1240.3999999999996</v>
      </c>
      <c r="CC31" s="6">
        <f>BS31-O31</f>
        <v>-280.0</v>
      </c>
      <c r="CD31" s="6">
        <f>BS31-O54</f>
        <v>-1828.600000000003</v>
      </c>
      <c r="CE31" s="6">
        <f>BS31-O67</f>
        <v>-2016.499999999999</v>
      </c>
    </row>
    <row r="35">
      <c r="B35" s="5" t="inlineStr">
        <is>
          <t>GM %</t>
        </is>
      </c>
      <c r="C35" s="12">
        <f>IFERROR(C29/C28,0)</f>
        <v>0.26461928518851724</v>
      </c>
      <c r="D35" s="12">
        <f>IFERROR(D29/D28,0)</f>
        <v>0.2619732234809475</v>
      </c>
      <c r="E35" s="12">
        <f>IFERROR(E29/E28,0)</f>
        <v>0.2614399023794997</v>
      </c>
      <c r="F35" s="12">
        <f>IFERROR(F29/F28,0)</f>
        <v>0.2626208569695672</v>
      </c>
      <c r="G35" s="12">
        <f>IFERROR(G29/G28,0)</f>
        <v>0.26195599252406904</v>
      </c>
      <c r="H35" s="12">
        <f>IFERROR(H29/H28,0)</f>
        <v>0.24014859222457963</v>
      </c>
      <c r="I35" s="12">
        <f>IFERROR(I29/I28,0)</f>
        <v>0.24061321901982244</v>
      </c>
      <c r="J35" s="12">
        <f>IFERROR(J29/J28,0)</f>
        <v>0.2387730383194081</v>
      </c>
      <c r="K35" s="12">
        <f>IFERROR(K29/K28,0)</f>
        <v>0.2408247069894773</v>
      </c>
      <c r="L35" s="12">
        <f>IFERROR(L29/L28,0)</f>
        <v>0.2354339278971101</v>
      </c>
      <c r="M35" s="12">
        <f>IFERROR(M29/M28,0)</f>
        <v>0.23818995120921585</v>
      </c>
      <c r="N35" s="12">
        <f>IFERROR(N29/N28,0)</f>
        <v>0.23942871490392426</v>
      </c>
      <c r="O35" s="12">
        <f>IFERROR(O29/O28,0)</f>
        <v>0.24871880280826872</v>
      </c>
      <c r="Q35" s="12">
        <f>IFERROR(Q29/Q28,0)</f>
        <v>0.26461928518851724</v>
      </c>
      <c r="R35" s="12">
        <f>IFERROR(R29/R28,0)</f>
        <v>0.2619732234809475</v>
      </c>
      <c r="S35" s="12">
        <f>IFERROR(S29/S28,0)</f>
        <v>0.2614399023794997</v>
      </c>
      <c r="T35" s="12">
        <f>IFERROR(T29/T28,0)</f>
        <v>0.2626208569695672</v>
      </c>
      <c r="U35" s="12">
        <f>IFERROR(U29/U28,0)</f>
        <v>0.26195599252406904</v>
      </c>
      <c r="V35" s="12">
        <f>IFERROR(V29/V28,0)</f>
        <v>0.24014859222457963</v>
      </c>
      <c r="W35" s="12">
        <f>IFERROR(W29/W28,0)</f>
        <v>0.24061321901982244</v>
      </c>
      <c r="X35" s="12">
        <f>IFERROR(X29/X28,0)</f>
        <v>0.2387730383194081</v>
      </c>
      <c r="Y35" s="12">
        <f>IFERROR(Y29/Y28,0)</f>
        <v>0.2408247069894773</v>
      </c>
      <c r="Z35" s="12">
        <f>IFERROR(Z29/Z28,0)</f>
        <v>0.2354339278971101</v>
      </c>
      <c r="AA35" s="12">
        <f>IFERROR(AA29/AA28,0)</f>
        <v>0.23818995120921585</v>
      </c>
      <c r="AB35" s="12">
        <f>IFERROR(AB29/AB28,0)</f>
        <v>0.23942871490392426</v>
      </c>
      <c r="AC35" s="12">
        <f>IFERROR(AC29/AC28,0)</f>
        <v>0.24871880280826872</v>
      </c>
      <c r="AE35" s="12">
        <f>IFERROR(AE29/AE28,0)</f>
        <v>0.0</v>
      </c>
      <c r="AF35" s="12">
        <f>IFERROR(AF29/AF28,0)</f>
        <v>0.0</v>
      </c>
      <c r="AG35" s="12">
        <f>IFERROR(AG29/AG28,0)</f>
        <v>0.0</v>
      </c>
      <c r="AH35" s="12">
        <f>IFERROR(AH29/AH28,0)</f>
        <v>0.0</v>
      </c>
      <c r="AI35" s="12">
        <f>IFERROR(AI29/AI28,0)</f>
        <v>0.0</v>
      </c>
      <c r="AJ35" s="12">
        <f>IFERROR(AJ29/AJ28,0)</f>
        <v>0.0</v>
      </c>
      <c r="AK35" s="12">
        <f>IFERROR(AK29/AK28,0)</f>
        <v>0.0</v>
      </c>
      <c r="AL35" s="12">
        <f>IFERROR(AL29/AL28,0)</f>
        <v>0.0</v>
      </c>
      <c r="AM35" s="12">
        <f>IFERROR(AM29/AM28,0)</f>
        <v>0.0</v>
      </c>
      <c r="AN35" s="12">
        <f>IFERROR(AN29/AN28,0)</f>
        <v>0.0</v>
      </c>
      <c r="AO35" s="12">
        <f>IFERROR(AO29/AO28,0)</f>
        <v>0.0</v>
      </c>
      <c r="AP35" s="12">
        <f>IFERROR(AP29/AP28,0)</f>
        <v>0.0</v>
      </c>
      <c r="AQ35" s="12">
        <f>IFERROR(AQ29/AQ28,0)</f>
        <v>0.0</v>
      </c>
      <c r="AS35" s="12">
        <f>IFERROR(AS29/AS28,0)</f>
        <v>0.0</v>
      </c>
      <c r="AT35" s="12">
        <f>IFERROR(AT29/AT28,0)</f>
        <v>0.0</v>
      </c>
      <c r="AU35" s="12">
        <f>IFERROR(AU29/AU28,0)</f>
        <v>0.0</v>
      </c>
      <c r="AV35" s="12">
        <f>IFERROR(AV29/AV28,0)</f>
        <v>0.0</v>
      </c>
      <c r="AW35" s="12">
        <f>IFERROR(AW29/AW28,0)</f>
        <v>0.0</v>
      </c>
      <c r="AX35" s="12">
        <f>IFERROR(AX29/AX28,0)</f>
        <v>0.0</v>
      </c>
      <c r="AY35" s="12">
        <f>IFERROR(AY29/AY28,0)</f>
        <v>0.0</v>
      </c>
      <c r="AZ35" s="12">
        <f>IFERROR(AZ29/AZ28,0)</f>
        <v>0.0</v>
      </c>
      <c r="BA35" s="12">
        <f>IFERROR(BA29/BA28,0)</f>
        <v>0.0</v>
      </c>
      <c r="BB35" s="12">
        <f>IFERROR(BB29/BB28,0)</f>
        <v>0.7</v>
      </c>
      <c r="BC35" s="12">
        <f>IFERROR(BC29/BC28,0)</f>
        <v>0.7</v>
      </c>
      <c r="BD35" s="12">
        <f>IFERROR(BD29/BD28,0)</f>
        <v>0.7</v>
      </c>
      <c r="BE35" s="12">
        <f>IFERROR(BE29/BE28,0)</f>
        <v>0.9666666666666667</v>
      </c>
      <c r="BG35" s="12">
        <f>IFERROR(BG29/BG28,0)</f>
        <v>0.26461928518851724</v>
      </c>
      <c r="BH35" s="12">
        <f>IFERROR(BH29/BH28,0)</f>
        <v>0.2619732234809475</v>
      </c>
      <c r="BI35" s="12">
        <f>IFERROR(BI29/BI28,0)</f>
        <v>0.2614399023794997</v>
      </c>
      <c r="BJ35" s="12">
        <f>IFERROR(BJ29/BJ28,0)</f>
        <v>0.2626208569695672</v>
      </c>
      <c r="BK35" s="12">
        <f>IFERROR(BK29/BK28,0)</f>
        <v>0.26195599252406904</v>
      </c>
      <c r="BL35" s="12">
        <f>IFERROR(BL29/BL28,0)</f>
        <v>0.24014859222457963</v>
      </c>
      <c r="BM35" s="12">
        <f>IFERROR(BM29/BM28,0)</f>
        <v>0.24061321901982244</v>
      </c>
      <c r="BN35" s="12">
        <f>IFERROR(BN29/BN28,0)</f>
        <v>0.2387730383194081</v>
      </c>
      <c r="BO35" s="12">
        <f>IFERROR(BO29/BO28,0)</f>
        <v>0.22838099534138545</v>
      </c>
      <c r="BP35" s="12">
        <f>IFERROR(BP29/BP28,0)</f>
        <v>0.2284509646241836</v>
      </c>
      <c r="BQ35" s="12">
        <f>IFERROR(BQ29/BQ28,0)</f>
        <v>0.23056800270673963</v>
      </c>
      <c r="BR35" s="12">
        <f>IFERROR(BR29/BR28,0)</f>
        <v>0.23252432278471524</v>
      </c>
      <c r="BS35" s="12">
        <f>IFERROR(BS29/BS28,0)</f>
        <v>0.24594343324229614</v>
      </c>
    </row>
    <row r="36">
      <c r="B36" s="5" t="inlineStr">
        <is>
          <t>Op Cost %</t>
        </is>
      </c>
      <c r="C36" s="12">
        <f>IFERROR(C30/C28,0)</f>
        <v>-0.20042528829639322</v>
      </c>
      <c r="D36" s="12">
        <f>IFERROR(D30/D28,0)</f>
        <v>-0.19913491246138001</v>
      </c>
      <c r="E36" s="12">
        <f>IFERROR(E30/E28,0)</f>
        <v>-0.19549267846247714</v>
      </c>
      <c r="F36" s="12">
        <f>IFERROR(F30/F28,0)</f>
        <v>-0.19898676370901566</v>
      </c>
      <c r="G36" s="12">
        <f>IFERROR(G30/G28,0)</f>
        <v>-0.20072717563726028</v>
      </c>
      <c r="H36" s="12">
        <f>IFERROR(H30/H28,0)</f>
        <v>-0.19957264634597524</v>
      </c>
      <c r="I36" s="12">
        <f>IFERROR(I30/I28,0)</f>
        <v>-0.20073270096071993</v>
      </c>
      <c r="J36" s="12">
        <f>IFERROR(J30/J28,0)</f>
        <v>-0.19965129107166277</v>
      </c>
      <c r="K36" s="12">
        <f>IFERROR(K30/K28,0)</f>
        <v>-0.19670397187721167</v>
      </c>
      <c r="L36" s="12">
        <f>IFERROR(L30/L28,0)</f>
        <v>-0.20013771962948976</v>
      </c>
      <c r="M36" s="12">
        <f>IFERROR(M30/M28,0)</f>
        <v>-0.1988001201503503</v>
      </c>
      <c r="N36" s="12">
        <f>IFERROR(N30/N28,0)</f>
        <v>-0.19752019732080878</v>
      </c>
      <c r="O36" s="12">
        <f>IFERROR(O30/O28,0)</f>
        <v>-0.19898107518517597</v>
      </c>
      <c r="Q36" s="12">
        <f>IFERROR(Q30/Q28,0)</f>
        <v>-0.20042528829639322</v>
      </c>
      <c r="R36" s="12">
        <f>IFERROR(R30/R28,0)</f>
        <v>-0.19913491246138001</v>
      </c>
      <c r="S36" s="12">
        <f>IFERROR(S30/S28,0)</f>
        <v>-0.19549267846247714</v>
      </c>
      <c r="T36" s="12">
        <f>IFERROR(T30/T28,0)</f>
        <v>-0.19898676370901566</v>
      </c>
      <c r="U36" s="12">
        <f>IFERROR(U30/U28,0)</f>
        <v>-0.20072717563726028</v>
      </c>
      <c r="V36" s="12">
        <f>IFERROR(V30/V28,0)</f>
        <v>-0.19957264634597524</v>
      </c>
      <c r="W36" s="12">
        <f>IFERROR(W30/W28,0)</f>
        <v>-0.20073270096071993</v>
      </c>
      <c r="X36" s="12">
        <f>IFERROR(X30/X28,0)</f>
        <v>-0.19965129107166277</v>
      </c>
      <c r="Y36" s="12">
        <f>IFERROR(Y30/Y28,0)</f>
        <v>-0.19670397187721167</v>
      </c>
      <c r="Z36" s="12">
        <f>IFERROR(Z30/Z28,0)</f>
        <v>-0.20013771962948976</v>
      </c>
      <c r="AA36" s="12">
        <f>IFERROR(AA30/AA28,0)</f>
        <v>-0.1988001201503503</v>
      </c>
      <c r="AB36" s="12">
        <f>IFERROR(AB30/AB28,0)</f>
        <v>-0.19752019732080878</v>
      </c>
      <c r="AC36" s="12">
        <f>IFERROR(AC30/AC28,0)</f>
        <v>-0.19898107518517597</v>
      </c>
      <c r="AE36" s="12">
        <f>IFERROR(AE30/AE28,0)</f>
        <v>0.0</v>
      </c>
      <c r="AF36" s="12">
        <f>IFERROR(AF30/AF28,0)</f>
        <v>0.0</v>
      </c>
      <c r="AG36" s="12">
        <f>IFERROR(AG30/AG28,0)</f>
        <v>0.0</v>
      </c>
      <c r="AH36" s="12">
        <f>IFERROR(AH30/AH28,0)</f>
        <v>0.0</v>
      </c>
      <c r="AI36" s="12">
        <f>IFERROR(AI30/AI28,0)</f>
        <v>0.0</v>
      </c>
      <c r="AJ36" s="12">
        <f>IFERROR(AJ30/AJ28,0)</f>
        <v>0.0</v>
      </c>
      <c r="AK36" s="12">
        <f>IFERROR(AK30/AK28,0)</f>
        <v>0.0</v>
      </c>
      <c r="AL36" s="12">
        <f>IFERROR(AL30/AL28,0)</f>
        <v>0.0</v>
      </c>
      <c r="AM36" s="12">
        <f>IFERROR(AM30/AM28,0)</f>
        <v>0.0</v>
      </c>
      <c r="AN36" s="12">
        <f>IFERROR(AN30/AN28,0)</f>
        <v>0.0</v>
      </c>
      <c r="AO36" s="12">
        <f>IFERROR(AO30/AO28,0)</f>
        <v>0.0</v>
      </c>
      <c r="AP36" s="12">
        <f>IFERROR(AP30/AP28,0)</f>
        <v>0.0</v>
      </c>
      <c r="AQ36" s="12">
        <f>IFERROR(AQ30/AQ28,0)</f>
        <v>0.0</v>
      </c>
      <c r="AS36" s="12">
        <f>IFERROR(AS30/AS28,0)</f>
        <v>0.0</v>
      </c>
      <c r="AT36" s="12">
        <f>IFERROR(AT30/AT28,0)</f>
        <v>0.0</v>
      </c>
      <c r="AU36" s="12">
        <f>IFERROR(AU30/AU28,0)</f>
        <v>0.0</v>
      </c>
      <c r="AV36" s="12">
        <f>IFERROR(AV30/AV28,0)</f>
        <v>0.0</v>
      </c>
      <c r="AW36" s="12">
        <f>IFERROR(AW30/AW28,0)</f>
        <v>0.0</v>
      </c>
      <c r="AX36" s="12">
        <f>IFERROR(AX30/AX28,0)</f>
        <v>0.0</v>
      </c>
      <c r="AY36" s="12">
        <f>IFERROR(AY30/AY28,0)</f>
        <v>0.0</v>
      </c>
      <c r="AZ36" s="12">
        <f>IFERROR(AZ30/AZ28,0)</f>
        <v>0.0</v>
      </c>
      <c r="BA36" s="12">
        <f>IFERROR(BA30/BA28,0)</f>
        <v>0.0</v>
      </c>
      <c r="BB36" s="12">
        <f>IFERROR(BB30/BB28,0)</f>
        <v>-0.1</v>
      </c>
      <c r="BC36" s="12">
        <f>IFERROR(BC30/BC28,0)</f>
        <v>-0.1</v>
      </c>
      <c r="BD36" s="12">
        <f>IFERROR(BD30/BD28,0)</f>
        <v>-0.1</v>
      </c>
      <c r="BE36" s="12">
        <f>IFERROR(BE30/BE28,0)</f>
        <v>-0.5</v>
      </c>
      <c r="BG36" s="12">
        <f>IFERROR(BG30/BG28,0)</f>
        <v>-0.20042528829639322</v>
      </c>
      <c r="BH36" s="12">
        <f>IFERROR(BH30/BH28,0)</f>
        <v>-0.19913491246138001</v>
      </c>
      <c r="BI36" s="12">
        <f>IFERROR(BI30/BI28,0)</f>
        <v>-0.19549267846247714</v>
      </c>
      <c r="BJ36" s="12">
        <f>IFERROR(BJ30/BJ28,0)</f>
        <v>-0.19898676370901566</v>
      </c>
      <c r="BK36" s="12">
        <f>IFERROR(BK30/BK28,0)</f>
        <v>-0.20072717563726028</v>
      </c>
      <c r="BL36" s="12">
        <f>IFERROR(BL30/BL28,0)</f>
        <v>-0.19957264634597524</v>
      </c>
      <c r="BM36" s="12">
        <f>IFERROR(BM30/BM28,0)</f>
        <v>-0.20073270096071993</v>
      </c>
      <c r="BN36" s="12">
        <f>IFERROR(BN30/BN28,0)</f>
        <v>-0.19965129107166277</v>
      </c>
      <c r="BO36" s="12">
        <f>IFERROR(BO30/BO28,0)</f>
        <v>-0.1780384044050739</v>
      </c>
      <c r="BP36" s="12">
        <f>IFERROR(BP30/BP28,0)</f>
        <v>-0.20164290492044762</v>
      </c>
      <c r="BQ36" s="12">
        <f>IFERROR(BQ30/BQ28,0)</f>
        <v>-0.20043076770727603</v>
      </c>
      <c r="BR36" s="12">
        <f>IFERROR(BR30/BR28,0)</f>
        <v>-0.19898211581992895</v>
      </c>
      <c r="BS36" s="12">
        <f>IFERROR(BS30/BS28,0)</f>
        <v>-0.19781742695280566</v>
      </c>
    </row>
    <row r="37">
      <c r="B37" s="5" t="inlineStr">
        <is>
          <t>PBITA %</t>
        </is>
      </c>
      <c r="C37" s="12">
        <f>IFERROR(C31/C28,0)</f>
        <v>0.06419399689212399</v>
      </c>
      <c r="D37" s="12">
        <f>IFERROR(D31/D28,0)</f>
        <v>0.06283831101956744</v>
      </c>
      <c r="E37" s="12">
        <f>IFERROR(E31/E28,0)</f>
        <v>0.06594722391702255</v>
      </c>
      <c r="F37" s="12">
        <f>IFERROR(F31/F28,0)</f>
        <v>0.06363409326055158</v>
      </c>
      <c r="G37" s="12">
        <f>IFERROR(G31/G28,0)</f>
        <v>0.06122881688680877</v>
      </c>
      <c r="H37" s="12">
        <f>IFERROR(H31/H28,0)</f>
        <v>0.04057594587860439</v>
      </c>
      <c r="I37" s="12">
        <f>IFERROR(I31/I28,0)</f>
        <v>0.039880518059102504</v>
      </c>
      <c r="J37" s="12">
        <f>IFERROR(J31/J28,0)</f>
        <v>0.03912174724774534</v>
      </c>
      <c r="K37" s="12">
        <f>IFERROR(K31/K28,0)</f>
        <v>0.04412073511226563</v>
      </c>
      <c r="L37" s="12">
        <f>IFERROR(L31/L28,0)</f>
        <v>0.035296208267620324</v>
      </c>
      <c r="M37" s="12">
        <f>IFERROR(M31/M28,0)</f>
        <v>0.03938983105886554</v>
      </c>
      <c r="N37" s="12">
        <f>IFERROR(N31/N28,0)</f>
        <v>0.041908517583115486</v>
      </c>
      <c r="O37" s="12">
        <f>IFERROR(O31/O28,0)</f>
        <v>0.04973772762309281</v>
      </c>
      <c r="Q37" s="12">
        <f>IFERROR(Q31/Q28,0)</f>
        <v>0.06419399689212399</v>
      </c>
      <c r="R37" s="12">
        <f>IFERROR(R31/R28,0)</f>
        <v>0.06283831101956744</v>
      </c>
      <c r="S37" s="12">
        <f>IFERROR(S31/S28,0)</f>
        <v>0.06594722391702255</v>
      </c>
      <c r="T37" s="12">
        <f>IFERROR(T31/T28,0)</f>
        <v>0.06363409326055158</v>
      </c>
      <c r="U37" s="12">
        <f>IFERROR(U31/U28,0)</f>
        <v>0.06122881688680877</v>
      </c>
      <c r="V37" s="12">
        <f>IFERROR(V31/V28,0)</f>
        <v>0.04057594587860439</v>
      </c>
      <c r="W37" s="12">
        <f>IFERROR(W31/W28,0)</f>
        <v>0.039880518059102504</v>
      </c>
      <c r="X37" s="12">
        <f>IFERROR(X31/X28,0)</f>
        <v>0.03912174724774534</v>
      </c>
      <c r="Y37" s="12">
        <f>IFERROR(Y31/Y28,0)</f>
        <v>0.04412073511226563</v>
      </c>
      <c r="Z37" s="12">
        <f>IFERROR(Z31/Z28,0)</f>
        <v>0.035296208267620324</v>
      </c>
      <c r="AA37" s="12">
        <f>IFERROR(AA31/AA28,0)</f>
        <v>0.03938983105886554</v>
      </c>
      <c r="AB37" s="12">
        <f>IFERROR(AB31/AB28,0)</f>
        <v>0.041908517583115486</v>
      </c>
      <c r="AC37" s="12">
        <f>IFERROR(AC31/AC28,0)</f>
        <v>0.04973772762309281</v>
      </c>
      <c r="AE37" s="12">
        <f>IFERROR(AE31/AE28,0)</f>
        <v>0.0</v>
      </c>
      <c r="AF37" s="12">
        <f>IFERROR(AF31/AF28,0)</f>
        <v>0.0</v>
      </c>
      <c r="AG37" s="12">
        <f>IFERROR(AG31/AG28,0)</f>
        <v>0.0</v>
      </c>
      <c r="AH37" s="12">
        <f>IFERROR(AH31/AH28,0)</f>
        <v>0.0</v>
      </c>
      <c r="AI37" s="12">
        <f>IFERROR(AI31/AI28,0)</f>
        <v>0.0</v>
      </c>
      <c r="AJ37" s="12">
        <f>IFERROR(AJ31/AJ28,0)</f>
        <v>0.0</v>
      </c>
      <c r="AK37" s="12">
        <f>IFERROR(AK31/AK28,0)</f>
        <v>0.0</v>
      </c>
      <c r="AL37" s="12">
        <f>IFERROR(AL31/AL28,0)</f>
        <v>0.0</v>
      </c>
      <c r="AM37" s="12">
        <f>IFERROR(AM31/AM28,0)</f>
        <v>0.0</v>
      </c>
      <c r="AN37" s="12">
        <f>IFERROR(AN31/AN28,0)</f>
        <v>0.0</v>
      </c>
      <c r="AO37" s="12">
        <f>IFERROR(AO31/AO28,0)</f>
        <v>0.0</v>
      </c>
      <c r="AP37" s="12">
        <f>IFERROR(AP31/AP28,0)</f>
        <v>0.0</v>
      </c>
      <c r="AQ37" s="12">
        <f>IFERROR(AQ31/AQ28,0)</f>
        <v>0.0</v>
      </c>
      <c r="AS37" s="12">
        <f>IFERROR(AS31/AS28,0)</f>
        <v>0.0</v>
      </c>
      <c r="AT37" s="12">
        <f>IFERROR(AT31/AT28,0)</f>
        <v>0.0</v>
      </c>
      <c r="AU37" s="12">
        <f>IFERROR(AU31/AU28,0)</f>
        <v>0.0</v>
      </c>
      <c r="AV37" s="12">
        <f>IFERROR(AV31/AV28,0)</f>
        <v>0.0</v>
      </c>
      <c r="AW37" s="12">
        <f>IFERROR(AW31/AW28,0)</f>
        <v>0.0</v>
      </c>
      <c r="AX37" s="12">
        <f>IFERROR(AX31/AX28,0)</f>
        <v>0.0</v>
      </c>
      <c r="AY37" s="12">
        <f>IFERROR(AY31/AY28,0)</f>
        <v>0.0</v>
      </c>
      <c r="AZ37" s="12">
        <f>IFERROR(AZ31/AZ28,0)</f>
        <v>0.0</v>
      </c>
      <c r="BA37" s="12">
        <f>IFERROR(BA31/BA28,0)</f>
        <v>0.0</v>
      </c>
      <c r="BB37" s="12">
        <f>IFERROR(BB31/BB28,0)</f>
        <v>0.6</v>
      </c>
      <c r="BC37" s="12">
        <f>IFERROR(BC31/BC28,0)</f>
        <v>0.6</v>
      </c>
      <c r="BD37" s="12">
        <f>IFERROR(BD31/BD28,0)</f>
        <v>0.6</v>
      </c>
      <c r="BE37" s="12">
        <f>IFERROR(BE31/BE28,0)</f>
        <v>0.4666666666666667</v>
      </c>
      <c r="BG37" s="12">
        <f>IFERROR(BG31/BG28,0)</f>
        <v>0.06419399689212399</v>
      </c>
      <c r="BH37" s="12">
        <f>IFERROR(BH31/BH28,0)</f>
        <v>0.06283831101956744</v>
      </c>
      <c r="BI37" s="12">
        <f>IFERROR(BI31/BI28,0)</f>
        <v>0.06594722391702255</v>
      </c>
      <c r="BJ37" s="12">
        <f>IFERROR(BJ31/BJ28,0)</f>
        <v>0.06363409326055158</v>
      </c>
      <c r="BK37" s="12">
        <f>IFERROR(BK31/BK28,0)</f>
        <v>0.06122881688680877</v>
      </c>
      <c r="BL37" s="12">
        <f>IFERROR(BL31/BL28,0)</f>
        <v>0.04057594587860439</v>
      </c>
      <c r="BM37" s="12">
        <f>IFERROR(BM31/BM28,0)</f>
        <v>0.039880518059102504</v>
      </c>
      <c r="BN37" s="12">
        <f>IFERROR(BN31/BN28,0)</f>
        <v>0.03912174724774534</v>
      </c>
      <c r="BO37" s="12">
        <f>IFERROR(BO31/BO28,0)</f>
        <v>0.05034259093631154</v>
      </c>
      <c r="BP37" s="12">
        <f>IFERROR(BP31/BP28,0)</f>
        <v>0.026808059703735978</v>
      </c>
      <c r="BQ37" s="12">
        <f>IFERROR(BQ31/BQ28,0)</f>
        <v>0.03013723499946359</v>
      </c>
      <c r="BR37" s="12">
        <f>IFERROR(BR31/BR28,0)</f>
        <v>0.033542206964786304</v>
      </c>
      <c r="BS37" s="12">
        <f>IFERROR(BS31/BS28,0)</f>
        <v>0.04812600628949052</v>
      </c>
    </row>
    <row r="38">
      <c r="B38" s="5" t="inlineStr">
        <is>
          <t>Sales/Day</t>
        </is>
      </c>
      <c r="C38" s="6">
        <f>IFERROR(C28/21,0)</f>
        <v>582.2380952380952</v>
      </c>
      <c r="D38" s="6">
        <f>IFERROR(D28/20,0)</f>
        <v>606.875</v>
      </c>
      <c r="E38" s="6">
        <f>IFERROR(E28/22,0)</f>
        <v>596.0</v>
      </c>
      <c r="F38" s="6">
        <f>IFERROR(F28/22,0)</f>
        <v>637.0227272727273</v>
      </c>
      <c r="G38" s="6">
        <f>IFERROR(G28/20,0)</f>
        <v>636.71</v>
      </c>
      <c r="H38" s="6">
        <f>IFERROR(H28/22,0)</f>
        <v>602.0136363636364</v>
      </c>
      <c r="I38" s="6">
        <f>IFERROR(I28/22,0)</f>
        <v>598.0363636363636</v>
      </c>
      <c r="J38" s="6">
        <f>IFERROR(J28/21,0)</f>
        <v>617.2428571428571</v>
      </c>
      <c r="K38" s="6">
        <f>IFERROR(K28/21,0)</f>
        <v>612.2809523809524</v>
      </c>
      <c r="L38" s="6">
        <f>IFERROR(L28/22,0)</f>
        <v>613.8954545454545</v>
      </c>
      <c r="M38" s="6">
        <f>IFERROR(M28/19,0)</f>
        <v>648.3105263157895</v>
      </c>
      <c r="N38" s="6">
        <f>IFERROR(N28/22,0)</f>
        <v>615.5181818181818</v>
      </c>
      <c r="O38" s="6">
        <f>IFERROR(O28/254,0)</f>
        <v>613.4303149606299</v>
      </c>
      <c r="Q38" s="6">
        <f>IFERROR(Q28/21,0)</f>
        <v>582.2380952380952</v>
      </c>
      <c r="R38" s="6">
        <f>IFERROR(R28/20,0)</f>
        <v>606.875</v>
      </c>
      <c r="S38" s="6">
        <f>IFERROR(S28/22,0)</f>
        <v>596.0</v>
      </c>
      <c r="T38" s="6">
        <f>IFERROR(T28/22,0)</f>
        <v>637.0227272727273</v>
      </c>
      <c r="U38" s="6">
        <f>IFERROR(U28/20,0)</f>
        <v>636.71</v>
      </c>
      <c r="V38" s="6">
        <f>IFERROR(V28/22,0)</f>
        <v>602.0136363636364</v>
      </c>
      <c r="W38" s="6">
        <f>IFERROR(W28/22,0)</f>
        <v>598.0363636363636</v>
      </c>
      <c r="X38" s="6">
        <f>IFERROR(X28/21,0)</f>
        <v>617.2428571428571</v>
      </c>
      <c r="Y38" s="6">
        <f>IFERROR(Y28/21,0)</f>
        <v>612.2809523809524</v>
      </c>
      <c r="Z38" s="6">
        <f>IFERROR(Z28/22,0)</f>
        <v>613.8954545454545</v>
      </c>
      <c r="AA38" s="6">
        <f>IFERROR(AA28/19,0)</f>
        <v>648.3105263157895</v>
      </c>
      <c r="AB38" s="6">
        <f>IFERROR(AB28/22,0)</f>
        <v>615.5181818181818</v>
      </c>
      <c r="AC38" s="6">
        <f>IFERROR(AC28/254,0)</f>
        <v>613.4303149606299</v>
      </c>
      <c r="AE38" s="6">
        <f>IFERROR(AE28/21,0)</f>
        <v>0.0</v>
      </c>
      <c r="AF38" s="6">
        <f>IFERROR(AF28/20,0)</f>
        <v>0.0</v>
      </c>
      <c r="AG38" s="6">
        <f>IFERROR(AG28/22,0)</f>
        <v>0.0</v>
      </c>
      <c r="AH38" s="6">
        <f>IFERROR(AH28/22,0)</f>
        <v>0.0</v>
      </c>
      <c r="AI38" s="6">
        <f>IFERROR(AI28/20,0)</f>
        <v>0.0</v>
      </c>
      <c r="AJ38" s="6">
        <f>IFERROR(AJ28/22,0)</f>
        <v>0.0</v>
      </c>
      <c r="AK38" s="6">
        <f>IFERROR(AK28/22,0)</f>
        <v>0.0</v>
      </c>
      <c r="AL38" s="6">
        <f>IFERROR(AL28/21,0)</f>
        <v>0.0</v>
      </c>
      <c r="AM38" s="6">
        <f>IFERROR(AM28/21,0)</f>
        <v>0.0</v>
      </c>
      <c r="AN38" s="6">
        <f>IFERROR(AN28/22,0)</f>
        <v>0.0</v>
      </c>
      <c r="AO38" s="6">
        <f>IFERROR(AO28/19,0)</f>
        <v>0.0</v>
      </c>
      <c r="AP38" s="6">
        <f>IFERROR(AP28/22,0)</f>
        <v>0.0</v>
      </c>
      <c r="AQ38" s="6">
        <f>IFERROR(AQ28/254,0)</f>
        <v>0.0</v>
      </c>
      <c r="AS38" s="6">
        <f>IFERROR(AS28/21,0)</f>
        <v>0.0</v>
      </c>
      <c r="AT38" s="6">
        <f>IFERROR(AT28/20,0)</f>
        <v>0.0</v>
      </c>
      <c r="AU38" s="6">
        <f>IFERROR(AU28/22,0)</f>
        <v>0.0</v>
      </c>
      <c r="AV38" s="6">
        <f>IFERROR(AV28/22,0)</f>
        <v>0.0</v>
      </c>
      <c r="AW38" s="6">
        <f>IFERROR(AW28/20,0)</f>
        <v>0.0</v>
      </c>
      <c r="AX38" s="6">
        <f>IFERROR(AX28/22,0)</f>
        <v>0.0</v>
      </c>
      <c r="AY38" s="6">
        <f>IFERROR(AY28/22,0)</f>
        <v>0.0</v>
      </c>
      <c r="AZ38" s="6">
        <f>IFERROR(AZ28/21,0)</f>
        <v>0.0</v>
      </c>
      <c r="BA38" s="6">
        <f>IFERROR(BA28/21,0)</f>
        <v>0.0</v>
      </c>
      <c r="BB38" s="6">
        <f>IFERROR(BB28/22,0)</f>
        <v>-9.090909090909092</v>
      </c>
      <c r="BC38" s="6">
        <f>IFERROR(BC28/19,0)</f>
        <v>-10.526315789473685</v>
      </c>
      <c r="BD38" s="6">
        <f>IFERROR(BD28/22,0)</f>
        <v>-9.090909090909092</v>
      </c>
      <c r="BE38" s="6">
        <f>IFERROR(BE28/254,0)</f>
        <v>-2.3622047244094486</v>
      </c>
      <c r="BG38" s="6">
        <f>IFERROR(BG28/21,0)</f>
        <v>582.2380952380952</v>
      </c>
      <c r="BH38" s="6">
        <f>IFERROR(BH28/20,0)</f>
        <v>606.875</v>
      </c>
      <c r="BI38" s="6">
        <f>IFERROR(BI28/22,0)</f>
        <v>596.0</v>
      </c>
      <c r="BJ38" s="6">
        <f>IFERROR(BJ28/22,0)</f>
        <v>637.0227272727273</v>
      </c>
      <c r="BK38" s="6">
        <f>IFERROR(BK28/20,0)</f>
        <v>636.71</v>
      </c>
      <c r="BL38" s="6">
        <f>IFERROR(BL28/22,0)</f>
        <v>602.0136363636364</v>
      </c>
      <c r="BM38" s="6">
        <f>IFERROR(BM28/22,0)</f>
        <v>598.0363636363636</v>
      </c>
      <c r="BN38" s="6">
        <f>IFERROR(BN28/21,0)</f>
        <v>617.2428571428571</v>
      </c>
      <c r="BO38" s="6">
        <f>IFERROR(BO28/21,0)</f>
        <v>612.2809523809524</v>
      </c>
      <c r="BP38" s="6">
        <f>IFERROR(BP28/22,0)</f>
        <v>604.8045454545455</v>
      </c>
      <c r="BQ38" s="6">
        <f>IFERROR(BQ28/19,0)</f>
        <v>637.7842105263157</v>
      </c>
      <c r="BR38" s="6">
        <f>IFERROR(BR28/22,0)</f>
        <v>606.4272727272727</v>
      </c>
      <c r="BS38" s="6">
        <f>IFERROR(BS28/254,0)</f>
        <v>611.0681102362204</v>
      </c>
    </row>
    <row r="40">
      <c r="B40" s="5" t="inlineStr">
        <is>
          <t>Net Inventory</t>
        </is>
      </c>
      <c r="C40" s="6" t="n">
        <v>22505.5</v>
      </c>
      <c r="D40" s="6" t="n">
        <v>22640.4</v>
      </c>
      <c r="E40" s="6" t="n">
        <v>24132.9</v>
      </c>
      <c r="F40" s="6" t="n">
        <v>25725.7</v>
      </c>
      <c r="G40" s="6" t="n">
        <v>22899.8</v>
      </c>
      <c r="H40" s="6" t="n">
        <v>23548.3</v>
      </c>
      <c r="I40" s="6" t="n">
        <v>23519.2</v>
      </c>
      <c r="J40" s="6" t="n">
        <v>22081.9</v>
      </c>
      <c r="K40" s="6" t="n">
        <v>21834.7</v>
      </c>
      <c r="L40" s="6" t="n">
        <v>22410.7</v>
      </c>
      <c r="M40" s="6" t="n">
        <v>20565.5</v>
      </c>
      <c r="N40" s="6" t="n">
        <v>22179.7</v>
      </c>
      <c r="O40" s="6">
        <f>N40</f>
        <v>22179.7</v>
      </c>
      <c r="Q40" s="6" t="n">
        <v>22505.5</v>
      </c>
      <c r="R40" s="6" t="n">
        <v>22640.4</v>
      </c>
      <c r="S40" s="6" t="n">
        <v>24132.9</v>
      </c>
      <c r="T40" s="6" t="n">
        <v>25725.7</v>
      </c>
      <c r="U40" s="6" t="n">
        <v>22899.8</v>
      </c>
      <c r="V40" s="6" t="n">
        <v>23548.3</v>
      </c>
      <c r="W40" s="6" t="n">
        <v>23519.2</v>
      </c>
      <c r="X40" s="6" t="n">
        <v>22081.9</v>
      </c>
      <c r="Y40" s="6" t="n">
        <v>21834.7</v>
      </c>
      <c r="Z40" s="6" t="n">
        <v>22410.7</v>
      </c>
      <c r="AA40" s="6" t="n">
        <v>20565.5</v>
      </c>
      <c r="AB40" s="6" t="n">
        <v>22179.7</v>
      </c>
      <c r="AC40" s="6">
        <f>AB40</f>
        <v>22179.7</v>
      </c>
      <c r="AE40" s="6">
        <f>Q40-C40</f>
        <v>0.0</v>
      </c>
      <c r="AF40" s="6">
        <f>R40-D40</f>
        <v>0.0</v>
      </c>
      <c r="AG40" s="6">
        <f>S40-E40</f>
        <v>0.0</v>
      </c>
      <c r="AH40" s="6">
        <f>T40-F40</f>
        <v>0.0</v>
      </c>
      <c r="AI40" s="6">
        <f>U40-G40</f>
        <v>0.0</v>
      </c>
      <c r="AJ40" s="6">
        <f>V40-H40</f>
        <v>0.0</v>
      </c>
      <c r="AK40" s="6">
        <f>W40-I40</f>
        <v>0.0</v>
      </c>
      <c r="AL40" s="6">
        <f>X40-J40</f>
        <v>0.0</v>
      </c>
      <c r="AM40" s="6">
        <f>Y40-K40</f>
        <v>0.0</v>
      </c>
      <c r="AN40" s="6">
        <f>Z40-L40</f>
        <v>0.0</v>
      </c>
      <c r="AO40" s="6">
        <f>AA40-M40</f>
        <v>0.0</v>
      </c>
      <c r="AP40" s="6">
        <f>AB40-N40</f>
        <v>0.0</v>
      </c>
      <c r="AQ40" s="6">
        <f>AP40</f>
        <v>0.0</v>
      </c>
      <c r="AS40" s="6">
        <f>'Alder-Adj'!C90</f>
        <v>0.0</v>
      </c>
      <c r="AT40" s="6">
        <f>'Alder-Adj'!D90</f>
        <v>0.0</v>
      </c>
      <c r="AU40" s="6">
        <f>'Alder-Adj'!E90</f>
        <v>0.0</v>
      </c>
      <c r="AV40" s="6">
        <f>'Alder-Adj'!F90</f>
        <v>0.0</v>
      </c>
      <c r="AW40" s="6">
        <f>'Alder-Adj'!G90</f>
        <v>0.0</v>
      </c>
      <c r="AX40" s="6">
        <f>'Alder-Adj'!H90</f>
        <v>0.0</v>
      </c>
      <c r="AY40" s="6">
        <f>'Alder-Adj'!I90</f>
        <v>0.0</v>
      </c>
      <c r="AZ40" s="6">
        <f>'Alder-Adj'!J90</f>
        <v>0.0</v>
      </c>
      <c r="BA40" s="6">
        <f>'Alder-Adj'!K90</f>
        <v>0.0</v>
      </c>
      <c r="BB40" s="6">
        <f>'Alder-Adj'!L90</f>
        <v>-1200.0</v>
      </c>
      <c r="BC40" s="6">
        <f>'Alder-Adj'!M90</f>
        <v>-2000.0</v>
      </c>
      <c r="BD40" s="6">
        <f>'Alder-Adj'!N90</f>
        <v>-2500.0</v>
      </c>
      <c r="BE40" s="6">
        <f>BD40</f>
        <v>-2500.0</v>
      </c>
      <c r="BG40" s="6">
        <f>C40+AE40+AS40</f>
        <v>22505.5</v>
      </c>
      <c r="BH40" s="6">
        <f>D40+AF40+AT40</f>
        <v>22640.4</v>
      </c>
      <c r="BI40" s="6">
        <f>E40+AG40+AU40</f>
        <v>24132.9</v>
      </c>
      <c r="BJ40" s="6">
        <f>F40+AH40+AV40</f>
        <v>25725.7</v>
      </c>
      <c r="BK40" s="6">
        <f>G40+AI40+AW40</f>
        <v>22899.8</v>
      </c>
      <c r="BL40" s="6">
        <f>H40+AJ40+AX40</f>
        <v>23548.3</v>
      </c>
      <c r="BM40" s="6">
        <f>I40+AK40+AY40</f>
        <v>23519.2</v>
      </c>
      <c r="BN40" s="6">
        <f>J40+AL40+AZ40</f>
        <v>22081.9</v>
      </c>
      <c r="BO40" s="6">
        <f>K40+AM40+BA40</f>
        <v>21834.7</v>
      </c>
      <c r="BP40" s="6">
        <f>L40+AN40+BB40</f>
        <v>21210.7</v>
      </c>
      <c r="BQ40" s="6">
        <f>M40+AO40+BC40</f>
        <v>18565.5</v>
      </c>
      <c r="BR40" s="6">
        <f>N40+AP40+BD40</f>
        <v>19679.7</v>
      </c>
      <c r="BS40" s="6">
        <f>BR40</f>
        <v>19679.7</v>
      </c>
    </row>
    <row r="41">
      <c r="B41" s="5" t="inlineStr">
        <is>
          <t>Trade Receivables</t>
        </is>
      </c>
      <c r="C41" s="6" t="n">
        <v>18544.3</v>
      </c>
      <c r="D41" s="6" t="n">
        <v>18408.5</v>
      </c>
      <c r="E41" s="6" t="n">
        <v>19886.5</v>
      </c>
      <c r="F41" s="6" t="n">
        <v>21255.3</v>
      </c>
      <c r="G41" s="6" t="n">
        <v>19313.5</v>
      </c>
      <c r="H41" s="6" t="n">
        <v>20087.2</v>
      </c>
      <c r="I41" s="6" t="n">
        <v>19954.5</v>
      </c>
      <c r="J41" s="6" t="n">
        <v>19659.2</v>
      </c>
      <c r="K41" s="6" t="n">
        <v>19501.1</v>
      </c>
      <c r="L41" s="6" t="n">
        <v>20180.3</v>
      </c>
      <c r="M41" s="6" t="n">
        <v>18378.8</v>
      </c>
      <c r="N41" s="6" t="n">
        <v>20234.5</v>
      </c>
      <c r="O41" s="6">
        <f>N41</f>
        <v>20234.5</v>
      </c>
      <c r="Q41" s="6" t="n">
        <v>18544.3</v>
      </c>
      <c r="R41" s="6" t="n">
        <v>18408.5</v>
      </c>
      <c r="S41" s="6" t="n">
        <v>19886.5</v>
      </c>
      <c r="T41" s="6" t="n">
        <v>21255.3</v>
      </c>
      <c r="U41" s="6" t="n">
        <v>19313.5</v>
      </c>
      <c r="V41" s="6" t="n">
        <v>20087.2</v>
      </c>
      <c r="W41" s="6" t="n">
        <v>19954.5</v>
      </c>
      <c r="X41" s="6" t="n">
        <v>19659.2</v>
      </c>
      <c r="Y41" s="6" t="n">
        <v>19501.1</v>
      </c>
      <c r="Z41" s="6" t="n">
        <v>20180.3</v>
      </c>
      <c r="AA41" s="6" t="n">
        <v>18378.8</v>
      </c>
      <c r="AB41" s="6" t="n">
        <v>20234.5</v>
      </c>
      <c r="AC41" s="6">
        <f>AB41</f>
        <v>20234.5</v>
      </c>
      <c r="AE41" s="6">
        <f>Q41-C41</f>
        <v>0.0</v>
      </c>
      <c r="AF41" s="6">
        <f>R41-D41</f>
        <v>0.0</v>
      </c>
      <c r="AG41" s="6">
        <f>S41-E41</f>
        <v>0.0</v>
      </c>
      <c r="AH41" s="6">
        <f>T41-F41</f>
        <v>0.0</v>
      </c>
      <c r="AI41" s="6">
        <f>U41-G41</f>
        <v>0.0</v>
      </c>
      <c r="AJ41" s="6">
        <f>V41-H41</f>
        <v>0.0</v>
      </c>
      <c r="AK41" s="6">
        <f>W41-I41</f>
        <v>0.0</v>
      </c>
      <c r="AL41" s="6">
        <f>X41-J41</f>
        <v>0.0</v>
      </c>
      <c r="AM41" s="6">
        <f>Y41-K41</f>
        <v>0.0</v>
      </c>
      <c r="AN41" s="6">
        <f>Z41-L41</f>
        <v>0.0</v>
      </c>
      <c r="AO41" s="6">
        <f>AA41-M41</f>
        <v>0.0</v>
      </c>
      <c r="AP41" s="6">
        <f>AB41-N41</f>
        <v>0.0</v>
      </c>
      <c r="AQ41" s="6">
        <f>AP41</f>
        <v>0.0</v>
      </c>
      <c r="AS41" s="6">
        <f>'Alder-Adj'!C91</f>
        <v>0.0</v>
      </c>
      <c r="AT41" s="6">
        <f>'Alder-Adj'!D91</f>
        <v>0.0</v>
      </c>
      <c r="AU41" s="6">
        <f>'Alder-Adj'!E91</f>
        <v>0.0</v>
      </c>
      <c r="AV41" s="6">
        <f>'Alder-Adj'!F91</f>
        <v>0.0</v>
      </c>
      <c r="AW41" s="6">
        <f>'Alder-Adj'!G91</f>
        <v>0.0</v>
      </c>
      <c r="AX41" s="6">
        <f>'Alder-Adj'!H91</f>
        <v>0.0</v>
      </c>
      <c r="AY41" s="6">
        <f>'Alder-Adj'!I91</f>
        <v>0.0</v>
      </c>
      <c r="AZ41" s="6">
        <f>'Alder-Adj'!J91</f>
        <v>0.0</v>
      </c>
      <c r="BA41" s="6">
        <f>'Alder-Adj'!K91</f>
        <v>0.0</v>
      </c>
      <c r="BB41" s="6">
        <f>'Alder-Adj'!L91</f>
        <v>0.0</v>
      </c>
      <c r="BC41" s="6">
        <f>'Alder-Adj'!M91</f>
        <v>0.0</v>
      </c>
      <c r="BD41" s="6">
        <f>'Alder-Adj'!N91</f>
        <v>0.0</v>
      </c>
      <c r="BE41" s="6">
        <f>BD41</f>
        <v>0.0</v>
      </c>
      <c r="BG41" s="6">
        <f>C41+AE41+AS41</f>
        <v>18544.3</v>
      </c>
      <c r="BH41" s="6">
        <f>D41+AF41+AT41</f>
        <v>18408.5</v>
      </c>
      <c r="BI41" s="6">
        <f>E41+AG41+AU41</f>
        <v>19886.5</v>
      </c>
      <c r="BJ41" s="6">
        <f>F41+AH41+AV41</f>
        <v>21255.3</v>
      </c>
      <c r="BK41" s="6">
        <f>G41+AI41+AW41</f>
        <v>19313.5</v>
      </c>
      <c r="BL41" s="6">
        <f>H41+AJ41+AX41</f>
        <v>20087.2</v>
      </c>
      <c r="BM41" s="6">
        <f>I41+AK41+AY41</f>
        <v>19954.5</v>
      </c>
      <c r="BN41" s="6">
        <f>J41+AL41+AZ41</f>
        <v>19659.2</v>
      </c>
      <c r="BO41" s="6">
        <f>K41+AM41+BA41</f>
        <v>19501.1</v>
      </c>
      <c r="BP41" s="6">
        <f>L41+AN41+BB41</f>
        <v>20180.3</v>
      </c>
      <c r="BQ41" s="6">
        <f>M41+AO41+BC41</f>
        <v>18378.8</v>
      </c>
      <c r="BR41" s="6">
        <f>N41+AP41+BD41</f>
        <v>20234.5</v>
      </c>
      <c r="BS41" s="6">
        <f>BR41</f>
        <v>20234.5</v>
      </c>
    </row>
    <row r="42">
      <c r="B42" s="5" t="inlineStr">
        <is>
          <t>Other Receivables</t>
        </is>
      </c>
      <c r="C42" s="6" t="n">
        <v>183.4</v>
      </c>
      <c r="D42" s="6" t="n">
        <v>182.1</v>
      </c>
      <c r="E42" s="6" t="n">
        <v>196.7</v>
      </c>
      <c r="F42" s="6" t="n">
        <v>210.2</v>
      </c>
      <c r="G42" s="6" t="n">
        <v>191</v>
      </c>
      <c r="H42" s="6" t="n">
        <v>198.7</v>
      </c>
      <c r="I42" s="6" t="n">
        <v>197.4</v>
      </c>
      <c r="J42" s="6" t="n">
        <v>194.4</v>
      </c>
      <c r="K42" s="6" t="n">
        <v>192.9</v>
      </c>
      <c r="L42" s="6" t="n">
        <v>199.6</v>
      </c>
      <c r="M42" s="6" t="n">
        <v>181.8</v>
      </c>
      <c r="N42" s="6" t="n">
        <v>200.1</v>
      </c>
      <c r="O42" s="6">
        <f>N42</f>
        <v>200.1</v>
      </c>
      <c r="Q42" s="6" t="n">
        <v>183.4</v>
      </c>
      <c r="R42" s="6" t="n">
        <v>182.1</v>
      </c>
      <c r="S42" s="6" t="n">
        <v>196.7</v>
      </c>
      <c r="T42" s="6" t="n">
        <v>210.2</v>
      </c>
      <c r="U42" s="6" t="n">
        <v>191</v>
      </c>
      <c r="V42" s="6" t="n">
        <v>198.7</v>
      </c>
      <c r="W42" s="6" t="n">
        <v>197.4</v>
      </c>
      <c r="X42" s="6" t="n">
        <v>194.4</v>
      </c>
      <c r="Y42" s="6" t="n">
        <v>192.9</v>
      </c>
      <c r="Z42" s="6" t="n">
        <v>199.6</v>
      </c>
      <c r="AA42" s="6" t="n">
        <v>181.8</v>
      </c>
      <c r="AB42" s="6" t="n">
        <v>200.1</v>
      </c>
      <c r="AC42" s="6">
        <f>AB42</f>
        <v>200.1</v>
      </c>
      <c r="AE42" s="6">
        <f>Q42-C42</f>
        <v>0.0</v>
      </c>
      <c r="AF42" s="6">
        <f>R42-D42</f>
        <v>0.0</v>
      </c>
      <c r="AG42" s="6">
        <f>S42-E42</f>
        <v>0.0</v>
      </c>
      <c r="AH42" s="6">
        <f>T42-F42</f>
        <v>0.0</v>
      </c>
      <c r="AI42" s="6">
        <f>U42-G42</f>
        <v>0.0</v>
      </c>
      <c r="AJ42" s="6">
        <f>V42-H42</f>
        <v>0.0</v>
      </c>
      <c r="AK42" s="6">
        <f>W42-I42</f>
        <v>0.0</v>
      </c>
      <c r="AL42" s="6">
        <f>X42-J42</f>
        <v>0.0</v>
      </c>
      <c r="AM42" s="6">
        <f>Y42-K42</f>
        <v>0.0</v>
      </c>
      <c r="AN42" s="6">
        <f>Z42-L42</f>
        <v>0.0</v>
      </c>
      <c r="AO42" s="6">
        <f>AA42-M42</f>
        <v>0.0</v>
      </c>
      <c r="AP42" s="6">
        <f>AB42-N42</f>
        <v>0.0</v>
      </c>
      <c r="AQ42" s="6">
        <f>AP42</f>
        <v>0.0</v>
      </c>
      <c r="AS42" s="6">
        <f>'Alder-Adj'!C92</f>
        <v>0.0</v>
      </c>
      <c r="AT42" s="6">
        <f>'Alder-Adj'!D92</f>
        <v>0.0</v>
      </c>
      <c r="AU42" s="6">
        <f>'Alder-Adj'!E92</f>
        <v>0.0</v>
      </c>
      <c r="AV42" s="6">
        <f>'Alder-Adj'!F92</f>
        <v>0.0</v>
      </c>
      <c r="AW42" s="6">
        <f>'Alder-Adj'!G92</f>
        <v>0.0</v>
      </c>
      <c r="AX42" s="6">
        <f>'Alder-Adj'!H92</f>
        <v>0.0</v>
      </c>
      <c r="AY42" s="6">
        <f>'Alder-Adj'!I92</f>
        <v>0.0</v>
      </c>
      <c r="AZ42" s="6">
        <f>'Alder-Adj'!J92</f>
        <v>0.0</v>
      </c>
      <c r="BA42" s="6">
        <f>'Alder-Adj'!K92</f>
        <v>0.0</v>
      </c>
      <c r="BB42" s="6">
        <f>'Alder-Adj'!L92</f>
        <v>0.0</v>
      </c>
      <c r="BC42" s="6">
        <f>'Alder-Adj'!M92</f>
        <v>0.0</v>
      </c>
      <c r="BD42" s="6">
        <f>'Alder-Adj'!N92</f>
        <v>0.0</v>
      </c>
      <c r="BE42" s="6">
        <f>BD42</f>
        <v>0.0</v>
      </c>
      <c r="BG42" s="6">
        <f>C42+AE42+AS42</f>
        <v>183.4</v>
      </c>
      <c r="BH42" s="6">
        <f>D42+AF42+AT42</f>
        <v>182.1</v>
      </c>
      <c r="BI42" s="6">
        <f>E42+AG42+AU42</f>
        <v>196.7</v>
      </c>
      <c r="BJ42" s="6">
        <f>F42+AH42+AV42</f>
        <v>210.2</v>
      </c>
      <c r="BK42" s="6">
        <f>G42+AI42+AW42</f>
        <v>191.0</v>
      </c>
      <c r="BL42" s="6">
        <f>H42+AJ42+AX42</f>
        <v>198.7</v>
      </c>
      <c r="BM42" s="6">
        <f>I42+AK42+AY42</f>
        <v>197.4</v>
      </c>
      <c r="BN42" s="6">
        <f>J42+AL42+AZ42</f>
        <v>194.4</v>
      </c>
      <c r="BO42" s="6">
        <f>K42+AM42+BA42</f>
        <v>192.9</v>
      </c>
      <c r="BP42" s="6">
        <f>L42+AN42+BB42</f>
        <v>199.6</v>
      </c>
      <c r="BQ42" s="6">
        <f>M42+AO42+BC42</f>
        <v>181.8</v>
      </c>
      <c r="BR42" s="6">
        <f>N42+AP42+BD42</f>
        <v>200.1</v>
      </c>
      <c r="BS42" s="6">
        <f>BR42</f>
        <v>200.1</v>
      </c>
    </row>
    <row r="43">
      <c r="B43" s="5" t="inlineStr">
        <is>
          <t>Trade Payables</t>
        </is>
      </c>
      <c r="C43" s="6" t="n">
        <v>-12887.8</v>
      </c>
      <c r="D43" s="6" t="n">
        <v>-12839.5</v>
      </c>
      <c r="E43" s="6" t="n">
        <v>-13880.4</v>
      </c>
      <c r="F43" s="6" t="n">
        <v>-14812.1</v>
      </c>
      <c r="G43" s="6" t="n">
        <v>-13471</v>
      </c>
      <c r="H43" s="6" t="n">
        <v>-14424.6</v>
      </c>
      <c r="I43" s="6" t="n">
        <v>-14320.6</v>
      </c>
      <c r="J43" s="6" t="n">
        <v>-14142.8</v>
      </c>
      <c r="K43" s="6" t="n">
        <v>-14220.7</v>
      </c>
      <c r="L43" s="6" t="n">
        <v>-14714.6</v>
      </c>
      <c r="M43" s="6" t="n">
        <v>-13364.3</v>
      </c>
      <c r="N43" s="6" t="n">
        <v>-14676.2</v>
      </c>
      <c r="O43" s="6">
        <f>N43</f>
        <v>-14676.2</v>
      </c>
      <c r="Q43" s="6" t="n">
        <v>-12887.8</v>
      </c>
      <c r="R43" s="6" t="n">
        <v>-12839.5</v>
      </c>
      <c r="S43" s="6" t="n">
        <v>-13880.4</v>
      </c>
      <c r="T43" s="6" t="n">
        <v>-14812.1</v>
      </c>
      <c r="U43" s="6" t="n">
        <v>-13471</v>
      </c>
      <c r="V43" s="6" t="n">
        <v>-14424.6</v>
      </c>
      <c r="W43" s="6" t="n">
        <v>-14320.6</v>
      </c>
      <c r="X43" s="6" t="n">
        <v>-14142.8</v>
      </c>
      <c r="Y43" s="6" t="n">
        <v>-14220.7</v>
      </c>
      <c r="Z43" s="6" t="n">
        <v>-14714.6</v>
      </c>
      <c r="AA43" s="6" t="n">
        <v>-13364.3</v>
      </c>
      <c r="AB43" s="6" t="n">
        <v>-14676.2</v>
      </c>
      <c r="AC43" s="6">
        <f>AB43</f>
        <v>-14676.2</v>
      </c>
      <c r="AE43" s="6">
        <f>Q43-C43</f>
        <v>0.0</v>
      </c>
      <c r="AF43" s="6">
        <f>R43-D43</f>
        <v>0.0</v>
      </c>
      <c r="AG43" s="6">
        <f>S43-E43</f>
        <v>0.0</v>
      </c>
      <c r="AH43" s="6">
        <f>T43-F43</f>
        <v>0.0</v>
      </c>
      <c r="AI43" s="6">
        <f>U43-G43</f>
        <v>0.0</v>
      </c>
      <c r="AJ43" s="6">
        <f>V43-H43</f>
        <v>0.0</v>
      </c>
      <c r="AK43" s="6">
        <f>W43-I43</f>
        <v>0.0</v>
      </c>
      <c r="AL43" s="6">
        <f>X43-J43</f>
        <v>0.0</v>
      </c>
      <c r="AM43" s="6">
        <f>Y43-K43</f>
        <v>0.0</v>
      </c>
      <c r="AN43" s="6">
        <f>Z43-L43</f>
        <v>0.0</v>
      </c>
      <c r="AO43" s="6">
        <f>AA43-M43</f>
        <v>0.0</v>
      </c>
      <c r="AP43" s="6">
        <f>AB43-N43</f>
        <v>0.0</v>
      </c>
      <c r="AQ43" s="6">
        <f>AP43</f>
        <v>0.0</v>
      </c>
      <c r="AS43" s="6">
        <f>'Alder-Adj'!C93</f>
        <v>0.0</v>
      </c>
      <c r="AT43" s="6">
        <f>'Alder-Adj'!D93</f>
        <v>0.0</v>
      </c>
      <c r="AU43" s="6">
        <f>'Alder-Adj'!E93</f>
        <v>0.0</v>
      </c>
      <c r="AV43" s="6">
        <f>'Alder-Adj'!F93</f>
        <v>0.0</v>
      </c>
      <c r="AW43" s="6">
        <f>'Alder-Adj'!G93</f>
        <v>0.0</v>
      </c>
      <c r="AX43" s="6">
        <f>'Alder-Adj'!H93</f>
        <v>0.0</v>
      </c>
      <c r="AY43" s="6">
        <f>'Alder-Adj'!I93</f>
        <v>0.0</v>
      </c>
      <c r="AZ43" s="6">
        <f>'Alder-Adj'!J93</f>
        <v>0.0</v>
      </c>
      <c r="BA43" s="6">
        <f>'Alder-Adj'!K93</f>
        <v>0.0</v>
      </c>
      <c r="BB43" s="6">
        <f>'Alder-Adj'!L93</f>
        <v>0.0</v>
      </c>
      <c r="BC43" s="6">
        <f>'Alder-Adj'!M93</f>
        <v>0.0</v>
      </c>
      <c r="BD43" s="6">
        <f>'Alder-Adj'!N93</f>
        <v>0.0</v>
      </c>
      <c r="BE43" s="6">
        <f>BD43</f>
        <v>0.0</v>
      </c>
      <c r="BG43" s="6">
        <f>C43+AE43+AS43</f>
        <v>-12887.8</v>
      </c>
      <c r="BH43" s="6">
        <f>D43+AF43+AT43</f>
        <v>-12839.5</v>
      </c>
      <c r="BI43" s="6">
        <f>E43+AG43+AU43</f>
        <v>-13880.4</v>
      </c>
      <c r="BJ43" s="6">
        <f>F43+AH43+AV43</f>
        <v>-14812.1</v>
      </c>
      <c r="BK43" s="6">
        <f>G43+AI43+AW43</f>
        <v>-13471.0</v>
      </c>
      <c r="BL43" s="6">
        <f>H43+AJ43+AX43</f>
        <v>-14424.6</v>
      </c>
      <c r="BM43" s="6">
        <f>I43+AK43+AY43</f>
        <v>-14320.6</v>
      </c>
      <c r="BN43" s="6">
        <f>J43+AL43+AZ43</f>
        <v>-14142.8</v>
      </c>
      <c r="BO43" s="6">
        <f>K43+AM43+BA43</f>
        <v>-14220.7</v>
      </c>
      <c r="BP43" s="6">
        <f>L43+AN43+BB43</f>
        <v>-14714.6</v>
      </c>
      <c r="BQ43" s="6">
        <f>M43+AO43+BC43</f>
        <v>-13364.3</v>
      </c>
      <c r="BR43" s="6">
        <f>N43+AP43+BD43</f>
        <v>-14676.2</v>
      </c>
      <c r="BS43" s="6">
        <f>BR43</f>
        <v>-14676.2</v>
      </c>
    </row>
    <row r="44">
      <c r="B44" s="5" t="inlineStr">
        <is>
          <t>Other Payables</t>
        </is>
      </c>
      <c r="C44" s="6" t="n">
        <v>-366.8</v>
      </c>
      <c r="D44" s="6" t="n">
        <v>-364.1</v>
      </c>
      <c r="E44" s="6" t="n">
        <v>-393.4</v>
      </c>
      <c r="F44" s="6" t="n">
        <v>-420.4</v>
      </c>
      <c r="G44" s="6" t="n">
        <v>-382</v>
      </c>
      <c r="H44" s="6" t="n">
        <v>-397.3</v>
      </c>
      <c r="I44" s="6" t="n">
        <v>-394.7</v>
      </c>
      <c r="J44" s="6" t="n">
        <v>-388.9</v>
      </c>
      <c r="K44" s="6" t="n">
        <v>-385.7</v>
      </c>
      <c r="L44" s="6" t="n">
        <v>-399.2</v>
      </c>
      <c r="M44" s="6" t="n">
        <v>-363.5</v>
      </c>
      <c r="N44" s="6" t="n">
        <v>-400.2</v>
      </c>
      <c r="O44" s="6">
        <f>N44</f>
        <v>-400.2</v>
      </c>
      <c r="Q44" s="6" t="n">
        <v>-366.8</v>
      </c>
      <c r="R44" s="6" t="n">
        <v>-364.1</v>
      </c>
      <c r="S44" s="6" t="n">
        <v>-393.4</v>
      </c>
      <c r="T44" s="6" t="n">
        <v>-420.4</v>
      </c>
      <c r="U44" s="6" t="n">
        <v>-382</v>
      </c>
      <c r="V44" s="6" t="n">
        <v>-397.3</v>
      </c>
      <c r="W44" s="6" t="n">
        <v>-394.7</v>
      </c>
      <c r="X44" s="6" t="n">
        <v>-388.9</v>
      </c>
      <c r="Y44" s="6" t="n">
        <v>-385.7</v>
      </c>
      <c r="Z44" s="6" t="n">
        <v>-399.2</v>
      </c>
      <c r="AA44" s="6" t="n">
        <v>-363.5</v>
      </c>
      <c r="AB44" s="6" t="n">
        <v>-400.2</v>
      </c>
      <c r="AC44" s="6">
        <f>AB44</f>
        <v>-400.2</v>
      </c>
      <c r="AE44" s="6">
        <f>Q44-C44</f>
        <v>0.0</v>
      </c>
      <c r="AF44" s="6">
        <f>R44-D44</f>
        <v>0.0</v>
      </c>
      <c r="AG44" s="6">
        <f>S44-E44</f>
        <v>0.0</v>
      </c>
      <c r="AH44" s="6">
        <f>T44-F44</f>
        <v>0.0</v>
      </c>
      <c r="AI44" s="6">
        <f>U44-G44</f>
        <v>0.0</v>
      </c>
      <c r="AJ44" s="6">
        <f>V44-H44</f>
        <v>0.0</v>
      </c>
      <c r="AK44" s="6">
        <f>W44-I44</f>
        <v>0.0</v>
      </c>
      <c r="AL44" s="6">
        <f>X44-J44</f>
        <v>0.0</v>
      </c>
      <c r="AM44" s="6">
        <f>Y44-K44</f>
        <v>0.0</v>
      </c>
      <c r="AN44" s="6">
        <f>Z44-L44</f>
        <v>0.0</v>
      </c>
      <c r="AO44" s="6">
        <f>AA44-M44</f>
        <v>0.0</v>
      </c>
      <c r="AP44" s="6">
        <f>AB44-N44</f>
        <v>0.0</v>
      </c>
      <c r="AQ44" s="6">
        <f>AP44</f>
        <v>0.0</v>
      </c>
      <c r="AS44" s="6">
        <f>'Alder-Adj'!C94</f>
        <v>0.0</v>
      </c>
      <c r="AT44" s="6">
        <f>'Alder-Adj'!D94</f>
        <v>0.0</v>
      </c>
      <c r="AU44" s="6">
        <f>'Alder-Adj'!E94</f>
        <v>0.0</v>
      </c>
      <c r="AV44" s="6">
        <f>'Alder-Adj'!F94</f>
        <v>0.0</v>
      </c>
      <c r="AW44" s="6">
        <f>'Alder-Adj'!G94</f>
        <v>0.0</v>
      </c>
      <c r="AX44" s="6">
        <f>'Alder-Adj'!H94</f>
        <v>0.0</v>
      </c>
      <c r="AY44" s="6">
        <f>'Alder-Adj'!I94</f>
        <v>0.0</v>
      </c>
      <c r="AZ44" s="6">
        <f>'Alder-Adj'!J94</f>
        <v>0.0</v>
      </c>
      <c r="BA44" s="6">
        <f>'Alder-Adj'!K94</f>
        <v>0.0</v>
      </c>
      <c r="BB44" s="6">
        <f>'Alder-Adj'!L94</f>
        <v>0.0</v>
      </c>
      <c r="BC44" s="6">
        <f>'Alder-Adj'!M94</f>
        <v>0.0</v>
      </c>
      <c r="BD44" s="6">
        <f>'Alder-Adj'!N94</f>
        <v>0.0</v>
      </c>
      <c r="BE44" s="6">
        <f>BD44</f>
        <v>0.0</v>
      </c>
      <c r="BG44" s="6">
        <f>C44+AE44+AS44</f>
        <v>-366.8</v>
      </c>
      <c r="BH44" s="6">
        <f>D44+AF44+AT44</f>
        <v>-364.1</v>
      </c>
      <c r="BI44" s="6">
        <f>E44+AG44+AU44</f>
        <v>-393.4</v>
      </c>
      <c r="BJ44" s="6">
        <f>F44+AH44+AV44</f>
        <v>-420.4</v>
      </c>
      <c r="BK44" s="6">
        <f>G44+AI44+AW44</f>
        <v>-382.0</v>
      </c>
      <c r="BL44" s="6">
        <f>H44+AJ44+AX44</f>
        <v>-397.3</v>
      </c>
      <c r="BM44" s="6">
        <f>I44+AK44+AY44</f>
        <v>-394.7</v>
      </c>
      <c r="BN44" s="6">
        <f>J44+AL44+AZ44</f>
        <v>-388.9</v>
      </c>
      <c r="BO44" s="6">
        <f>K44+AM44+BA44</f>
        <v>-385.7</v>
      </c>
      <c r="BP44" s="6">
        <f>L44+AN44+BB44</f>
        <v>-399.2</v>
      </c>
      <c r="BQ44" s="6">
        <f>M44+AO44+BC44</f>
        <v>-363.5</v>
      </c>
      <c r="BR44" s="6">
        <f>N44+AP44+BD44</f>
        <v>-400.2</v>
      </c>
      <c r="BS44" s="6">
        <f>BR44</f>
        <v>-400.2</v>
      </c>
    </row>
    <row r="45">
      <c r="B45" s="2" t="inlineStr">
        <is>
          <t>Total working capital</t>
        </is>
      </c>
      <c r="C45" s="6">
        <f>SUM(C40:C44)</f>
        <v>27978.600000000006</v>
      </c>
      <c r="D45" s="6">
        <f>SUM(D40:D44)</f>
        <v>28027.4</v>
      </c>
      <c r="E45" s="6">
        <f>SUM(E40:E44)</f>
        <v>29942.299999999996</v>
      </c>
      <c r="F45" s="6">
        <f>SUM(F40:F44)</f>
        <v>31958.699999999997</v>
      </c>
      <c r="G45" s="6">
        <f>SUM(G40:G44)</f>
        <v>28551.300000000003</v>
      </c>
      <c r="H45" s="6">
        <f>SUM(H40:H44)</f>
        <v>29012.3</v>
      </c>
      <c r="I45" s="6">
        <f>SUM(I40:I44)</f>
        <v>28955.8</v>
      </c>
      <c r="J45" s="6">
        <f>SUM(J40:J44)</f>
        <v>27403.800000000007</v>
      </c>
      <c r="K45" s="6">
        <f>SUM(K40:K44)</f>
        <v>26922.300000000003</v>
      </c>
      <c r="L45" s="6">
        <f>SUM(L40:L44)</f>
        <v>27676.8</v>
      </c>
      <c r="M45" s="6">
        <f>SUM(M40:M44)</f>
        <v>25398.300000000007</v>
      </c>
      <c r="N45" s="6">
        <f>SUM(N40:N44)</f>
        <v>27537.899999999994</v>
      </c>
      <c r="O45" s="6">
        <f>N45</f>
        <v>27537.899999999994</v>
      </c>
      <c r="Q45" s="6">
        <f>SUM(Q40:Q44)</f>
        <v>27978.600000000006</v>
      </c>
      <c r="R45" s="6">
        <f>SUM(R40:R44)</f>
        <v>28027.4</v>
      </c>
      <c r="S45" s="6">
        <f>SUM(S40:S44)</f>
        <v>29942.299999999996</v>
      </c>
      <c r="T45" s="6">
        <f>SUM(T40:T44)</f>
        <v>31958.699999999997</v>
      </c>
      <c r="U45" s="6">
        <f>SUM(U40:U44)</f>
        <v>28551.300000000003</v>
      </c>
      <c r="V45" s="6">
        <f>SUM(V40:V44)</f>
        <v>29012.3</v>
      </c>
      <c r="W45" s="6">
        <f>SUM(W40:W44)</f>
        <v>28955.8</v>
      </c>
      <c r="X45" s="6">
        <f>SUM(X40:X44)</f>
        <v>27403.800000000007</v>
      </c>
      <c r="Y45" s="6">
        <f>SUM(Y40:Y44)</f>
        <v>26922.300000000003</v>
      </c>
      <c r="Z45" s="6">
        <f>SUM(Z40:Z44)</f>
        <v>27676.8</v>
      </c>
      <c r="AA45" s="6">
        <f>SUM(AA40:AA44)</f>
        <v>25398.300000000007</v>
      </c>
      <c r="AB45" s="6">
        <f>SUM(AB40:AB44)</f>
        <v>27537.899999999994</v>
      </c>
      <c r="AC45" s="6">
        <f>AB45</f>
        <v>27537.899999999994</v>
      </c>
      <c r="AE45" s="6">
        <f>SUM(AE40:AE44)</f>
        <v>0.0</v>
      </c>
      <c r="AF45" s="6">
        <f>SUM(AF40:AF44)</f>
        <v>0.0</v>
      </c>
      <c r="AG45" s="6">
        <f>SUM(AG40:AG44)</f>
        <v>0.0</v>
      </c>
      <c r="AH45" s="6">
        <f>SUM(AH40:AH44)</f>
        <v>0.0</v>
      </c>
      <c r="AI45" s="6">
        <f>SUM(AI40:AI44)</f>
        <v>0.0</v>
      </c>
      <c r="AJ45" s="6">
        <f>SUM(AJ40:AJ44)</f>
        <v>0.0</v>
      </c>
      <c r="AK45" s="6">
        <f>SUM(AK40:AK44)</f>
        <v>0.0</v>
      </c>
      <c r="AL45" s="6">
        <f>SUM(AL40:AL44)</f>
        <v>0.0</v>
      </c>
      <c r="AM45" s="6">
        <f>SUM(AM40:AM44)</f>
        <v>0.0</v>
      </c>
      <c r="AN45" s="6">
        <f>SUM(AN40:AN44)</f>
        <v>0.0</v>
      </c>
      <c r="AO45" s="6">
        <f>SUM(AO40:AO44)</f>
        <v>0.0</v>
      </c>
      <c r="AP45" s="6">
        <f>SUM(AP40:AP44)</f>
        <v>0.0</v>
      </c>
      <c r="AQ45" s="6">
        <f>AP45</f>
        <v>0.0</v>
      </c>
      <c r="AS45" s="6">
        <f>SUM(AS40:AS44)</f>
        <v>0.0</v>
      </c>
      <c r="AT45" s="6">
        <f>SUM(AT40:AT44)</f>
        <v>0.0</v>
      </c>
      <c r="AU45" s="6">
        <f>SUM(AU40:AU44)</f>
        <v>0.0</v>
      </c>
      <c r="AV45" s="6">
        <f>SUM(AV40:AV44)</f>
        <v>0.0</v>
      </c>
      <c r="AW45" s="6">
        <f>SUM(AW40:AW44)</f>
        <v>0.0</v>
      </c>
      <c r="AX45" s="6">
        <f>SUM(AX40:AX44)</f>
        <v>0.0</v>
      </c>
      <c r="AY45" s="6">
        <f>SUM(AY40:AY44)</f>
        <v>0.0</v>
      </c>
      <c r="AZ45" s="6">
        <f>SUM(AZ40:AZ44)</f>
        <v>0.0</v>
      </c>
      <c r="BA45" s="6">
        <f>SUM(BA40:BA44)</f>
        <v>0.0</v>
      </c>
      <c r="BB45" s="6">
        <f>SUM(BB40:BB44)</f>
        <v>-1200.0</v>
      </c>
      <c r="BC45" s="6">
        <f>SUM(BC40:BC44)</f>
        <v>-2000.0</v>
      </c>
      <c r="BD45" s="6">
        <f>SUM(BD40:BD44)</f>
        <v>-2500.0</v>
      </c>
      <c r="BE45" s="6">
        <f>BD45</f>
        <v>-2500.0</v>
      </c>
      <c r="BG45" s="6">
        <f>SUM(BG40:BG44)</f>
        <v>27978.600000000006</v>
      </c>
      <c r="BH45" s="6">
        <f>SUM(BH40:BH44)</f>
        <v>28027.4</v>
      </c>
      <c r="BI45" s="6">
        <f>SUM(BI40:BI44)</f>
        <v>29942.299999999996</v>
      </c>
      <c r="BJ45" s="6">
        <f>SUM(BJ40:BJ44)</f>
        <v>31958.699999999997</v>
      </c>
      <c r="BK45" s="6">
        <f>SUM(BK40:BK44)</f>
        <v>28551.300000000003</v>
      </c>
      <c r="BL45" s="6">
        <f>SUM(BL40:BL44)</f>
        <v>29012.3</v>
      </c>
      <c r="BM45" s="6">
        <f>SUM(BM40:BM44)</f>
        <v>28955.8</v>
      </c>
      <c r="BN45" s="6">
        <f>SUM(BN40:BN44)</f>
        <v>27403.800000000007</v>
      </c>
      <c r="BO45" s="6">
        <f>SUM(BO40:BO44)</f>
        <v>26922.300000000003</v>
      </c>
      <c r="BP45" s="6">
        <f>SUM(BP40:BP44)</f>
        <v>26476.8</v>
      </c>
      <c r="BQ45" s="6">
        <f>SUM(BQ40:BQ44)</f>
        <v>23398.300000000007</v>
      </c>
      <c r="BR45" s="6">
        <f>SUM(BR40:BR44)</f>
        <v>25037.899999999994</v>
      </c>
      <c r="BS45" s="6">
        <f>BR45</f>
        <v>25037.899999999994</v>
      </c>
    </row>
    <row r="46">
      <c r="B46" s="5" t="inlineStr">
        <is>
          <t>Working capital/sales (monthly)</t>
        </is>
      </c>
      <c r="C46" s="12">
        <f>IFERROR(C45/(C28*12),0)</f>
        <v>0.19068863989531368</v>
      </c>
      <c r="D46" s="12">
        <f>IFERROR(D45/(D28*12),0)</f>
        <v>0.1924297974596636</v>
      </c>
      <c r="E46" s="12">
        <f>IFERROR(E45/(E28*12),0)</f>
        <v>0.19029832723205203</v>
      </c>
      <c r="F46" s="12">
        <f>IFERROR(F45/(F28*12),0)</f>
        <v>0.1900335366941382</v>
      </c>
      <c r="G46" s="12">
        <f>IFERROR(G45/(G28*12),0)</f>
        <v>0.1868413406417364</v>
      </c>
      <c r="H46" s="12">
        <f>IFERROR(H45/(H28*12),0)</f>
        <v>0.18254582474473297</v>
      </c>
      <c r="I46" s="12">
        <f>IFERROR(I45/(I28*12),0)</f>
        <v>0.1834019923790993</v>
      </c>
      <c r="J46" s="12">
        <f>IFERROR(J45/(J28*12),0)</f>
        <v>0.17617901420294554</v>
      </c>
      <c r="K46" s="12">
        <f>IFERROR(K45/(K28*12),0)</f>
        <v>0.17448611359553273</v>
      </c>
      <c r="L46" s="12">
        <f>IFERROR(L45/(L28*12),0)</f>
        <v>0.170772340567316</v>
      </c>
      <c r="M46" s="12">
        <f>IFERROR(M45/(M28*12),0)</f>
        <v>0.17182514876724123</v>
      </c>
      <c r="N46" s="12">
        <f>IFERROR(N45/(N28*12),0)</f>
        <v>0.16946733720294796</v>
      </c>
      <c r="Q46" s="12">
        <f>IFERROR(Q45/(Q28*12),0)</f>
        <v>0.19068863989531368</v>
      </c>
      <c r="R46" s="12">
        <f>IFERROR(R45/(R28*12),0)</f>
        <v>0.1924297974596636</v>
      </c>
      <c r="S46" s="12">
        <f>IFERROR(S45/(S28*12),0)</f>
        <v>0.19029832723205203</v>
      </c>
      <c r="T46" s="12">
        <f>IFERROR(T45/(T28*12),0)</f>
        <v>0.1900335366941382</v>
      </c>
      <c r="U46" s="12">
        <f>IFERROR(U45/(U28*12),0)</f>
        <v>0.1868413406417364</v>
      </c>
      <c r="V46" s="12">
        <f>IFERROR(V45/(V28*12),0)</f>
        <v>0.18254582474473297</v>
      </c>
      <c r="W46" s="12">
        <f>IFERROR(W45/(W28*12),0)</f>
        <v>0.1834019923790993</v>
      </c>
      <c r="X46" s="12">
        <f>IFERROR(X45/(X28*12),0)</f>
        <v>0.17617901420294554</v>
      </c>
      <c r="Y46" s="12">
        <f>IFERROR(Y45/(Y28*12),0)</f>
        <v>0.17448611359553273</v>
      </c>
      <c r="Z46" s="12">
        <f>IFERROR(Z45/(Z28*12),0)</f>
        <v>0.170772340567316</v>
      </c>
      <c r="AA46" s="12">
        <f>IFERROR(AA45/(AA28*12),0)</f>
        <v>0.17182514876724123</v>
      </c>
      <c r="AB46" s="12">
        <f>IFERROR(AB45/(AB28*12),0)</f>
        <v>0.16946733720294796</v>
      </c>
      <c r="AE46" s="12">
        <f>IFERROR(AE45/(AE28*12),0)</f>
        <v>0.0</v>
      </c>
      <c r="AF46" s="12">
        <f>IFERROR(AF45/(AF28*12),0)</f>
        <v>0.0</v>
      </c>
      <c r="AG46" s="12">
        <f>IFERROR(AG45/(AG28*12),0)</f>
        <v>0.0</v>
      </c>
      <c r="AH46" s="12">
        <f>IFERROR(AH45/(AH28*12),0)</f>
        <v>0.0</v>
      </c>
      <c r="AI46" s="12">
        <f>IFERROR(AI45/(AI28*12),0)</f>
        <v>0.0</v>
      </c>
      <c r="AJ46" s="12">
        <f>IFERROR(AJ45/(AJ28*12),0)</f>
        <v>0.0</v>
      </c>
      <c r="AK46" s="12">
        <f>IFERROR(AK45/(AK28*12),0)</f>
        <v>0.0</v>
      </c>
      <c r="AL46" s="12">
        <f>IFERROR(AL45/(AL28*12),0)</f>
        <v>0.0</v>
      </c>
      <c r="AM46" s="12">
        <f>IFERROR(AM45/(AM28*12),0)</f>
        <v>0.0</v>
      </c>
      <c r="AN46" s="12">
        <f>IFERROR(AN45/(AN28*12),0)</f>
        <v>0.0</v>
      </c>
      <c r="AO46" s="12">
        <f>IFERROR(AO45/(AO28*12),0)</f>
        <v>0.0</v>
      </c>
      <c r="AP46" s="12">
        <f>IFERROR(AP45/(AP28*12),0)</f>
        <v>0.0</v>
      </c>
      <c r="AS46" s="12">
        <f>IFERROR(AS45/(AS28*12),0)</f>
        <v>0.0</v>
      </c>
      <c r="AT46" s="12">
        <f>IFERROR(AT45/(AT28*12),0)</f>
        <v>0.0</v>
      </c>
      <c r="AU46" s="12">
        <f>IFERROR(AU45/(AU28*12),0)</f>
        <v>0.0</v>
      </c>
      <c r="AV46" s="12">
        <f>IFERROR(AV45/(AV28*12),0)</f>
        <v>0.0</v>
      </c>
      <c r="AW46" s="12">
        <f>IFERROR(AW45/(AW28*12),0)</f>
        <v>0.0</v>
      </c>
      <c r="AX46" s="12">
        <f>IFERROR(AX45/(AX28*12),0)</f>
        <v>0.0</v>
      </c>
      <c r="AY46" s="12">
        <f>IFERROR(AY45/(AY28*12),0)</f>
        <v>0.0</v>
      </c>
      <c r="AZ46" s="12">
        <f>IFERROR(AZ45/(AZ28*12),0)</f>
        <v>0.0</v>
      </c>
      <c r="BA46" s="12">
        <f>IFERROR(BA45/(BA28*12),0)</f>
        <v>0.0</v>
      </c>
      <c r="BB46" s="12">
        <f>IFERROR(BB45/(BB28*12),0)</f>
        <v>0.5</v>
      </c>
      <c r="BC46" s="12">
        <f>IFERROR(BC45/(BC28*12),0)</f>
        <v>0.8333333333333334</v>
      </c>
      <c r="BD46" s="12">
        <f>IFERROR(BD45/(BD28*12),0)</f>
        <v>1.0416666666666667</v>
      </c>
      <c r="BG46" s="12">
        <f>IFERROR(BG45/(BG28*12),0)</f>
        <v>0.19068863989531368</v>
      </c>
      <c r="BH46" s="12">
        <f>IFERROR(BH45/(BH28*12),0)</f>
        <v>0.1924297974596636</v>
      </c>
      <c r="BI46" s="12">
        <f>IFERROR(BI45/(BI28*12),0)</f>
        <v>0.19029832723205203</v>
      </c>
      <c r="BJ46" s="12">
        <f>IFERROR(BJ45/(BJ28*12),0)</f>
        <v>0.1900335366941382</v>
      </c>
      <c r="BK46" s="12">
        <f>IFERROR(BK45/(BK28*12),0)</f>
        <v>0.1868413406417364</v>
      </c>
      <c r="BL46" s="12">
        <f>IFERROR(BL45/(BL28*12),0)</f>
        <v>0.18254582474473297</v>
      </c>
      <c r="BM46" s="12">
        <f>IFERROR(BM45/(BM28*12),0)</f>
        <v>0.1834019923790993</v>
      </c>
      <c r="BN46" s="12">
        <f>IFERROR(BN45/(BN28*12),0)</f>
        <v>0.17617901420294554</v>
      </c>
      <c r="BO46" s="12">
        <f>IFERROR(BO45/(BO28*12),0)</f>
        <v>0.17448611359553273</v>
      </c>
      <c r="BP46" s="12">
        <f>IFERROR(BP45/(BP28*12),0)</f>
        <v>0.165823669555153</v>
      </c>
      <c r="BQ46" s="12">
        <f>IFERROR(BQ45/(BQ28*12),0)</f>
        <v>0.16090728041437327</v>
      </c>
      <c r="BR46" s="12">
        <f>IFERROR(BR45/(BR28*12),0)</f>
        <v>0.1563922576841011</v>
      </c>
    </row>
    <row r="49">
      <c r="B49" s="8" t="inlineStr">
        <is>
          <t>Budget 2026</t>
        </is>
      </c>
    </row>
    <row r="50">
      <c r="C50" s="20" t="inlineStr">
        <is>
          <t>January</t>
        </is>
      </c>
      <c r="D50" s="20" t="inlineStr">
        <is>
          <t>February</t>
        </is>
      </c>
      <c r="E50" s="20" t="inlineStr">
        <is>
          <t>March</t>
        </is>
      </c>
      <c r="F50" s="20" t="inlineStr">
        <is>
          <t>April</t>
        </is>
      </c>
      <c r="G50" s="20" t="inlineStr">
        <is>
          <t>May</t>
        </is>
      </c>
      <c r="H50" s="20" t="inlineStr">
        <is>
          <t>June</t>
        </is>
      </c>
      <c r="I50" s="20" t="inlineStr">
        <is>
          <t>July</t>
        </is>
      </c>
      <c r="J50" s="20" t="inlineStr">
        <is>
          <t>August</t>
        </is>
      </c>
      <c r="K50" s="20" t="inlineStr">
        <is>
          <t>September</t>
        </is>
      </c>
      <c r="L50" s="20" t="inlineStr">
        <is>
          <t>October</t>
        </is>
      </c>
      <c r="M50" s="20" t="inlineStr">
        <is>
          <t>November</t>
        </is>
      </c>
      <c r="N50" s="20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6" t="n">
        <v>11875</v>
      </c>
      <c r="D51" s="6" t="n">
        <v>11625</v>
      </c>
      <c r="E51" s="6" t="n">
        <v>12499.9</v>
      </c>
      <c r="F51" s="6" t="n">
        <v>13500</v>
      </c>
      <c r="G51" s="6" t="n">
        <v>12250</v>
      </c>
      <c r="H51" s="6" t="n">
        <v>12875</v>
      </c>
      <c r="I51" s="6" t="n">
        <v>12749.9</v>
      </c>
      <c r="J51" s="6" t="n">
        <v>12500</v>
      </c>
      <c r="K51" s="6" t="n">
        <v>12250</v>
      </c>
      <c r="L51" s="6" t="n">
        <v>13125</v>
      </c>
      <c r="M51" s="6" t="n">
        <v>11875</v>
      </c>
      <c r="N51" s="6" t="n">
        <v>12875</v>
      </c>
      <c r="O51" s="6">
        <f>SUM(C51:N51)</f>
        <v>149999.8</v>
      </c>
    </row>
    <row r="52">
      <c r="B52" t="inlineStr">
        <is>
          <t>Gross Margin</t>
        </is>
      </c>
      <c r="C52" s="6" t="n">
        <v>3146.9</v>
      </c>
      <c r="D52" s="6" t="n">
        <v>3080.6</v>
      </c>
      <c r="E52" s="6" t="n">
        <v>3312.4</v>
      </c>
      <c r="F52" s="6" t="n">
        <v>3577.5</v>
      </c>
      <c r="G52" s="6" t="n">
        <v>3246.3</v>
      </c>
      <c r="H52" s="6" t="n">
        <v>3411.8</v>
      </c>
      <c r="I52" s="6" t="n">
        <v>3378.7</v>
      </c>
      <c r="J52" s="6" t="n">
        <v>3312.5</v>
      </c>
      <c r="K52" s="6" t="n">
        <v>3246.3</v>
      </c>
      <c r="L52" s="6" t="n">
        <v>3478.1</v>
      </c>
      <c r="M52" s="6" t="n">
        <v>3146.9</v>
      </c>
      <c r="N52" s="6" t="n">
        <v>3411.9</v>
      </c>
      <c r="O52" s="6">
        <f>SUM(C52:N52)</f>
        <v>39749.9</v>
      </c>
    </row>
    <row r="53">
      <c r="B53" t="inlineStr">
        <is>
          <t>Op Costs</t>
        </is>
      </c>
      <c r="C53" s="6" t="n">
        <v>-2410.7</v>
      </c>
      <c r="D53" s="6" t="n">
        <v>-2360.1</v>
      </c>
      <c r="E53" s="6" t="n">
        <v>-2537.5</v>
      </c>
      <c r="F53" s="6" t="n">
        <v>-2740.6</v>
      </c>
      <c r="G53" s="6" t="n">
        <v>-2486.9</v>
      </c>
      <c r="H53" s="6" t="n">
        <v>-2613.6</v>
      </c>
      <c r="I53" s="6" t="n">
        <v>-2588.5</v>
      </c>
      <c r="J53" s="6" t="n">
        <v>-2537.5</v>
      </c>
      <c r="K53" s="6" t="n">
        <v>-2486.9</v>
      </c>
      <c r="L53" s="6" t="n">
        <v>-2665</v>
      </c>
      <c r="M53" s="6" t="n">
        <v>-2410.7</v>
      </c>
      <c r="N53" s="6" t="n">
        <v>-2613.6</v>
      </c>
      <c r="O53" s="6">
        <f>SUM(C53:N53)</f>
        <v>-30451.600000000002</v>
      </c>
    </row>
    <row r="54">
      <c r="B54" t="inlineStr">
        <is>
          <t>PBITA</t>
        </is>
      </c>
      <c r="C54" s="6">
        <f>C52+C53</f>
        <v>736.2000000000003</v>
      </c>
      <c r="D54" s="6">
        <f>D52+D53</f>
        <v>720.5</v>
      </c>
      <c r="E54" s="6">
        <f>E52+E53</f>
        <v>774.9000000000001</v>
      </c>
      <c r="F54" s="6">
        <f>F52+F53</f>
        <v>836.9000000000001</v>
      </c>
      <c r="G54" s="6">
        <f>G52+G53</f>
        <v>759.4000000000001</v>
      </c>
      <c r="H54" s="6">
        <f>H52+H53</f>
        <v>798.2000000000003</v>
      </c>
      <c r="I54" s="6">
        <f>I52+I53</f>
        <v>790.1999999999998</v>
      </c>
      <c r="J54" s="6">
        <f>J52+J53</f>
        <v>775.0</v>
      </c>
      <c r="K54" s="6">
        <f>K52+K53</f>
        <v>759.4000000000001</v>
      </c>
      <c r="L54" s="6">
        <f>L52+L53</f>
        <v>813.0999999999999</v>
      </c>
      <c r="M54" s="6">
        <f>M52+M53</f>
        <v>736.2000000000003</v>
      </c>
      <c r="N54" s="6">
        <f>N52+N53</f>
        <v>798.3000000000002</v>
      </c>
      <c r="O54" s="6">
        <f>SUM(C54:N54)</f>
        <v>9298.300000000003</v>
      </c>
    </row>
    <row r="55">
      <c r="B55" t="inlineStr">
        <is>
          <t>Net Inventory</t>
        </is>
      </c>
      <c r="C55" s="6" t="n">
        <v>22047.2</v>
      </c>
      <c r="D55" s="6" t="n">
        <v>21955.7</v>
      </c>
      <c r="E55" s="6" t="n">
        <v>23058</v>
      </c>
      <c r="F55" s="6" t="n">
        <v>24932.8</v>
      </c>
      <c r="G55" s="6" t="n">
        <v>23042.6</v>
      </c>
      <c r="H55" s="6" t="n">
        <v>23739.7</v>
      </c>
      <c r="I55" s="6" t="n">
        <v>23671.2</v>
      </c>
      <c r="J55" s="6" t="n">
        <v>23554.5</v>
      </c>
      <c r="K55" s="6" t="n">
        <v>23081.5</v>
      </c>
      <c r="L55" s="6" t="n">
        <v>24442.9</v>
      </c>
      <c r="M55" s="6" t="n">
        <v>22079.5</v>
      </c>
      <c r="N55" s="6" t="n">
        <v>23926.4</v>
      </c>
      <c r="O55" s="6">
        <f>N55</f>
        <v>23926.4</v>
      </c>
    </row>
    <row r="56">
      <c r="B56" t="inlineStr">
        <is>
          <t>Trade Receivables</t>
        </is>
      </c>
      <c r="C56" s="6" t="n">
        <v>17812.5</v>
      </c>
      <c r="D56" s="6" t="n">
        <v>17437.5</v>
      </c>
      <c r="E56" s="6" t="n">
        <v>18749.8</v>
      </c>
      <c r="F56" s="6" t="n">
        <v>20250</v>
      </c>
      <c r="G56" s="6" t="n">
        <v>18375</v>
      </c>
      <c r="H56" s="6" t="n">
        <v>19312.5</v>
      </c>
      <c r="I56" s="6" t="n">
        <v>19124.8</v>
      </c>
      <c r="J56" s="6" t="n">
        <v>18750</v>
      </c>
      <c r="K56" s="6" t="n">
        <v>18375</v>
      </c>
      <c r="L56" s="6" t="n">
        <v>19687.5</v>
      </c>
      <c r="M56" s="6" t="n">
        <v>17812.5</v>
      </c>
      <c r="N56" s="6" t="n">
        <v>19312.5</v>
      </c>
      <c r="O56" s="6">
        <f>N56</f>
        <v>19312.5</v>
      </c>
    </row>
    <row r="57">
      <c r="B57" t="inlineStr">
        <is>
          <t>Other Receivables</t>
        </is>
      </c>
      <c r="C57" s="6" t="n">
        <v>178.1</v>
      </c>
      <c r="D57" s="6" t="n">
        <v>174.4</v>
      </c>
      <c r="E57" s="6" t="n">
        <v>187.5</v>
      </c>
      <c r="F57" s="6" t="n">
        <v>202.5</v>
      </c>
      <c r="G57" s="6" t="n">
        <v>183.8</v>
      </c>
      <c r="H57" s="6" t="n">
        <v>193.1</v>
      </c>
      <c r="I57" s="6" t="n">
        <v>191.2</v>
      </c>
      <c r="J57" s="6" t="n">
        <v>187.5</v>
      </c>
      <c r="K57" s="6" t="n">
        <v>183.8</v>
      </c>
      <c r="L57" s="6" t="n">
        <v>196.9</v>
      </c>
      <c r="M57" s="6" t="n">
        <v>178.1</v>
      </c>
      <c r="N57" s="6" t="n">
        <v>193.1</v>
      </c>
      <c r="O57" s="6">
        <f>N57</f>
        <v>193.1</v>
      </c>
    </row>
    <row r="58">
      <c r="B58" t="inlineStr">
        <is>
          <t>Trade Payables</t>
        </is>
      </c>
      <c r="C58" s="6" t="n">
        <v>-12219.3</v>
      </c>
      <c r="D58" s="6" t="n">
        <v>-11962.2</v>
      </c>
      <c r="E58" s="6" t="n">
        <v>-12862.5</v>
      </c>
      <c r="F58" s="6" t="n">
        <v>-13891.5</v>
      </c>
      <c r="G58" s="6" t="n">
        <v>-12605.2</v>
      </c>
      <c r="H58" s="6" t="n">
        <v>-13248.5</v>
      </c>
      <c r="I58" s="6" t="n">
        <v>-13119.7</v>
      </c>
      <c r="J58" s="6" t="n">
        <v>-12862.5</v>
      </c>
      <c r="K58" s="6" t="n">
        <v>-12605.2</v>
      </c>
      <c r="L58" s="6" t="n">
        <v>-13505.7</v>
      </c>
      <c r="M58" s="6" t="n">
        <v>-12219.3</v>
      </c>
      <c r="N58" s="6" t="n">
        <v>-13248.3</v>
      </c>
      <c r="O58" s="6">
        <f>N58</f>
        <v>-13248.3</v>
      </c>
    </row>
    <row r="59">
      <c r="B59" t="inlineStr">
        <is>
          <t>Other Payables</t>
        </is>
      </c>
      <c r="C59" s="6" t="n">
        <v>-356.2</v>
      </c>
      <c r="D59" s="6" t="n">
        <v>-348.8</v>
      </c>
      <c r="E59" s="6" t="n">
        <v>-375</v>
      </c>
      <c r="F59" s="6" t="n">
        <v>-405</v>
      </c>
      <c r="G59" s="6" t="n">
        <v>-367.5</v>
      </c>
      <c r="H59" s="6" t="n">
        <v>-386.2</v>
      </c>
      <c r="I59" s="6" t="n">
        <v>-382.5</v>
      </c>
      <c r="J59" s="6" t="n">
        <v>-375</v>
      </c>
      <c r="K59" s="6" t="n">
        <v>-367.5</v>
      </c>
      <c r="L59" s="6" t="n">
        <v>-393.8</v>
      </c>
      <c r="M59" s="6" t="n">
        <v>-356.2</v>
      </c>
      <c r="N59" s="6" t="n">
        <v>-386.2</v>
      </c>
      <c r="O59" s="6">
        <f>N59</f>
        <v>-386.2</v>
      </c>
    </row>
    <row r="60">
      <c r="B60" t="inlineStr">
        <is>
          <t>Total working capital</t>
        </is>
      </c>
      <c r="C60" s="6">
        <f>SUM(C55:C59)</f>
        <v>27462.299999999996</v>
      </c>
      <c r="D60" s="6">
        <f>SUM(D55:D59)</f>
        <v>27256.6</v>
      </c>
      <c r="E60" s="6">
        <f>SUM(E55:E59)</f>
        <v>28757.800000000003</v>
      </c>
      <c r="F60" s="6">
        <f>SUM(F55:F59)</f>
        <v>31088.800000000003</v>
      </c>
      <c r="G60" s="6">
        <f>SUM(G55:G59)</f>
        <v>28628.7</v>
      </c>
      <c r="H60" s="6">
        <f>SUM(H55:H59)</f>
        <v>29610.599999999995</v>
      </c>
      <c r="I60" s="6">
        <f>SUM(I55:I59)</f>
        <v>29484.999999999996</v>
      </c>
      <c r="J60" s="6">
        <f>SUM(J55:J59)</f>
        <v>29254.5</v>
      </c>
      <c r="K60" s="6">
        <f>SUM(K55:K59)</f>
        <v>28667.600000000002</v>
      </c>
      <c r="L60" s="6">
        <f>SUM(L55:L59)</f>
        <v>30427.800000000003</v>
      </c>
      <c r="M60" s="6">
        <f>SUM(M55:M59)</f>
        <v>27494.6</v>
      </c>
      <c r="N60" s="6">
        <f>SUM(N55:N59)</f>
        <v>29797.5</v>
      </c>
      <c r="O60" s="6">
        <f>N60</f>
        <v>29797.5</v>
      </c>
    </row>
    <row r="62">
      <c r="B62" s="8" t="inlineStr">
        <is>
          <t>2025 Actual</t>
        </is>
      </c>
    </row>
    <row r="63">
      <c r="C63" s="20" t="inlineStr">
        <is>
          <t>January</t>
        </is>
      </c>
      <c r="D63" s="20" t="inlineStr">
        <is>
          <t>February</t>
        </is>
      </c>
      <c r="E63" s="20" t="inlineStr">
        <is>
          <t>March</t>
        </is>
      </c>
      <c r="F63" s="20" t="inlineStr">
        <is>
          <t>April</t>
        </is>
      </c>
      <c r="G63" s="20" t="inlineStr">
        <is>
          <t>May</t>
        </is>
      </c>
      <c r="H63" s="20" t="inlineStr">
        <is>
          <t>June</t>
        </is>
      </c>
      <c r="I63" s="20" t="inlineStr">
        <is>
          <t>July</t>
        </is>
      </c>
      <c r="J63" s="20" t="inlineStr">
        <is>
          <t>August</t>
        </is>
      </c>
      <c r="K63" s="20" t="inlineStr">
        <is>
          <t>September</t>
        </is>
      </c>
      <c r="L63" s="20" t="inlineStr">
        <is>
          <t>October</t>
        </is>
      </c>
      <c r="M63" s="20" t="inlineStr">
        <is>
          <t>November</t>
        </is>
      </c>
      <c r="N63" s="20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6" t="n">
        <v>11439</v>
      </c>
      <c r="D64" s="6" t="n">
        <v>10950.3</v>
      </c>
      <c r="E64" s="6" t="n">
        <v>12000.4</v>
      </c>
      <c r="F64" s="6" t="n">
        <v>13070.6</v>
      </c>
      <c r="G64" s="6" t="n">
        <v>11619.2</v>
      </c>
      <c r="H64" s="6" t="n">
        <v>12276.2</v>
      </c>
      <c r="I64" s="6" t="n">
        <v>12248.2</v>
      </c>
      <c r="J64" s="6" t="n">
        <v>11977.4</v>
      </c>
      <c r="K64" s="6" t="n">
        <v>11779.1</v>
      </c>
      <c r="L64" s="6" t="n">
        <v>12655.3</v>
      </c>
      <c r="M64" s="6" t="n">
        <v>11249.6</v>
      </c>
      <c r="N64" s="6" t="n">
        <v>12333.7</v>
      </c>
      <c r="O64" s="6">
        <f>SUM(C64:N64)</f>
        <v>143599.0</v>
      </c>
    </row>
    <row r="65">
      <c r="B65" t="inlineStr">
        <is>
          <t>Gross Margin</t>
        </is>
      </c>
      <c r="C65" s="6" t="n">
        <v>3138</v>
      </c>
      <c r="D65" s="6" t="n">
        <v>2951.8</v>
      </c>
      <c r="E65" s="6" t="n">
        <v>3289.7</v>
      </c>
      <c r="F65" s="6" t="n">
        <v>3505.6</v>
      </c>
      <c r="G65" s="6" t="n">
        <v>3133.5</v>
      </c>
      <c r="H65" s="6" t="n">
        <v>3336.8</v>
      </c>
      <c r="I65" s="6" t="n">
        <v>3286.2</v>
      </c>
      <c r="J65" s="6" t="n">
        <v>3254.9</v>
      </c>
      <c r="K65" s="6" t="n">
        <v>3217.3</v>
      </c>
      <c r="L65" s="6" t="n">
        <v>3430.6</v>
      </c>
      <c r="M65" s="6" t="n">
        <v>3051.7</v>
      </c>
      <c r="N65" s="6" t="n">
        <v>3363.2</v>
      </c>
      <c r="O65" s="6">
        <f>SUM(C65:N65)</f>
        <v>38959.299999999996</v>
      </c>
    </row>
    <row r="66">
      <c r="B66" t="inlineStr">
        <is>
          <t>Op Costs</t>
        </is>
      </c>
      <c r="C66" s="6" t="n">
        <v>-2332.3</v>
      </c>
      <c r="D66" s="6" t="n">
        <v>-2272.6</v>
      </c>
      <c r="E66" s="6" t="n">
        <v>-2462.4</v>
      </c>
      <c r="F66" s="6" t="n">
        <v>-2662.1</v>
      </c>
      <c r="G66" s="6" t="n">
        <v>-2405.3</v>
      </c>
      <c r="H66" s="6" t="n">
        <v>-2536.4</v>
      </c>
      <c r="I66" s="6" t="n">
        <v>-2516.1</v>
      </c>
      <c r="J66" s="6" t="n">
        <v>-2441.4</v>
      </c>
      <c r="K66" s="6" t="n">
        <v>-2408.8</v>
      </c>
      <c r="L66" s="6" t="n">
        <v>-2580.1</v>
      </c>
      <c r="M66" s="6" t="n">
        <v>-2335.8</v>
      </c>
      <c r="N66" s="6" t="n">
        <v>-2519.8</v>
      </c>
      <c r="O66" s="6">
        <f>SUM(C66:N66)</f>
        <v>-29473.1</v>
      </c>
    </row>
    <row r="67">
      <c r="B67" t="inlineStr">
        <is>
          <t>PBITA</t>
        </is>
      </c>
      <c r="C67" s="6">
        <f>C65+C66</f>
        <v>805.6999999999998</v>
      </c>
      <c r="D67" s="6">
        <f>D65+D66</f>
        <v>679.2000000000003</v>
      </c>
      <c r="E67" s="6">
        <f>E65+E66</f>
        <v>827.2999999999997</v>
      </c>
      <c r="F67" s="6">
        <f>F65+F66</f>
        <v>843.5</v>
      </c>
      <c r="G67" s="6">
        <f>G65+G66</f>
        <v>728.1999999999998</v>
      </c>
      <c r="H67" s="6">
        <f>H65+H66</f>
        <v>800.4000000000001</v>
      </c>
      <c r="I67" s="6">
        <f>I65+I66</f>
        <v>770.0999999999999</v>
      </c>
      <c r="J67" s="6">
        <f>J65+J66</f>
        <v>813.5</v>
      </c>
      <c r="K67" s="6">
        <f>K65+K66</f>
        <v>808.5</v>
      </c>
      <c r="L67" s="6">
        <f>L65+L66</f>
        <v>850.5</v>
      </c>
      <c r="M67" s="6">
        <f>M65+M66</f>
        <v>715.8999999999996</v>
      </c>
      <c r="N67" s="6">
        <f>N65+N66</f>
        <v>843.3999999999996</v>
      </c>
      <c r="O67" s="6">
        <f>SUM(C67:N67)</f>
        <v>9486.199999999999</v>
      </c>
    </row>
    <row r="68">
      <c r="B68" t="inlineStr">
        <is>
          <t>Net Inventory</t>
        </is>
      </c>
      <c r="C68" s="6" t="n">
        <v>23602.6</v>
      </c>
      <c r="D68" s="6" t="n">
        <v>22384</v>
      </c>
      <c r="E68" s="6" t="n">
        <v>24068.8</v>
      </c>
      <c r="F68" s="6" t="n">
        <v>26337.6</v>
      </c>
      <c r="G68" s="6" t="n">
        <v>23549.9</v>
      </c>
      <c r="H68" s="6" t="n">
        <v>24811.8</v>
      </c>
      <c r="I68" s="6" t="n">
        <v>25484.9</v>
      </c>
      <c r="J68" s="6" t="n">
        <v>24062.8</v>
      </c>
      <c r="K68" s="6" t="n">
        <v>23908.1</v>
      </c>
      <c r="L68" s="6" t="n">
        <v>26061.1</v>
      </c>
      <c r="M68" s="6" t="n">
        <v>23195.6</v>
      </c>
      <c r="N68" s="6" t="n">
        <v>25323.4</v>
      </c>
      <c r="O68" s="6">
        <f>N68</f>
        <v>25323.4</v>
      </c>
    </row>
    <row r="69">
      <c r="B69" t="inlineStr">
        <is>
          <t>Trade Receivables</t>
        </is>
      </c>
      <c r="C69" s="6" t="n">
        <v>17539.8</v>
      </c>
      <c r="D69" s="6" t="n">
        <v>16790.5</v>
      </c>
      <c r="E69" s="6" t="n">
        <v>18400.6</v>
      </c>
      <c r="F69" s="6" t="n">
        <v>20041.6</v>
      </c>
      <c r="G69" s="6" t="n">
        <v>17816.1</v>
      </c>
      <c r="H69" s="6" t="n">
        <v>18823.5</v>
      </c>
      <c r="I69" s="6" t="n">
        <v>18780.6</v>
      </c>
      <c r="J69" s="6" t="n">
        <v>18365.3</v>
      </c>
      <c r="K69" s="6" t="n">
        <v>18061.3</v>
      </c>
      <c r="L69" s="6" t="n">
        <v>19404.8</v>
      </c>
      <c r="M69" s="6" t="n">
        <v>17249.4</v>
      </c>
      <c r="N69" s="6" t="n">
        <v>18911.7</v>
      </c>
      <c r="O69" s="6">
        <f>N69</f>
        <v>18911.7</v>
      </c>
    </row>
    <row r="70">
      <c r="B70" t="inlineStr">
        <is>
          <t>Other Receivables</t>
        </is>
      </c>
      <c r="C70" s="6" t="n">
        <v>171.6</v>
      </c>
      <c r="D70" s="6" t="n">
        <v>164.3</v>
      </c>
      <c r="E70" s="6" t="n">
        <v>180</v>
      </c>
      <c r="F70" s="6" t="n">
        <v>196.1</v>
      </c>
      <c r="G70" s="6" t="n">
        <v>174.3</v>
      </c>
      <c r="H70" s="6" t="n">
        <v>184.1</v>
      </c>
      <c r="I70" s="6" t="n">
        <v>183.7</v>
      </c>
      <c r="J70" s="6" t="n">
        <v>179.7</v>
      </c>
      <c r="K70" s="6" t="n">
        <v>176.7</v>
      </c>
      <c r="L70" s="6" t="n">
        <v>189.8</v>
      </c>
      <c r="M70" s="6" t="n">
        <v>168.7</v>
      </c>
      <c r="N70" s="6" t="n">
        <v>185</v>
      </c>
      <c r="O70" s="6">
        <f>N70</f>
        <v>185.0</v>
      </c>
    </row>
    <row r="71">
      <c r="B71" t="inlineStr">
        <is>
          <t>Trade Payables</t>
        </is>
      </c>
      <c r="C71" s="6" t="n">
        <v>-11344.7</v>
      </c>
      <c r="D71" s="6" t="n">
        <v>-10931.3</v>
      </c>
      <c r="E71" s="6" t="n">
        <v>-11904.6</v>
      </c>
      <c r="F71" s="6" t="n">
        <v>-13072.2</v>
      </c>
      <c r="G71" s="6" t="n">
        <v>-11597.1</v>
      </c>
      <c r="H71" s="6" t="n">
        <v>-12217.2</v>
      </c>
      <c r="I71" s="6" t="n">
        <v>-12248.1</v>
      </c>
      <c r="J71" s="6" t="n">
        <v>-11920.8</v>
      </c>
      <c r="K71" s="6" t="n">
        <v>-11701.1</v>
      </c>
      <c r="L71" s="6" t="n">
        <v>-12607.1</v>
      </c>
      <c r="M71" s="6" t="n">
        <v>-11203.8</v>
      </c>
      <c r="N71" s="6" t="n">
        <v>-12259.7</v>
      </c>
      <c r="O71" s="6">
        <f>N71</f>
        <v>-12259.7</v>
      </c>
    </row>
    <row r="72">
      <c r="B72" t="inlineStr">
        <is>
          <t>Other Payables</t>
        </is>
      </c>
      <c r="C72" s="6" t="n">
        <v>-343.2</v>
      </c>
      <c r="D72" s="6" t="n">
        <v>-328.5</v>
      </c>
      <c r="E72" s="6" t="n">
        <v>-360</v>
      </c>
      <c r="F72" s="6" t="n">
        <v>-392.1</v>
      </c>
      <c r="G72" s="6" t="n">
        <v>-348.6</v>
      </c>
      <c r="H72" s="6" t="n">
        <v>-368.3</v>
      </c>
      <c r="I72" s="6" t="n">
        <v>-367.4</v>
      </c>
      <c r="J72" s="6" t="n">
        <v>-359.3</v>
      </c>
      <c r="K72" s="6" t="n">
        <v>-353.4</v>
      </c>
      <c r="L72" s="6" t="n">
        <v>-379.7</v>
      </c>
      <c r="M72" s="6" t="n">
        <v>-337.5</v>
      </c>
      <c r="N72" s="6" t="n">
        <v>-370</v>
      </c>
      <c r="O72" s="6">
        <f>N72</f>
        <v>-370.0</v>
      </c>
    </row>
    <row r="73">
      <c r="B73" t="inlineStr">
        <is>
          <t>Total working capital</t>
        </is>
      </c>
      <c r="C73" s="6">
        <f>SUM(C68:C72)</f>
        <v>29626.09999999999</v>
      </c>
      <c r="D73" s="6">
        <f>SUM(D68:D72)</f>
        <v>28079.000000000004</v>
      </c>
      <c r="E73" s="6">
        <f>SUM(E68:E72)</f>
        <v>30384.799999999996</v>
      </c>
      <c r="F73" s="6">
        <f>SUM(F68:F72)</f>
        <v>33110.99999999999</v>
      </c>
      <c r="G73" s="6">
        <f>SUM(G68:G72)</f>
        <v>29594.600000000006</v>
      </c>
      <c r="H73" s="6">
        <f>SUM(H68:H72)</f>
        <v>31233.9</v>
      </c>
      <c r="I73" s="6">
        <f>SUM(I68:I72)</f>
        <v>31833.699999999997</v>
      </c>
      <c r="J73" s="6">
        <f>SUM(J68:J72)</f>
        <v>30327.699999999997</v>
      </c>
      <c r="K73" s="6">
        <f>SUM(K68:K72)</f>
        <v>30091.59999999999</v>
      </c>
      <c r="L73" s="6">
        <f>SUM(L68:L72)</f>
        <v>32668.899999999998</v>
      </c>
      <c r="M73" s="6">
        <f>SUM(M68:M72)</f>
        <v>29072.399999999998</v>
      </c>
      <c r="N73" s="6">
        <f>SUM(N68:N72)</f>
        <v>31790.400000000005</v>
      </c>
      <c r="O73" s="6">
        <f>N73</f>
        <v>31790.400000000005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Beacon Hi-Vis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2" t="inlineStr">
        <is>
          <t>Sales</t>
        </is>
      </c>
      <c r="C8" s="6">
        <f>'Beacon'!BU28</f>
        <v>150.0</v>
      </c>
      <c r="D8" s="6">
        <f>'Beacon'!BV28</f>
        <v>3250.7999999999884</v>
      </c>
      <c r="E8" s="6">
        <f>'Beacon'!BW28</f>
        <v>6179.0</v>
      </c>
      <c r="F8" s="6">
        <f>'Beacon'!BY28</f>
        <v>750.0</v>
      </c>
      <c r="G8" s="6">
        <f>'Beacon'!BZ28</f>
        <v>2417.0</v>
      </c>
      <c r="H8" s="6">
        <f>'Beacon'!CA28</f>
        <v>3639.300000000003</v>
      </c>
      <c r="I8" s="6">
        <f>'Beacon'!CC28</f>
        <v>900.0</v>
      </c>
      <c r="J8" s="6">
        <f>'Beacon'!CD28</f>
        <v>5667.799999999988</v>
      </c>
      <c r="K8" s="6">
        <f>'Beacon'!CE28</f>
        <v>9818.300000000003</v>
      </c>
    </row>
    <row r="10">
      <c r="B10" s="2" t="inlineStr">
        <is>
          <t>Gross Margin</t>
        </is>
      </c>
      <c r="C10" s="6">
        <f>'Beacon'!BU29</f>
        <v>60.0</v>
      </c>
      <c r="D10" s="6">
        <f>'Beacon'!BV29</f>
        <v>2370.900000000005</v>
      </c>
      <c r="E10" s="6">
        <f>'Beacon'!BW29</f>
        <v>3866.800000000003</v>
      </c>
      <c r="F10" s="6">
        <f>'Beacon'!BY29</f>
        <v>290.0</v>
      </c>
      <c r="G10" s="6">
        <f>'Beacon'!BZ29</f>
        <v>1301.6999999999998</v>
      </c>
      <c r="H10" s="6">
        <f>'Beacon'!CA29</f>
        <v>1877.2999999999993</v>
      </c>
      <c r="I10" s="6">
        <f>'Beacon'!CC29</f>
        <v>350.0</v>
      </c>
      <c r="J10" s="6">
        <f>'Beacon'!CD29</f>
        <v>3672.6000000000095</v>
      </c>
      <c r="K10" s="6">
        <f>'Beacon'!CE29</f>
        <v>5744.100000000002</v>
      </c>
    </row>
    <row r="12">
      <c r="B12" s="2" t="inlineStr">
        <is>
          <t>Op Costs</t>
        </is>
      </c>
      <c r="C12" s="6">
        <f>'Beacon'!BU30</f>
        <v>-76.0</v>
      </c>
      <c r="D12" s="6">
        <f>'Beacon'!BV30</f>
        <v>-434.7999999999993</v>
      </c>
      <c r="E12" s="6">
        <f>'Beacon'!BW30</f>
        <v>-863.8999999999996</v>
      </c>
      <c r="F12" s="6">
        <f>'Beacon'!BY30</f>
        <v>-30.0</v>
      </c>
      <c r="G12" s="6">
        <f>'Beacon'!BZ30</f>
        <v>-232.9999999999991</v>
      </c>
      <c r="H12" s="6">
        <f>'Beacon'!CA30</f>
        <v>-364.8999999999992</v>
      </c>
      <c r="I12" s="6">
        <f>'Beacon'!CC30</f>
        <v>-106.0</v>
      </c>
      <c r="J12" s="6">
        <f>'Beacon'!CD30</f>
        <v>-667.8000000000011</v>
      </c>
      <c r="K12" s="6">
        <f>'Beacon'!CE30</f>
        <v>-1228.800000000001</v>
      </c>
    </row>
    <row r="14">
      <c r="B14" s="2" t="inlineStr">
        <is>
          <t>PBITA</t>
        </is>
      </c>
      <c r="C14" s="6">
        <f>'Beacon'!BU31</f>
        <v>-16.0</v>
      </c>
      <c r="D14" s="6">
        <f>'Beacon'!BV31</f>
        <v>1936.1000000000004</v>
      </c>
      <c r="E14" s="6">
        <f>'Beacon'!BW31</f>
        <v>3002.9000000000005</v>
      </c>
      <c r="F14" s="6">
        <f>'Beacon'!BY31</f>
        <v>260.0</v>
      </c>
      <c r="G14" s="6">
        <f>'Beacon'!BZ31</f>
        <v>1068.6999999999994</v>
      </c>
      <c r="H14" s="6">
        <f>'Beacon'!CA31</f>
        <v>1512.3999999999992</v>
      </c>
      <c r="I14" s="6">
        <f>'Beacon'!CC31</f>
        <v>244.0</v>
      </c>
      <c r="J14" s="6">
        <f>'Beacon'!CD31</f>
        <v>3004.7999999999993</v>
      </c>
      <c r="K14" s="6">
        <f>'Beacon'!CE31</f>
        <v>4515.299999999999</v>
      </c>
    </row>
    <row r="17">
      <c r="B17" s="8" t="inlineStr">
        <is>
          <t>Commentary (business controller):</t>
        </is>
      </c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8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4" t="inlineStr">
        <is>
          <t>January</t>
        </is>
      </c>
      <c r="D4" s="4" t="inlineStr">
        <is>
          <t>February</t>
        </is>
      </c>
      <c r="E4" s="4" t="inlineStr">
        <is>
          <t>March</t>
        </is>
      </c>
      <c r="F4" s="4" t="inlineStr">
        <is>
          <t>April</t>
        </is>
      </c>
      <c r="G4" s="4" t="inlineStr">
        <is>
          <t>May</t>
        </is>
      </c>
      <c r="H4" s="4" t="inlineStr">
        <is>
          <t>June</t>
        </is>
      </c>
      <c r="I4" s="4" t="inlineStr">
        <is>
          <t>July</t>
        </is>
      </c>
      <c r="J4" s="4" t="inlineStr">
        <is>
          <t>August</t>
        </is>
      </c>
      <c r="K4" s="4" t="inlineStr">
        <is>
          <t>September</t>
        </is>
      </c>
      <c r="L4" s="4" t="inlineStr">
        <is>
          <t>October</t>
        </is>
      </c>
      <c r="M4" s="4" t="inlineStr">
        <is>
          <t>November</t>
        </is>
      </c>
      <c r="N4" s="4" t="inlineStr">
        <is>
          <t>December</t>
        </is>
      </c>
      <c r="O4" s="4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DOT highway program orders - surveyor vests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1" t="n">
        <v>150</v>
      </c>
      <c r="L6" s="21" t="n">
        <v>250</v>
      </c>
      <c r="M6" s="21" t="n">
        <v>300</v>
      </c>
      <c r="N6" s="21" t="n">
        <v>200</v>
      </c>
      <c r="O6" s="6">
        <f>SUM(C6:N6)</f>
        <v>900.0</v>
      </c>
    </row>
    <row r="7">
      <c r="B7" t="inlineStr">
        <is>
          <t>Insert Adj. 2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6">
        <f>SUM(C7:N7)</f>
        <v>0.0</v>
      </c>
    </row>
    <row r="8">
      <c r="B8" t="inlineStr">
        <is>
          <t>Insert Adj. 3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6">
        <f>SUM(C8:N8)</f>
        <v>0.0</v>
      </c>
    </row>
    <row r="9">
      <c r="B9" t="inlineStr">
        <is>
          <t>Insert Adj. 4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6">
        <f>SUM(C9:N9)</f>
        <v>0.0</v>
      </c>
    </row>
    <row r="10">
      <c r="B10" t="inlineStr">
        <is>
          <t>Insert Adj. 5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6">
        <f>SUM(C10:N10)</f>
        <v>0.0</v>
      </c>
    </row>
    <row r="11">
      <c r="B11" t="inlineStr">
        <is>
          <t>Insert Adj. 6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6">
        <f>SUM(C11:N11)</f>
        <v>0.0</v>
      </c>
    </row>
    <row r="12">
      <c r="B12" t="inlineStr">
        <is>
          <t>Insert Adj. 7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6">
        <f>SUM(C12:N12)</f>
        <v>0.0</v>
      </c>
    </row>
    <row r="13">
      <c r="B13" t="inlineStr">
        <is>
          <t>Insert Adj. 8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6">
        <f>SUM(C13:N13)</f>
        <v>0.0</v>
      </c>
    </row>
    <row r="14">
      <c r="B14" s="2" t="inlineStr">
        <is>
          <t>Total Sales</t>
        </is>
      </c>
      <c r="C14" s="9">
        <f>SUM(C6:C13)</f>
        <v>0.0</v>
      </c>
      <c r="D14" s="9">
        <f>SUM(D6:D13)</f>
        <v>0.0</v>
      </c>
      <c r="E14" s="9">
        <f>SUM(E6:E13)</f>
        <v>0.0</v>
      </c>
      <c r="F14" s="9">
        <f>SUM(F6:F13)</f>
        <v>0.0</v>
      </c>
      <c r="G14" s="9">
        <f>SUM(G6:G13)</f>
        <v>0.0</v>
      </c>
      <c r="H14" s="9">
        <f>SUM(H6:H13)</f>
        <v>0.0</v>
      </c>
      <c r="I14" s="9">
        <f>SUM(I6:I13)</f>
        <v>0.0</v>
      </c>
      <c r="J14" s="9">
        <f>SUM(J6:J13)</f>
        <v>0.0</v>
      </c>
      <c r="K14" s="9">
        <f>SUM(K6:K13)</f>
        <v>150.0</v>
      </c>
      <c r="L14" s="9">
        <f>SUM(L6:L13)</f>
        <v>250.0</v>
      </c>
      <c r="M14" s="9">
        <f>SUM(M6:M13)</f>
        <v>300.0</v>
      </c>
      <c r="N14" s="9">
        <f>SUM(N6:N13)</f>
        <v>200.0</v>
      </c>
      <c r="O14" s="9">
        <f>SUM(O6:O13)</f>
        <v>900.0</v>
      </c>
    </row>
    <row r="16">
      <c r="B16" s="2" t="inlineStr">
        <is>
          <t>Gross Margin (%)</t>
        </is>
      </c>
    </row>
    <row r="17">
      <c r="B17" t="str">
        <f>B6</f>
        <v>DOT highway program orders - surveyor vests</v>
      </c>
      <c r="C17" s="12">
        <f>IFERROR(C28/C6,0)</f>
        <v>0.0</v>
      </c>
      <c r="D17" s="12">
        <f>IFERROR(D28/D6,0)</f>
        <v>0.0</v>
      </c>
      <c r="E17" s="12">
        <f>IFERROR(E28/E6,0)</f>
        <v>0.0</v>
      </c>
      <c r="F17" s="12">
        <f>IFERROR(F28/F6,0)</f>
        <v>0.0</v>
      </c>
      <c r="G17" s="12">
        <f>IFERROR(G28/G6,0)</f>
        <v>0.0</v>
      </c>
      <c r="H17" s="12">
        <f>IFERROR(H28/H6,0)</f>
        <v>0.0</v>
      </c>
      <c r="I17" s="12">
        <f>IFERROR(I28/I6,0)</f>
        <v>0.0</v>
      </c>
      <c r="J17" s="12">
        <f>IFERROR(J28/J6,0)</f>
        <v>0.0</v>
      </c>
      <c r="K17" s="12">
        <f>IFERROR(K28/K6,0)</f>
        <v>0.4</v>
      </c>
      <c r="L17" s="12">
        <f>IFERROR(L28/L6,0)</f>
        <v>0.38</v>
      </c>
      <c r="M17" s="12">
        <f>IFERROR(M28/M6,0)</f>
        <v>0.38333333333333336</v>
      </c>
      <c r="N17" s="12">
        <f>IFERROR(N28/N6,0)</f>
        <v>0.4</v>
      </c>
      <c r="O17" s="12">
        <f>IFERROR(O28/O6,0)</f>
        <v>0.3888888888888889</v>
      </c>
    </row>
    <row r="18">
      <c r="B18" t="str">
        <f>B7</f>
        <v>Insert Adj. 2</v>
      </c>
      <c r="C18" s="12">
        <f>IFERROR(C29/C7,0)</f>
        <v>0.0</v>
      </c>
      <c r="D18" s="12">
        <f>IFERROR(D29/D7,0)</f>
        <v>0.0</v>
      </c>
      <c r="E18" s="12">
        <f>IFERROR(E29/E7,0)</f>
        <v>0.0</v>
      </c>
      <c r="F18" s="12">
        <f>IFERROR(F29/F7,0)</f>
        <v>0.0</v>
      </c>
      <c r="G18" s="12">
        <f>IFERROR(G29/G7,0)</f>
        <v>0.0</v>
      </c>
      <c r="H18" s="12">
        <f>IFERROR(H29/H7,0)</f>
        <v>0.0</v>
      </c>
      <c r="I18" s="12">
        <f>IFERROR(I29/I7,0)</f>
        <v>0.0</v>
      </c>
      <c r="J18" s="12">
        <f>IFERROR(J29/J7,0)</f>
        <v>0.0</v>
      </c>
      <c r="K18" s="12">
        <f>IFERROR(K29/K7,0)</f>
        <v>0.0</v>
      </c>
      <c r="L18" s="12">
        <f>IFERROR(L29/L7,0)</f>
        <v>0.0</v>
      </c>
      <c r="M18" s="12">
        <f>IFERROR(M29/M7,0)</f>
        <v>0.0</v>
      </c>
      <c r="N18" s="12">
        <f>IFERROR(N29/N7,0)</f>
        <v>0.0</v>
      </c>
      <c r="O18" s="12">
        <f>IFERROR(O29/O7,0)</f>
        <v>0.0</v>
      </c>
    </row>
    <row r="19">
      <c r="B19" t="str">
        <f>B8</f>
        <v>Insert Adj. 3</v>
      </c>
      <c r="C19" s="12">
        <f>IFERROR(C30/C8,0)</f>
        <v>0.0</v>
      </c>
      <c r="D19" s="12">
        <f>IFERROR(D30/D8,0)</f>
        <v>0.0</v>
      </c>
      <c r="E19" s="12">
        <f>IFERROR(E30/E8,0)</f>
        <v>0.0</v>
      </c>
      <c r="F19" s="12">
        <f>IFERROR(F30/F8,0)</f>
        <v>0.0</v>
      </c>
      <c r="G19" s="12">
        <f>IFERROR(G30/G8,0)</f>
        <v>0.0</v>
      </c>
      <c r="H19" s="12">
        <f>IFERROR(H30/H8,0)</f>
        <v>0.0</v>
      </c>
      <c r="I19" s="12">
        <f>IFERROR(I30/I8,0)</f>
        <v>0.0</v>
      </c>
      <c r="J19" s="12">
        <f>IFERROR(J30/J8,0)</f>
        <v>0.0</v>
      </c>
      <c r="K19" s="12">
        <f>IFERROR(K30/K8,0)</f>
        <v>0.0</v>
      </c>
      <c r="L19" s="12">
        <f>IFERROR(L30/L8,0)</f>
        <v>0.0</v>
      </c>
      <c r="M19" s="12">
        <f>IFERROR(M30/M8,0)</f>
        <v>0.0</v>
      </c>
      <c r="N19" s="12">
        <f>IFERROR(N30/N8,0)</f>
        <v>0.0</v>
      </c>
      <c r="O19" s="12">
        <f>IFERROR(O30/O8,0)</f>
        <v>0.0</v>
      </c>
    </row>
    <row r="20">
      <c r="B20" t="str">
        <f>B9</f>
        <v>Insert Adj. 4</v>
      </c>
      <c r="C20" s="12">
        <f>IFERROR(C31/C9,0)</f>
        <v>0.0</v>
      </c>
      <c r="D20" s="12">
        <f>IFERROR(D31/D9,0)</f>
        <v>0.0</v>
      </c>
      <c r="E20" s="12">
        <f>IFERROR(E31/E9,0)</f>
        <v>0.0</v>
      </c>
      <c r="F20" s="12">
        <f>IFERROR(F31/F9,0)</f>
        <v>0.0</v>
      </c>
      <c r="G20" s="12">
        <f>IFERROR(G31/G9,0)</f>
        <v>0.0</v>
      </c>
      <c r="H20" s="12">
        <f>IFERROR(H31/H9,0)</f>
        <v>0.0</v>
      </c>
      <c r="I20" s="12">
        <f>IFERROR(I31/I9,0)</f>
        <v>0.0</v>
      </c>
      <c r="J20" s="12">
        <f>IFERROR(J31/J9,0)</f>
        <v>0.0</v>
      </c>
      <c r="K20" s="12">
        <f>IFERROR(K31/K9,0)</f>
        <v>0.0</v>
      </c>
      <c r="L20" s="12">
        <f>IFERROR(L31/L9,0)</f>
        <v>0.0</v>
      </c>
      <c r="M20" s="12">
        <f>IFERROR(M31/M9,0)</f>
        <v>0.0</v>
      </c>
      <c r="N20" s="12">
        <f>IFERROR(N31/N9,0)</f>
        <v>0.0</v>
      </c>
      <c r="O20" s="12">
        <f>IFERROR(O31/O9,0)</f>
        <v>0.0</v>
      </c>
    </row>
    <row r="21">
      <c r="B21" t="str">
        <f>B10</f>
        <v>Insert Adj. 5</v>
      </c>
      <c r="C21" s="12">
        <f>IFERROR(C32/C10,0)</f>
        <v>0.0</v>
      </c>
      <c r="D21" s="12">
        <f>IFERROR(D32/D10,0)</f>
        <v>0.0</v>
      </c>
      <c r="E21" s="12">
        <f>IFERROR(E32/E10,0)</f>
        <v>0.0</v>
      </c>
      <c r="F21" s="12">
        <f>IFERROR(F32/F10,0)</f>
        <v>0.0</v>
      </c>
      <c r="G21" s="12">
        <f>IFERROR(G32/G10,0)</f>
        <v>0.0</v>
      </c>
      <c r="H21" s="12">
        <f>IFERROR(H32/H10,0)</f>
        <v>0.0</v>
      </c>
      <c r="I21" s="12">
        <f>IFERROR(I32/I10,0)</f>
        <v>0.0</v>
      </c>
      <c r="J21" s="12">
        <f>IFERROR(J32/J10,0)</f>
        <v>0.0</v>
      </c>
      <c r="K21" s="12">
        <f>IFERROR(K32/K10,0)</f>
        <v>0.0</v>
      </c>
      <c r="L21" s="12">
        <f>IFERROR(L32/L10,0)</f>
        <v>0.0</v>
      </c>
      <c r="M21" s="12">
        <f>IFERROR(M32/M10,0)</f>
        <v>0.0</v>
      </c>
      <c r="N21" s="12">
        <f>IFERROR(N32/N10,0)</f>
        <v>0.0</v>
      </c>
      <c r="O21" s="12">
        <f>IFERROR(O32/O10,0)</f>
        <v>0.0</v>
      </c>
    </row>
    <row r="22">
      <c r="B22" t="str">
        <f>B11</f>
        <v>Insert Adj. 6</v>
      </c>
      <c r="C22" s="12">
        <f>IFERROR(C33/C11,0)</f>
        <v>0.0</v>
      </c>
      <c r="D22" s="12">
        <f>IFERROR(D33/D11,0)</f>
        <v>0.0</v>
      </c>
      <c r="E22" s="12">
        <f>IFERROR(E33/E11,0)</f>
        <v>0.0</v>
      </c>
      <c r="F22" s="12">
        <f>IFERROR(F33/F11,0)</f>
        <v>0.0</v>
      </c>
      <c r="G22" s="12">
        <f>IFERROR(G33/G11,0)</f>
        <v>0.0</v>
      </c>
      <c r="H22" s="12">
        <f>IFERROR(H33/H11,0)</f>
        <v>0.0</v>
      </c>
      <c r="I22" s="12">
        <f>IFERROR(I33/I11,0)</f>
        <v>0.0</v>
      </c>
      <c r="J22" s="12">
        <f>IFERROR(J33/J11,0)</f>
        <v>0.0</v>
      </c>
      <c r="K22" s="12">
        <f>IFERROR(K33/K11,0)</f>
        <v>0.0</v>
      </c>
      <c r="L22" s="12">
        <f>IFERROR(L33/L11,0)</f>
        <v>0.0</v>
      </c>
      <c r="M22" s="12">
        <f>IFERROR(M33/M11,0)</f>
        <v>0.0</v>
      </c>
      <c r="N22" s="12">
        <f>IFERROR(N33/N11,0)</f>
        <v>0.0</v>
      </c>
      <c r="O22" s="12">
        <f>IFERROR(O33/O11,0)</f>
        <v>0.0</v>
      </c>
    </row>
    <row r="23">
      <c r="B23" t="str">
        <f>B12</f>
        <v>Insert Adj. 7</v>
      </c>
      <c r="C23" s="12">
        <f>IFERROR(C34/C12,0)</f>
        <v>0.0</v>
      </c>
      <c r="D23" s="12">
        <f>IFERROR(D34/D12,0)</f>
        <v>0.0</v>
      </c>
      <c r="E23" s="12">
        <f>IFERROR(E34/E12,0)</f>
        <v>0.0</v>
      </c>
      <c r="F23" s="12">
        <f>IFERROR(F34/F12,0)</f>
        <v>0.0</v>
      </c>
      <c r="G23" s="12">
        <f>IFERROR(G34/G12,0)</f>
        <v>0.0</v>
      </c>
      <c r="H23" s="12">
        <f>IFERROR(H34/H12,0)</f>
        <v>0.0</v>
      </c>
      <c r="I23" s="12">
        <f>IFERROR(I34/I12,0)</f>
        <v>0.0</v>
      </c>
      <c r="J23" s="12">
        <f>IFERROR(J34/J12,0)</f>
        <v>0.0</v>
      </c>
      <c r="K23" s="12">
        <f>IFERROR(K34/K12,0)</f>
        <v>0.0</v>
      </c>
      <c r="L23" s="12">
        <f>IFERROR(L34/L12,0)</f>
        <v>0.0</v>
      </c>
      <c r="M23" s="12">
        <f>IFERROR(M34/M12,0)</f>
        <v>0.0</v>
      </c>
      <c r="N23" s="12">
        <f>IFERROR(N34/N12,0)</f>
        <v>0.0</v>
      </c>
      <c r="O23" s="12">
        <f>IFERROR(O34/O12,0)</f>
        <v>0.0</v>
      </c>
    </row>
    <row r="24">
      <c r="B24" t="str">
        <f>B13</f>
        <v>Insert Adj. 8</v>
      </c>
      <c r="C24" s="12">
        <f>IFERROR(C35/C13,0)</f>
        <v>0.0</v>
      </c>
      <c r="D24" s="12">
        <f>IFERROR(D35/D13,0)</f>
        <v>0.0</v>
      </c>
      <c r="E24" s="12">
        <f>IFERROR(E35/E13,0)</f>
        <v>0.0</v>
      </c>
      <c r="F24" s="12">
        <f>IFERROR(F35/F13,0)</f>
        <v>0.0</v>
      </c>
      <c r="G24" s="12">
        <f>IFERROR(G35/G13,0)</f>
        <v>0.0</v>
      </c>
      <c r="H24" s="12">
        <f>IFERROR(H35/H13,0)</f>
        <v>0.0</v>
      </c>
      <c r="I24" s="12">
        <f>IFERROR(I35/I13,0)</f>
        <v>0.0</v>
      </c>
      <c r="J24" s="12">
        <f>IFERROR(J35/J13,0)</f>
        <v>0.0</v>
      </c>
      <c r="K24" s="12">
        <f>IFERROR(K35/K13,0)</f>
        <v>0.0</v>
      </c>
      <c r="L24" s="12">
        <f>IFERROR(L35/L13,0)</f>
        <v>0.0</v>
      </c>
      <c r="M24" s="12">
        <f>IFERROR(M35/M13,0)</f>
        <v>0.0</v>
      </c>
      <c r="N24" s="12">
        <f>IFERROR(N35/N13,0)</f>
        <v>0.0</v>
      </c>
      <c r="O24" s="12">
        <f>IFERROR(O35/O13,0)</f>
        <v>0.0</v>
      </c>
    </row>
    <row r="25">
      <c r="B25" s="2" t="inlineStr">
        <is>
          <t>Total Gross Margin (%)</t>
        </is>
      </c>
      <c r="C25" s="15">
        <f>IFERROR(C36/C14,0)</f>
        <v>0.0</v>
      </c>
      <c r="D25" s="15">
        <f>IFERROR(D36/D14,0)</f>
        <v>0.0</v>
      </c>
      <c r="E25" s="15">
        <f>IFERROR(E36/E14,0)</f>
        <v>0.0</v>
      </c>
      <c r="F25" s="15">
        <f>IFERROR(F36/F14,0)</f>
        <v>0.0</v>
      </c>
      <c r="G25" s="15">
        <f>IFERROR(G36/G14,0)</f>
        <v>0.0</v>
      </c>
      <c r="H25" s="15">
        <f>IFERROR(H36/H14,0)</f>
        <v>0.0</v>
      </c>
      <c r="I25" s="15">
        <f>IFERROR(I36/I14,0)</f>
        <v>0.0</v>
      </c>
      <c r="J25" s="15">
        <f>IFERROR(J36/J14,0)</f>
        <v>0.0</v>
      </c>
      <c r="K25" s="15">
        <f>IFERROR(K36/K14,0)</f>
        <v>0.4</v>
      </c>
      <c r="L25" s="15">
        <f>IFERROR(L36/L14,0)</f>
        <v>0.38</v>
      </c>
      <c r="M25" s="15">
        <f>IFERROR(M36/M14,0)</f>
        <v>0.38333333333333336</v>
      </c>
      <c r="N25" s="15">
        <f>IFERROR(N36/N14,0)</f>
        <v>0.4</v>
      </c>
      <c r="O25" s="15">
        <f>IFERROR(O36/O14,0)</f>
        <v>0.3888888888888889</v>
      </c>
    </row>
    <row r="27">
      <c r="B27" s="2" t="inlineStr">
        <is>
          <t>Gross Margin ($)</t>
        </is>
      </c>
    </row>
    <row r="28">
      <c r="B28" t="inlineStr">
        <is>
          <t>DOT highway program orders - surveyor vests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21" t="n">
        <v>60</v>
      </c>
      <c r="L28" s="21" t="n">
        <v>95</v>
      </c>
      <c r="M28" s="21" t="n">
        <v>115</v>
      </c>
      <c r="N28" s="21" t="n">
        <v>80</v>
      </c>
      <c r="O28" s="6">
        <f>SUM(C28:N28)</f>
        <v>350.0</v>
      </c>
    </row>
    <row r="29">
      <c r="B29" t="inlineStr">
        <is>
          <t>Insert Adj. 2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6">
        <f>SUM(C29:N29)</f>
        <v>0.0</v>
      </c>
    </row>
    <row r="30">
      <c r="B30" t="inlineStr">
        <is>
          <t>Insert Adj. 3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6">
        <f>SUM(C30:N30)</f>
        <v>0.0</v>
      </c>
    </row>
    <row r="31">
      <c r="B31" t="inlineStr">
        <is>
          <t>Insert Adj. 4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6">
        <f>SUM(C31:N31)</f>
        <v>0.0</v>
      </c>
    </row>
    <row r="32">
      <c r="B32" t="inlineStr">
        <is>
          <t>Insert Adj. 5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6">
        <f>SUM(C32:N32)</f>
        <v>0.0</v>
      </c>
    </row>
    <row r="33">
      <c r="B33" t="inlineStr">
        <is>
          <t>Insert Adj. 6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6">
        <f>SUM(C33:N33)</f>
        <v>0.0</v>
      </c>
    </row>
    <row r="34">
      <c r="B34" t="inlineStr">
        <is>
          <t>Insert Adj. 7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6">
        <f>SUM(C34:N34)</f>
        <v>0.0</v>
      </c>
    </row>
    <row r="35">
      <c r="B35" t="inlineStr">
        <is>
          <t>Insert Adj. 8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6">
        <f>SUM(C35:N35)</f>
        <v>0.0</v>
      </c>
    </row>
    <row r="36">
      <c r="B36" s="2" t="inlineStr">
        <is>
          <t>Total Gross Margin ($)</t>
        </is>
      </c>
      <c r="C36" s="9">
        <f>SUM(C28:C35)</f>
        <v>0.0</v>
      </c>
      <c r="D36" s="9">
        <f>SUM(D28:D35)</f>
        <v>0.0</v>
      </c>
      <c r="E36" s="9">
        <f>SUM(E28:E35)</f>
        <v>0.0</v>
      </c>
      <c r="F36" s="9">
        <f>SUM(F28:F35)</f>
        <v>0.0</v>
      </c>
      <c r="G36" s="9">
        <f>SUM(G28:G35)</f>
        <v>0.0</v>
      </c>
      <c r="H36" s="9">
        <f>SUM(H28:H35)</f>
        <v>0.0</v>
      </c>
      <c r="I36" s="9">
        <f>SUM(I28:I35)</f>
        <v>0.0</v>
      </c>
      <c r="J36" s="9">
        <f>SUM(J28:J35)</f>
        <v>0.0</v>
      </c>
      <c r="K36" s="9">
        <f>SUM(K28:K35)</f>
        <v>60.0</v>
      </c>
      <c r="L36" s="9">
        <f>SUM(L28:L35)</f>
        <v>95.0</v>
      </c>
      <c r="M36" s="9">
        <f>SUM(M28:M35)</f>
        <v>115.0</v>
      </c>
      <c r="N36" s="9">
        <f>SUM(N28:N35)</f>
        <v>80.0</v>
      </c>
      <c r="O36" s="9">
        <f>SUM(O28:O35)</f>
        <v>350.0</v>
      </c>
    </row>
    <row r="38">
      <c r="B38" s="2" t="inlineStr">
        <is>
          <t>Op Costs (%)</t>
        </is>
      </c>
    </row>
    <row r="39">
      <c r="B39" t="str">
        <f>B6</f>
        <v>DOT highway program orders - surveyor vests</v>
      </c>
      <c r="C39" s="12">
        <f>IFERROR(C50/C6,0)</f>
        <v>0.0</v>
      </c>
      <c r="D39" s="12">
        <f>IFERROR(D50/D6,0)</f>
        <v>0.0</v>
      </c>
      <c r="E39" s="12">
        <f>IFERROR(E50/E6,0)</f>
        <v>0.0</v>
      </c>
      <c r="F39" s="12">
        <f>IFERROR(F50/F6,0)</f>
        <v>0.0</v>
      </c>
      <c r="G39" s="12">
        <f>IFERROR(G50/G6,0)</f>
        <v>0.0</v>
      </c>
      <c r="H39" s="12">
        <f>IFERROR(H50/H6,0)</f>
        <v>0.0</v>
      </c>
      <c r="I39" s="12">
        <f>IFERROR(I50/I6,0)</f>
        <v>0.0</v>
      </c>
      <c r="J39" s="12">
        <f>IFERROR(J50/J6,0)</f>
        <v>0.0</v>
      </c>
      <c r="K39" s="12">
        <f>IFERROR(K50/K6,0)</f>
        <v>0.04</v>
      </c>
      <c r="L39" s="12">
        <f>IFERROR(L50/L6,0)</f>
        <v>0.04</v>
      </c>
      <c r="M39" s="12">
        <f>IFERROR(M50/M6,0)</f>
        <v>0.04</v>
      </c>
      <c r="N39" s="12">
        <f>IFERROR(N50/N6,0)</f>
        <v>0.04</v>
      </c>
      <c r="O39" s="12">
        <f>IFERROR(O50/O6,0)</f>
        <v>0.04</v>
      </c>
    </row>
    <row r="40">
      <c r="B40" t="str">
        <f>B7</f>
        <v>Insert Adj. 2</v>
      </c>
      <c r="C40" s="12">
        <f>IFERROR(C51/C7,0)</f>
        <v>0.0</v>
      </c>
      <c r="D40" s="12">
        <f>IFERROR(D51/D7,0)</f>
        <v>0.0</v>
      </c>
      <c r="E40" s="12">
        <f>IFERROR(E51/E7,0)</f>
        <v>0.0</v>
      </c>
      <c r="F40" s="12">
        <f>IFERROR(F51/F7,0)</f>
        <v>0.0</v>
      </c>
      <c r="G40" s="12">
        <f>IFERROR(G51/G7,0)</f>
        <v>0.0</v>
      </c>
      <c r="H40" s="12">
        <f>IFERROR(H51/H7,0)</f>
        <v>0.0</v>
      </c>
      <c r="I40" s="12">
        <f>IFERROR(I51/I7,0)</f>
        <v>0.0</v>
      </c>
      <c r="J40" s="12">
        <f>IFERROR(J51/J7,0)</f>
        <v>0.0</v>
      </c>
      <c r="K40" s="12">
        <f>IFERROR(K51/K7,0)</f>
        <v>0.0</v>
      </c>
      <c r="L40" s="12">
        <f>IFERROR(L51/L7,0)</f>
        <v>0.0</v>
      </c>
      <c r="M40" s="12">
        <f>IFERROR(M51/M7,0)</f>
        <v>0.0</v>
      </c>
      <c r="N40" s="12">
        <f>IFERROR(N51/N7,0)</f>
        <v>0.0</v>
      </c>
      <c r="O40" s="12">
        <f>IFERROR(O51/O7,0)</f>
        <v>0.0</v>
      </c>
    </row>
    <row r="41">
      <c r="B41" t="str">
        <f>B8</f>
        <v>Insert Adj. 3</v>
      </c>
      <c r="C41" s="12">
        <f>IFERROR(C52/C8,0)</f>
        <v>0.0</v>
      </c>
      <c r="D41" s="12">
        <f>IFERROR(D52/D8,0)</f>
        <v>0.0</v>
      </c>
      <c r="E41" s="12">
        <f>IFERROR(E52/E8,0)</f>
        <v>0.0</v>
      </c>
      <c r="F41" s="12">
        <f>IFERROR(F52/F8,0)</f>
        <v>0.0</v>
      </c>
      <c r="G41" s="12">
        <f>IFERROR(G52/G8,0)</f>
        <v>0.0</v>
      </c>
      <c r="H41" s="12">
        <f>IFERROR(H52/H8,0)</f>
        <v>0.0</v>
      </c>
      <c r="I41" s="12">
        <f>IFERROR(I52/I8,0)</f>
        <v>0.0</v>
      </c>
      <c r="J41" s="12">
        <f>IFERROR(J52/J8,0)</f>
        <v>0.0</v>
      </c>
      <c r="K41" s="12">
        <f>IFERROR(K52/K8,0)</f>
        <v>0.0</v>
      </c>
      <c r="L41" s="12">
        <f>IFERROR(L52/L8,0)</f>
        <v>0.0</v>
      </c>
      <c r="M41" s="12">
        <f>IFERROR(M52/M8,0)</f>
        <v>0.0</v>
      </c>
      <c r="N41" s="12">
        <f>IFERROR(N52/N8,0)</f>
        <v>0.0</v>
      </c>
      <c r="O41" s="12">
        <f>IFERROR(O52/O8,0)</f>
        <v>0.0</v>
      </c>
    </row>
    <row r="42">
      <c r="B42" t="str">
        <f>B9</f>
        <v>Insert Adj. 4</v>
      </c>
      <c r="C42" s="12">
        <f>IFERROR(C53/C9,0)</f>
        <v>0.0</v>
      </c>
      <c r="D42" s="12">
        <f>IFERROR(D53/D9,0)</f>
        <v>0.0</v>
      </c>
      <c r="E42" s="12">
        <f>IFERROR(E53/E9,0)</f>
        <v>0.0</v>
      </c>
      <c r="F42" s="12">
        <f>IFERROR(F53/F9,0)</f>
        <v>0.0</v>
      </c>
      <c r="G42" s="12">
        <f>IFERROR(G53/G9,0)</f>
        <v>0.0</v>
      </c>
      <c r="H42" s="12">
        <f>IFERROR(H53/H9,0)</f>
        <v>0.0</v>
      </c>
      <c r="I42" s="12">
        <f>IFERROR(I53/I9,0)</f>
        <v>0.0</v>
      </c>
      <c r="J42" s="12">
        <f>IFERROR(J53/J9,0)</f>
        <v>0.0</v>
      </c>
      <c r="K42" s="12">
        <f>IFERROR(K53/K9,0)</f>
        <v>0.0</v>
      </c>
      <c r="L42" s="12">
        <f>IFERROR(L53/L9,0)</f>
        <v>0.0</v>
      </c>
      <c r="M42" s="12">
        <f>IFERROR(M53/M9,0)</f>
        <v>0.0</v>
      </c>
      <c r="N42" s="12">
        <f>IFERROR(N53/N9,0)</f>
        <v>0.0</v>
      </c>
      <c r="O42" s="12">
        <f>IFERROR(O53/O9,0)</f>
        <v>0.0</v>
      </c>
    </row>
    <row r="43">
      <c r="B43" t="str">
        <f>B10</f>
        <v>Insert Adj. 5</v>
      </c>
      <c r="C43" s="12">
        <f>IFERROR(C54/C10,0)</f>
        <v>0.0</v>
      </c>
      <c r="D43" s="12">
        <f>IFERROR(D54/D10,0)</f>
        <v>0.0</v>
      </c>
      <c r="E43" s="12">
        <f>IFERROR(E54/E10,0)</f>
        <v>0.0</v>
      </c>
      <c r="F43" s="12">
        <f>IFERROR(F54/F10,0)</f>
        <v>0.0</v>
      </c>
      <c r="G43" s="12">
        <f>IFERROR(G54/G10,0)</f>
        <v>0.0</v>
      </c>
      <c r="H43" s="12">
        <f>IFERROR(H54/H10,0)</f>
        <v>0.0</v>
      </c>
      <c r="I43" s="12">
        <f>IFERROR(I54/I10,0)</f>
        <v>0.0</v>
      </c>
      <c r="J43" s="12">
        <f>IFERROR(J54/J10,0)</f>
        <v>0.0</v>
      </c>
      <c r="K43" s="12">
        <f>IFERROR(K54/K10,0)</f>
        <v>0.0</v>
      </c>
      <c r="L43" s="12">
        <f>IFERROR(L54/L10,0)</f>
        <v>0.0</v>
      </c>
      <c r="M43" s="12">
        <f>IFERROR(M54/M10,0)</f>
        <v>0.0</v>
      </c>
      <c r="N43" s="12">
        <f>IFERROR(N54/N10,0)</f>
        <v>0.0</v>
      </c>
      <c r="O43" s="12">
        <f>IFERROR(O54/O10,0)</f>
        <v>0.0</v>
      </c>
    </row>
    <row r="44">
      <c r="B44" t="str">
        <f>B11</f>
        <v>Insert Adj. 6</v>
      </c>
      <c r="C44" s="12">
        <f>IFERROR(C55/C11,0)</f>
        <v>0.0</v>
      </c>
      <c r="D44" s="12">
        <f>IFERROR(D55/D11,0)</f>
        <v>0.0</v>
      </c>
      <c r="E44" s="12">
        <f>IFERROR(E55/E11,0)</f>
        <v>0.0</v>
      </c>
      <c r="F44" s="12">
        <f>IFERROR(F55/F11,0)</f>
        <v>0.0</v>
      </c>
      <c r="G44" s="12">
        <f>IFERROR(G55/G11,0)</f>
        <v>0.0</v>
      </c>
      <c r="H44" s="12">
        <f>IFERROR(H55/H11,0)</f>
        <v>0.0</v>
      </c>
      <c r="I44" s="12">
        <f>IFERROR(I55/I11,0)</f>
        <v>0.0</v>
      </c>
      <c r="J44" s="12">
        <f>IFERROR(J55/J11,0)</f>
        <v>0.0</v>
      </c>
      <c r="K44" s="12">
        <f>IFERROR(K55/K11,0)</f>
        <v>0.0</v>
      </c>
      <c r="L44" s="12">
        <f>IFERROR(L55/L11,0)</f>
        <v>0.0</v>
      </c>
      <c r="M44" s="12">
        <f>IFERROR(M55/M11,0)</f>
        <v>0.0</v>
      </c>
      <c r="N44" s="12">
        <f>IFERROR(N55/N11,0)</f>
        <v>0.0</v>
      </c>
      <c r="O44" s="12">
        <f>IFERROR(O55/O11,0)</f>
        <v>0.0</v>
      </c>
    </row>
    <row r="45">
      <c r="B45" t="str">
        <f>B12</f>
        <v>Insert Adj. 7</v>
      </c>
      <c r="C45" s="12">
        <f>IFERROR(C56/C12,0)</f>
        <v>0.0</v>
      </c>
      <c r="D45" s="12">
        <f>IFERROR(D56/D12,0)</f>
        <v>0.0</v>
      </c>
      <c r="E45" s="12">
        <f>IFERROR(E56/E12,0)</f>
        <v>0.0</v>
      </c>
      <c r="F45" s="12">
        <f>IFERROR(F56/F12,0)</f>
        <v>0.0</v>
      </c>
      <c r="G45" s="12">
        <f>IFERROR(G56/G12,0)</f>
        <v>0.0</v>
      </c>
      <c r="H45" s="12">
        <f>IFERROR(H56/H12,0)</f>
        <v>0.0</v>
      </c>
      <c r="I45" s="12">
        <f>IFERROR(I56/I12,0)</f>
        <v>0.0</v>
      </c>
      <c r="J45" s="12">
        <f>IFERROR(J56/J12,0)</f>
        <v>0.0</v>
      </c>
      <c r="K45" s="12">
        <f>IFERROR(K56/K12,0)</f>
        <v>0.0</v>
      </c>
      <c r="L45" s="12">
        <f>IFERROR(L56/L12,0)</f>
        <v>0.0</v>
      </c>
      <c r="M45" s="12">
        <f>IFERROR(M56/M12,0)</f>
        <v>0.0</v>
      </c>
      <c r="N45" s="12">
        <f>IFERROR(N56/N12,0)</f>
        <v>0.0</v>
      </c>
      <c r="O45" s="12">
        <f>IFERROR(O56/O12,0)</f>
        <v>0.0</v>
      </c>
    </row>
    <row r="46">
      <c r="B46" t="str">
        <f>B13</f>
        <v>Insert Adj. 8</v>
      </c>
      <c r="C46" s="12">
        <f>IFERROR(C57/C13,0)</f>
        <v>0.0</v>
      </c>
      <c r="D46" s="12">
        <f>IFERROR(D57/D13,0)</f>
        <v>0.0</v>
      </c>
      <c r="E46" s="12">
        <f>IFERROR(E57/E13,0)</f>
        <v>0.0</v>
      </c>
      <c r="F46" s="12">
        <f>IFERROR(F57/F13,0)</f>
        <v>0.0</v>
      </c>
      <c r="G46" s="12">
        <f>IFERROR(G57/G13,0)</f>
        <v>0.0</v>
      </c>
      <c r="H46" s="12">
        <f>IFERROR(H57/H13,0)</f>
        <v>0.0</v>
      </c>
      <c r="I46" s="12">
        <f>IFERROR(I57/I13,0)</f>
        <v>0.0</v>
      </c>
      <c r="J46" s="12">
        <f>IFERROR(J57/J13,0)</f>
        <v>0.0</v>
      </c>
      <c r="K46" s="12">
        <f>IFERROR(K57/K13,0)</f>
        <v>0.0</v>
      </c>
      <c r="L46" s="12">
        <f>IFERROR(L57/L13,0)</f>
        <v>0.0</v>
      </c>
      <c r="M46" s="12">
        <f>IFERROR(M57/M13,0)</f>
        <v>0.0</v>
      </c>
      <c r="N46" s="12">
        <f>IFERROR(N57/N13,0)</f>
        <v>0.0</v>
      </c>
      <c r="O46" s="12">
        <f>IFERROR(O57/O13,0)</f>
        <v>0.0</v>
      </c>
    </row>
    <row r="47">
      <c r="B47" s="2" t="inlineStr">
        <is>
          <t>Total Op Costs (%)</t>
        </is>
      </c>
      <c r="C47" s="15">
        <f>IFERROR(C58/C14,0)</f>
        <v>0.0</v>
      </c>
      <c r="D47" s="15">
        <f>IFERROR(D58/D14,0)</f>
        <v>0.0</v>
      </c>
      <c r="E47" s="15">
        <f>IFERROR(E58/E14,0)</f>
        <v>0.0</v>
      </c>
      <c r="F47" s="15">
        <f>IFERROR(F58/F14,0)</f>
        <v>0.0</v>
      </c>
      <c r="G47" s="15">
        <f>IFERROR(G58/G14,0)</f>
        <v>0.0</v>
      </c>
      <c r="H47" s="15">
        <f>IFERROR(H58/H14,0)</f>
        <v>0.0</v>
      </c>
      <c r="I47" s="15">
        <f>IFERROR(I58/I14,0)</f>
        <v>0.0</v>
      </c>
      <c r="J47" s="15">
        <f>IFERROR(J58/J14,0)</f>
        <v>0.0</v>
      </c>
      <c r="K47" s="15">
        <f>IFERROR(K58/K14,0)</f>
        <v>0.5066666666666667</v>
      </c>
      <c r="L47" s="15">
        <f>IFERROR(L58/L14,0)</f>
        <v>0.04</v>
      </c>
      <c r="M47" s="15">
        <f>IFERROR(M58/M14,0)</f>
        <v>0.04</v>
      </c>
      <c r="N47" s="15">
        <f>IFERROR(N58/N14,0)</f>
        <v>0.04</v>
      </c>
      <c r="O47" s="15">
        <f>IFERROR(O58/O14,0)</f>
        <v>0.11777777777777777</v>
      </c>
    </row>
    <row r="49">
      <c r="B49" s="2" t="inlineStr">
        <is>
          <t>Op Costs ($)</t>
        </is>
      </c>
    </row>
    <row r="50">
      <c r="B50" t="inlineStr">
        <is>
          <t>Commission on DOT program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21" t="n">
        <v>6</v>
      </c>
      <c r="L50" s="21" t="n">
        <v>10</v>
      </c>
      <c r="M50" s="21" t="n">
        <v>12</v>
      </c>
      <c r="N50" s="21" t="n">
        <v>8</v>
      </c>
      <c r="O50" s="6">
        <f>SUM(C50:N50)</f>
        <v>36.0</v>
      </c>
    </row>
    <row r="51">
      <c r="B51" t="inlineStr">
        <is>
          <t>Bonus accrual true-up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21" t="n">
        <v>70</v>
      </c>
      <c r="L51" s="21" t="n">
        <v>0</v>
      </c>
      <c r="M51" s="21" t="n">
        <v>0</v>
      </c>
      <c r="N51" s="21" t="n">
        <v>0</v>
      </c>
      <c r="O51" s="6">
        <f>SUM(C51:N51)</f>
        <v>70.0</v>
      </c>
    </row>
    <row r="52">
      <c r="B52" t="inlineStr">
        <is>
          <t>Insert Adj. 3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6">
        <f>SUM(C52:N52)</f>
        <v>0.0</v>
      </c>
    </row>
    <row r="53">
      <c r="B53" t="inlineStr">
        <is>
          <t>Insert Adj. 4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6">
        <f>SUM(C53:N53)</f>
        <v>0.0</v>
      </c>
    </row>
    <row r="54">
      <c r="B54" t="inlineStr">
        <is>
          <t>Insert Adj. 5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6">
        <f>SUM(C54:N54)</f>
        <v>0.0</v>
      </c>
    </row>
    <row r="55">
      <c r="B55" t="inlineStr">
        <is>
          <t>Insert Adj. 6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6">
        <f>SUM(C55:N55)</f>
        <v>0.0</v>
      </c>
    </row>
    <row r="56">
      <c r="B56" t="inlineStr">
        <is>
          <t>Insert Adj. 7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6">
        <f>SUM(C56:N56)</f>
        <v>0.0</v>
      </c>
    </row>
    <row r="57">
      <c r="B57" t="inlineStr">
        <is>
          <t>Insert Adj. 8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6">
        <f>SUM(C57:N57)</f>
        <v>0.0</v>
      </c>
    </row>
    <row r="58">
      <c r="B58" s="2" t="inlineStr">
        <is>
          <t>Total Op Costs ($)</t>
        </is>
      </c>
      <c r="C58" s="9">
        <f>SUM(C50:C57)</f>
        <v>0.0</v>
      </c>
      <c r="D58" s="9">
        <f>SUM(D50:D57)</f>
        <v>0.0</v>
      </c>
      <c r="E58" s="9">
        <f>SUM(E50:E57)</f>
        <v>0.0</v>
      </c>
      <c r="F58" s="9">
        <f>SUM(F50:F57)</f>
        <v>0.0</v>
      </c>
      <c r="G58" s="9">
        <f>SUM(G50:G57)</f>
        <v>0.0</v>
      </c>
      <c r="H58" s="9">
        <f>SUM(H50:H57)</f>
        <v>0.0</v>
      </c>
      <c r="I58" s="9">
        <f>SUM(I50:I57)</f>
        <v>0.0</v>
      </c>
      <c r="J58" s="9">
        <f>SUM(J50:J57)</f>
        <v>0.0</v>
      </c>
      <c r="K58" s="9">
        <f>SUM(K50:K57)</f>
        <v>76.0</v>
      </c>
      <c r="L58" s="9">
        <f>SUM(L50:L57)</f>
        <v>10.0</v>
      </c>
      <c r="M58" s="9">
        <f>SUM(M50:M57)</f>
        <v>12.0</v>
      </c>
      <c r="N58" s="9">
        <f>SUM(N50:N57)</f>
        <v>8.0</v>
      </c>
      <c r="O58" s="9">
        <f>SUM(O50:O57)</f>
        <v>106.0</v>
      </c>
    </row>
    <row r="60">
      <c r="B60" s="2" t="inlineStr">
        <is>
          <t>PBITA</t>
        </is>
      </c>
    </row>
    <row r="61">
      <c r="B61" t="str">
        <f>B6</f>
        <v>DOT highway program orders - surveyor vests</v>
      </c>
      <c r="C61" s="6">
        <f>C28-C50</f>
        <v>0.0</v>
      </c>
      <c r="D61" s="6">
        <f>D28-D50</f>
        <v>0.0</v>
      </c>
      <c r="E61" s="6">
        <f>E28-E50</f>
        <v>0.0</v>
      </c>
      <c r="F61" s="6">
        <f>F28-F50</f>
        <v>0.0</v>
      </c>
      <c r="G61" s="6">
        <f>G28-G50</f>
        <v>0.0</v>
      </c>
      <c r="H61" s="6">
        <f>H28-H50</f>
        <v>0.0</v>
      </c>
      <c r="I61" s="6">
        <f>I28-I50</f>
        <v>0.0</v>
      </c>
      <c r="J61" s="6">
        <f>J28-J50</f>
        <v>0.0</v>
      </c>
      <c r="K61" s="6">
        <f>K28-K50</f>
        <v>54.0</v>
      </c>
      <c r="L61" s="6">
        <f>L28-L50</f>
        <v>85.0</v>
      </c>
      <c r="M61" s="6">
        <f>M28-M50</f>
        <v>103.0</v>
      </c>
      <c r="N61" s="6">
        <f>N28-N50</f>
        <v>72.0</v>
      </c>
      <c r="O61" s="6">
        <f>SUM(C61:N61)</f>
        <v>314.0</v>
      </c>
    </row>
    <row r="62">
      <c r="B62" t="str">
        <f>B7</f>
        <v>Insert Adj. 2</v>
      </c>
      <c r="C62" s="6">
        <f>C29-C51</f>
        <v>0.0</v>
      </c>
      <c r="D62" s="6">
        <f>D29-D51</f>
        <v>0.0</v>
      </c>
      <c r="E62" s="6">
        <f>E29-E51</f>
        <v>0.0</v>
      </c>
      <c r="F62" s="6">
        <f>F29-F51</f>
        <v>0.0</v>
      </c>
      <c r="G62" s="6">
        <f>G29-G51</f>
        <v>0.0</v>
      </c>
      <c r="H62" s="6">
        <f>H29-H51</f>
        <v>0.0</v>
      </c>
      <c r="I62" s="6">
        <f>I29-I51</f>
        <v>0.0</v>
      </c>
      <c r="J62" s="6">
        <f>J29-J51</f>
        <v>0.0</v>
      </c>
      <c r="K62" s="6">
        <f>K29-K51</f>
        <v>-70.0</v>
      </c>
      <c r="L62" s="6">
        <f>L29-L51</f>
        <v>0.0</v>
      </c>
      <c r="M62" s="6">
        <f>M29-M51</f>
        <v>0.0</v>
      </c>
      <c r="N62" s="6">
        <f>N29-N51</f>
        <v>0.0</v>
      </c>
      <c r="O62" s="6">
        <f>SUM(C62:N62)</f>
        <v>-70.0</v>
      </c>
    </row>
    <row r="63">
      <c r="B63" t="str">
        <f>B8</f>
        <v>Insert Adj. 3</v>
      </c>
      <c r="C63" s="6">
        <f>C30-C52</f>
        <v>0.0</v>
      </c>
      <c r="D63" s="6">
        <f>D30-D52</f>
        <v>0.0</v>
      </c>
      <c r="E63" s="6">
        <f>E30-E52</f>
        <v>0.0</v>
      </c>
      <c r="F63" s="6">
        <f>F30-F52</f>
        <v>0.0</v>
      </c>
      <c r="G63" s="6">
        <f>G30-G52</f>
        <v>0.0</v>
      </c>
      <c r="H63" s="6">
        <f>H30-H52</f>
        <v>0.0</v>
      </c>
      <c r="I63" s="6">
        <f>I30-I52</f>
        <v>0.0</v>
      </c>
      <c r="J63" s="6">
        <f>J30-J52</f>
        <v>0.0</v>
      </c>
      <c r="K63" s="6">
        <f>K30-K52</f>
        <v>0.0</v>
      </c>
      <c r="L63" s="6">
        <f>L30-L52</f>
        <v>0.0</v>
      </c>
      <c r="M63" s="6">
        <f>M30-M52</f>
        <v>0.0</v>
      </c>
      <c r="N63" s="6">
        <f>N30-N52</f>
        <v>0.0</v>
      </c>
      <c r="O63" s="6">
        <f>SUM(C63:N63)</f>
        <v>0.0</v>
      </c>
    </row>
    <row r="64">
      <c r="B64" t="str">
        <f>B9</f>
        <v>Insert Adj. 4</v>
      </c>
      <c r="C64" s="6">
        <f>C31-C53</f>
        <v>0.0</v>
      </c>
      <c r="D64" s="6">
        <f>D31-D53</f>
        <v>0.0</v>
      </c>
      <c r="E64" s="6">
        <f>E31-E53</f>
        <v>0.0</v>
      </c>
      <c r="F64" s="6">
        <f>F31-F53</f>
        <v>0.0</v>
      </c>
      <c r="G64" s="6">
        <f>G31-G53</f>
        <v>0.0</v>
      </c>
      <c r="H64" s="6">
        <f>H31-H53</f>
        <v>0.0</v>
      </c>
      <c r="I64" s="6">
        <f>I31-I53</f>
        <v>0.0</v>
      </c>
      <c r="J64" s="6">
        <f>J31-J53</f>
        <v>0.0</v>
      </c>
      <c r="K64" s="6">
        <f>K31-K53</f>
        <v>0.0</v>
      </c>
      <c r="L64" s="6">
        <f>L31-L53</f>
        <v>0.0</v>
      </c>
      <c r="M64" s="6">
        <f>M31-M53</f>
        <v>0.0</v>
      </c>
      <c r="N64" s="6">
        <f>N31-N53</f>
        <v>0.0</v>
      </c>
      <c r="O64" s="6">
        <f>SUM(C64:N64)</f>
        <v>0.0</v>
      </c>
    </row>
    <row r="65">
      <c r="B65" t="str">
        <f>B10</f>
        <v>Insert Adj. 5</v>
      </c>
      <c r="C65" s="6">
        <f>C32-C54</f>
        <v>0.0</v>
      </c>
      <c r="D65" s="6">
        <f>D32-D54</f>
        <v>0.0</v>
      </c>
      <c r="E65" s="6">
        <f>E32-E54</f>
        <v>0.0</v>
      </c>
      <c r="F65" s="6">
        <f>F32-F54</f>
        <v>0.0</v>
      </c>
      <c r="G65" s="6">
        <f>G32-G54</f>
        <v>0.0</v>
      </c>
      <c r="H65" s="6">
        <f>H32-H54</f>
        <v>0.0</v>
      </c>
      <c r="I65" s="6">
        <f>I32-I54</f>
        <v>0.0</v>
      </c>
      <c r="J65" s="6">
        <f>J32-J54</f>
        <v>0.0</v>
      </c>
      <c r="K65" s="6">
        <f>K32-K54</f>
        <v>0.0</v>
      </c>
      <c r="L65" s="6">
        <f>L32-L54</f>
        <v>0.0</v>
      </c>
      <c r="M65" s="6">
        <f>M32-M54</f>
        <v>0.0</v>
      </c>
      <c r="N65" s="6">
        <f>N32-N54</f>
        <v>0.0</v>
      </c>
      <c r="O65" s="6">
        <f>SUM(C65:N65)</f>
        <v>0.0</v>
      </c>
    </row>
    <row r="66">
      <c r="B66" t="str">
        <f>B11</f>
        <v>Insert Adj. 6</v>
      </c>
      <c r="C66" s="6">
        <f>C33-C55</f>
        <v>0.0</v>
      </c>
      <c r="D66" s="6">
        <f>D33-D55</f>
        <v>0.0</v>
      </c>
      <c r="E66" s="6">
        <f>E33-E55</f>
        <v>0.0</v>
      </c>
      <c r="F66" s="6">
        <f>F33-F55</f>
        <v>0.0</v>
      </c>
      <c r="G66" s="6">
        <f>G33-G55</f>
        <v>0.0</v>
      </c>
      <c r="H66" s="6">
        <f>H33-H55</f>
        <v>0.0</v>
      </c>
      <c r="I66" s="6">
        <f>I33-I55</f>
        <v>0.0</v>
      </c>
      <c r="J66" s="6">
        <f>J33-J55</f>
        <v>0.0</v>
      </c>
      <c r="K66" s="6">
        <f>K33-K55</f>
        <v>0.0</v>
      </c>
      <c r="L66" s="6">
        <f>L33-L55</f>
        <v>0.0</v>
      </c>
      <c r="M66" s="6">
        <f>M33-M55</f>
        <v>0.0</v>
      </c>
      <c r="N66" s="6">
        <f>N33-N55</f>
        <v>0.0</v>
      </c>
      <c r="O66" s="6">
        <f>SUM(C66:N66)</f>
        <v>0.0</v>
      </c>
    </row>
    <row r="67">
      <c r="B67" t="str">
        <f>B12</f>
        <v>Insert Adj. 7</v>
      </c>
      <c r="C67" s="6">
        <f>C34-C56</f>
        <v>0.0</v>
      </c>
      <c r="D67" s="6">
        <f>D34-D56</f>
        <v>0.0</v>
      </c>
      <c r="E67" s="6">
        <f>E34-E56</f>
        <v>0.0</v>
      </c>
      <c r="F67" s="6">
        <f>F34-F56</f>
        <v>0.0</v>
      </c>
      <c r="G67" s="6">
        <f>G34-G56</f>
        <v>0.0</v>
      </c>
      <c r="H67" s="6">
        <f>H34-H56</f>
        <v>0.0</v>
      </c>
      <c r="I67" s="6">
        <f>I34-I56</f>
        <v>0.0</v>
      </c>
      <c r="J67" s="6">
        <f>J34-J56</f>
        <v>0.0</v>
      </c>
      <c r="K67" s="6">
        <f>K34-K56</f>
        <v>0.0</v>
      </c>
      <c r="L67" s="6">
        <f>L34-L56</f>
        <v>0.0</v>
      </c>
      <c r="M67" s="6">
        <f>M34-M56</f>
        <v>0.0</v>
      </c>
      <c r="N67" s="6">
        <f>N34-N56</f>
        <v>0.0</v>
      </c>
      <c r="O67" s="6">
        <f>SUM(C67:N67)</f>
        <v>0.0</v>
      </c>
    </row>
    <row r="68">
      <c r="B68" t="str">
        <f>B13</f>
        <v>Insert Adj. 8</v>
      </c>
      <c r="C68" s="6">
        <f>C35-C57</f>
        <v>0.0</v>
      </c>
      <c r="D68" s="6">
        <f>D35-D57</f>
        <v>0.0</v>
      </c>
      <c r="E68" s="6">
        <f>E35-E57</f>
        <v>0.0</v>
      </c>
      <c r="F68" s="6">
        <f>F35-F57</f>
        <v>0.0</v>
      </c>
      <c r="G68" s="6">
        <f>G35-G57</f>
        <v>0.0</v>
      </c>
      <c r="H68" s="6">
        <f>H35-H57</f>
        <v>0.0</v>
      </c>
      <c r="I68" s="6">
        <f>I35-I57</f>
        <v>0.0</v>
      </c>
      <c r="J68" s="6">
        <f>J35-J57</f>
        <v>0.0</v>
      </c>
      <c r="K68" s="6">
        <f>K35-K57</f>
        <v>0.0</v>
      </c>
      <c r="L68" s="6">
        <f>L35-L57</f>
        <v>0.0</v>
      </c>
      <c r="M68" s="6">
        <f>M35-M57</f>
        <v>0.0</v>
      </c>
      <c r="N68" s="6">
        <f>N35-N57</f>
        <v>0.0</v>
      </c>
      <c r="O68" s="6">
        <f>SUM(C68:N68)</f>
        <v>0.0</v>
      </c>
    </row>
    <row r="69">
      <c r="B69" s="2" t="inlineStr">
        <is>
          <t>Total PBITA</t>
        </is>
      </c>
      <c r="C69" s="9">
        <f>SUM(C61:C68)</f>
        <v>0.0</v>
      </c>
      <c r="D69" s="9">
        <f>SUM(D61:D68)</f>
        <v>0.0</v>
      </c>
      <c r="E69" s="9">
        <f>SUM(E61:E68)</f>
        <v>0.0</v>
      </c>
      <c r="F69" s="9">
        <f>SUM(F61:F68)</f>
        <v>0.0</v>
      </c>
      <c r="G69" s="9">
        <f>SUM(G61:G68)</f>
        <v>0.0</v>
      </c>
      <c r="H69" s="9">
        <f>SUM(H61:H68)</f>
        <v>0.0</v>
      </c>
      <c r="I69" s="9">
        <f>SUM(I61:I68)</f>
        <v>0.0</v>
      </c>
      <c r="J69" s="9">
        <f>SUM(J61:J68)</f>
        <v>0.0</v>
      </c>
      <c r="K69" s="9">
        <f>SUM(K61:K68)</f>
        <v>-16.0</v>
      </c>
      <c r="L69" s="9">
        <f>SUM(L61:L68)</f>
        <v>85.0</v>
      </c>
      <c r="M69" s="9">
        <f>SUM(M61:M68)</f>
        <v>103.0</v>
      </c>
      <c r="N69" s="9">
        <f>SUM(N61:N68)</f>
        <v>72.0</v>
      </c>
      <c r="O69" s="9">
        <f>SUM(O61:O68)</f>
        <v>244.0</v>
      </c>
    </row>
    <row r="71">
      <c r="B71" s="8" t="inlineStr">
        <is>
          <t>Section 2: General adjustments in Gross Margin or Opex % of Sales that are not tied to individual events (i.e., employee turnover):</t>
        </is>
      </c>
    </row>
    <row r="73">
      <c r="C73" s="4" t="inlineStr">
        <is>
          <t>January</t>
        </is>
      </c>
      <c r="D73" s="4" t="inlineStr">
        <is>
          <t>February</t>
        </is>
      </c>
      <c r="E73" s="4" t="inlineStr">
        <is>
          <t>March</t>
        </is>
      </c>
      <c r="F73" s="4" t="inlineStr">
        <is>
          <t>April</t>
        </is>
      </c>
      <c r="G73" s="4" t="inlineStr">
        <is>
          <t>May</t>
        </is>
      </c>
      <c r="H73" s="4" t="inlineStr">
        <is>
          <t>June</t>
        </is>
      </c>
      <c r="I73" s="4" t="inlineStr">
        <is>
          <t>July</t>
        </is>
      </c>
      <c r="J73" s="4" t="inlineStr">
        <is>
          <t>August</t>
        </is>
      </c>
      <c r="K73" s="4" t="inlineStr">
        <is>
          <t>September</t>
        </is>
      </c>
      <c r="L73" s="4" t="inlineStr">
        <is>
          <t>October</t>
        </is>
      </c>
      <c r="M73" s="4" t="inlineStr">
        <is>
          <t>November</t>
        </is>
      </c>
      <c r="N73" s="4" t="inlineStr">
        <is>
          <t>December</t>
        </is>
      </c>
      <c r="O73" s="4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2">
        <f>'Beacon'!C35</f>
        <v>0.4070747259238668</v>
      </c>
      <c r="D75" s="12">
        <f>'Beacon'!D35</f>
        <v>0.4045211395262045</v>
      </c>
      <c r="E75" s="12">
        <f>'Beacon'!E35</f>
        <v>0.4026323168016361</v>
      </c>
      <c r="F75" s="12">
        <f>'Beacon'!F35</f>
        <v>0.4054062144524936</v>
      </c>
      <c r="G75" s="12">
        <f>'Beacon'!G35</f>
        <v>0.40782723812675825</v>
      </c>
      <c r="H75" s="12">
        <f>'Beacon'!H35</f>
        <v>0.40601749017536776</v>
      </c>
      <c r="I75" s="12">
        <f>'Beacon'!I35</f>
        <v>0.4073603657955736</v>
      </c>
      <c r="J75" s="12">
        <f>'Beacon'!J35</f>
        <v>0.40264448028616595</v>
      </c>
      <c r="K75" s="12">
        <f>'Beacon'!K35</f>
        <v>0.4029662303623084</v>
      </c>
      <c r="L75" s="12">
        <f>'Beacon'!L35</f>
        <v>0.4060066573283328</v>
      </c>
      <c r="M75" s="12">
        <f>'Beacon'!M35</f>
        <v>0.4033002863337692</v>
      </c>
      <c r="N75" s="12">
        <f>'Beacon'!N35</f>
        <v>0.4029906766556067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6">
        <f>IF(C76="None",0,((('Beacon'!C28*(C75+C76))-'Beacon'!C29)))</f>
        <v>0.0</v>
      </c>
      <c r="D77" s="6">
        <f>IF(D76="None",0,((('Beacon'!D28*(D75+D76))-'Beacon'!D29)))</f>
        <v>0.0</v>
      </c>
      <c r="E77" s="6">
        <f>IF(E76="None",0,((('Beacon'!E28*(E75+E76))-'Beacon'!E29)))</f>
        <v>0.0</v>
      </c>
      <c r="F77" s="6">
        <f>IF(F76="None",0,((('Beacon'!F28*(F75+F76))-'Beacon'!F29)))</f>
        <v>0.0</v>
      </c>
      <c r="G77" s="6">
        <f>IF(G76="None",0,((('Beacon'!G28*(G75+G76))-'Beacon'!G29)))</f>
        <v>0.0</v>
      </c>
      <c r="H77" s="6">
        <f>IF(H76="None",0,((('Beacon'!H28*(H75+H76))-'Beacon'!H29)))</f>
        <v>0.0</v>
      </c>
      <c r="I77" s="6">
        <f>IF(I76="None",0,((('Beacon'!I28*(I75+I76))-'Beacon'!I29)))</f>
        <v>0.0</v>
      </c>
      <c r="J77" s="6">
        <f>IF(J76="None",0,((('Beacon'!J28*(J75+J76))-'Beacon'!J29)))</f>
        <v>0.0</v>
      </c>
      <c r="K77" s="6">
        <f>IF(K76="None",0,((('Beacon'!K28*(K75+K76))-'Beacon'!K29)))</f>
        <v>0.0</v>
      </c>
      <c r="L77" s="6">
        <f>IF(L76="None",0,((('Beacon'!L28*(L75+L76))-'Beacon'!L29)))</f>
        <v>0.0</v>
      </c>
      <c r="M77" s="6">
        <f>IF(M76="None",0,((('Beacon'!M28*(M75+M76))-'Beacon'!M29)))</f>
        <v>0.0</v>
      </c>
      <c r="N77" s="6">
        <f>IF(N76="None",0,((('Beacon'!N28*(N75+N76))-'Beacon'!N29)))</f>
        <v>0.0</v>
      </c>
      <c r="O77" s="6">
        <f>SUM(C77:N77)</f>
        <v>0.0</v>
      </c>
    </row>
    <row r="78">
      <c r="B78" t="inlineStr">
        <is>
          <t>Gross Margin - Current FCAST</t>
        </is>
      </c>
      <c r="C78" s="12">
        <f>SUM(C75:C76)</f>
        <v>0.4070747259238668</v>
      </c>
      <c r="D78" s="12">
        <f>SUM(D75:D76)</f>
        <v>0.4045211395262045</v>
      </c>
      <c r="E78" s="12">
        <f>SUM(E75:E76)</f>
        <v>0.4026323168016361</v>
      </c>
      <c r="F78" s="12">
        <f>SUM(F75:F76)</f>
        <v>0.4054062144524936</v>
      </c>
      <c r="G78" s="12">
        <f>SUM(G75:G76)</f>
        <v>0.40782723812675825</v>
      </c>
      <c r="H78" s="12">
        <f>SUM(H75:H76)</f>
        <v>0.40601749017536776</v>
      </c>
      <c r="I78" s="12">
        <f>SUM(I75:I76)</f>
        <v>0.4073603657955736</v>
      </c>
      <c r="J78" s="12">
        <f>SUM(J75:J76)</f>
        <v>0.40264448028616595</v>
      </c>
      <c r="K78" s="12">
        <f>SUM(K75:K76)</f>
        <v>0.4029662303623084</v>
      </c>
      <c r="L78" s="12">
        <f>SUM(L75:L76)</f>
        <v>0.4060066573283328</v>
      </c>
      <c r="M78" s="12">
        <f>SUM(M75:M76)</f>
        <v>0.4033002863337692</v>
      </c>
      <c r="N78" s="12">
        <f>SUM(N75:N76)</f>
        <v>0.4029906766556067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2">
        <f>'Beacon'!C36</f>
        <v>-0.22336118977709052</v>
      </c>
      <c r="D82" s="12">
        <f>'Beacon'!D36</f>
        <v>-0.2223426753629885</v>
      </c>
      <c r="E82" s="12">
        <f>'Beacon'!E36</f>
        <v>-0.22490145305206904</v>
      </c>
      <c r="F82" s="12">
        <f>'Beacon'!F36</f>
        <v>-0.21948153026402445</v>
      </c>
      <c r="G82" s="12">
        <f>'Beacon'!G36</f>
        <v>-0.221347013072977</v>
      </c>
      <c r="H82" s="12">
        <f>'Beacon'!H36</f>
        <v>-0.22004069650041164</v>
      </c>
      <c r="I82" s="12">
        <f>'Beacon'!I36</f>
        <v>-0.22339885053821482</v>
      </c>
      <c r="J82" s="12">
        <f>'Beacon'!J36</f>
        <v>-0.22102808961849857</v>
      </c>
      <c r="K82" s="12">
        <f>'Beacon'!K36</f>
        <v>-0.21995812756708377</v>
      </c>
      <c r="L82" s="12">
        <f>'Beacon'!L36</f>
        <v>-0.22092690494479839</v>
      </c>
      <c r="M82" s="12">
        <f>'Beacon'!M36</f>
        <v>-0.21898740462437313</v>
      </c>
      <c r="N82" s="12">
        <f>'Beacon'!N36</f>
        <v>-0.21655381566502022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6">
        <f>-IF(C83="None",0,((('Beacon'!C28*-(C82+C83))-'Beacon'!C30)))</f>
        <v>0.0</v>
      </c>
      <c r="D84" s="6">
        <f>-IF(D83="None",0,((('Beacon'!D28*-(D82+D83))-'Beacon'!D30)))</f>
        <v>0.0</v>
      </c>
      <c r="E84" s="6">
        <f>-IF(E83="None",0,((('Beacon'!E28*-(E82+E83))-'Beacon'!E30)))</f>
        <v>0.0</v>
      </c>
      <c r="F84" s="6">
        <f>-IF(F83="None",0,((('Beacon'!F28*-(F82+F83))-'Beacon'!F30)))</f>
        <v>0.0</v>
      </c>
      <c r="G84" s="6">
        <f>-IF(G83="None",0,((('Beacon'!G28*-(G82+G83))-'Beacon'!G30)))</f>
        <v>0.0</v>
      </c>
      <c r="H84" s="6">
        <f>-IF(H83="None",0,((('Beacon'!H28*-(H82+H83))-'Beacon'!H30)))</f>
        <v>0.0</v>
      </c>
      <c r="I84" s="6">
        <f>-IF(I83="None",0,((('Beacon'!I28*-(I82+I83))-'Beacon'!I30)))</f>
        <v>0.0</v>
      </c>
      <c r="J84" s="6">
        <f>-IF(J83="None",0,((('Beacon'!J28*-(J82+J83))-'Beacon'!J30)))</f>
        <v>0.0</v>
      </c>
      <c r="K84" s="6">
        <f>-IF(K83="None",0,((('Beacon'!K28*-(K82+K83))-'Beacon'!K30)))</f>
        <v>0.0</v>
      </c>
      <c r="L84" s="6">
        <f>-IF(L83="None",0,((('Beacon'!L28*-(L82+L83))-'Beacon'!L30)))</f>
        <v>0.0</v>
      </c>
      <c r="M84" s="6">
        <f>-IF(M83="None",0,((('Beacon'!M28*-(M82+M83))-'Beacon'!M30)))</f>
        <v>0.0</v>
      </c>
      <c r="N84" s="6">
        <f>-IF(N83="None",0,((('Beacon'!N28*-(N82+N83))-'Beacon'!N30)))</f>
        <v>0.0</v>
      </c>
      <c r="O84" s="6">
        <f>SUM(C84:N84)</f>
        <v>0.0</v>
      </c>
    </row>
    <row r="85">
      <c r="B85" t="inlineStr">
        <is>
          <t>Op Costs - Current FCAST</t>
        </is>
      </c>
      <c r="C85" s="12">
        <f>SUM(C82:C83)</f>
        <v>-0.22336118977709052</v>
      </c>
      <c r="D85" s="12">
        <f>SUM(D82:D83)</f>
        <v>-0.2223426753629885</v>
      </c>
      <c r="E85" s="12">
        <f>SUM(E82:E83)</f>
        <v>-0.22490145305206904</v>
      </c>
      <c r="F85" s="12">
        <f>SUM(F82:F83)</f>
        <v>-0.21948153026402445</v>
      </c>
      <c r="G85" s="12">
        <f>SUM(G82:G83)</f>
        <v>-0.221347013072977</v>
      </c>
      <c r="H85" s="12">
        <f>SUM(H82:H83)</f>
        <v>-0.22004069650041164</v>
      </c>
      <c r="I85" s="12">
        <f>SUM(I82:I83)</f>
        <v>-0.22339885053821482</v>
      </c>
      <c r="J85" s="12">
        <f>SUM(J82:J83)</f>
        <v>-0.22102808961849857</v>
      </c>
      <c r="K85" s="12">
        <f>SUM(K82:K83)</f>
        <v>-0.21995812756708377</v>
      </c>
      <c r="L85" s="12">
        <f>SUM(L82:L83)</f>
        <v>-0.22092690494479839</v>
      </c>
      <c r="M85" s="12">
        <f>SUM(M82:M83)</f>
        <v>-0.21898740462437313</v>
      </c>
      <c r="N85" s="12">
        <f>SUM(N82:N83)</f>
        <v>-0.21655381566502022</v>
      </c>
      <c r="O85" t="inlineStr">
        <is>
          <t>N/A</t>
        </is>
      </c>
    </row>
    <row r="87">
      <c r="B87" s="8" t="inlineStr">
        <is>
          <t>Section 3: Working Capital Adjustments</t>
        </is>
      </c>
    </row>
    <row r="89">
      <c r="C89" s="4" t="inlineStr">
        <is>
          <t>January</t>
        </is>
      </c>
      <c r="D89" s="4" t="inlineStr">
        <is>
          <t>February</t>
        </is>
      </c>
      <c r="E89" s="4" t="inlineStr">
        <is>
          <t>March</t>
        </is>
      </c>
      <c r="F89" s="4" t="inlineStr">
        <is>
          <t>April</t>
        </is>
      </c>
      <c r="G89" s="4" t="inlineStr">
        <is>
          <t>May</t>
        </is>
      </c>
      <c r="H89" s="4" t="inlineStr">
        <is>
          <t>June</t>
        </is>
      </c>
      <c r="I89" s="4" t="inlineStr">
        <is>
          <t>July</t>
        </is>
      </c>
      <c r="J89" s="4" t="inlineStr">
        <is>
          <t>August</t>
        </is>
      </c>
      <c r="K89" s="4" t="inlineStr">
        <is>
          <t>September</t>
        </is>
      </c>
      <c r="L89" s="4" t="inlineStr">
        <is>
          <t>October</t>
        </is>
      </c>
      <c r="M89" s="4" t="inlineStr">
        <is>
          <t>November</t>
        </is>
      </c>
      <c r="N89" s="4" t="inlineStr">
        <is>
          <t>December</t>
        </is>
      </c>
      <c r="O89" s="4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21" t="n">
        <v>0</v>
      </c>
      <c r="L90" s="21" t="n">
        <v>0</v>
      </c>
      <c r="M90" s="21" t="n">
        <v>0</v>
      </c>
      <c r="N90" s="21" t="n">
        <v>0</v>
      </c>
    </row>
    <row r="91">
      <c r="A91" t="n">
        <v>2135</v>
      </c>
      <c r="B91" t="inlineStr">
        <is>
          <t>Trade Receivables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21" t="n">
        <v>0</v>
      </c>
      <c r="L91" s="21" t="n">
        <v>0</v>
      </c>
      <c r="M91" s="21" t="n">
        <v>0</v>
      </c>
      <c r="N91" s="21" t="n">
        <v>0</v>
      </c>
    </row>
    <row r="92">
      <c r="A92" t="n">
        <v>2175</v>
      </c>
      <c r="B92" t="inlineStr">
        <is>
          <t>Other Receivables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21" t="n">
        <v>0</v>
      </c>
      <c r="L92" s="21" t="n">
        <v>0</v>
      </c>
      <c r="M92" s="21" t="n">
        <v>0</v>
      </c>
      <c r="N92" s="21" t="n">
        <v>0</v>
      </c>
    </row>
    <row r="93">
      <c r="A93" t="n">
        <v>2140</v>
      </c>
      <c r="B93" t="inlineStr">
        <is>
          <t>Trade Payables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21" t="n">
        <v>0</v>
      </c>
      <c r="L93" s="21" t="n">
        <v>0</v>
      </c>
      <c r="M93" s="21" t="n">
        <v>0</v>
      </c>
      <c r="N93" s="21" t="n">
        <v>0</v>
      </c>
    </row>
    <row r="94">
      <c r="A94" t="n">
        <v>2180</v>
      </c>
      <c r="B94" t="inlineStr">
        <is>
          <t>Other Payables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21" t="n">
        <v>0</v>
      </c>
      <c r="L94" s="21" t="n">
        <v>0</v>
      </c>
      <c r="M94" s="21" t="n">
        <v>0</v>
      </c>
      <c r="N94" s="21" t="n">
        <v>0</v>
      </c>
    </row>
    <row r="95">
      <c r="A95" t="n">
        <v>2185</v>
      </c>
      <c r="B95" s="2" t="inlineStr">
        <is>
          <t>Total Working Capital</t>
        </is>
      </c>
      <c r="C95" s="6">
        <f>SUM(C90:C94)</f>
        <v>0.0</v>
      </c>
      <c r="D95" s="6">
        <f>SUM(D90:D94)</f>
        <v>0.0</v>
      </c>
      <c r="E95" s="6">
        <f>SUM(E90:E94)</f>
        <v>0.0</v>
      </c>
      <c r="F95" s="6">
        <f>SUM(F90:F94)</f>
        <v>0.0</v>
      </c>
      <c r="G95" s="6">
        <f>SUM(G90:G94)</f>
        <v>0.0</v>
      </c>
      <c r="H95" s="6">
        <f>SUM(H90:H94)</f>
        <v>0.0</v>
      </c>
      <c r="I95" s="6">
        <f>SUM(I90:I94)</f>
        <v>0.0</v>
      </c>
      <c r="J95" s="6">
        <f>SUM(J90:J94)</f>
        <v>0.0</v>
      </c>
      <c r="K95" s="6">
        <f>SUM(K90:K94)</f>
        <v>0.0</v>
      </c>
      <c r="L95" s="6">
        <f>SUM(L90:L94)</f>
        <v>0.0</v>
      </c>
      <c r="M95" s="6">
        <f>SUM(M90:M94)</f>
        <v>0.0</v>
      </c>
      <c r="N95" s="6">
        <f>SUM(N90:N94)</f>
        <v>0.0</v>
      </c>
    </row>
    <row r="97">
      <c r="B97" s="22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BEACON_DISP</t>
        </is>
      </c>
    </row>
    <row r="23">
      <c r="B23" s="3" t="inlineStr">
        <is>
          <t>Beacon Hi-Vis</t>
        </is>
      </c>
      <c r="BU23" s="8" t="inlineStr">
        <is>
          <t>FCAST10 - Variance ($) - Favorable / (Unfavorable)</t>
        </is>
      </c>
    </row>
    <row r="24">
      <c r="C24" s="8" t="inlineStr">
        <is>
          <t>FCAST09 as Reported</t>
        </is>
      </c>
      <c r="Q24" s="8" t="inlineStr">
        <is>
          <t>FCAST09 at New Fx Rates</t>
        </is>
      </c>
      <c r="AE24" s="8" t="inlineStr">
        <is>
          <t>Fx Changes</t>
        </is>
      </c>
      <c r="AS24" s="8" t="inlineStr">
        <is>
          <t>Operational Adjustments</t>
        </is>
      </c>
      <c r="BG24" s="8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6" t="n">
        <v>5755.7</v>
      </c>
      <c r="D28" s="6" t="n">
        <v>5626.9</v>
      </c>
      <c r="E28" s="6" t="n">
        <v>6063.1</v>
      </c>
      <c r="F28" s="6" t="n">
        <v>6681.2</v>
      </c>
      <c r="G28" s="6" t="n">
        <v>6043</v>
      </c>
      <c r="H28" s="6" t="n">
        <v>6437.9</v>
      </c>
      <c r="I28" s="6" t="n">
        <v>6298.6</v>
      </c>
      <c r="J28" s="6" t="n">
        <v>6262.1</v>
      </c>
      <c r="K28" s="6" t="n">
        <v>6257.1</v>
      </c>
      <c r="L28" s="6" t="n">
        <v>6639.3</v>
      </c>
      <c r="M28" s="6" t="n">
        <v>6041.9</v>
      </c>
      <c r="N28" s="6" t="n">
        <v>6660.7</v>
      </c>
      <c r="O28" s="19">
        <f>SUM(C28:N28)</f>
        <v>74767.49999999999</v>
      </c>
      <c r="Q28" s="6" t="n">
        <v>5755.7</v>
      </c>
      <c r="R28" s="6" t="n">
        <v>5626.9</v>
      </c>
      <c r="S28" s="6" t="n">
        <v>6063.1</v>
      </c>
      <c r="T28" s="6" t="n">
        <v>6681.2</v>
      </c>
      <c r="U28" s="6" t="n">
        <v>6043</v>
      </c>
      <c r="V28" s="6" t="n">
        <v>6437.9</v>
      </c>
      <c r="W28" s="6" t="n">
        <v>6298.6</v>
      </c>
      <c r="X28" s="6" t="n">
        <v>6262.1</v>
      </c>
      <c r="Y28" s="6" t="n">
        <v>6257.1</v>
      </c>
      <c r="Z28" s="6" t="n">
        <v>6639.3</v>
      </c>
      <c r="AA28" s="6" t="n">
        <v>6041.9</v>
      </c>
      <c r="AB28" s="6" t="n">
        <v>6660.7</v>
      </c>
      <c r="AC28" s="19">
        <f>SUM(Q28:AB28)</f>
        <v>74767.49999999999</v>
      </c>
      <c r="AE28" s="6">
        <f>Q28-C28</f>
        <v>0.0</v>
      </c>
      <c r="AF28" s="6">
        <f>R28-D28</f>
        <v>0.0</v>
      </c>
      <c r="AG28" s="6">
        <f>S28-E28</f>
        <v>0.0</v>
      </c>
      <c r="AH28" s="6">
        <f>T28-F28</f>
        <v>0.0</v>
      </c>
      <c r="AI28" s="6">
        <f>U28-G28</f>
        <v>0.0</v>
      </c>
      <c r="AJ28" s="6">
        <f>V28-H28</f>
        <v>0.0</v>
      </c>
      <c r="AK28" s="6">
        <f>W28-I28</f>
        <v>0.0</v>
      </c>
      <c r="AL28" s="6">
        <f>X28-J28</f>
        <v>0.0</v>
      </c>
      <c r="AM28" s="6">
        <f>Y28-K28</f>
        <v>0.0</v>
      </c>
      <c r="AN28" s="6">
        <f>Z28-L28</f>
        <v>0.0</v>
      </c>
      <c r="AO28" s="6">
        <f>AA28-M28</f>
        <v>0.0</v>
      </c>
      <c r="AP28" s="6">
        <f>AB28-N28</f>
        <v>0.0</v>
      </c>
      <c r="AQ28" s="19">
        <f>SUM(AE28:AP28)</f>
        <v>0.0</v>
      </c>
      <c r="AS28" s="6">
        <f>'Beacon-Adj'!C14</f>
        <v>0.0</v>
      </c>
      <c r="AT28" s="6">
        <f>'Beacon-Adj'!D14</f>
        <v>0.0</v>
      </c>
      <c r="AU28" s="6">
        <f>'Beacon-Adj'!E14</f>
        <v>0.0</v>
      </c>
      <c r="AV28" s="6">
        <f>'Beacon-Adj'!F14</f>
        <v>0.0</v>
      </c>
      <c r="AW28" s="6">
        <f>'Beacon-Adj'!G14</f>
        <v>0.0</v>
      </c>
      <c r="AX28" s="6">
        <f>'Beacon-Adj'!H14</f>
        <v>0.0</v>
      </c>
      <c r="AY28" s="6">
        <f>'Beacon-Adj'!I14</f>
        <v>0.0</v>
      </c>
      <c r="AZ28" s="6">
        <f>'Beacon-Adj'!J14</f>
        <v>0.0</v>
      </c>
      <c r="BA28" s="6">
        <f>'Beacon-Adj'!K14</f>
        <v>150.0</v>
      </c>
      <c r="BB28" s="6">
        <f>'Beacon-Adj'!L14</f>
        <v>250.0</v>
      </c>
      <c r="BC28" s="6">
        <f>'Beacon-Adj'!M14</f>
        <v>300.0</v>
      </c>
      <c r="BD28" s="6">
        <f>'Beacon-Adj'!N14</f>
        <v>200.0</v>
      </c>
      <c r="BE28" s="19">
        <f>SUM(AS28:BD28)</f>
        <v>900.0</v>
      </c>
      <c r="BG28" s="6">
        <f>C28+AE28+AS28</f>
        <v>5755.7</v>
      </c>
      <c r="BH28" s="6">
        <f>D28+AF28+AT28</f>
        <v>5626.9</v>
      </c>
      <c r="BI28" s="6">
        <f>E28+AG28+AU28</f>
        <v>6063.1</v>
      </c>
      <c r="BJ28" s="6">
        <f>F28+AH28+AV28</f>
        <v>6681.2</v>
      </c>
      <c r="BK28" s="6">
        <f>G28+AI28+AW28</f>
        <v>6043.0</v>
      </c>
      <c r="BL28" s="6">
        <f>H28+AJ28+AX28</f>
        <v>6437.9</v>
      </c>
      <c r="BM28" s="6">
        <f>I28+AK28+AY28</f>
        <v>6298.6</v>
      </c>
      <c r="BN28" s="6">
        <f>J28+AL28+AZ28</f>
        <v>6262.1</v>
      </c>
      <c r="BO28" s="6">
        <f>K28+AM28+BA28</f>
        <v>6407.1</v>
      </c>
      <c r="BP28" s="6">
        <f>L28+AN28+BB28</f>
        <v>6889.3</v>
      </c>
      <c r="BQ28" s="6">
        <f>M28+AO28+BC28</f>
        <v>6341.9</v>
      </c>
      <c r="BR28" s="6">
        <f>N28+AP28+BD28</f>
        <v>6860.7</v>
      </c>
      <c r="BS28" s="19">
        <f>SUM(BG28:BR28)</f>
        <v>75667.49999999999</v>
      </c>
      <c r="BU28" s="6">
        <f>SUM(BG28:BO28)-SUM(C28:K28)</f>
        <v>150.0</v>
      </c>
      <c r="BV28" s="6">
        <f>SUM(BG28:BO28)-SUM(C51:K51)</f>
        <v>3250.7999999999884</v>
      </c>
      <c r="BW28" s="6">
        <f>SUM(BG28:BO28)-SUM(C64:K64)</f>
        <v>6179.0</v>
      </c>
      <c r="BY28" s="6">
        <f>SUM(BP28:BR28)-SUM(L28:N28)</f>
        <v>750.0</v>
      </c>
      <c r="BZ28" s="6">
        <f>SUM(BP28:BR28)-SUM(L51:N51)</f>
        <v>2417.0</v>
      </c>
      <c r="CA28" s="6">
        <f>SUM(BP28:BR28)-SUM(L64:N64)</f>
        <v>3639.300000000003</v>
      </c>
      <c r="CC28" s="6">
        <f>BS28-O28</f>
        <v>900.0</v>
      </c>
      <c r="CD28" s="6">
        <f>BS28-O51</f>
        <v>5667.799999999988</v>
      </c>
      <c r="CE28" s="6">
        <f>BS28-O64</f>
        <v>9818.300000000003</v>
      </c>
    </row>
    <row r="29">
      <c r="B29" s="5" t="inlineStr">
        <is>
          <t>Gross Margin</t>
        </is>
      </c>
      <c r="C29" s="6" t="n">
        <v>2343</v>
      </c>
      <c r="D29" s="6" t="n">
        <v>2276.2</v>
      </c>
      <c r="E29" s="6" t="n">
        <v>2441.2</v>
      </c>
      <c r="F29" s="6" t="n">
        <v>2708.6</v>
      </c>
      <c r="G29" s="6" t="n">
        <v>2464.5</v>
      </c>
      <c r="H29" s="6" t="n">
        <v>2613.9</v>
      </c>
      <c r="I29" s="6" t="n">
        <v>2565.8</v>
      </c>
      <c r="J29" s="6" t="n">
        <v>2521.4</v>
      </c>
      <c r="K29" s="6" t="n">
        <v>2521.4</v>
      </c>
      <c r="L29" s="6" t="n">
        <v>2695.6</v>
      </c>
      <c r="M29" s="6" t="n">
        <v>2436.7</v>
      </c>
      <c r="N29" s="6" t="n">
        <v>2684.2</v>
      </c>
      <c r="O29" s="19">
        <f>SUM(C29:N29)</f>
        <v>30272.500000000004</v>
      </c>
      <c r="Q29" s="6" t="n">
        <v>2343</v>
      </c>
      <c r="R29" s="6" t="n">
        <v>2276.2</v>
      </c>
      <c r="S29" s="6" t="n">
        <v>2441.2</v>
      </c>
      <c r="T29" s="6" t="n">
        <v>2708.6</v>
      </c>
      <c r="U29" s="6" t="n">
        <v>2464.5</v>
      </c>
      <c r="V29" s="6" t="n">
        <v>2613.9</v>
      </c>
      <c r="W29" s="6" t="n">
        <v>2565.8</v>
      </c>
      <c r="X29" s="6" t="n">
        <v>2521.4</v>
      </c>
      <c r="Y29" s="6" t="n">
        <v>2521.4</v>
      </c>
      <c r="Z29" s="6" t="n">
        <v>2695.6</v>
      </c>
      <c r="AA29" s="6" t="n">
        <v>2436.7</v>
      </c>
      <c r="AB29" s="6" t="n">
        <v>2684.2</v>
      </c>
      <c r="AC29" s="19">
        <f>SUM(Q29:AB29)</f>
        <v>30272.500000000004</v>
      </c>
      <c r="AE29" s="6">
        <f>Q29-C29</f>
        <v>0.0</v>
      </c>
      <c r="AF29" s="6">
        <f>R29-D29</f>
        <v>0.0</v>
      </c>
      <c r="AG29" s="6">
        <f>S29-E29</f>
        <v>0.0</v>
      </c>
      <c r="AH29" s="6">
        <f>T29-F29</f>
        <v>0.0</v>
      </c>
      <c r="AI29" s="6">
        <f>U29-G29</f>
        <v>0.0</v>
      </c>
      <c r="AJ29" s="6">
        <f>V29-H29</f>
        <v>0.0</v>
      </c>
      <c r="AK29" s="6">
        <f>W29-I29</f>
        <v>0.0</v>
      </c>
      <c r="AL29" s="6">
        <f>X29-J29</f>
        <v>0.0</v>
      </c>
      <c r="AM29" s="6">
        <f>Y29-K29</f>
        <v>0.0</v>
      </c>
      <c r="AN29" s="6">
        <f>Z29-L29</f>
        <v>0.0</v>
      </c>
      <c r="AO29" s="6">
        <f>AA29-M29</f>
        <v>0.0</v>
      </c>
      <c r="AP29" s="6">
        <f>AB29-N29</f>
        <v>0.0</v>
      </c>
      <c r="AQ29" s="19">
        <f>SUM(AE29:AP29)</f>
        <v>0.0</v>
      </c>
      <c r="AS29" s="6">
        <f>'Beacon-Adj'!C36+'Beacon-Adj'!C77</f>
        <v>0.0</v>
      </c>
      <c r="AT29" s="6">
        <f>'Beacon-Adj'!D36+'Beacon-Adj'!D77</f>
        <v>0.0</v>
      </c>
      <c r="AU29" s="6">
        <f>'Beacon-Adj'!E36+'Beacon-Adj'!E77</f>
        <v>0.0</v>
      </c>
      <c r="AV29" s="6">
        <f>'Beacon-Adj'!F36+'Beacon-Adj'!F77</f>
        <v>0.0</v>
      </c>
      <c r="AW29" s="6">
        <f>'Beacon-Adj'!G36+'Beacon-Adj'!G77</f>
        <v>0.0</v>
      </c>
      <c r="AX29" s="6">
        <f>'Beacon-Adj'!H36+'Beacon-Adj'!H77</f>
        <v>0.0</v>
      </c>
      <c r="AY29" s="6">
        <f>'Beacon-Adj'!I36+'Beacon-Adj'!I77</f>
        <v>0.0</v>
      </c>
      <c r="AZ29" s="6">
        <f>'Beacon-Adj'!J36+'Beacon-Adj'!J77</f>
        <v>0.0</v>
      </c>
      <c r="BA29" s="6">
        <f>'Beacon-Adj'!K36+'Beacon-Adj'!K77</f>
        <v>60.0</v>
      </c>
      <c r="BB29" s="6">
        <f>'Beacon-Adj'!L36+'Beacon-Adj'!L77</f>
        <v>95.0</v>
      </c>
      <c r="BC29" s="6">
        <f>'Beacon-Adj'!M36+'Beacon-Adj'!M77</f>
        <v>115.0</v>
      </c>
      <c r="BD29" s="6">
        <f>'Beacon-Adj'!N36+'Beacon-Adj'!N77</f>
        <v>80.0</v>
      </c>
      <c r="BE29" s="19">
        <f>SUM(AS29:BD29)</f>
        <v>350.0</v>
      </c>
      <c r="BG29" s="6">
        <f>C29+AE29+AS29</f>
        <v>2343.0</v>
      </c>
      <c r="BH29" s="6">
        <f>D29+AF29+AT29</f>
        <v>2276.2</v>
      </c>
      <c r="BI29" s="6">
        <f>E29+AG29+AU29</f>
        <v>2441.2</v>
      </c>
      <c r="BJ29" s="6">
        <f>F29+AH29+AV29</f>
        <v>2708.6</v>
      </c>
      <c r="BK29" s="6">
        <f>G29+AI29+AW29</f>
        <v>2464.5</v>
      </c>
      <c r="BL29" s="6">
        <f>H29+AJ29+AX29</f>
        <v>2613.9</v>
      </c>
      <c r="BM29" s="6">
        <f>I29+AK29+AY29</f>
        <v>2565.8</v>
      </c>
      <c r="BN29" s="6">
        <f>J29+AL29+AZ29</f>
        <v>2521.4</v>
      </c>
      <c r="BO29" s="6">
        <f>K29+AM29+BA29</f>
        <v>2581.4</v>
      </c>
      <c r="BP29" s="6">
        <f>L29+AN29+BB29</f>
        <v>2790.6</v>
      </c>
      <c r="BQ29" s="6">
        <f>M29+AO29+BC29</f>
        <v>2551.7</v>
      </c>
      <c r="BR29" s="6">
        <f>N29+AP29+BD29</f>
        <v>2764.2</v>
      </c>
      <c r="BS29" s="19">
        <f>SUM(BG29:BR29)</f>
        <v>30622.500000000004</v>
      </c>
      <c r="BU29" s="6">
        <f>SUM(BG29:BO29)-SUM(C29:K29)</f>
        <v>60.0</v>
      </c>
      <c r="BV29" s="6">
        <f>SUM(BG29:BO29)-SUM(C52:K52)</f>
        <v>2370.900000000005</v>
      </c>
      <c r="BW29" s="6">
        <f>SUM(BG29:BO29)-SUM(C65:K65)</f>
        <v>3866.800000000003</v>
      </c>
      <c r="BY29" s="6">
        <f>SUM(BP29:BR29)-SUM(L29:N29)</f>
        <v>290.0</v>
      </c>
      <c r="BZ29" s="6">
        <f>SUM(BP29:BR29)-SUM(L52:N52)</f>
        <v>1301.6999999999998</v>
      </c>
      <c r="CA29" s="6">
        <f>SUM(BP29:BR29)-SUM(L65:N65)</f>
        <v>1877.2999999999993</v>
      </c>
      <c r="CC29" s="6">
        <f>BS29-O29</f>
        <v>350.0</v>
      </c>
      <c r="CD29" s="6">
        <f>BS29-O52</f>
        <v>3672.6000000000095</v>
      </c>
      <c r="CE29" s="6">
        <f>BS29-O65</f>
        <v>5744.100000000002</v>
      </c>
    </row>
    <row r="30">
      <c r="B30" s="5" t="inlineStr">
        <is>
          <t>Op Costs</t>
        </is>
      </c>
      <c r="C30" s="6" t="n">
        <v>-1285.6</v>
      </c>
      <c r="D30" s="6" t="n">
        <v>-1251.1</v>
      </c>
      <c r="E30" s="6" t="n">
        <v>-1363.6</v>
      </c>
      <c r="F30" s="6" t="n">
        <v>-1466.4</v>
      </c>
      <c r="G30" s="6" t="n">
        <v>-1337.6</v>
      </c>
      <c r="H30" s="6" t="n">
        <v>-1416.6</v>
      </c>
      <c r="I30" s="6" t="n">
        <v>-1407.1</v>
      </c>
      <c r="J30" s="6" t="n">
        <v>-1384.1</v>
      </c>
      <c r="K30" s="6" t="n">
        <v>-1376.3</v>
      </c>
      <c r="L30" s="6" t="n">
        <v>-1466.8</v>
      </c>
      <c r="M30" s="6" t="n">
        <v>-1323.1</v>
      </c>
      <c r="N30" s="6" t="n">
        <v>-1442.4</v>
      </c>
      <c r="O30" s="19">
        <f>SUM(C30:N30)</f>
        <v>-16520.7</v>
      </c>
      <c r="Q30" s="6" t="n">
        <v>-1285.6</v>
      </c>
      <c r="R30" s="6" t="n">
        <v>-1251.1</v>
      </c>
      <c r="S30" s="6" t="n">
        <v>-1363.6</v>
      </c>
      <c r="T30" s="6" t="n">
        <v>-1466.4</v>
      </c>
      <c r="U30" s="6" t="n">
        <v>-1337.6</v>
      </c>
      <c r="V30" s="6" t="n">
        <v>-1416.6</v>
      </c>
      <c r="W30" s="6" t="n">
        <v>-1407.1</v>
      </c>
      <c r="X30" s="6" t="n">
        <v>-1384.1</v>
      </c>
      <c r="Y30" s="6" t="n">
        <v>-1376.3</v>
      </c>
      <c r="Z30" s="6" t="n">
        <v>-1466.8</v>
      </c>
      <c r="AA30" s="6" t="n">
        <v>-1323.1</v>
      </c>
      <c r="AB30" s="6" t="n">
        <v>-1442.4</v>
      </c>
      <c r="AC30" s="19">
        <f>SUM(Q30:AB30)</f>
        <v>-16520.7</v>
      </c>
      <c r="AE30" s="6">
        <f>Q30-C30</f>
        <v>0.0</v>
      </c>
      <c r="AF30" s="6">
        <f>R30-D30</f>
        <v>0.0</v>
      </c>
      <c r="AG30" s="6">
        <f>S30-E30</f>
        <v>0.0</v>
      </c>
      <c r="AH30" s="6">
        <f>T30-F30</f>
        <v>0.0</v>
      </c>
      <c r="AI30" s="6">
        <f>U30-G30</f>
        <v>0.0</v>
      </c>
      <c r="AJ30" s="6">
        <f>V30-H30</f>
        <v>0.0</v>
      </c>
      <c r="AK30" s="6">
        <f>W30-I30</f>
        <v>0.0</v>
      </c>
      <c r="AL30" s="6">
        <f>X30-J30</f>
        <v>0.0</v>
      </c>
      <c r="AM30" s="6">
        <f>Y30-K30</f>
        <v>0.0</v>
      </c>
      <c r="AN30" s="6">
        <f>Z30-L30</f>
        <v>0.0</v>
      </c>
      <c r="AO30" s="6">
        <f>AA30-M30</f>
        <v>0.0</v>
      </c>
      <c r="AP30" s="6">
        <f>AB30-N30</f>
        <v>0.0</v>
      </c>
      <c r="AQ30" s="19">
        <f>SUM(AE30:AP30)</f>
        <v>0.0</v>
      </c>
      <c r="AS30" s="6">
        <f>-'Beacon-Adj'!C58-'Beacon-Adj'!C84</f>
        <v>0.0</v>
      </c>
      <c r="AT30" s="6">
        <f>-'Beacon-Adj'!D58-'Beacon-Adj'!D84</f>
        <v>0.0</v>
      </c>
      <c r="AU30" s="6">
        <f>-'Beacon-Adj'!E58-'Beacon-Adj'!E84</f>
        <v>0.0</v>
      </c>
      <c r="AV30" s="6">
        <f>-'Beacon-Adj'!F58-'Beacon-Adj'!F84</f>
        <v>0.0</v>
      </c>
      <c r="AW30" s="6">
        <f>-'Beacon-Adj'!G58-'Beacon-Adj'!G84</f>
        <v>0.0</v>
      </c>
      <c r="AX30" s="6">
        <f>-'Beacon-Adj'!H58-'Beacon-Adj'!H84</f>
        <v>0.0</v>
      </c>
      <c r="AY30" s="6">
        <f>-'Beacon-Adj'!I58-'Beacon-Adj'!I84</f>
        <v>0.0</v>
      </c>
      <c r="AZ30" s="6">
        <f>-'Beacon-Adj'!J58-'Beacon-Adj'!J84</f>
        <v>0.0</v>
      </c>
      <c r="BA30" s="6">
        <f>-'Beacon-Adj'!K58-'Beacon-Adj'!K84</f>
        <v>-76.0</v>
      </c>
      <c r="BB30" s="6">
        <f>-'Beacon-Adj'!L58-'Beacon-Adj'!L84</f>
        <v>-10.0</v>
      </c>
      <c r="BC30" s="6">
        <f>-'Beacon-Adj'!M58-'Beacon-Adj'!M84</f>
        <v>-12.0</v>
      </c>
      <c r="BD30" s="6">
        <f>-'Beacon-Adj'!N58-'Beacon-Adj'!N84</f>
        <v>-8.0</v>
      </c>
      <c r="BE30" s="19">
        <f>SUM(AS30:BD30)</f>
        <v>-106.0</v>
      </c>
      <c r="BG30" s="6">
        <f>C30+AE30+AS30</f>
        <v>-1285.6</v>
      </c>
      <c r="BH30" s="6">
        <f>D30+AF30+AT30</f>
        <v>-1251.1</v>
      </c>
      <c r="BI30" s="6">
        <f>E30+AG30+AU30</f>
        <v>-1363.6</v>
      </c>
      <c r="BJ30" s="6">
        <f>F30+AH30+AV30</f>
        <v>-1466.4</v>
      </c>
      <c r="BK30" s="6">
        <f>G30+AI30+AW30</f>
        <v>-1337.6</v>
      </c>
      <c r="BL30" s="6">
        <f>H30+AJ30+AX30</f>
        <v>-1416.6</v>
      </c>
      <c r="BM30" s="6">
        <f>I30+AK30+AY30</f>
        <v>-1407.1</v>
      </c>
      <c r="BN30" s="6">
        <f>J30+AL30+AZ30</f>
        <v>-1384.1</v>
      </c>
      <c r="BO30" s="6">
        <f>K30+AM30+BA30</f>
        <v>-1452.3</v>
      </c>
      <c r="BP30" s="6">
        <f>L30+AN30+BB30</f>
        <v>-1476.8</v>
      </c>
      <c r="BQ30" s="6">
        <f>M30+AO30+BC30</f>
        <v>-1335.1</v>
      </c>
      <c r="BR30" s="6">
        <f>N30+AP30+BD30</f>
        <v>-1450.4</v>
      </c>
      <c r="BS30" s="19">
        <f>SUM(BG30:BR30)</f>
        <v>-16626.7</v>
      </c>
      <c r="BU30" s="6">
        <f>SUM(BG30:BO30)-SUM(C30:K30)</f>
        <v>-76.0</v>
      </c>
      <c r="BV30" s="6">
        <f>SUM(BG30:BO30)-SUM(C53:K53)</f>
        <v>-434.7999999999993</v>
      </c>
      <c r="BW30" s="6">
        <f>SUM(BG30:BO30)-SUM(C66:K66)</f>
        <v>-863.8999999999996</v>
      </c>
      <c r="BY30" s="6">
        <f>SUM(BP30:BR30)-SUM(L30:N30)</f>
        <v>-30.0</v>
      </c>
      <c r="BZ30" s="6">
        <f>SUM(BP30:BR30)-SUM(L53:N53)</f>
        <v>-232.9999999999991</v>
      </c>
      <c r="CA30" s="6">
        <f>SUM(BP30:BR30)-SUM(L66:N66)</f>
        <v>-364.8999999999992</v>
      </c>
      <c r="CC30" s="6">
        <f>BS30-O30</f>
        <v>-106.0</v>
      </c>
      <c r="CD30" s="6">
        <f>BS30-O53</f>
        <v>-667.8000000000011</v>
      </c>
      <c r="CE30" s="6">
        <f>BS30-O66</f>
        <v>-1228.800000000001</v>
      </c>
    </row>
    <row r="31">
      <c r="B31" s="2" t="inlineStr">
        <is>
          <t>PBITA</t>
        </is>
      </c>
      <c r="C31" s="6">
        <f>C29+C30</f>
        <v>1057.4</v>
      </c>
      <c r="D31" s="6">
        <f>D29+D30</f>
        <v>1025.1</v>
      </c>
      <c r="E31" s="6">
        <f>E29+E30</f>
        <v>1077.6</v>
      </c>
      <c r="F31" s="6">
        <f>F29+F30</f>
        <v>1242.1999999999998</v>
      </c>
      <c r="G31" s="6">
        <f>G29+G30</f>
        <v>1126.9</v>
      </c>
      <c r="H31" s="6">
        <f>H29+H30</f>
        <v>1197.3000000000002</v>
      </c>
      <c r="I31" s="6">
        <f>I29+I30</f>
        <v>1158.7000000000003</v>
      </c>
      <c r="J31" s="6">
        <f>J29+J30</f>
        <v>1137.3000000000002</v>
      </c>
      <c r="K31" s="6">
        <f>K29+K30</f>
        <v>1145.1000000000001</v>
      </c>
      <c r="L31" s="6">
        <f>L29+L30</f>
        <v>1228.8</v>
      </c>
      <c r="M31" s="6">
        <f>M29+M30</f>
        <v>1113.6</v>
      </c>
      <c r="N31" s="6">
        <f>N29+N30</f>
        <v>1241.7999999999997</v>
      </c>
      <c r="O31" s="19">
        <f>SUM(C31:N31)</f>
        <v>13751.8</v>
      </c>
      <c r="Q31" s="6">
        <f>Q29+Q30</f>
        <v>1057.4</v>
      </c>
      <c r="R31" s="6">
        <f>R29+R30</f>
        <v>1025.1</v>
      </c>
      <c r="S31" s="6">
        <f>S29+S30</f>
        <v>1077.6</v>
      </c>
      <c r="T31" s="6">
        <f>T29+T30</f>
        <v>1242.1999999999998</v>
      </c>
      <c r="U31" s="6">
        <f>U29+U30</f>
        <v>1126.9</v>
      </c>
      <c r="V31" s="6">
        <f>V29+V30</f>
        <v>1197.3000000000002</v>
      </c>
      <c r="W31" s="6">
        <f>W29+W30</f>
        <v>1158.7000000000003</v>
      </c>
      <c r="X31" s="6">
        <f>X29+X30</f>
        <v>1137.3000000000002</v>
      </c>
      <c r="Y31" s="6">
        <f>Y29+Y30</f>
        <v>1145.1000000000001</v>
      </c>
      <c r="Z31" s="6">
        <f>Z29+Z30</f>
        <v>1228.8</v>
      </c>
      <c r="AA31" s="6">
        <f>AA29+AA30</f>
        <v>1113.6</v>
      </c>
      <c r="AB31" s="6">
        <f>AB29+AB30</f>
        <v>1241.7999999999997</v>
      </c>
      <c r="AC31" s="19">
        <f>SUM(Q31:AB31)</f>
        <v>13751.8</v>
      </c>
      <c r="AE31" s="6">
        <f>AE29+AE30</f>
        <v>0.0</v>
      </c>
      <c r="AF31" s="6">
        <f>AF29+AF30</f>
        <v>0.0</v>
      </c>
      <c r="AG31" s="6">
        <f>AG29+AG30</f>
        <v>0.0</v>
      </c>
      <c r="AH31" s="6">
        <f>AH29+AH30</f>
        <v>0.0</v>
      </c>
      <c r="AI31" s="6">
        <f>AI29+AI30</f>
        <v>0.0</v>
      </c>
      <c r="AJ31" s="6">
        <f>AJ29+AJ30</f>
        <v>0.0</v>
      </c>
      <c r="AK31" s="6">
        <f>AK29+AK30</f>
        <v>0.0</v>
      </c>
      <c r="AL31" s="6">
        <f>AL29+AL30</f>
        <v>0.0</v>
      </c>
      <c r="AM31" s="6">
        <f>AM29+AM30</f>
        <v>0.0</v>
      </c>
      <c r="AN31" s="6">
        <f>AN29+AN30</f>
        <v>0.0</v>
      </c>
      <c r="AO31" s="6">
        <f>AO29+AO30</f>
        <v>0.0</v>
      </c>
      <c r="AP31" s="6">
        <f>AP29+AP30</f>
        <v>0.0</v>
      </c>
      <c r="AQ31" s="19">
        <f>SUM(AE31:AP31)</f>
        <v>0.0</v>
      </c>
      <c r="AS31" s="6">
        <f>AS29+AS30</f>
        <v>0.0</v>
      </c>
      <c r="AT31" s="6">
        <f>AT29+AT30</f>
        <v>0.0</v>
      </c>
      <c r="AU31" s="6">
        <f>AU29+AU30</f>
        <v>0.0</v>
      </c>
      <c r="AV31" s="6">
        <f>AV29+AV30</f>
        <v>0.0</v>
      </c>
      <c r="AW31" s="6">
        <f>AW29+AW30</f>
        <v>0.0</v>
      </c>
      <c r="AX31" s="6">
        <f>AX29+AX30</f>
        <v>0.0</v>
      </c>
      <c r="AY31" s="6">
        <f>AY29+AY30</f>
        <v>0.0</v>
      </c>
      <c r="AZ31" s="6">
        <f>AZ29+AZ30</f>
        <v>0.0</v>
      </c>
      <c r="BA31" s="6">
        <f>BA29+BA30</f>
        <v>-16.0</v>
      </c>
      <c r="BB31" s="6">
        <f>BB29+BB30</f>
        <v>85.0</v>
      </c>
      <c r="BC31" s="6">
        <f>BC29+BC30</f>
        <v>103.0</v>
      </c>
      <c r="BD31" s="6">
        <f>BD29+BD30</f>
        <v>72.0</v>
      </c>
      <c r="BE31" s="19">
        <f>SUM(AS31:BD31)</f>
        <v>244.0</v>
      </c>
      <c r="BG31" s="6">
        <f>BG29+BG30</f>
        <v>1057.4</v>
      </c>
      <c r="BH31" s="6">
        <f>BH29+BH30</f>
        <v>1025.1</v>
      </c>
      <c r="BI31" s="6">
        <f>BI29+BI30</f>
        <v>1077.6</v>
      </c>
      <c r="BJ31" s="6">
        <f>BJ29+BJ30</f>
        <v>1242.1999999999998</v>
      </c>
      <c r="BK31" s="6">
        <f>BK29+BK30</f>
        <v>1126.9</v>
      </c>
      <c r="BL31" s="6">
        <f>BL29+BL30</f>
        <v>1197.3000000000002</v>
      </c>
      <c r="BM31" s="6">
        <f>BM29+BM30</f>
        <v>1158.7000000000003</v>
      </c>
      <c r="BN31" s="6">
        <f>BN29+BN30</f>
        <v>1137.3000000000002</v>
      </c>
      <c r="BO31" s="6">
        <f>BO29+BO30</f>
        <v>1129.1000000000001</v>
      </c>
      <c r="BP31" s="6">
        <f>BP29+BP30</f>
        <v>1313.8</v>
      </c>
      <c r="BQ31" s="6">
        <f>BQ29+BQ30</f>
        <v>1216.6</v>
      </c>
      <c r="BR31" s="6">
        <f>BR29+BR30</f>
        <v>1313.7999999999997</v>
      </c>
      <c r="BS31" s="19">
        <f>SUM(BG31:BR31)</f>
        <v>13995.8</v>
      </c>
      <c r="BU31" s="6">
        <f>SUM(BG31:BO31)-SUM(C31:K31)</f>
        <v>-16.0</v>
      </c>
      <c r="BV31" s="6">
        <f>SUM(BG31:BO31)-SUM(C54:K54)</f>
        <v>1936.1000000000004</v>
      </c>
      <c r="BW31" s="6">
        <f>SUM(BG31:BO31)-SUM(C67:K67)</f>
        <v>3002.9000000000005</v>
      </c>
      <c r="BY31" s="6">
        <f>SUM(BP31:BR31)-SUM(L31:N31)</f>
        <v>260.0</v>
      </c>
      <c r="BZ31" s="6">
        <f>SUM(BP31:BR31)-SUM(L54:N54)</f>
        <v>1068.6999999999994</v>
      </c>
      <c r="CA31" s="6">
        <f>SUM(BP31:BR31)-SUM(L67:N67)</f>
        <v>1512.3999999999992</v>
      </c>
      <c r="CC31" s="6">
        <f>BS31-O31</f>
        <v>244.0</v>
      </c>
      <c r="CD31" s="6">
        <f>BS31-O54</f>
        <v>3004.7999999999993</v>
      </c>
      <c r="CE31" s="6">
        <f>BS31-O67</f>
        <v>4515.299999999999</v>
      </c>
    </row>
    <row r="35">
      <c r="B35" s="5" t="inlineStr">
        <is>
          <t>GM %</t>
        </is>
      </c>
      <c r="C35" s="12">
        <f>IFERROR(C29/C28,0)</f>
        <v>0.4070747259238668</v>
      </c>
      <c r="D35" s="12">
        <f>IFERROR(D29/D28,0)</f>
        <v>0.4045211395262045</v>
      </c>
      <c r="E35" s="12">
        <f>IFERROR(E29/E28,0)</f>
        <v>0.4026323168016361</v>
      </c>
      <c r="F35" s="12">
        <f>IFERROR(F29/F28,0)</f>
        <v>0.4054062144524936</v>
      </c>
      <c r="G35" s="12">
        <f>IFERROR(G29/G28,0)</f>
        <v>0.40782723812675825</v>
      </c>
      <c r="H35" s="12">
        <f>IFERROR(H29/H28,0)</f>
        <v>0.40601749017536776</v>
      </c>
      <c r="I35" s="12">
        <f>IFERROR(I29/I28,0)</f>
        <v>0.4073603657955736</v>
      </c>
      <c r="J35" s="12">
        <f>IFERROR(J29/J28,0)</f>
        <v>0.40264448028616595</v>
      </c>
      <c r="K35" s="12">
        <f>IFERROR(K29/K28,0)</f>
        <v>0.4029662303623084</v>
      </c>
      <c r="L35" s="12">
        <f>IFERROR(L29/L28,0)</f>
        <v>0.4060066573283328</v>
      </c>
      <c r="M35" s="12">
        <f>IFERROR(M29/M28,0)</f>
        <v>0.4033002863337692</v>
      </c>
      <c r="N35" s="12">
        <f>IFERROR(N29/N28,0)</f>
        <v>0.4029906766556067</v>
      </c>
      <c r="O35" s="12">
        <f>IFERROR(O29/O28,0)</f>
        <v>0.40488848764503305</v>
      </c>
      <c r="Q35" s="12">
        <f>IFERROR(Q29/Q28,0)</f>
        <v>0.4070747259238668</v>
      </c>
      <c r="R35" s="12">
        <f>IFERROR(R29/R28,0)</f>
        <v>0.4045211395262045</v>
      </c>
      <c r="S35" s="12">
        <f>IFERROR(S29/S28,0)</f>
        <v>0.4026323168016361</v>
      </c>
      <c r="T35" s="12">
        <f>IFERROR(T29/T28,0)</f>
        <v>0.4054062144524936</v>
      </c>
      <c r="U35" s="12">
        <f>IFERROR(U29/U28,0)</f>
        <v>0.40782723812675825</v>
      </c>
      <c r="V35" s="12">
        <f>IFERROR(V29/V28,0)</f>
        <v>0.40601749017536776</v>
      </c>
      <c r="W35" s="12">
        <f>IFERROR(W29/W28,0)</f>
        <v>0.4073603657955736</v>
      </c>
      <c r="X35" s="12">
        <f>IFERROR(X29/X28,0)</f>
        <v>0.40264448028616595</v>
      </c>
      <c r="Y35" s="12">
        <f>IFERROR(Y29/Y28,0)</f>
        <v>0.4029662303623084</v>
      </c>
      <c r="Z35" s="12">
        <f>IFERROR(Z29/Z28,0)</f>
        <v>0.4060066573283328</v>
      </c>
      <c r="AA35" s="12">
        <f>IFERROR(AA29/AA28,0)</f>
        <v>0.4033002863337692</v>
      </c>
      <c r="AB35" s="12">
        <f>IFERROR(AB29/AB28,0)</f>
        <v>0.4029906766556067</v>
      </c>
      <c r="AC35" s="12">
        <f>IFERROR(AC29/AC28,0)</f>
        <v>0.40488848764503305</v>
      </c>
      <c r="AE35" s="12">
        <f>IFERROR(AE29/AE28,0)</f>
        <v>0.0</v>
      </c>
      <c r="AF35" s="12">
        <f>IFERROR(AF29/AF28,0)</f>
        <v>0.0</v>
      </c>
      <c r="AG35" s="12">
        <f>IFERROR(AG29/AG28,0)</f>
        <v>0.0</v>
      </c>
      <c r="AH35" s="12">
        <f>IFERROR(AH29/AH28,0)</f>
        <v>0.0</v>
      </c>
      <c r="AI35" s="12">
        <f>IFERROR(AI29/AI28,0)</f>
        <v>0.0</v>
      </c>
      <c r="AJ35" s="12">
        <f>IFERROR(AJ29/AJ28,0)</f>
        <v>0.0</v>
      </c>
      <c r="AK35" s="12">
        <f>IFERROR(AK29/AK28,0)</f>
        <v>0.0</v>
      </c>
      <c r="AL35" s="12">
        <f>IFERROR(AL29/AL28,0)</f>
        <v>0.0</v>
      </c>
      <c r="AM35" s="12">
        <f>IFERROR(AM29/AM28,0)</f>
        <v>0.0</v>
      </c>
      <c r="AN35" s="12">
        <f>IFERROR(AN29/AN28,0)</f>
        <v>0.0</v>
      </c>
      <c r="AO35" s="12">
        <f>IFERROR(AO29/AO28,0)</f>
        <v>0.0</v>
      </c>
      <c r="AP35" s="12">
        <f>IFERROR(AP29/AP28,0)</f>
        <v>0.0</v>
      </c>
      <c r="AQ35" s="12">
        <f>IFERROR(AQ29/AQ28,0)</f>
        <v>0.0</v>
      </c>
      <c r="AS35" s="12">
        <f>IFERROR(AS29/AS28,0)</f>
        <v>0.0</v>
      </c>
      <c r="AT35" s="12">
        <f>IFERROR(AT29/AT28,0)</f>
        <v>0.0</v>
      </c>
      <c r="AU35" s="12">
        <f>IFERROR(AU29/AU28,0)</f>
        <v>0.0</v>
      </c>
      <c r="AV35" s="12">
        <f>IFERROR(AV29/AV28,0)</f>
        <v>0.0</v>
      </c>
      <c r="AW35" s="12">
        <f>IFERROR(AW29/AW28,0)</f>
        <v>0.0</v>
      </c>
      <c r="AX35" s="12">
        <f>IFERROR(AX29/AX28,0)</f>
        <v>0.0</v>
      </c>
      <c r="AY35" s="12">
        <f>IFERROR(AY29/AY28,0)</f>
        <v>0.0</v>
      </c>
      <c r="AZ35" s="12">
        <f>IFERROR(AZ29/AZ28,0)</f>
        <v>0.0</v>
      </c>
      <c r="BA35" s="12">
        <f>IFERROR(BA29/BA28,0)</f>
        <v>0.4</v>
      </c>
      <c r="BB35" s="12">
        <f>IFERROR(BB29/BB28,0)</f>
        <v>0.38</v>
      </c>
      <c r="BC35" s="12">
        <f>IFERROR(BC29/BC28,0)</f>
        <v>0.38333333333333336</v>
      </c>
      <c r="BD35" s="12">
        <f>IFERROR(BD29/BD28,0)</f>
        <v>0.4</v>
      </c>
      <c r="BE35" s="12">
        <f>IFERROR(BE29/BE28,0)</f>
        <v>0.3888888888888889</v>
      </c>
      <c r="BG35" s="12">
        <f>IFERROR(BG29/BG28,0)</f>
        <v>0.4070747259238668</v>
      </c>
      <c r="BH35" s="12">
        <f>IFERROR(BH29/BH28,0)</f>
        <v>0.4045211395262045</v>
      </c>
      <c r="BI35" s="12">
        <f>IFERROR(BI29/BI28,0)</f>
        <v>0.4026323168016361</v>
      </c>
      <c r="BJ35" s="12">
        <f>IFERROR(BJ29/BJ28,0)</f>
        <v>0.4054062144524936</v>
      </c>
      <c r="BK35" s="12">
        <f>IFERROR(BK29/BK28,0)</f>
        <v>0.40782723812675825</v>
      </c>
      <c r="BL35" s="12">
        <f>IFERROR(BL29/BL28,0)</f>
        <v>0.40601749017536776</v>
      </c>
      <c r="BM35" s="12">
        <f>IFERROR(BM29/BM28,0)</f>
        <v>0.4073603657955736</v>
      </c>
      <c r="BN35" s="12">
        <f>IFERROR(BN29/BN28,0)</f>
        <v>0.40264448028616595</v>
      </c>
      <c r="BO35" s="12">
        <f>IFERROR(BO29/BO28,0)</f>
        <v>0.40289678637761234</v>
      </c>
      <c r="BP35" s="12">
        <f>IFERROR(BP29/BP28,0)</f>
        <v>0.4050629236642329</v>
      </c>
      <c r="BQ35" s="12">
        <f>IFERROR(BQ29/BQ28,0)</f>
        <v>0.40235576089184627</v>
      </c>
      <c r="BR35" s="12">
        <f>IFERROR(BR29/BR28,0)</f>
        <v>0.4029034938125847</v>
      </c>
      <c r="BS35" s="12">
        <f>IFERROR(BS29/BS28,0)</f>
        <v>0.40469818614332453</v>
      </c>
    </row>
    <row r="36">
      <c r="B36" s="5" t="inlineStr">
        <is>
          <t>Op Cost %</t>
        </is>
      </c>
      <c r="C36" s="12">
        <f>IFERROR(C30/C28,0)</f>
        <v>-0.22336118977709052</v>
      </c>
      <c r="D36" s="12">
        <f>IFERROR(D30/D28,0)</f>
        <v>-0.2223426753629885</v>
      </c>
      <c r="E36" s="12">
        <f>IFERROR(E30/E28,0)</f>
        <v>-0.22490145305206904</v>
      </c>
      <c r="F36" s="12">
        <f>IFERROR(F30/F28,0)</f>
        <v>-0.21948153026402445</v>
      </c>
      <c r="G36" s="12">
        <f>IFERROR(G30/G28,0)</f>
        <v>-0.221347013072977</v>
      </c>
      <c r="H36" s="12">
        <f>IFERROR(H30/H28,0)</f>
        <v>-0.22004069650041164</v>
      </c>
      <c r="I36" s="12">
        <f>IFERROR(I30/I28,0)</f>
        <v>-0.22339885053821482</v>
      </c>
      <c r="J36" s="12">
        <f>IFERROR(J30/J28,0)</f>
        <v>-0.22102808961849857</v>
      </c>
      <c r="K36" s="12">
        <f>IFERROR(K30/K28,0)</f>
        <v>-0.21995812756708377</v>
      </c>
      <c r="L36" s="12">
        <f>IFERROR(L30/L28,0)</f>
        <v>-0.22092690494479839</v>
      </c>
      <c r="M36" s="12">
        <f>IFERROR(M30/M28,0)</f>
        <v>-0.21898740462437313</v>
      </c>
      <c r="N36" s="12">
        <f>IFERROR(N30/N28,0)</f>
        <v>-0.21655381566502022</v>
      </c>
      <c r="O36" s="12">
        <f>IFERROR(O30/O28,0)</f>
        <v>-0.22096097903500858</v>
      </c>
      <c r="Q36" s="12">
        <f>IFERROR(Q30/Q28,0)</f>
        <v>-0.22336118977709052</v>
      </c>
      <c r="R36" s="12">
        <f>IFERROR(R30/R28,0)</f>
        <v>-0.2223426753629885</v>
      </c>
      <c r="S36" s="12">
        <f>IFERROR(S30/S28,0)</f>
        <v>-0.22490145305206904</v>
      </c>
      <c r="T36" s="12">
        <f>IFERROR(T30/T28,0)</f>
        <v>-0.21948153026402445</v>
      </c>
      <c r="U36" s="12">
        <f>IFERROR(U30/U28,0)</f>
        <v>-0.221347013072977</v>
      </c>
      <c r="V36" s="12">
        <f>IFERROR(V30/V28,0)</f>
        <v>-0.22004069650041164</v>
      </c>
      <c r="W36" s="12">
        <f>IFERROR(W30/W28,0)</f>
        <v>-0.22339885053821482</v>
      </c>
      <c r="X36" s="12">
        <f>IFERROR(X30/X28,0)</f>
        <v>-0.22102808961849857</v>
      </c>
      <c r="Y36" s="12">
        <f>IFERROR(Y30/Y28,0)</f>
        <v>-0.21995812756708377</v>
      </c>
      <c r="Z36" s="12">
        <f>IFERROR(Z30/Z28,0)</f>
        <v>-0.22092690494479839</v>
      </c>
      <c r="AA36" s="12">
        <f>IFERROR(AA30/AA28,0)</f>
        <v>-0.21898740462437313</v>
      </c>
      <c r="AB36" s="12">
        <f>IFERROR(AB30/AB28,0)</f>
        <v>-0.21655381566502022</v>
      </c>
      <c r="AC36" s="12">
        <f>IFERROR(AC30/AC28,0)</f>
        <v>-0.22096097903500858</v>
      </c>
      <c r="AE36" s="12">
        <f>IFERROR(AE30/AE28,0)</f>
        <v>0.0</v>
      </c>
      <c r="AF36" s="12">
        <f>IFERROR(AF30/AF28,0)</f>
        <v>0.0</v>
      </c>
      <c r="AG36" s="12">
        <f>IFERROR(AG30/AG28,0)</f>
        <v>0.0</v>
      </c>
      <c r="AH36" s="12">
        <f>IFERROR(AH30/AH28,0)</f>
        <v>0.0</v>
      </c>
      <c r="AI36" s="12">
        <f>IFERROR(AI30/AI28,0)</f>
        <v>0.0</v>
      </c>
      <c r="AJ36" s="12">
        <f>IFERROR(AJ30/AJ28,0)</f>
        <v>0.0</v>
      </c>
      <c r="AK36" s="12">
        <f>IFERROR(AK30/AK28,0)</f>
        <v>0.0</v>
      </c>
      <c r="AL36" s="12">
        <f>IFERROR(AL30/AL28,0)</f>
        <v>0.0</v>
      </c>
      <c r="AM36" s="12">
        <f>IFERROR(AM30/AM28,0)</f>
        <v>0.0</v>
      </c>
      <c r="AN36" s="12">
        <f>IFERROR(AN30/AN28,0)</f>
        <v>0.0</v>
      </c>
      <c r="AO36" s="12">
        <f>IFERROR(AO30/AO28,0)</f>
        <v>0.0</v>
      </c>
      <c r="AP36" s="12">
        <f>IFERROR(AP30/AP28,0)</f>
        <v>0.0</v>
      </c>
      <c r="AQ36" s="12">
        <f>IFERROR(AQ30/AQ28,0)</f>
        <v>0.0</v>
      </c>
      <c r="AS36" s="12">
        <f>IFERROR(AS30/AS28,0)</f>
        <v>0.0</v>
      </c>
      <c r="AT36" s="12">
        <f>IFERROR(AT30/AT28,0)</f>
        <v>0.0</v>
      </c>
      <c r="AU36" s="12">
        <f>IFERROR(AU30/AU28,0)</f>
        <v>0.0</v>
      </c>
      <c r="AV36" s="12">
        <f>IFERROR(AV30/AV28,0)</f>
        <v>0.0</v>
      </c>
      <c r="AW36" s="12">
        <f>IFERROR(AW30/AW28,0)</f>
        <v>0.0</v>
      </c>
      <c r="AX36" s="12">
        <f>IFERROR(AX30/AX28,0)</f>
        <v>0.0</v>
      </c>
      <c r="AY36" s="12">
        <f>IFERROR(AY30/AY28,0)</f>
        <v>0.0</v>
      </c>
      <c r="AZ36" s="12">
        <f>IFERROR(AZ30/AZ28,0)</f>
        <v>0.0</v>
      </c>
      <c r="BA36" s="12">
        <f>IFERROR(BA30/BA28,0)</f>
        <v>-0.5066666666666667</v>
      </c>
      <c r="BB36" s="12">
        <f>IFERROR(BB30/BB28,0)</f>
        <v>-0.04</v>
      </c>
      <c r="BC36" s="12">
        <f>IFERROR(BC30/BC28,0)</f>
        <v>-0.04</v>
      </c>
      <c r="BD36" s="12">
        <f>IFERROR(BD30/BD28,0)</f>
        <v>-0.04</v>
      </c>
      <c r="BE36" s="12">
        <f>IFERROR(BE30/BE28,0)</f>
        <v>-0.11777777777777777</v>
      </c>
      <c r="BG36" s="12">
        <f>IFERROR(BG30/BG28,0)</f>
        <v>-0.22336118977709052</v>
      </c>
      <c r="BH36" s="12">
        <f>IFERROR(BH30/BH28,0)</f>
        <v>-0.2223426753629885</v>
      </c>
      <c r="BI36" s="12">
        <f>IFERROR(BI30/BI28,0)</f>
        <v>-0.22490145305206904</v>
      </c>
      <c r="BJ36" s="12">
        <f>IFERROR(BJ30/BJ28,0)</f>
        <v>-0.21948153026402445</v>
      </c>
      <c r="BK36" s="12">
        <f>IFERROR(BK30/BK28,0)</f>
        <v>-0.221347013072977</v>
      </c>
      <c r="BL36" s="12">
        <f>IFERROR(BL30/BL28,0)</f>
        <v>-0.22004069650041164</v>
      </c>
      <c r="BM36" s="12">
        <f>IFERROR(BM30/BM28,0)</f>
        <v>-0.22339885053821482</v>
      </c>
      <c r="BN36" s="12">
        <f>IFERROR(BN30/BN28,0)</f>
        <v>-0.22102808961849857</v>
      </c>
      <c r="BO36" s="12">
        <f>IFERROR(BO30/BO28,0)</f>
        <v>-0.22667041251112047</v>
      </c>
      <c r="BP36" s="12">
        <f>IFERROR(BP30/BP28,0)</f>
        <v>-0.21436140101316534</v>
      </c>
      <c r="BQ36" s="12">
        <f>IFERROR(BQ30/BQ28,0)</f>
        <v>-0.2105205064728236</v>
      </c>
      <c r="BR36" s="12">
        <f>IFERROR(BR30/BR28,0)</f>
        <v>-0.21140699928578718</v>
      </c>
      <c r="BS36" s="12">
        <f>IFERROR(BS30/BS28,0)</f>
        <v>-0.2197337033733109</v>
      </c>
    </row>
    <row r="37">
      <c r="B37" s="5" t="inlineStr">
        <is>
          <t>PBITA %</t>
        </is>
      </c>
      <c r="C37" s="12">
        <f>IFERROR(C31/C28,0)</f>
        <v>0.18371353614677627</v>
      </c>
      <c r="D37" s="12">
        <f>IFERROR(D31/D28,0)</f>
        <v>0.18217846416321598</v>
      </c>
      <c r="E37" s="12">
        <f>IFERROR(E31/E28,0)</f>
        <v>0.17773086374956704</v>
      </c>
      <c r="F37" s="12">
        <f>IFERROR(F31/F28,0)</f>
        <v>0.1859246841884691</v>
      </c>
      <c r="G37" s="12">
        <f>IFERROR(G31/G28,0)</f>
        <v>0.18648022505378126</v>
      </c>
      <c r="H37" s="12">
        <f>IFERROR(H31/H28,0)</f>
        <v>0.18597679367495615</v>
      </c>
      <c r="I37" s="12">
        <f>IFERROR(I31/I28,0)</f>
        <v>0.18396151525735882</v>
      </c>
      <c r="J37" s="12">
        <f>IFERROR(J31/J28,0)</f>
        <v>0.1816163906676674</v>
      </c>
      <c r="K37" s="12">
        <f>IFERROR(K31/K28,0)</f>
        <v>0.18300810279522464</v>
      </c>
      <c r="L37" s="12">
        <f>IFERROR(L31/L28,0)</f>
        <v>0.18507975238353438</v>
      </c>
      <c r="M37" s="12">
        <f>IFERROR(M31/M28,0)</f>
        <v>0.18431288170939605</v>
      </c>
      <c r="N37" s="12">
        <f>IFERROR(N31/N28,0)</f>
        <v>0.18643686099058654</v>
      </c>
      <c r="O37" s="12">
        <f>IFERROR(O31/O28,0)</f>
        <v>0.18392750861002444</v>
      </c>
      <c r="Q37" s="12">
        <f>IFERROR(Q31/Q28,0)</f>
        <v>0.18371353614677627</v>
      </c>
      <c r="R37" s="12">
        <f>IFERROR(R31/R28,0)</f>
        <v>0.18217846416321598</v>
      </c>
      <c r="S37" s="12">
        <f>IFERROR(S31/S28,0)</f>
        <v>0.17773086374956704</v>
      </c>
      <c r="T37" s="12">
        <f>IFERROR(T31/T28,0)</f>
        <v>0.1859246841884691</v>
      </c>
      <c r="U37" s="12">
        <f>IFERROR(U31/U28,0)</f>
        <v>0.18648022505378126</v>
      </c>
      <c r="V37" s="12">
        <f>IFERROR(V31/V28,0)</f>
        <v>0.18597679367495615</v>
      </c>
      <c r="W37" s="12">
        <f>IFERROR(W31/W28,0)</f>
        <v>0.18396151525735882</v>
      </c>
      <c r="X37" s="12">
        <f>IFERROR(X31/X28,0)</f>
        <v>0.1816163906676674</v>
      </c>
      <c r="Y37" s="12">
        <f>IFERROR(Y31/Y28,0)</f>
        <v>0.18300810279522464</v>
      </c>
      <c r="Z37" s="12">
        <f>IFERROR(Z31/Z28,0)</f>
        <v>0.18507975238353438</v>
      </c>
      <c r="AA37" s="12">
        <f>IFERROR(AA31/AA28,0)</f>
        <v>0.18431288170939605</v>
      </c>
      <c r="AB37" s="12">
        <f>IFERROR(AB31/AB28,0)</f>
        <v>0.18643686099058654</v>
      </c>
      <c r="AC37" s="12">
        <f>IFERROR(AC31/AC28,0)</f>
        <v>0.18392750861002444</v>
      </c>
      <c r="AE37" s="12">
        <f>IFERROR(AE31/AE28,0)</f>
        <v>0.0</v>
      </c>
      <c r="AF37" s="12">
        <f>IFERROR(AF31/AF28,0)</f>
        <v>0.0</v>
      </c>
      <c r="AG37" s="12">
        <f>IFERROR(AG31/AG28,0)</f>
        <v>0.0</v>
      </c>
      <c r="AH37" s="12">
        <f>IFERROR(AH31/AH28,0)</f>
        <v>0.0</v>
      </c>
      <c r="AI37" s="12">
        <f>IFERROR(AI31/AI28,0)</f>
        <v>0.0</v>
      </c>
      <c r="AJ37" s="12">
        <f>IFERROR(AJ31/AJ28,0)</f>
        <v>0.0</v>
      </c>
      <c r="AK37" s="12">
        <f>IFERROR(AK31/AK28,0)</f>
        <v>0.0</v>
      </c>
      <c r="AL37" s="12">
        <f>IFERROR(AL31/AL28,0)</f>
        <v>0.0</v>
      </c>
      <c r="AM37" s="12">
        <f>IFERROR(AM31/AM28,0)</f>
        <v>0.0</v>
      </c>
      <c r="AN37" s="12">
        <f>IFERROR(AN31/AN28,0)</f>
        <v>0.0</v>
      </c>
      <c r="AO37" s="12">
        <f>IFERROR(AO31/AO28,0)</f>
        <v>0.0</v>
      </c>
      <c r="AP37" s="12">
        <f>IFERROR(AP31/AP28,0)</f>
        <v>0.0</v>
      </c>
      <c r="AQ37" s="12">
        <f>IFERROR(AQ31/AQ28,0)</f>
        <v>0.0</v>
      </c>
      <c r="AS37" s="12">
        <f>IFERROR(AS31/AS28,0)</f>
        <v>0.0</v>
      </c>
      <c r="AT37" s="12">
        <f>IFERROR(AT31/AT28,0)</f>
        <v>0.0</v>
      </c>
      <c r="AU37" s="12">
        <f>IFERROR(AU31/AU28,0)</f>
        <v>0.0</v>
      </c>
      <c r="AV37" s="12">
        <f>IFERROR(AV31/AV28,0)</f>
        <v>0.0</v>
      </c>
      <c r="AW37" s="12">
        <f>IFERROR(AW31/AW28,0)</f>
        <v>0.0</v>
      </c>
      <c r="AX37" s="12">
        <f>IFERROR(AX31/AX28,0)</f>
        <v>0.0</v>
      </c>
      <c r="AY37" s="12">
        <f>IFERROR(AY31/AY28,0)</f>
        <v>0.0</v>
      </c>
      <c r="AZ37" s="12">
        <f>IFERROR(AZ31/AZ28,0)</f>
        <v>0.0</v>
      </c>
      <c r="BA37" s="12">
        <f>IFERROR(BA31/BA28,0)</f>
        <v>-0.10666666666666667</v>
      </c>
      <c r="BB37" s="12">
        <f>IFERROR(BB31/BB28,0)</f>
        <v>0.34</v>
      </c>
      <c r="BC37" s="12">
        <f>IFERROR(BC31/BC28,0)</f>
        <v>0.3433333333333333</v>
      </c>
      <c r="BD37" s="12">
        <f>IFERROR(BD31/BD28,0)</f>
        <v>0.36</v>
      </c>
      <c r="BE37" s="12">
        <f>IFERROR(BE31/BE28,0)</f>
        <v>0.27111111111111114</v>
      </c>
      <c r="BG37" s="12">
        <f>IFERROR(BG31/BG28,0)</f>
        <v>0.18371353614677627</v>
      </c>
      <c r="BH37" s="12">
        <f>IFERROR(BH31/BH28,0)</f>
        <v>0.18217846416321598</v>
      </c>
      <c r="BI37" s="12">
        <f>IFERROR(BI31/BI28,0)</f>
        <v>0.17773086374956704</v>
      </c>
      <c r="BJ37" s="12">
        <f>IFERROR(BJ31/BJ28,0)</f>
        <v>0.1859246841884691</v>
      </c>
      <c r="BK37" s="12">
        <f>IFERROR(BK31/BK28,0)</f>
        <v>0.18648022505378126</v>
      </c>
      <c r="BL37" s="12">
        <f>IFERROR(BL31/BL28,0)</f>
        <v>0.18597679367495615</v>
      </c>
      <c r="BM37" s="12">
        <f>IFERROR(BM31/BM28,0)</f>
        <v>0.18396151525735882</v>
      </c>
      <c r="BN37" s="12">
        <f>IFERROR(BN31/BN28,0)</f>
        <v>0.1816163906676674</v>
      </c>
      <c r="BO37" s="12">
        <f>IFERROR(BO31/BO28,0)</f>
        <v>0.17622637386649187</v>
      </c>
      <c r="BP37" s="12">
        <f>IFERROR(BP31/BP28,0)</f>
        <v>0.19070152265106757</v>
      </c>
      <c r="BQ37" s="12">
        <f>IFERROR(BQ31/BQ28,0)</f>
        <v>0.1918352544190227</v>
      </c>
      <c r="BR37" s="12">
        <f>IFERROR(BR31/BR28,0)</f>
        <v>0.1914964945267975</v>
      </c>
      <c r="BS37" s="12">
        <f>IFERROR(BS31/BS28,0)</f>
        <v>0.18496448277001357</v>
      </c>
    </row>
    <row r="38">
      <c r="B38" s="5" t="inlineStr">
        <is>
          <t>Sales/Day</t>
        </is>
      </c>
      <c r="C38" s="6">
        <f>IFERROR(C28/21,0)</f>
        <v>274.0809523809524</v>
      </c>
      <c r="D38" s="6">
        <f>IFERROR(D28/20,0)</f>
        <v>281.34499999999997</v>
      </c>
      <c r="E38" s="6">
        <f>IFERROR(E28/22,0)</f>
        <v>275.5954545454546</v>
      </c>
      <c r="F38" s="6">
        <f>IFERROR(F28/22,0)</f>
        <v>303.6909090909091</v>
      </c>
      <c r="G38" s="6">
        <f>IFERROR(G28/20,0)</f>
        <v>302.15</v>
      </c>
      <c r="H38" s="6">
        <f>IFERROR(H28/22,0)</f>
        <v>292.6318181818182</v>
      </c>
      <c r="I38" s="6">
        <f>IFERROR(I28/22,0)</f>
        <v>286.3</v>
      </c>
      <c r="J38" s="6">
        <f>IFERROR(J28/21,0)</f>
        <v>298.1952380952381</v>
      </c>
      <c r="K38" s="6">
        <f>IFERROR(K28/21,0)</f>
        <v>297.95714285714286</v>
      </c>
      <c r="L38" s="6">
        <f>IFERROR(L28/22,0)</f>
        <v>301.78636363636366</v>
      </c>
      <c r="M38" s="6">
        <f>IFERROR(M28/19,0)</f>
        <v>317.9947368421052</v>
      </c>
      <c r="N38" s="6">
        <f>IFERROR(N28/22,0)</f>
        <v>302.7590909090909</v>
      </c>
      <c r="O38" s="6">
        <f>IFERROR(O28/254,0)</f>
        <v>294.36023622047236</v>
      </c>
      <c r="Q38" s="6">
        <f>IFERROR(Q28/21,0)</f>
        <v>274.0809523809524</v>
      </c>
      <c r="R38" s="6">
        <f>IFERROR(R28/20,0)</f>
        <v>281.34499999999997</v>
      </c>
      <c r="S38" s="6">
        <f>IFERROR(S28/22,0)</f>
        <v>275.5954545454546</v>
      </c>
      <c r="T38" s="6">
        <f>IFERROR(T28/22,0)</f>
        <v>303.6909090909091</v>
      </c>
      <c r="U38" s="6">
        <f>IFERROR(U28/20,0)</f>
        <v>302.15</v>
      </c>
      <c r="V38" s="6">
        <f>IFERROR(V28/22,0)</f>
        <v>292.6318181818182</v>
      </c>
      <c r="W38" s="6">
        <f>IFERROR(W28/22,0)</f>
        <v>286.3</v>
      </c>
      <c r="X38" s="6">
        <f>IFERROR(X28/21,0)</f>
        <v>298.1952380952381</v>
      </c>
      <c r="Y38" s="6">
        <f>IFERROR(Y28/21,0)</f>
        <v>297.95714285714286</v>
      </c>
      <c r="Z38" s="6">
        <f>IFERROR(Z28/22,0)</f>
        <v>301.78636363636366</v>
      </c>
      <c r="AA38" s="6">
        <f>IFERROR(AA28/19,0)</f>
        <v>317.9947368421052</v>
      </c>
      <c r="AB38" s="6">
        <f>IFERROR(AB28/22,0)</f>
        <v>302.7590909090909</v>
      </c>
      <c r="AC38" s="6">
        <f>IFERROR(AC28/254,0)</f>
        <v>294.36023622047236</v>
      </c>
      <c r="AE38" s="6">
        <f>IFERROR(AE28/21,0)</f>
        <v>0.0</v>
      </c>
      <c r="AF38" s="6">
        <f>IFERROR(AF28/20,0)</f>
        <v>0.0</v>
      </c>
      <c r="AG38" s="6">
        <f>IFERROR(AG28/22,0)</f>
        <v>0.0</v>
      </c>
      <c r="AH38" s="6">
        <f>IFERROR(AH28/22,0)</f>
        <v>0.0</v>
      </c>
      <c r="AI38" s="6">
        <f>IFERROR(AI28/20,0)</f>
        <v>0.0</v>
      </c>
      <c r="AJ38" s="6">
        <f>IFERROR(AJ28/22,0)</f>
        <v>0.0</v>
      </c>
      <c r="AK38" s="6">
        <f>IFERROR(AK28/22,0)</f>
        <v>0.0</v>
      </c>
      <c r="AL38" s="6">
        <f>IFERROR(AL28/21,0)</f>
        <v>0.0</v>
      </c>
      <c r="AM38" s="6">
        <f>IFERROR(AM28/21,0)</f>
        <v>0.0</v>
      </c>
      <c r="AN38" s="6">
        <f>IFERROR(AN28/22,0)</f>
        <v>0.0</v>
      </c>
      <c r="AO38" s="6">
        <f>IFERROR(AO28/19,0)</f>
        <v>0.0</v>
      </c>
      <c r="AP38" s="6">
        <f>IFERROR(AP28/22,0)</f>
        <v>0.0</v>
      </c>
      <c r="AQ38" s="6">
        <f>IFERROR(AQ28/254,0)</f>
        <v>0.0</v>
      </c>
      <c r="AS38" s="6">
        <f>IFERROR(AS28/21,0)</f>
        <v>0.0</v>
      </c>
      <c r="AT38" s="6">
        <f>IFERROR(AT28/20,0)</f>
        <v>0.0</v>
      </c>
      <c r="AU38" s="6">
        <f>IFERROR(AU28/22,0)</f>
        <v>0.0</v>
      </c>
      <c r="AV38" s="6">
        <f>IFERROR(AV28/22,0)</f>
        <v>0.0</v>
      </c>
      <c r="AW38" s="6">
        <f>IFERROR(AW28/20,0)</f>
        <v>0.0</v>
      </c>
      <c r="AX38" s="6">
        <f>IFERROR(AX28/22,0)</f>
        <v>0.0</v>
      </c>
      <c r="AY38" s="6">
        <f>IFERROR(AY28/22,0)</f>
        <v>0.0</v>
      </c>
      <c r="AZ38" s="6">
        <f>IFERROR(AZ28/21,0)</f>
        <v>0.0</v>
      </c>
      <c r="BA38" s="6">
        <f>IFERROR(BA28/21,0)</f>
        <v>7.142857142857143</v>
      </c>
      <c r="BB38" s="6">
        <f>IFERROR(BB28/22,0)</f>
        <v>11.363636363636363</v>
      </c>
      <c r="BC38" s="6">
        <f>IFERROR(BC28/19,0)</f>
        <v>15.789473684210526</v>
      </c>
      <c r="BD38" s="6">
        <f>IFERROR(BD28/22,0)</f>
        <v>9.090909090909092</v>
      </c>
      <c r="BE38" s="6">
        <f>IFERROR(BE28/254,0)</f>
        <v>3.543307086614173</v>
      </c>
      <c r="BG38" s="6">
        <f>IFERROR(BG28/21,0)</f>
        <v>274.0809523809524</v>
      </c>
      <c r="BH38" s="6">
        <f>IFERROR(BH28/20,0)</f>
        <v>281.34499999999997</v>
      </c>
      <c r="BI38" s="6">
        <f>IFERROR(BI28/22,0)</f>
        <v>275.5954545454546</v>
      </c>
      <c r="BJ38" s="6">
        <f>IFERROR(BJ28/22,0)</f>
        <v>303.6909090909091</v>
      </c>
      <c r="BK38" s="6">
        <f>IFERROR(BK28/20,0)</f>
        <v>302.15</v>
      </c>
      <c r="BL38" s="6">
        <f>IFERROR(BL28/22,0)</f>
        <v>292.6318181818182</v>
      </c>
      <c r="BM38" s="6">
        <f>IFERROR(BM28/22,0)</f>
        <v>286.3</v>
      </c>
      <c r="BN38" s="6">
        <f>IFERROR(BN28/21,0)</f>
        <v>298.1952380952381</v>
      </c>
      <c r="BO38" s="6">
        <f>IFERROR(BO28/21,0)</f>
        <v>305.1</v>
      </c>
      <c r="BP38" s="6">
        <f>IFERROR(BP28/22,0)</f>
        <v>313.15000000000003</v>
      </c>
      <c r="BQ38" s="6">
        <f>IFERROR(BQ28/19,0)</f>
        <v>333.78421052631575</v>
      </c>
      <c r="BR38" s="6">
        <f>IFERROR(BR28/22,0)</f>
        <v>311.84999999999997</v>
      </c>
      <c r="BS38" s="6">
        <f>IFERROR(BS28/254,0)</f>
        <v>297.9035433070866</v>
      </c>
    </row>
    <row r="40">
      <c r="B40" s="5" t="inlineStr">
        <is>
          <t>Net Inventory</t>
        </is>
      </c>
      <c r="C40" s="6" t="n">
        <v>8728.4</v>
      </c>
      <c r="D40" s="6" t="n">
        <v>8520.4</v>
      </c>
      <c r="E40" s="6" t="n">
        <v>9350.9</v>
      </c>
      <c r="F40" s="6" t="n">
        <v>10139.7</v>
      </c>
      <c r="G40" s="6" t="n">
        <v>8907.5</v>
      </c>
      <c r="H40" s="6" t="n">
        <v>9173.9</v>
      </c>
      <c r="I40" s="6" t="n">
        <v>8799.1</v>
      </c>
      <c r="J40" s="6" t="n">
        <v>8273.4</v>
      </c>
      <c r="K40" s="6" t="n">
        <v>8326.6</v>
      </c>
      <c r="L40" s="6" t="n">
        <v>9166.299999999999</v>
      </c>
      <c r="M40" s="6" t="n">
        <v>8313.4</v>
      </c>
      <c r="N40" s="6" t="n">
        <v>9050.6</v>
      </c>
      <c r="O40" s="6">
        <f>N40</f>
        <v>9050.6</v>
      </c>
      <c r="Q40" s="6" t="n">
        <v>8728.4</v>
      </c>
      <c r="R40" s="6" t="n">
        <v>8520.4</v>
      </c>
      <c r="S40" s="6" t="n">
        <v>9350.9</v>
      </c>
      <c r="T40" s="6" t="n">
        <v>10139.7</v>
      </c>
      <c r="U40" s="6" t="n">
        <v>8907.5</v>
      </c>
      <c r="V40" s="6" t="n">
        <v>9173.9</v>
      </c>
      <c r="W40" s="6" t="n">
        <v>8799.1</v>
      </c>
      <c r="X40" s="6" t="n">
        <v>8273.4</v>
      </c>
      <c r="Y40" s="6" t="n">
        <v>8326.6</v>
      </c>
      <c r="Z40" s="6" t="n">
        <v>9166.299999999999</v>
      </c>
      <c r="AA40" s="6" t="n">
        <v>8313.4</v>
      </c>
      <c r="AB40" s="6" t="n">
        <v>9050.6</v>
      </c>
      <c r="AC40" s="6">
        <f>AB40</f>
        <v>9050.6</v>
      </c>
      <c r="AE40" s="6">
        <f>Q40-C40</f>
        <v>0.0</v>
      </c>
      <c r="AF40" s="6">
        <f>R40-D40</f>
        <v>0.0</v>
      </c>
      <c r="AG40" s="6">
        <f>S40-E40</f>
        <v>0.0</v>
      </c>
      <c r="AH40" s="6">
        <f>T40-F40</f>
        <v>0.0</v>
      </c>
      <c r="AI40" s="6">
        <f>U40-G40</f>
        <v>0.0</v>
      </c>
      <c r="AJ40" s="6">
        <f>V40-H40</f>
        <v>0.0</v>
      </c>
      <c r="AK40" s="6">
        <f>W40-I40</f>
        <v>0.0</v>
      </c>
      <c r="AL40" s="6">
        <f>X40-J40</f>
        <v>0.0</v>
      </c>
      <c r="AM40" s="6">
        <f>Y40-K40</f>
        <v>0.0</v>
      </c>
      <c r="AN40" s="6">
        <f>Z40-L40</f>
        <v>0.0</v>
      </c>
      <c r="AO40" s="6">
        <f>AA40-M40</f>
        <v>0.0</v>
      </c>
      <c r="AP40" s="6">
        <f>AB40-N40</f>
        <v>0.0</v>
      </c>
      <c r="AQ40" s="6">
        <f>AP40</f>
        <v>0.0</v>
      </c>
      <c r="AS40" s="6">
        <f>'Beacon-Adj'!C90</f>
        <v>0.0</v>
      </c>
      <c r="AT40" s="6">
        <f>'Beacon-Adj'!D90</f>
        <v>0.0</v>
      </c>
      <c r="AU40" s="6">
        <f>'Beacon-Adj'!E90</f>
        <v>0.0</v>
      </c>
      <c r="AV40" s="6">
        <f>'Beacon-Adj'!F90</f>
        <v>0.0</v>
      </c>
      <c r="AW40" s="6">
        <f>'Beacon-Adj'!G90</f>
        <v>0.0</v>
      </c>
      <c r="AX40" s="6">
        <f>'Beacon-Adj'!H90</f>
        <v>0.0</v>
      </c>
      <c r="AY40" s="6">
        <f>'Beacon-Adj'!I90</f>
        <v>0.0</v>
      </c>
      <c r="AZ40" s="6">
        <f>'Beacon-Adj'!J90</f>
        <v>0.0</v>
      </c>
      <c r="BA40" s="6">
        <f>'Beacon-Adj'!K90</f>
        <v>0.0</v>
      </c>
      <c r="BB40" s="6">
        <f>'Beacon-Adj'!L90</f>
        <v>0.0</v>
      </c>
      <c r="BC40" s="6">
        <f>'Beacon-Adj'!M90</f>
        <v>0.0</v>
      </c>
      <c r="BD40" s="6">
        <f>'Beacon-Adj'!N90</f>
        <v>0.0</v>
      </c>
      <c r="BE40" s="6">
        <f>BD40</f>
        <v>0.0</v>
      </c>
      <c r="BG40" s="6">
        <f>C40+AE40+AS40</f>
        <v>8728.4</v>
      </c>
      <c r="BH40" s="6">
        <f>D40+AF40+AT40</f>
        <v>8520.4</v>
      </c>
      <c r="BI40" s="6">
        <f>E40+AG40+AU40</f>
        <v>9350.9</v>
      </c>
      <c r="BJ40" s="6">
        <f>F40+AH40+AV40</f>
        <v>10139.7</v>
      </c>
      <c r="BK40" s="6">
        <f>G40+AI40+AW40</f>
        <v>8907.5</v>
      </c>
      <c r="BL40" s="6">
        <f>H40+AJ40+AX40</f>
        <v>9173.9</v>
      </c>
      <c r="BM40" s="6">
        <f>I40+AK40+AY40</f>
        <v>8799.1</v>
      </c>
      <c r="BN40" s="6">
        <f>J40+AL40+AZ40</f>
        <v>8273.4</v>
      </c>
      <c r="BO40" s="6">
        <f>K40+AM40+BA40</f>
        <v>8326.6</v>
      </c>
      <c r="BP40" s="6">
        <f>L40+AN40+BB40</f>
        <v>9166.3</v>
      </c>
      <c r="BQ40" s="6">
        <f>M40+AO40+BC40</f>
        <v>8313.4</v>
      </c>
      <c r="BR40" s="6">
        <f>N40+AP40+BD40</f>
        <v>9050.6</v>
      </c>
      <c r="BS40" s="6">
        <f>BR40</f>
        <v>9050.6</v>
      </c>
    </row>
    <row r="41">
      <c r="B41" s="5" t="inlineStr">
        <is>
          <t>Trade Receivables</t>
        </is>
      </c>
      <c r="C41" s="6" t="n">
        <v>8729.5</v>
      </c>
      <c r="D41" s="6" t="n">
        <v>8534.1</v>
      </c>
      <c r="E41" s="6" t="n">
        <v>9195.700000000001</v>
      </c>
      <c r="F41" s="6" t="n">
        <v>10133.2</v>
      </c>
      <c r="G41" s="6" t="n">
        <v>9165.200000000001</v>
      </c>
      <c r="H41" s="6" t="n">
        <v>9764.1</v>
      </c>
      <c r="I41" s="6" t="n">
        <v>9552.9</v>
      </c>
      <c r="J41" s="6" t="n">
        <v>9497.5</v>
      </c>
      <c r="K41" s="6" t="n">
        <v>9717.4</v>
      </c>
      <c r="L41" s="6" t="n">
        <v>10448.8</v>
      </c>
      <c r="M41" s="6" t="n">
        <v>9618.5</v>
      </c>
      <c r="N41" s="6" t="n">
        <v>10405.4</v>
      </c>
      <c r="O41" s="6">
        <f>N41</f>
        <v>10405.4</v>
      </c>
      <c r="Q41" s="6" t="n">
        <v>8729.5</v>
      </c>
      <c r="R41" s="6" t="n">
        <v>8534.1</v>
      </c>
      <c r="S41" s="6" t="n">
        <v>9195.700000000001</v>
      </c>
      <c r="T41" s="6" t="n">
        <v>10133.2</v>
      </c>
      <c r="U41" s="6" t="n">
        <v>9165.200000000001</v>
      </c>
      <c r="V41" s="6" t="n">
        <v>9764.1</v>
      </c>
      <c r="W41" s="6" t="n">
        <v>9552.9</v>
      </c>
      <c r="X41" s="6" t="n">
        <v>9497.5</v>
      </c>
      <c r="Y41" s="6" t="n">
        <v>9717.4</v>
      </c>
      <c r="Z41" s="6" t="n">
        <v>10448.8</v>
      </c>
      <c r="AA41" s="6" t="n">
        <v>9618.5</v>
      </c>
      <c r="AB41" s="6" t="n">
        <v>10405.4</v>
      </c>
      <c r="AC41" s="6">
        <f>AB41</f>
        <v>10405.4</v>
      </c>
      <c r="AE41" s="6">
        <f>Q41-C41</f>
        <v>0.0</v>
      </c>
      <c r="AF41" s="6">
        <f>R41-D41</f>
        <v>0.0</v>
      </c>
      <c r="AG41" s="6">
        <f>S41-E41</f>
        <v>0.0</v>
      </c>
      <c r="AH41" s="6">
        <f>T41-F41</f>
        <v>0.0</v>
      </c>
      <c r="AI41" s="6">
        <f>U41-G41</f>
        <v>0.0</v>
      </c>
      <c r="AJ41" s="6">
        <f>V41-H41</f>
        <v>0.0</v>
      </c>
      <c r="AK41" s="6">
        <f>W41-I41</f>
        <v>0.0</v>
      </c>
      <c r="AL41" s="6">
        <f>X41-J41</f>
        <v>0.0</v>
      </c>
      <c r="AM41" s="6">
        <f>Y41-K41</f>
        <v>0.0</v>
      </c>
      <c r="AN41" s="6">
        <f>Z41-L41</f>
        <v>0.0</v>
      </c>
      <c r="AO41" s="6">
        <f>AA41-M41</f>
        <v>0.0</v>
      </c>
      <c r="AP41" s="6">
        <f>AB41-N41</f>
        <v>0.0</v>
      </c>
      <c r="AQ41" s="6">
        <f>AP41</f>
        <v>0.0</v>
      </c>
      <c r="AS41" s="6">
        <f>'Beacon-Adj'!C91</f>
        <v>0.0</v>
      </c>
      <c r="AT41" s="6">
        <f>'Beacon-Adj'!D91</f>
        <v>0.0</v>
      </c>
      <c r="AU41" s="6">
        <f>'Beacon-Adj'!E91</f>
        <v>0.0</v>
      </c>
      <c r="AV41" s="6">
        <f>'Beacon-Adj'!F91</f>
        <v>0.0</v>
      </c>
      <c r="AW41" s="6">
        <f>'Beacon-Adj'!G91</f>
        <v>0.0</v>
      </c>
      <c r="AX41" s="6">
        <f>'Beacon-Adj'!H91</f>
        <v>0.0</v>
      </c>
      <c r="AY41" s="6">
        <f>'Beacon-Adj'!I91</f>
        <v>0.0</v>
      </c>
      <c r="AZ41" s="6">
        <f>'Beacon-Adj'!J91</f>
        <v>0.0</v>
      </c>
      <c r="BA41" s="6">
        <f>'Beacon-Adj'!K91</f>
        <v>0.0</v>
      </c>
      <c r="BB41" s="6">
        <f>'Beacon-Adj'!L91</f>
        <v>0.0</v>
      </c>
      <c r="BC41" s="6">
        <f>'Beacon-Adj'!M91</f>
        <v>0.0</v>
      </c>
      <c r="BD41" s="6">
        <f>'Beacon-Adj'!N91</f>
        <v>0.0</v>
      </c>
      <c r="BE41" s="6">
        <f>BD41</f>
        <v>0.0</v>
      </c>
      <c r="BG41" s="6">
        <f>C41+AE41+AS41</f>
        <v>8729.5</v>
      </c>
      <c r="BH41" s="6">
        <f>D41+AF41+AT41</f>
        <v>8534.1</v>
      </c>
      <c r="BI41" s="6">
        <f>E41+AG41+AU41</f>
        <v>9195.7</v>
      </c>
      <c r="BJ41" s="6">
        <f>F41+AH41+AV41</f>
        <v>10133.2</v>
      </c>
      <c r="BK41" s="6">
        <f>G41+AI41+AW41</f>
        <v>9165.2</v>
      </c>
      <c r="BL41" s="6">
        <f>H41+AJ41+AX41</f>
        <v>9764.1</v>
      </c>
      <c r="BM41" s="6">
        <f>I41+AK41+AY41</f>
        <v>9552.9</v>
      </c>
      <c r="BN41" s="6">
        <f>J41+AL41+AZ41</f>
        <v>9497.5</v>
      </c>
      <c r="BO41" s="6">
        <f>K41+AM41+BA41</f>
        <v>9717.4</v>
      </c>
      <c r="BP41" s="6">
        <f>L41+AN41+BB41</f>
        <v>10448.8</v>
      </c>
      <c r="BQ41" s="6">
        <f>M41+AO41+BC41</f>
        <v>9618.5</v>
      </c>
      <c r="BR41" s="6">
        <f>N41+AP41+BD41</f>
        <v>10405.4</v>
      </c>
      <c r="BS41" s="6">
        <f>BR41</f>
        <v>10405.4</v>
      </c>
    </row>
    <row r="42">
      <c r="B42" s="5" t="inlineStr">
        <is>
          <t>Other Receivables</t>
        </is>
      </c>
      <c r="C42" s="6" t="n">
        <v>86.3</v>
      </c>
      <c r="D42" s="6" t="n">
        <v>84.40000000000001</v>
      </c>
      <c r="E42" s="6" t="n">
        <v>90.90000000000001</v>
      </c>
      <c r="F42" s="6" t="n">
        <v>100.2</v>
      </c>
      <c r="G42" s="6" t="n">
        <v>90.59999999999999</v>
      </c>
      <c r="H42" s="6" t="n">
        <v>96.59999999999999</v>
      </c>
      <c r="I42" s="6" t="n">
        <v>94.5</v>
      </c>
      <c r="J42" s="6" t="n">
        <v>93.90000000000001</v>
      </c>
      <c r="K42" s="6" t="n">
        <v>96.09999999999999</v>
      </c>
      <c r="L42" s="6" t="n">
        <v>103.3</v>
      </c>
      <c r="M42" s="6" t="n">
        <v>95.09999999999999</v>
      </c>
      <c r="N42" s="6" t="n">
        <v>102.9</v>
      </c>
      <c r="O42" s="6">
        <f>N42</f>
        <v>102.9</v>
      </c>
      <c r="Q42" s="6" t="n">
        <v>86.3</v>
      </c>
      <c r="R42" s="6" t="n">
        <v>84.40000000000001</v>
      </c>
      <c r="S42" s="6" t="n">
        <v>90.90000000000001</v>
      </c>
      <c r="T42" s="6" t="n">
        <v>100.2</v>
      </c>
      <c r="U42" s="6" t="n">
        <v>90.59999999999999</v>
      </c>
      <c r="V42" s="6" t="n">
        <v>96.59999999999999</v>
      </c>
      <c r="W42" s="6" t="n">
        <v>94.5</v>
      </c>
      <c r="X42" s="6" t="n">
        <v>93.90000000000001</v>
      </c>
      <c r="Y42" s="6" t="n">
        <v>96.09999999999999</v>
      </c>
      <c r="Z42" s="6" t="n">
        <v>103.3</v>
      </c>
      <c r="AA42" s="6" t="n">
        <v>95.09999999999999</v>
      </c>
      <c r="AB42" s="6" t="n">
        <v>102.9</v>
      </c>
      <c r="AC42" s="6">
        <f>AB42</f>
        <v>102.9</v>
      </c>
      <c r="AE42" s="6">
        <f>Q42-C42</f>
        <v>0.0</v>
      </c>
      <c r="AF42" s="6">
        <f>R42-D42</f>
        <v>0.0</v>
      </c>
      <c r="AG42" s="6">
        <f>S42-E42</f>
        <v>0.0</v>
      </c>
      <c r="AH42" s="6">
        <f>T42-F42</f>
        <v>0.0</v>
      </c>
      <c r="AI42" s="6">
        <f>U42-G42</f>
        <v>0.0</v>
      </c>
      <c r="AJ42" s="6">
        <f>V42-H42</f>
        <v>0.0</v>
      </c>
      <c r="AK42" s="6">
        <f>W42-I42</f>
        <v>0.0</v>
      </c>
      <c r="AL42" s="6">
        <f>X42-J42</f>
        <v>0.0</v>
      </c>
      <c r="AM42" s="6">
        <f>Y42-K42</f>
        <v>0.0</v>
      </c>
      <c r="AN42" s="6">
        <f>Z42-L42</f>
        <v>0.0</v>
      </c>
      <c r="AO42" s="6">
        <f>AA42-M42</f>
        <v>0.0</v>
      </c>
      <c r="AP42" s="6">
        <f>AB42-N42</f>
        <v>0.0</v>
      </c>
      <c r="AQ42" s="6">
        <f>AP42</f>
        <v>0.0</v>
      </c>
      <c r="AS42" s="6">
        <f>'Beacon-Adj'!C92</f>
        <v>0.0</v>
      </c>
      <c r="AT42" s="6">
        <f>'Beacon-Adj'!D92</f>
        <v>0.0</v>
      </c>
      <c r="AU42" s="6">
        <f>'Beacon-Adj'!E92</f>
        <v>0.0</v>
      </c>
      <c r="AV42" s="6">
        <f>'Beacon-Adj'!F92</f>
        <v>0.0</v>
      </c>
      <c r="AW42" s="6">
        <f>'Beacon-Adj'!G92</f>
        <v>0.0</v>
      </c>
      <c r="AX42" s="6">
        <f>'Beacon-Adj'!H92</f>
        <v>0.0</v>
      </c>
      <c r="AY42" s="6">
        <f>'Beacon-Adj'!I92</f>
        <v>0.0</v>
      </c>
      <c r="AZ42" s="6">
        <f>'Beacon-Adj'!J92</f>
        <v>0.0</v>
      </c>
      <c r="BA42" s="6">
        <f>'Beacon-Adj'!K92</f>
        <v>0.0</v>
      </c>
      <c r="BB42" s="6">
        <f>'Beacon-Adj'!L92</f>
        <v>0.0</v>
      </c>
      <c r="BC42" s="6">
        <f>'Beacon-Adj'!M92</f>
        <v>0.0</v>
      </c>
      <c r="BD42" s="6">
        <f>'Beacon-Adj'!N92</f>
        <v>0.0</v>
      </c>
      <c r="BE42" s="6">
        <f>BD42</f>
        <v>0.0</v>
      </c>
      <c r="BG42" s="6">
        <f>C42+AE42+AS42</f>
        <v>86.3</v>
      </c>
      <c r="BH42" s="6">
        <f>D42+AF42+AT42</f>
        <v>84.4</v>
      </c>
      <c r="BI42" s="6">
        <f>E42+AG42+AU42</f>
        <v>90.9</v>
      </c>
      <c r="BJ42" s="6">
        <f>F42+AH42+AV42</f>
        <v>100.2</v>
      </c>
      <c r="BK42" s="6">
        <f>G42+AI42+AW42</f>
        <v>90.6</v>
      </c>
      <c r="BL42" s="6">
        <f>H42+AJ42+AX42</f>
        <v>96.6</v>
      </c>
      <c r="BM42" s="6">
        <f>I42+AK42+AY42</f>
        <v>94.5</v>
      </c>
      <c r="BN42" s="6">
        <f>J42+AL42+AZ42</f>
        <v>93.9</v>
      </c>
      <c r="BO42" s="6">
        <f>K42+AM42+BA42</f>
        <v>96.1</v>
      </c>
      <c r="BP42" s="6">
        <f>L42+AN42+BB42</f>
        <v>103.3</v>
      </c>
      <c r="BQ42" s="6">
        <f>M42+AO42+BC42</f>
        <v>95.1</v>
      </c>
      <c r="BR42" s="6">
        <f>N42+AP42+BD42</f>
        <v>102.9</v>
      </c>
      <c r="BS42" s="6">
        <f>BR42</f>
        <v>102.9</v>
      </c>
    </row>
    <row r="43">
      <c r="B43" s="5" t="inlineStr">
        <is>
          <t>Trade Payables</t>
        </is>
      </c>
      <c r="C43" s="6" t="n">
        <v>-4891.5</v>
      </c>
      <c r="D43" s="6" t="n">
        <v>-4802.7</v>
      </c>
      <c r="E43" s="6" t="n">
        <v>-5191.4</v>
      </c>
      <c r="F43" s="6" t="n">
        <v>-5694.1</v>
      </c>
      <c r="G43" s="6" t="n">
        <v>-5129.2</v>
      </c>
      <c r="H43" s="6" t="n">
        <v>-5481.1</v>
      </c>
      <c r="I43" s="6" t="n">
        <v>-5350.3</v>
      </c>
      <c r="J43" s="6" t="n">
        <v>-5361.7</v>
      </c>
      <c r="K43" s="6" t="n">
        <v>-5483.5</v>
      </c>
      <c r="L43" s="6" t="n">
        <v>-5874.8</v>
      </c>
      <c r="M43" s="6" t="n">
        <v>-5432.6</v>
      </c>
      <c r="N43" s="6" t="n">
        <v>-5871.6</v>
      </c>
      <c r="O43" s="6">
        <f>N43</f>
        <v>-5871.6</v>
      </c>
      <c r="Q43" s="6" t="n">
        <v>-4891.5</v>
      </c>
      <c r="R43" s="6" t="n">
        <v>-4802.7</v>
      </c>
      <c r="S43" s="6" t="n">
        <v>-5191.4</v>
      </c>
      <c r="T43" s="6" t="n">
        <v>-5694.1</v>
      </c>
      <c r="U43" s="6" t="n">
        <v>-5129.2</v>
      </c>
      <c r="V43" s="6" t="n">
        <v>-5481.1</v>
      </c>
      <c r="W43" s="6" t="n">
        <v>-5350.3</v>
      </c>
      <c r="X43" s="6" t="n">
        <v>-5361.7</v>
      </c>
      <c r="Y43" s="6" t="n">
        <v>-5483.5</v>
      </c>
      <c r="Z43" s="6" t="n">
        <v>-5874.8</v>
      </c>
      <c r="AA43" s="6" t="n">
        <v>-5432.6</v>
      </c>
      <c r="AB43" s="6" t="n">
        <v>-5871.6</v>
      </c>
      <c r="AC43" s="6">
        <f>AB43</f>
        <v>-5871.6</v>
      </c>
      <c r="AE43" s="6">
        <f>Q43-C43</f>
        <v>0.0</v>
      </c>
      <c r="AF43" s="6">
        <f>R43-D43</f>
        <v>0.0</v>
      </c>
      <c r="AG43" s="6">
        <f>S43-E43</f>
        <v>0.0</v>
      </c>
      <c r="AH43" s="6">
        <f>T43-F43</f>
        <v>0.0</v>
      </c>
      <c r="AI43" s="6">
        <f>U43-G43</f>
        <v>0.0</v>
      </c>
      <c r="AJ43" s="6">
        <f>V43-H43</f>
        <v>0.0</v>
      </c>
      <c r="AK43" s="6">
        <f>W43-I43</f>
        <v>0.0</v>
      </c>
      <c r="AL43" s="6">
        <f>X43-J43</f>
        <v>0.0</v>
      </c>
      <c r="AM43" s="6">
        <f>Y43-K43</f>
        <v>0.0</v>
      </c>
      <c r="AN43" s="6">
        <f>Z43-L43</f>
        <v>0.0</v>
      </c>
      <c r="AO43" s="6">
        <f>AA43-M43</f>
        <v>0.0</v>
      </c>
      <c r="AP43" s="6">
        <f>AB43-N43</f>
        <v>0.0</v>
      </c>
      <c r="AQ43" s="6">
        <f>AP43</f>
        <v>0.0</v>
      </c>
      <c r="AS43" s="6">
        <f>'Beacon-Adj'!C93</f>
        <v>0.0</v>
      </c>
      <c r="AT43" s="6">
        <f>'Beacon-Adj'!D93</f>
        <v>0.0</v>
      </c>
      <c r="AU43" s="6">
        <f>'Beacon-Adj'!E93</f>
        <v>0.0</v>
      </c>
      <c r="AV43" s="6">
        <f>'Beacon-Adj'!F93</f>
        <v>0.0</v>
      </c>
      <c r="AW43" s="6">
        <f>'Beacon-Adj'!G93</f>
        <v>0.0</v>
      </c>
      <c r="AX43" s="6">
        <f>'Beacon-Adj'!H93</f>
        <v>0.0</v>
      </c>
      <c r="AY43" s="6">
        <f>'Beacon-Adj'!I93</f>
        <v>0.0</v>
      </c>
      <c r="AZ43" s="6">
        <f>'Beacon-Adj'!J93</f>
        <v>0.0</v>
      </c>
      <c r="BA43" s="6">
        <f>'Beacon-Adj'!K93</f>
        <v>0.0</v>
      </c>
      <c r="BB43" s="6">
        <f>'Beacon-Adj'!L93</f>
        <v>0.0</v>
      </c>
      <c r="BC43" s="6">
        <f>'Beacon-Adj'!M93</f>
        <v>0.0</v>
      </c>
      <c r="BD43" s="6">
        <f>'Beacon-Adj'!N93</f>
        <v>0.0</v>
      </c>
      <c r="BE43" s="6">
        <f>BD43</f>
        <v>0.0</v>
      </c>
      <c r="BG43" s="6">
        <f>C43+AE43+AS43</f>
        <v>-4891.5</v>
      </c>
      <c r="BH43" s="6">
        <f>D43+AF43+AT43</f>
        <v>-4802.7</v>
      </c>
      <c r="BI43" s="6">
        <f>E43+AG43+AU43</f>
        <v>-5191.4</v>
      </c>
      <c r="BJ43" s="6">
        <f>F43+AH43+AV43</f>
        <v>-5694.1</v>
      </c>
      <c r="BK43" s="6">
        <f>G43+AI43+AW43</f>
        <v>-5129.2</v>
      </c>
      <c r="BL43" s="6">
        <f>H43+AJ43+AX43</f>
        <v>-5481.1</v>
      </c>
      <c r="BM43" s="6">
        <f>I43+AK43+AY43</f>
        <v>-5350.3</v>
      </c>
      <c r="BN43" s="6">
        <f>J43+AL43+AZ43</f>
        <v>-5361.7</v>
      </c>
      <c r="BO43" s="6">
        <f>K43+AM43+BA43</f>
        <v>-5483.5</v>
      </c>
      <c r="BP43" s="6">
        <f>L43+AN43+BB43</f>
        <v>-5874.8</v>
      </c>
      <c r="BQ43" s="6">
        <f>M43+AO43+BC43</f>
        <v>-5432.6</v>
      </c>
      <c r="BR43" s="6">
        <f>N43+AP43+BD43</f>
        <v>-5871.6</v>
      </c>
      <c r="BS43" s="6">
        <f>BR43</f>
        <v>-5871.6</v>
      </c>
    </row>
    <row r="44">
      <c r="B44" s="5" t="inlineStr">
        <is>
          <t>Other Payables</t>
        </is>
      </c>
      <c r="C44" s="6" t="n">
        <v>-172.7</v>
      </c>
      <c r="D44" s="6" t="n">
        <v>-168.8</v>
      </c>
      <c r="E44" s="6" t="n">
        <v>-181.9</v>
      </c>
      <c r="F44" s="6" t="n">
        <v>-200.4</v>
      </c>
      <c r="G44" s="6" t="n">
        <v>-181.3</v>
      </c>
      <c r="H44" s="6" t="n">
        <v>-193.1</v>
      </c>
      <c r="I44" s="6" t="n">
        <v>-189</v>
      </c>
      <c r="J44" s="6" t="n">
        <v>-187.9</v>
      </c>
      <c r="K44" s="6" t="n">
        <v>-192.2</v>
      </c>
      <c r="L44" s="6" t="n">
        <v>-206.7</v>
      </c>
      <c r="M44" s="6" t="n">
        <v>-190.3</v>
      </c>
      <c r="N44" s="6" t="n">
        <v>-205.8</v>
      </c>
      <c r="O44" s="6">
        <f>N44</f>
        <v>-205.8</v>
      </c>
      <c r="Q44" s="6" t="n">
        <v>-172.7</v>
      </c>
      <c r="R44" s="6" t="n">
        <v>-168.8</v>
      </c>
      <c r="S44" s="6" t="n">
        <v>-181.9</v>
      </c>
      <c r="T44" s="6" t="n">
        <v>-200.4</v>
      </c>
      <c r="U44" s="6" t="n">
        <v>-181.3</v>
      </c>
      <c r="V44" s="6" t="n">
        <v>-193.1</v>
      </c>
      <c r="W44" s="6" t="n">
        <v>-189</v>
      </c>
      <c r="X44" s="6" t="n">
        <v>-187.9</v>
      </c>
      <c r="Y44" s="6" t="n">
        <v>-192.2</v>
      </c>
      <c r="Z44" s="6" t="n">
        <v>-206.7</v>
      </c>
      <c r="AA44" s="6" t="n">
        <v>-190.3</v>
      </c>
      <c r="AB44" s="6" t="n">
        <v>-205.8</v>
      </c>
      <c r="AC44" s="6">
        <f>AB44</f>
        <v>-205.8</v>
      </c>
      <c r="AE44" s="6">
        <f>Q44-C44</f>
        <v>0.0</v>
      </c>
      <c r="AF44" s="6">
        <f>R44-D44</f>
        <v>0.0</v>
      </c>
      <c r="AG44" s="6">
        <f>S44-E44</f>
        <v>0.0</v>
      </c>
      <c r="AH44" s="6">
        <f>T44-F44</f>
        <v>0.0</v>
      </c>
      <c r="AI44" s="6">
        <f>U44-G44</f>
        <v>0.0</v>
      </c>
      <c r="AJ44" s="6">
        <f>V44-H44</f>
        <v>0.0</v>
      </c>
      <c r="AK44" s="6">
        <f>W44-I44</f>
        <v>0.0</v>
      </c>
      <c r="AL44" s="6">
        <f>X44-J44</f>
        <v>0.0</v>
      </c>
      <c r="AM44" s="6">
        <f>Y44-K44</f>
        <v>0.0</v>
      </c>
      <c r="AN44" s="6">
        <f>Z44-L44</f>
        <v>0.0</v>
      </c>
      <c r="AO44" s="6">
        <f>AA44-M44</f>
        <v>0.0</v>
      </c>
      <c r="AP44" s="6">
        <f>AB44-N44</f>
        <v>0.0</v>
      </c>
      <c r="AQ44" s="6">
        <f>AP44</f>
        <v>0.0</v>
      </c>
      <c r="AS44" s="6">
        <f>'Beacon-Adj'!C94</f>
        <v>0.0</v>
      </c>
      <c r="AT44" s="6">
        <f>'Beacon-Adj'!D94</f>
        <v>0.0</v>
      </c>
      <c r="AU44" s="6">
        <f>'Beacon-Adj'!E94</f>
        <v>0.0</v>
      </c>
      <c r="AV44" s="6">
        <f>'Beacon-Adj'!F94</f>
        <v>0.0</v>
      </c>
      <c r="AW44" s="6">
        <f>'Beacon-Adj'!G94</f>
        <v>0.0</v>
      </c>
      <c r="AX44" s="6">
        <f>'Beacon-Adj'!H94</f>
        <v>0.0</v>
      </c>
      <c r="AY44" s="6">
        <f>'Beacon-Adj'!I94</f>
        <v>0.0</v>
      </c>
      <c r="AZ44" s="6">
        <f>'Beacon-Adj'!J94</f>
        <v>0.0</v>
      </c>
      <c r="BA44" s="6">
        <f>'Beacon-Adj'!K94</f>
        <v>0.0</v>
      </c>
      <c r="BB44" s="6">
        <f>'Beacon-Adj'!L94</f>
        <v>0.0</v>
      </c>
      <c r="BC44" s="6">
        <f>'Beacon-Adj'!M94</f>
        <v>0.0</v>
      </c>
      <c r="BD44" s="6">
        <f>'Beacon-Adj'!N94</f>
        <v>0.0</v>
      </c>
      <c r="BE44" s="6">
        <f>BD44</f>
        <v>0.0</v>
      </c>
      <c r="BG44" s="6">
        <f>C44+AE44+AS44</f>
        <v>-172.7</v>
      </c>
      <c r="BH44" s="6">
        <f>D44+AF44+AT44</f>
        <v>-168.8</v>
      </c>
      <c r="BI44" s="6">
        <f>E44+AG44+AU44</f>
        <v>-181.9</v>
      </c>
      <c r="BJ44" s="6">
        <f>F44+AH44+AV44</f>
        <v>-200.4</v>
      </c>
      <c r="BK44" s="6">
        <f>G44+AI44+AW44</f>
        <v>-181.3</v>
      </c>
      <c r="BL44" s="6">
        <f>H44+AJ44+AX44</f>
        <v>-193.1</v>
      </c>
      <c r="BM44" s="6">
        <f>I44+AK44+AY44</f>
        <v>-189.0</v>
      </c>
      <c r="BN44" s="6">
        <f>J44+AL44+AZ44</f>
        <v>-187.9</v>
      </c>
      <c r="BO44" s="6">
        <f>K44+AM44+BA44</f>
        <v>-192.2</v>
      </c>
      <c r="BP44" s="6">
        <f>L44+AN44+BB44</f>
        <v>-206.7</v>
      </c>
      <c r="BQ44" s="6">
        <f>M44+AO44+BC44</f>
        <v>-190.3</v>
      </c>
      <c r="BR44" s="6">
        <f>N44+AP44+BD44</f>
        <v>-205.8</v>
      </c>
      <c r="BS44" s="6">
        <f>BR44</f>
        <v>-205.8</v>
      </c>
    </row>
    <row r="45">
      <c r="B45" s="2" t="inlineStr">
        <is>
          <t>Total working capital</t>
        </is>
      </c>
      <c r="C45" s="6">
        <f>SUM(C40:C44)</f>
        <v>12480.0</v>
      </c>
      <c r="D45" s="6">
        <f>SUM(D40:D44)</f>
        <v>12167.400000000001</v>
      </c>
      <c r="E45" s="6">
        <f>SUM(E40:E44)</f>
        <v>13264.2</v>
      </c>
      <c r="F45" s="6">
        <f>SUM(F40:F44)</f>
        <v>14478.600000000002</v>
      </c>
      <c r="G45" s="6">
        <f>SUM(G40:G44)</f>
        <v>12852.8</v>
      </c>
      <c r="H45" s="6">
        <f>SUM(H40:H44)</f>
        <v>13360.399999999998</v>
      </c>
      <c r="I45" s="6">
        <f>SUM(I40:I44)</f>
        <v>12907.2</v>
      </c>
      <c r="J45" s="6">
        <f>SUM(J40:J44)</f>
        <v>12315.200000000003</v>
      </c>
      <c r="K45" s="6">
        <f>SUM(K40:K44)</f>
        <v>12464.399999999998</v>
      </c>
      <c r="L45" s="6">
        <f>SUM(L40:L44)</f>
        <v>13636.899999999998</v>
      </c>
      <c r="M45" s="6">
        <f>SUM(M40:M44)</f>
        <v>12404.1</v>
      </c>
      <c r="N45" s="6">
        <f>SUM(N40:N44)</f>
        <v>13481.500000000002</v>
      </c>
      <c r="O45" s="6">
        <f>N45</f>
        <v>13481.500000000002</v>
      </c>
      <c r="Q45" s="6">
        <f>SUM(Q40:Q44)</f>
        <v>12480.0</v>
      </c>
      <c r="R45" s="6">
        <f>SUM(R40:R44)</f>
        <v>12167.400000000001</v>
      </c>
      <c r="S45" s="6">
        <f>SUM(S40:S44)</f>
        <v>13264.2</v>
      </c>
      <c r="T45" s="6">
        <f>SUM(T40:T44)</f>
        <v>14478.600000000002</v>
      </c>
      <c r="U45" s="6">
        <f>SUM(U40:U44)</f>
        <v>12852.8</v>
      </c>
      <c r="V45" s="6">
        <f>SUM(V40:V44)</f>
        <v>13360.399999999998</v>
      </c>
      <c r="W45" s="6">
        <f>SUM(W40:W44)</f>
        <v>12907.2</v>
      </c>
      <c r="X45" s="6">
        <f>SUM(X40:X44)</f>
        <v>12315.200000000003</v>
      </c>
      <c r="Y45" s="6">
        <f>SUM(Y40:Y44)</f>
        <v>12464.399999999998</v>
      </c>
      <c r="Z45" s="6">
        <f>SUM(Z40:Z44)</f>
        <v>13636.899999999998</v>
      </c>
      <c r="AA45" s="6">
        <f>SUM(AA40:AA44)</f>
        <v>12404.1</v>
      </c>
      <c r="AB45" s="6">
        <f>SUM(AB40:AB44)</f>
        <v>13481.500000000002</v>
      </c>
      <c r="AC45" s="6">
        <f>AB45</f>
        <v>13481.500000000002</v>
      </c>
      <c r="AE45" s="6">
        <f>SUM(AE40:AE44)</f>
        <v>0.0</v>
      </c>
      <c r="AF45" s="6">
        <f>SUM(AF40:AF44)</f>
        <v>0.0</v>
      </c>
      <c r="AG45" s="6">
        <f>SUM(AG40:AG44)</f>
        <v>0.0</v>
      </c>
      <c r="AH45" s="6">
        <f>SUM(AH40:AH44)</f>
        <v>0.0</v>
      </c>
      <c r="AI45" s="6">
        <f>SUM(AI40:AI44)</f>
        <v>0.0</v>
      </c>
      <c r="AJ45" s="6">
        <f>SUM(AJ40:AJ44)</f>
        <v>0.0</v>
      </c>
      <c r="AK45" s="6">
        <f>SUM(AK40:AK44)</f>
        <v>0.0</v>
      </c>
      <c r="AL45" s="6">
        <f>SUM(AL40:AL44)</f>
        <v>0.0</v>
      </c>
      <c r="AM45" s="6">
        <f>SUM(AM40:AM44)</f>
        <v>0.0</v>
      </c>
      <c r="AN45" s="6">
        <f>SUM(AN40:AN44)</f>
        <v>0.0</v>
      </c>
      <c r="AO45" s="6">
        <f>SUM(AO40:AO44)</f>
        <v>0.0</v>
      </c>
      <c r="AP45" s="6">
        <f>SUM(AP40:AP44)</f>
        <v>0.0</v>
      </c>
      <c r="AQ45" s="6">
        <f>AP45</f>
        <v>0.0</v>
      </c>
      <c r="AS45" s="6">
        <f>SUM(AS40:AS44)</f>
        <v>0.0</v>
      </c>
      <c r="AT45" s="6">
        <f>SUM(AT40:AT44)</f>
        <v>0.0</v>
      </c>
      <c r="AU45" s="6">
        <f>SUM(AU40:AU44)</f>
        <v>0.0</v>
      </c>
      <c r="AV45" s="6">
        <f>SUM(AV40:AV44)</f>
        <v>0.0</v>
      </c>
      <c r="AW45" s="6">
        <f>SUM(AW40:AW44)</f>
        <v>0.0</v>
      </c>
      <c r="AX45" s="6">
        <f>SUM(AX40:AX44)</f>
        <v>0.0</v>
      </c>
      <c r="AY45" s="6">
        <f>SUM(AY40:AY44)</f>
        <v>0.0</v>
      </c>
      <c r="AZ45" s="6">
        <f>SUM(AZ40:AZ44)</f>
        <v>0.0</v>
      </c>
      <c r="BA45" s="6">
        <f>SUM(BA40:BA44)</f>
        <v>0.0</v>
      </c>
      <c r="BB45" s="6">
        <f>SUM(BB40:BB44)</f>
        <v>0.0</v>
      </c>
      <c r="BC45" s="6">
        <f>SUM(BC40:BC44)</f>
        <v>0.0</v>
      </c>
      <c r="BD45" s="6">
        <f>SUM(BD40:BD44)</f>
        <v>0.0</v>
      </c>
      <c r="BE45" s="6">
        <f>BD45</f>
        <v>0.0</v>
      </c>
      <c r="BG45" s="6">
        <f>SUM(BG40:BG44)</f>
        <v>12480.0</v>
      </c>
      <c r="BH45" s="6">
        <f>SUM(BH40:BH44)</f>
        <v>12167.400000000001</v>
      </c>
      <c r="BI45" s="6">
        <f>SUM(BI40:BI44)</f>
        <v>13264.2</v>
      </c>
      <c r="BJ45" s="6">
        <f>SUM(BJ40:BJ44)</f>
        <v>14478.600000000002</v>
      </c>
      <c r="BK45" s="6">
        <f>SUM(BK40:BK44)</f>
        <v>12852.8</v>
      </c>
      <c r="BL45" s="6">
        <f>SUM(BL40:BL44)</f>
        <v>13360.399999999998</v>
      </c>
      <c r="BM45" s="6">
        <f>SUM(BM40:BM44)</f>
        <v>12907.2</v>
      </c>
      <c r="BN45" s="6">
        <f>SUM(BN40:BN44)</f>
        <v>12315.200000000003</v>
      </c>
      <c r="BO45" s="6">
        <f>SUM(BO40:BO44)</f>
        <v>12464.399999999998</v>
      </c>
      <c r="BP45" s="6">
        <f>SUM(BP40:BP44)</f>
        <v>13636.899999999998</v>
      </c>
      <c r="BQ45" s="6">
        <f>SUM(BQ40:BQ44)</f>
        <v>12404.1</v>
      </c>
      <c r="BR45" s="6">
        <f>SUM(BR40:BR44)</f>
        <v>13481.500000000002</v>
      </c>
      <c r="BS45" s="6">
        <f>BR45</f>
        <v>13481.500000000002</v>
      </c>
    </row>
    <row r="46">
      <c r="B46" s="5" t="inlineStr">
        <is>
          <t>Working capital/sales (monthly)</t>
        </is>
      </c>
      <c r="C46" s="12">
        <f>IFERROR(C45/(C28*12),0)</f>
        <v>0.18069044599266815</v>
      </c>
      <c r="D46" s="12">
        <f>IFERROR(D45/(D28*12),0)</f>
        <v>0.18019691126552814</v>
      </c>
      <c r="E46" s="12">
        <f>IFERROR(E45/(E28*12),0)</f>
        <v>0.18230773036895315</v>
      </c>
      <c r="F46" s="12">
        <f>IFERROR(F45/(F28*12),0)</f>
        <v>0.180588816380291</v>
      </c>
      <c r="G46" s="12">
        <f>IFERROR(G45/(G28*12),0)</f>
        <v>0.1772408847702576</v>
      </c>
      <c r="H46" s="12">
        <f>IFERROR(H45/(H28*12),0)</f>
        <v>0.17293941606217347</v>
      </c>
      <c r="I46" s="12">
        <f>IFERROR(I45/(I28*12),0)</f>
        <v>0.17076810719842503</v>
      </c>
      <c r="J46" s="12">
        <f>IFERROR(J45/(J28*12),0)</f>
        <v>0.16388538456215435</v>
      </c>
      <c r="K46" s="12">
        <f>IFERROR(K45/(K28*12),0)</f>
        <v>0.16600342011474958</v>
      </c>
      <c r="L46" s="12">
        <f>IFERROR(L45/(L28*12),0)</f>
        <v>0.1711638777180325</v>
      </c>
      <c r="M46" s="12">
        <f>IFERROR(M45/(M28*12),0)</f>
        <v>0.1710844270841954</v>
      </c>
      <c r="N46" s="12">
        <f>IFERROR(N45/(N28*12),0)</f>
        <v>0.168669709389904</v>
      </c>
      <c r="Q46" s="12">
        <f>IFERROR(Q45/(Q28*12),0)</f>
        <v>0.18069044599266815</v>
      </c>
      <c r="R46" s="12">
        <f>IFERROR(R45/(R28*12),0)</f>
        <v>0.18019691126552814</v>
      </c>
      <c r="S46" s="12">
        <f>IFERROR(S45/(S28*12),0)</f>
        <v>0.18230773036895315</v>
      </c>
      <c r="T46" s="12">
        <f>IFERROR(T45/(T28*12),0)</f>
        <v>0.180588816380291</v>
      </c>
      <c r="U46" s="12">
        <f>IFERROR(U45/(U28*12),0)</f>
        <v>0.1772408847702576</v>
      </c>
      <c r="V46" s="12">
        <f>IFERROR(V45/(V28*12),0)</f>
        <v>0.17293941606217347</v>
      </c>
      <c r="W46" s="12">
        <f>IFERROR(W45/(W28*12),0)</f>
        <v>0.17076810719842503</v>
      </c>
      <c r="X46" s="12">
        <f>IFERROR(X45/(X28*12),0)</f>
        <v>0.16388538456215435</v>
      </c>
      <c r="Y46" s="12">
        <f>IFERROR(Y45/(Y28*12),0)</f>
        <v>0.16600342011474958</v>
      </c>
      <c r="Z46" s="12">
        <f>IFERROR(Z45/(Z28*12),0)</f>
        <v>0.1711638777180325</v>
      </c>
      <c r="AA46" s="12">
        <f>IFERROR(AA45/(AA28*12),0)</f>
        <v>0.1710844270841954</v>
      </c>
      <c r="AB46" s="12">
        <f>IFERROR(AB45/(AB28*12),0)</f>
        <v>0.168669709389904</v>
      </c>
      <c r="AE46" s="12">
        <f>IFERROR(AE45/(AE28*12),0)</f>
        <v>0.0</v>
      </c>
      <c r="AF46" s="12">
        <f>IFERROR(AF45/(AF28*12),0)</f>
        <v>0.0</v>
      </c>
      <c r="AG46" s="12">
        <f>IFERROR(AG45/(AG28*12),0)</f>
        <v>0.0</v>
      </c>
      <c r="AH46" s="12">
        <f>IFERROR(AH45/(AH28*12),0)</f>
        <v>0.0</v>
      </c>
      <c r="AI46" s="12">
        <f>IFERROR(AI45/(AI28*12),0)</f>
        <v>0.0</v>
      </c>
      <c r="AJ46" s="12">
        <f>IFERROR(AJ45/(AJ28*12),0)</f>
        <v>0.0</v>
      </c>
      <c r="AK46" s="12">
        <f>IFERROR(AK45/(AK28*12),0)</f>
        <v>0.0</v>
      </c>
      <c r="AL46" s="12">
        <f>IFERROR(AL45/(AL28*12),0)</f>
        <v>0.0</v>
      </c>
      <c r="AM46" s="12">
        <f>IFERROR(AM45/(AM28*12),0)</f>
        <v>0.0</v>
      </c>
      <c r="AN46" s="12">
        <f>IFERROR(AN45/(AN28*12),0)</f>
        <v>0.0</v>
      </c>
      <c r="AO46" s="12">
        <f>IFERROR(AO45/(AO28*12),0)</f>
        <v>0.0</v>
      </c>
      <c r="AP46" s="12">
        <f>IFERROR(AP45/(AP28*12),0)</f>
        <v>0.0</v>
      </c>
      <c r="AS46" s="12">
        <f>IFERROR(AS45/(AS28*12),0)</f>
        <v>0.0</v>
      </c>
      <c r="AT46" s="12">
        <f>IFERROR(AT45/(AT28*12),0)</f>
        <v>0.0</v>
      </c>
      <c r="AU46" s="12">
        <f>IFERROR(AU45/(AU28*12),0)</f>
        <v>0.0</v>
      </c>
      <c r="AV46" s="12">
        <f>IFERROR(AV45/(AV28*12),0)</f>
        <v>0.0</v>
      </c>
      <c r="AW46" s="12">
        <f>IFERROR(AW45/(AW28*12),0)</f>
        <v>0.0</v>
      </c>
      <c r="AX46" s="12">
        <f>IFERROR(AX45/(AX28*12),0)</f>
        <v>0.0</v>
      </c>
      <c r="AY46" s="12">
        <f>IFERROR(AY45/(AY28*12),0)</f>
        <v>0.0</v>
      </c>
      <c r="AZ46" s="12">
        <f>IFERROR(AZ45/(AZ28*12),0)</f>
        <v>0.0</v>
      </c>
      <c r="BA46" s="12">
        <f>IFERROR(BA45/(BA28*12),0)</f>
        <v>0.0</v>
      </c>
      <c r="BB46" s="12">
        <f>IFERROR(BB45/(BB28*12),0)</f>
        <v>0.0</v>
      </c>
      <c r="BC46" s="12">
        <f>IFERROR(BC45/(BC28*12),0)</f>
        <v>0.0</v>
      </c>
      <c r="BD46" s="12">
        <f>IFERROR(BD45/(BD28*12),0)</f>
        <v>0.0</v>
      </c>
      <c r="BG46" s="12">
        <f>IFERROR(BG45/(BG28*12),0)</f>
        <v>0.18069044599266815</v>
      </c>
      <c r="BH46" s="12">
        <f>IFERROR(BH45/(BH28*12),0)</f>
        <v>0.18019691126552814</v>
      </c>
      <c r="BI46" s="12">
        <f>IFERROR(BI45/(BI28*12),0)</f>
        <v>0.18230773036895315</v>
      </c>
      <c r="BJ46" s="12">
        <f>IFERROR(BJ45/(BJ28*12),0)</f>
        <v>0.180588816380291</v>
      </c>
      <c r="BK46" s="12">
        <f>IFERROR(BK45/(BK28*12),0)</f>
        <v>0.1772408847702576</v>
      </c>
      <c r="BL46" s="12">
        <f>IFERROR(BL45/(BL28*12),0)</f>
        <v>0.17293941606217347</v>
      </c>
      <c r="BM46" s="12">
        <f>IFERROR(BM45/(BM28*12),0)</f>
        <v>0.17076810719842503</v>
      </c>
      <c r="BN46" s="12">
        <f>IFERROR(BN45/(BN28*12),0)</f>
        <v>0.16388538456215435</v>
      </c>
      <c r="BO46" s="12">
        <f>IFERROR(BO45/(BO28*12),0)</f>
        <v>0.16211702642381104</v>
      </c>
      <c r="BP46" s="12">
        <f>IFERROR(BP45/(BP28*12),0)</f>
        <v>0.1649526560511711</v>
      </c>
      <c r="BQ46" s="12">
        <f>IFERROR(BQ45/(BQ28*12),0)</f>
        <v>0.16299137482457943</v>
      </c>
      <c r="BR46" s="12">
        <f>IFERROR(BR45/(BR28*12),0)</f>
        <v>0.16375272688404005</v>
      </c>
    </row>
    <row r="49">
      <c r="B49" s="8" t="inlineStr">
        <is>
          <t>Budget 2026</t>
        </is>
      </c>
    </row>
    <row r="50">
      <c r="C50" s="20" t="inlineStr">
        <is>
          <t>January</t>
        </is>
      </c>
      <c r="D50" s="20" t="inlineStr">
        <is>
          <t>February</t>
        </is>
      </c>
      <c r="E50" s="20" t="inlineStr">
        <is>
          <t>March</t>
        </is>
      </c>
      <c r="F50" s="20" t="inlineStr">
        <is>
          <t>April</t>
        </is>
      </c>
      <c r="G50" s="20" t="inlineStr">
        <is>
          <t>May</t>
        </is>
      </c>
      <c r="H50" s="20" t="inlineStr">
        <is>
          <t>June</t>
        </is>
      </c>
      <c r="I50" s="20" t="inlineStr">
        <is>
          <t>July</t>
        </is>
      </c>
      <c r="J50" s="20" t="inlineStr">
        <is>
          <t>August</t>
        </is>
      </c>
      <c r="K50" s="20" t="inlineStr">
        <is>
          <t>September</t>
        </is>
      </c>
      <c r="L50" s="20" t="inlineStr">
        <is>
          <t>October</t>
        </is>
      </c>
      <c r="M50" s="20" t="inlineStr">
        <is>
          <t>November</t>
        </is>
      </c>
      <c r="N50" s="20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6" t="n">
        <v>5541.6</v>
      </c>
      <c r="D51" s="6" t="n">
        <v>5425</v>
      </c>
      <c r="E51" s="6" t="n">
        <v>5833.4</v>
      </c>
      <c r="F51" s="6" t="n">
        <v>6299.9</v>
      </c>
      <c r="G51" s="6" t="n">
        <v>5716.7</v>
      </c>
      <c r="H51" s="6" t="n">
        <v>6008.4</v>
      </c>
      <c r="I51" s="6" t="n">
        <v>5949.9</v>
      </c>
      <c r="J51" s="6" t="n">
        <v>5833.3</v>
      </c>
      <c r="K51" s="6" t="n">
        <v>5716.6</v>
      </c>
      <c r="L51" s="6" t="n">
        <v>6125</v>
      </c>
      <c r="M51" s="6" t="n">
        <v>5541.6</v>
      </c>
      <c r="N51" s="6" t="n">
        <v>6008.3</v>
      </c>
      <c r="O51" s="6">
        <f>SUM(C51:N51)</f>
        <v>69999.7</v>
      </c>
    </row>
    <row r="52">
      <c r="B52" t="inlineStr">
        <is>
          <t>Gross Margin</t>
        </is>
      </c>
      <c r="C52" s="6" t="n">
        <v>2133.6</v>
      </c>
      <c r="D52" s="6" t="n">
        <v>2088.6</v>
      </c>
      <c r="E52" s="6" t="n">
        <v>2245.9</v>
      </c>
      <c r="F52" s="6" t="n">
        <v>2425.5</v>
      </c>
      <c r="G52" s="6" t="n">
        <v>2200.9</v>
      </c>
      <c r="H52" s="6" t="n">
        <v>2313.2</v>
      </c>
      <c r="I52" s="6" t="n">
        <v>2290.8</v>
      </c>
      <c r="J52" s="6" t="n">
        <v>2245.8</v>
      </c>
      <c r="K52" s="6" t="n">
        <v>2200.8</v>
      </c>
      <c r="L52" s="6" t="n">
        <v>2358.1</v>
      </c>
      <c r="M52" s="6" t="n">
        <v>2133.6</v>
      </c>
      <c r="N52" s="6" t="n">
        <v>2313.1</v>
      </c>
      <c r="O52" s="6">
        <f>SUM(C52:N52)</f>
        <v>26949.899999999994</v>
      </c>
    </row>
    <row r="53">
      <c r="B53" t="inlineStr">
        <is>
          <t>Op Costs</t>
        </is>
      </c>
      <c r="C53" s="6" t="n">
        <v>-1263.3</v>
      </c>
      <c r="D53" s="6" t="n">
        <v>-1236.9</v>
      </c>
      <c r="E53" s="6" t="n">
        <v>-1329.9</v>
      </c>
      <c r="F53" s="6" t="n">
        <v>-1436.6</v>
      </c>
      <c r="G53" s="6" t="n">
        <v>-1303.4</v>
      </c>
      <c r="H53" s="6" t="n">
        <v>-1369.5</v>
      </c>
      <c r="I53" s="6" t="n">
        <v>-1356.7</v>
      </c>
      <c r="J53" s="6" t="n">
        <v>-1329.9</v>
      </c>
      <c r="K53" s="6" t="n">
        <v>-1303.4</v>
      </c>
      <c r="L53" s="6" t="n">
        <v>-1396.5</v>
      </c>
      <c r="M53" s="6" t="n">
        <v>-1263.3</v>
      </c>
      <c r="N53" s="6" t="n">
        <v>-1369.5</v>
      </c>
      <c r="O53" s="6">
        <f>SUM(C53:N53)</f>
        <v>-15958.9</v>
      </c>
    </row>
    <row r="54">
      <c r="B54" t="inlineStr">
        <is>
          <t>PBITA</t>
        </is>
      </c>
      <c r="C54" s="6">
        <f>C52+C53</f>
        <v>870.3</v>
      </c>
      <c r="D54" s="6">
        <f>D52+D53</f>
        <v>851.6999999999998</v>
      </c>
      <c r="E54" s="6">
        <f>E52+E53</f>
        <v>916.0</v>
      </c>
      <c r="F54" s="6">
        <f>F52+F53</f>
        <v>988.9000000000001</v>
      </c>
      <c r="G54" s="6">
        <f>G52+G53</f>
        <v>897.5</v>
      </c>
      <c r="H54" s="6">
        <f>H52+H53</f>
        <v>943.6999999999998</v>
      </c>
      <c r="I54" s="6">
        <f>I52+I53</f>
        <v>934.1000000000001</v>
      </c>
      <c r="J54" s="6">
        <f>J52+J53</f>
        <v>915.9000000000001</v>
      </c>
      <c r="K54" s="6">
        <f>K52+K53</f>
        <v>897.4000000000001</v>
      </c>
      <c r="L54" s="6">
        <f>L52+L53</f>
        <v>961.5999999999999</v>
      </c>
      <c r="M54" s="6">
        <f>M52+M53</f>
        <v>870.3</v>
      </c>
      <c r="N54" s="6">
        <f>N52+N53</f>
        <v>943.5999999999999</v>
      </c>
      <c r="O54" s="6">
        <f>SUM(C54:N54)</f>
        <v>10991.0</v>
      </c>
    </row>
    <row r="55">
      <c r="B55" t="inlineStr">
        <is>
          <t>Net Inventory</t>
        </is>
      </c>
      <c r="C55" s="6" t="n">
        <v>8485.1</v>
      </c>
      <c r="D55" s="6" t="n">
        <v>8532.200000000001</v>
      </c>
      <c r="E55" s="6" t="n">
        <v>9250.1</v>
      </c>
      <c r="F55" s="6" t="n">
        <v>9657.799999999999</v>
      </c>
      <c r="G55" s="6" t="n">
        <v>8797.4</v>
      </c>
      <c r="H55" s="6" t="n">
        <v>9309.4</v>
      </c>
      <c r="I55" s="6" t="n">
        <v>9130</v>
      </c>
      <c r="J55" s="6" t="n">
        <v>8997.299999999999</v>
      </c>
      <c r="K55" s="6" t="n">
        <v>8803.6</v>
      </c>
      <c r="L55" s="6" t="n">
        <v>9523.6</v>
      </c>
      <c r="M55" s="6" t="n">
        <v>8685.4</v>
      </c>
      <c r="N55" s="6" t="n">
        <v>9276.299999999999</v>
      </c>
      <c r="O55" s="6">
        <f>N55</f>
        <v>9276.3</v>
      </c>
    </row>
    <row r="56">
      <c r="B56" t="inlineStr">
        <is>
          <t>Trade Receivables</t>
        </is>
      </c>
      <c r="C56" s="6" t="n">
        <v>8312.4</v>
      </c>
      <c r="D56" s="6" t="n">
        <v>8137.5</v>
      </c>
      <c r="E56" s="6" t="n">
        <v>8750.1</v>
      </c>
      <c r="F56" s="6" t="n">
        <v>9449.9</v>
      </c>
      <c r="G56" s="6" t="n">
        <v>8575</v>
      </c>
      <c r="H56" s="6" t="n">
        <v>9012.6</v>
      </c>
      <c r="I56" s="6" t="n">
        <v>8924.9</v>
      </c>
      <c r="J56" s="6" t="n">
        <v>8750</v>
      </c>
      <c r="K56" s="6" t="n">
        <v>8574.9</v>
      </c>
      <c r="L56" s="6" t="n">
        <v>9187.5</v>
      </c>
      <c r="M56" s="6" t="n">
        <v>8312.4</v>
      </c>
      <c r="N56" s="6" t="n">
        <v>9012.5</v>
      </c>
      <c r="O56" s="6">
        <f>N56</f>
        <v>9012.5</v>
      </c>
    </row>
    <row r="57">
      <c r="B57" t="inlineStr">
        <is>
          <t>Other Receivables</t>
        </is>
      </c>
      <c r="C57" s="6" t="n">
        <v>83.09999999999999</v>
      </c>
      <c r="D57" s="6" t="n">
        <v>81.40000000000001</v>
      </c>
      <c r="E57" s="6" t="n">
        <v>87.5</v>
      </c>
      <c r="F57" s="6" t="n">
        <v>94.5</v>
      </c>
      <c r="G57" s="6" t="n">
        <v>85.8</v>
      </c>
      <c r="H57" s="6" t="n">
        <v>90.09999999999999</v>
      </c>
      <c r="I57" s="6" t="n">
        <v>89.2</v>
      </c>
      <c r="J57" s="6" t="n">
        <v>87.5</v>
      </c>
      <c r="K57" s="6" t="n">
        <v>85.7</v>
      </c>
      <c r="L57" s="6" t="n">
        <v>91.90000000000001</v>
      </c>
      <c r="M57" s="6" t="n">
        <v>83.09999999999999</v>
      </c>
      <c r="N57" s="6" t="n">
        <v>90.09999999999999</v>
      </c>
      <c r="O57" s="6">
        <f>N57</f>
        <v>90.1</v>
      </c>
    </row>
    <row r="58">
      <c r="B58" t="inlineStr">
        <is>
          <t>Trade Payables</t>
        </is>
      </c>
      <c r="C58" s="6" t="n">
        <v>-4771.2</v>
      </c>
      <c r="D58" s="6" t="n">
        <v>-4671</v>
      </c>
      <c r="E58" s="6" t="n">
        <v>-5022.5</v>
      </c>
      <c r="F58" s="6" t="n">
        <v>-5424.2</v>
      </c>
      <c r="G58" s="6" t="n">
        <v>-4922.1</v>
      </c>
      <c r="H58" s="6" t="n">
        <v>-5173.3</v>
      </c>
      <c r="I58" s="6" t="n">
        <v>-5122.7</v>
      </c>
      <c r="J58" s="6" t="n">
        <v>-5022.5</v>
      </c>
      <c r="K58" s="6" t="n">
        <v>-4922.1</v>
      </c>
      <c r="L58" s="6" t="n">
        <v>-5273.7</v>
      </c>
      <c r="M58" s="6" t="n">
        <v>-4771.2</v>
      </c>
      <c r="N58" s="6" t="n">
        <v>-5173.3</v>
      </c>
      <c r="O58" s="6">
        <f>N58</f>
        <v>-5173.3</v>
      </c>
    </row>
    <row r="59">
      <c r="B59" t="inlineStr">
        <is>
          <t>Other Payables</t>
        </is>
      </c>
      <c r="C59" s="6" t="n">
        <v>-166.2</v>
      </c>
      <c r="D59" s="6" t="n">
        <v>-162.8</v>
      </c>
      <c r="E59" s="6" t="n">
        <v>-175</v>
      </c>
      <c r="F59" s="6" t="n">
        <v>-189</v>
      </c>
      <c r="G59" s="6" t="n">
        <v>-171.5</v>
      </c>
      <c r="H59" s="6" t="n">
        <v>-180.3</v>
      </c>
      <c r="I59" s="6" t="n">
        <v>-178.5</v>
      </c>
      <c r="J59" s="6" t="n">
        <v>-175</v>
      </c>
      <c r="K59" s="6" t="n">
        <v>-171.5</v>
      </c>
      <c r="L59" s="6" t="n">
        <v>-183.8</v>
      </c>
      <c r="M59" s="6" t="n">
        <v>-166.2</v>
      </c>
      <c r="N59" s="6" t="n">
        <v>-180.2</v>
      </c>
      <c r="O59" s="6">
        <f>N59</f>
        <v>-180.2</v>
      </c>
    </row>
    <row r="60">
      <c r="B60" t="inlineStr">
        <is>
          <t>Total working capital</t>
        </is>
      </c>
      <c r="C60" s="6">
        <f>SUM(C55:C59)</f>
        <v>11943.199999999997</v>
      </c>
      <c r="D60" s="6">
        <f>SUM(D55:D59)</f>
        <v>11917.300000000003</v>
      </c>
      <c r="E60" s="6">
        <f>SUM(E55:E59)</f>
        <v>12890.2</v>
      </c>
      <c r="F60" s="6">
        <f>SUM(F55:F59)</f>
        <v>13588.999999999996</v>
      </c>
      <c r="G60" s="6">
        <f>SUM(G55:G59)</f>
        <v>12364.6</v>
      </c>
      <c r="H60" s="6">
        <f>SUM(H55:H59)</f>
        <v>13058.5</v>
      </c>
      <c r="I60" s="6">
        <f>SUM(I55:I59)</f>
        <v>12842.900000000001</v>
      </c>
      <c r="J60" s="6">
        <f>SUM(J55:J59)</f>
        <v>12637.3</v>
      </c>
      <c r="K60" s="6">
        <f>SUM(K55:K59)</f>
        <v>12370.6</v>
      </c>
      <c r="L60" s="6">
        <f>SUM(L55:L59)</f>
        <v>13345.5</v>
      </c>
      <c r="M60" s="6">
        <f>SUM(M55:M59)</f>
        <v>12143.499999999996</v>
      </c>
      <c r="N60" s="6">
        <f>SUM(N55:N59)</f>
        <v>13025.399999999998</v>
      </c>
      <c r="O60" s="6">
        <f>N60</f>
        <v>13025.399999999998</v>
      </c>
    </row>
    <row r="62">
      <c r="B62" s="8" t="inlineStr">
        <is>
          <t>2025 Actual</t>
        </is>
      </c>
    </row>
    <row r="63">
      <c r="C63" s="20" t="inlineStr">
        <is>
          <t>January</t>
        </is>
      </c>
      <c r="D63" s="20" t="inlineStr">
        <is>
          <t>February</t>
        </is>
      </c>
      <c r="E63" s="20" t="inlineStr">
        <is>
          <t>March</t>
        </is>
      </c>
      <c r="F63" s="20" t="inlineStr">
        <is>
          <t>April</t>
        </is>
      </c>
      <c r="G63" s="20" t="inlineStr">
        <is>
          <t>May</t>
        </is>
      </c>
      <c r="H63" s="20" t="inlineStr">
        <is>
          <t>June</t>
        </is>
      </c>
      <c r="I63" s="20" t="inlineStr">
        <is>
          <t>July</t>
        </is>
      </c>
      <c r="J63" s="20" t="inlineStr">
        <is>
          <t>August</t>
        </is>
      </c>
      <c r="K63" s="20" t="inlineStr">
        <is>
          <t>September</t>
        </is>
      </c>
      <c r="L63" s="20" t="inlineStr">
        <is>
          <t>October</t>
        </is>
      </c>
      <c r="M63" s="20" t="inlineStr">
        <is>
          <t>November</t>
        </is>
      </c>
      <c r="N63" s="20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6" t="n">
        <v>5230.6</v>
      </c>
      <c r="D64" s="6" t="n">
        <v>5032.7</v>
      </c>
      <c r="E64" s="6" t="n">
        <v>5537.8</v>
      </c>
      <c r="F64" s="6" t="n">
        <v>5891.1</v>
      </c>
      <c r="G64" s="6" t="n">
        <v>5489.5</v>
      </c>
      <c r="H64" s="6" t="n">
        <v>5559.1</v>
      </c>
      <c r="I64" s="6" t="n">
        <v>5661.9</v>
      </c>
      <c r="J64" s="6" t="n">
        <v>5518.7</v>
      </c>
      <c r="K64" s="6" t="n">
        <v>5475.2</v>
      </c>
      <c r="L64" s="6" t="n">
        <v>5706.6</v>
      </c>
      <c r="M64" s="6" t="n">
        <v>5149.2</v>
      </c>
      <c r="N64" s="6" t="n">
        <v>5596.8</v>
      </c>
      <c r="O64" s="6">
        <f>SUM(C64:N64)</f>
        <v>65849.19999999998</v>
      </c>
    </row>
    <row r="65">
      <c r="B65" t="inlineStr">
        <is>
          <t>Gross Margin</t>
        </is>
      </c>
      <c r="C65" s="6" t="n">
        <v>1988</v>
      </c>
      <c r="D65" s="6" t="n">
        <v>1911.2</v>
      </c>
      <c r="E65" s="6" t="n">
        <v>2093.3</v>
      </c>
      <c r="F65" s="6" t="n">
        <v>2204.5</v>
      </c>
      <c r="G65" s="6" t="n">
        <v>2085.4</v>
      </c>
      <c r="H65" s="6" t="n">
        <v>2091.2</v>
      </c>
      <c r="I65" s="6" t="n">
        <v>2118.6</v>
      </c>
      <c r="J65" s="6" t="n">
        <v>2099.8</v>
      </c>
      <c r="K65" s="6" t="n">
        <v>2057.2</v>
      </c>
      <c r="L65" s="6" t="n">
        <v>2168.9</v>
      </c>
      <c r="M65" s="6" t="n">
        <v>1966.5</v>
      </c>
      <c r="N65" s="6" t="n">
        <v>2093.8</v>
      </c>
      <c r="O65" s="6">
        <f>SUM(C65:N65)</f>
        <v>24878.4</v>
      </c>
    </row>
    <row r="66">
      <c r="B66" t="inlineStr">
        <is>
          <t>Op Costs</t>
        </is>
      </c>
      <c r="C66" s="6" t="n">
        <v>-1222.7</v>
      </c>
      <c r="D66" s="6" t="n">
        <v>-1199</v>
      </c>
      <c r="E66" s="6" t="n">
        <v>-1275.6</v>
      </c>
      <c r="F66" s="6" t="n">
        <v>-1379.8</v>
      </c>
      <c r="G66" s="6" t="n">
        <v>-1250.8</v>
      </c>
      <c r="H66" s="6" t="n">
        <v>-1325.1</v>
      </c>
      <c r="I66" s="6" t="n">
        <v>-1318.1</v>
      </c>
      <c r="J66" s="6" t="n">
        <v>-1275.9</v>
      </c>
      <c r="K66" s="6" t="n">
        <v>-1253.5</v>
      </c>
      <c r="L66" s="6" t="n">
        <v>-1346.9</v>
      </c>
      <c r="M66" s="6" t="n">
        <v>-1223.9</v>
      </c>
      <c r="N66" s="6" t="n">
        <v>-1326.6</v>
      </c>
      <c r="O66" s="6">
        <f>SUM(C66:N66)</f>
        <v>-15397.9</v>
      </c>
    </row>
    <row r="67">
      <c r="B67" t="inlineStr">
        <is>
          <t>PBITA</t>
        </is>
      </c>
      <c r="C67" s="6">
        <f>C65+C66</f>
        <v>765.3</v>
      </c>
      <c r="D67" s="6">
        <f>D65+D66</f>
        <v>712.2</v>
      </c>
      <c r="E67" s="6">
        <f>E65+E66</f>
        <v>817.7000000000003</v>
      </c>
      <c r="F67" s="6">
        <f>F65+F66</f>
        <v>824.7</v>
      </c>
      <c r="G67" s="6">
        <f>G65+G66</f>
        <v>834.6000000000001</v>
      </c>
      <c r="H67" s="6">
        <f>H65+H66</f>
        <v>766.0999999999999</v>
      </c>
      <c r="I67" s="6">
        <f>I65+I66</f>
        <v>800.5</v>
      </c>
      <c r="J67" s="6">
        <f>J65+J66</f>
        <v>823.9000000000001</v>
      </c>
      <c r="K67" s="6">
        <f>K65+K66</f>
        <v>803.6999999999998</v>
      </c>
      <c r="L67" s="6">
        <f>L65+L66</f>
        <v>822.0</v>
      </c>
      <c r="M67" s="6">
        <f>M65+M66</f>
        <v>742.5999999999999</v>
      </c>
      <c r="N67" s="6">
        <f>N65+N66</f>
        <v>767.2000000000003</v>
      </c>
      <c r="O67" s="6">
        <f>SUM(C67:N67)</f>
        <v>9480.5</v>
      </c>
    </row>
    <row r="68">
      <c r="B68" t="inlineStr">
        <is>
          <t>Net Inventory</t>
        </is>
      </c>
      <c r="C68" s="6" t="n">
        <v>9183.4</v>
      </c>
      <c r="D68" s="6" t="n">
        <v>8568.6</v>
      </c>
      <c r="E68" s="6" t="n">
        <v>9705.799999999999</v>
      </c>
      <c r="F68" s="6" t="n">
        <v>10121.2</v>
      </c>
      <c r="G68" s="6" t="n">
        <v>9687.6</v>
      </c>
      <c r="H68" s="6" t="n">
        <v>9731.799999999999</v>
      </c>
      <c r="I68" s="6" t="n">
        <v>9903.5</v>
      </c>
      <c r="J68" s="6" t="n">
        <v>9764.299999999999</v>
      </c>
      <c r="K68" s="6" t="n">
        <v>9522.200000000001</v>
      </c>
      <c r="L68" s="6" t="n">
        <v>9819.1</v>
      </c>
      <c r="M68" s="6" t="n">
        <v>8967.9</v>
      </c>
      <c r="N68" s="6" t="n">
        <v>9843.9</v>
      </c>
      <c r="O68" s="6">
        <f>N68</f>
        <v>9843.9</v>
      </c>
    </row>
    <row r="69">
      <c r="B69" t="inlineStr">
        <is>
          <t>Trade Receivables</t>
        </is>
      </c>
      <c r="C69" s="6" t="n">
        <v>8020.3</v>
      </c>
      <c r="D69" s="6" t="n">
        <v>7716.8</v>
      </c>
      <c r="E69" s="6" t="n">
        <v>8491.299999999999</v>
      </c>
      <c r="F69" s="6" t="n">
        <v>9033</v>
      </c>
      <c r="G69" s="6" t="n">
        <v>8417.200000000001</v>
      </c>
      <c r="H69" s="6" t="n">
        <v>8524</v>
      </c>
      <c r="I69" s="6" t="n">
        <v>8681.6</v>
      </c>
      <c r="J69" s="6" t="n">
        <v>8462</v>
      </c>
      <c r="K69" s="6" t="n">
        <v>8395.299999999999</v>
      </c>
      <c r="L69" s="6" t="n">
        <v>8750.1</v>
      </c>
      <c r="M69" s="6" t="n">
        <v>7895.4</v>
      </c>
      <c r="N69" s="6" t="n">
        <v>8581.799999999999</v>
      </c>
      <c r="O69" s="6">
        <f>N69</f>
        <v>8581.8</v>
      </c>
    </row>
    <row r="70">
      <c r="B70" t="inlineStr">
        <is>
          <t>Other Receivables</t>
        </is>
      </c>
      <c r="C70" s="6" t="n">
        <v>78.5</v>
      </c>
      <c r="D70" s="6" t="n">
        <v>75.5</v>
      </c>
      <c r="E70" s="6" t="n">
        <v>83.09999999999999</v>
      </c>
      <c r="F70" s="6" t="n">
        <v>88.40000000000001</v>
      </c>
      <c r="G70" s="6" t="n">
        <v>82.3</v>
      </c>
      <c r="H70" s="6" t="n">
        <v>83.40000000000001</v>
      </c>
      <c r="I70" s="6" t="n">
        <v>84.90000000000001</v>
      </c>
      <c r="J70" s="6" t="n">
        <v>82.8</v>
      </c>
      <c r="K70" s="6" t="n">
        <v>82.09999999999999</v>
      </c>
      <c r="L70" s="6" t="n">
        <v>85.59999999999999</v>
      </c>
      <c r="M70" s="6" t="n">
        <v>77.2</v>
      </c>
      <c r="N70" s="6" t="n">
        <v>84</v>
      </c>
      <c r="O70" s="6">
        <f>N70</f>
        <v>84.0</v>
      </c>
    </row>
    <row r="71">
      <c r="B71" t="inlineStr">
        <is>
          <t>Trade Payables</t>
        </is>
      </c>
      <c r="C71" s="6" t="n">
        <v>-4431.6</v>
      </c>
      <c r="D71" s="6" t="n">
        <v>-4266.1</v>
      </c>
      <c r="E71" s="6" t="n">
        <v>-4707.5</v>
      </c>
      <c r="F71" s="6" t="n">
        <v>-5038.4</v>
      </c>
      <c r="G71" s="6" t="n">
        <v>-4652.3</v>
      </c>
      <c r="H71" s="6" t="n">
        <v>-4739.5</v>
      </c>
      <c r="I71" s="6" t="n">
        <v>-4842.5</v>
      </c>
      <c r="J71" s="6" t="n">
        <v>-4672.5</v>
      </c>
      <c r="K71" s="6" t="n">
        <v>-4671.3</v>
      </c>
      <c r="L71" s="6" t="n">
        <v>-4834.9</v>
      </c>
      <c r="M71" s="6" t="n">
        <v>-4349.7</v>
      </c>
      <c r="N71" s="6" t="n">
        <v>-4787.4</v>
      </c>
      <c r="O71" s="6">
        <f>N71</f>
        <v>-4787.4</v>
      </c>
    </row>
    <row r="72">
      <c r="B72" t="inlineStr">
        <is>
          <t>Other Payables</t>
        </is>
      </c>
      <c r="C72" s="6" t="n">
        <v>-156.9</v>
      </c>
      <c r="D72" s="6" t="n">
        <v>-151</v>
      </c>
      <c r="E72" s="6" t="n">
        <v>-166.1</v>
      </c>
      <c r="F72" s="6" t="n">
        <v>-176.7</v>
      </c>
      <c r="G72" s="6" t="n">
        <v>-164.7</v>
      </c>
      <c r="H72" s="6" t="n">
        <v>-166.8</v>
      </c>
      <c r="I72" s="6" t="n">
        <v>-169.9</v>
      </c>
      <c r="J72" s="6" t="n">
        <v>-165.6</v>
      </c>
      <c r="K72" s="6" t="n">
        <v>-164.3</v>
      </c>
      <c r="L72" s="6" t="n">
        <v>-171.2</v>
      </c>
      <c r="M72" s="6" t="n">
        <v>-154.5</v>
      </c>
      <c r="N72" s="6" t="n">
        <v>-167.9</v>
      </c>
      <c r="O72" s="6">
        <f>N72</f>
        <v>-167.9</v>
      </c>
    </row>
    <row r="73">
      <c r="B73" t="inlineStr">
        <is>
          <t>Total working capital</t>
        </is>
      </c>
      <c r="C73" s="6">
        <f>SUM(C68:C72)</f>
        <v>12693.7</v>
      </c>
      <c r="D73" s="6">
        <f>SUM(D68:D72)</f>
        <v>11943.800000000001</v>
      </c>
      <c r="E73" s="6">
        <f>SUM(E68:E72)</f>
        <v>13406.599999999997</v>
      </c>
      <c r="F73" s="6">
        <f>SUM(F68:F72)</f>
        <v>14027.500000000002</v>
      </c>
      <c r="G73" s="6">
        <f>SUM(G68:G72)</f>
        <v>13370.100000000002</v>
      </c>
      <c r="H73" s="6">
        <f>SUM(H68:H72)</f>
        <v>13432.900000000001</v>
      </c>
      <c r="I73" s="6">
        <f>SUM(I68:I72)</f>
        <v>13657.6</v>
      </c>
      <c r="J73" s="6">
        <f>SUM(J68:J72)</f>
        <v>13470.999999999998</v>
      </c>
      <c r="K73" s="6">
        <f>SUM(K68:K72)</f>
        <v>13164.0</v>
      </c>
      <c r="L73" s="6">
        <f>SUM(L68:L72)</f>
        <v>13648.699999999999</v>
      </c>
      <c r="M73" s="6">
        <f>SUM(M68:M72)</f>
        <v>12436.3</v>
      </c>
      <c r="N73" s="6">
        <f>SUM(N68:N72)</f>
        <v>13554.399999999998</v>
      </c>
      <c r="O73" s="6">
        <f>N73</f>
        <v>13554.399999999998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Cobalt Eyewear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2" t="inlineStr">
        <is>
          <t>Sales</t>
        </is>
      </c>
      <c r="C8" s="6">
        <f>'Cobalt'!BU28</f>
        <v>30.0</v>
      </c>
      <c r="D8" s="6">
        <f>'Cobalt'!BV28</f>
        <v>-114.60000000000582</v>
      </c>
      <c r="E8" s="6">
        <f>'Cobalt'!BW28</f>
        <v>1556.199999999997</v>
      </c>
      <c r="F8" s="6">
        <f>'Cobalt'!BY28</f>
        <v>120.0</v>
      </c>
      <c r="G8" s="6">
        <f>'Cobalt'!BZ28</f>
        <v>5.5</v>
      </c>
      <c r="H8" s="6">
        <f>'Cobalt'!CA28</f>
        <v>598.7999999999993</v>
      </c>
      <c r="I8" s="6">
        <f>'Cobalt'!CC28</f>
        <v>150.0</v>
      </c>
      <c r="J8" s="6">
        <f>'Cobalt'!CD28</f>
        <v>-109.09999999999854</v>
      </c>
      <c r="K8" s="6">
        <f>'Cobalt'!CE28</f>
        <v>2155.0</v>
      </c>
    </row>
    <row r="10">
      <c r="B10" s="2" t="inlineStr">
        <is>
          <t>Gross Margin</t>
        </is>
      </c>
      <c r="C10" s="6">
        <f>'Cobalt'!BU29</f>
        <v>-162.0</v>
      </c>
      <c r="D10" s="6">
        <f>'Cobalt'!BV29</f>
        <v>-598.3999999999996</v>
      </c>
      <c r="E10" s="6">
        <f>'Cobalt'!BW29</f>
        <v>253.60000000000036</v>
      </c>
      <c r="F10" s="6">
        <f>'Cobalt'!BY29</f>
        <v>-648.0</v>
      </c>
      <c r="G10" s="6">
        <f>'Cobalt'!BZ29</f>
        <v>-833.5</v>
      </c>
      <c r="H10" s="6">
        <f>'Cobalt'!CA29</f>
        <v>-575.3999999999996</v>
      </c>
      <c r="I10" s="6">
        <f>'Cobalt'!CC29</f>
        <v>-810.0</v>
      </c>
      <c r="J10" s="6">
        <f>'Cobalt'!CD29</f>
        <v>-1431.8999999999978</v>
      </c>
      <c r="K10" s="6">
        <f>'Cobalt'!CE29</f>
        <v>-321.7999999999993</v>
      </c>
    </row>
    <row r="12">
      <c r="B12" s="2" t="inlineStr">
        <is>
          <t>Op Costs</t>
        </is>
      </c>
      <c r="C12" s="6">
        <f>'Cobalt'!BU30</f>
        <v>6.0</v>
      </c>
      <c r="D12" s="6">
        <f>'Cobalt'!BV30</f>
        <v>-85.29999999999927</v>
      </c>
      <c r="E12" s="6">
        <f>'Cobalt'!BW30</f>
        <v>-284.9999999999982</v>
      </c>
      <c r="F12" s="6">
        <f>'Cobalt'!BY30</f>
        <v>-36.0</v>
      </c>
      <c r="G12" s="6">
        <f>'Cobalt'!BZ30</f>
        <v>-30.0</v>
      </c>
      <c r="H12" s="6">
        <f>'Cobalt'!CA30</f>
        <v>-101.5</v>
      </c>
      <c r="I12" s="6">
        <f>'Cobalt'!CC30</f>
        <v>-30.0</v>
      </c>
      <c r="J12" s="6">
        <f>'Cobalt'!CD30</f>
        <v>-115.29999999999927</v>
      </c>
      <c r="K12" s="6">
        <f>'Cobalt'!CE30</f>
        <v>-386.4999999999982</v>
      </c>
    </row>
    <row r="14">
      <c r="B14" s="2" t="inlineStr">
        <is>
          <t>PBITA</t>
        </is>
      </c>
      <c r="C14" s="6">
        <f>'Cobalt'!BU31</f>
        <v>-156.0</v>
      </c>
      <c r="D14" s="6">
        <f>'Cobalt'!BV31</f>
        <v>-683.7000000000007</v>
      </c>
      <c r="E14" s="6">
        <f>'Cobalt'!BW31</f>
        <v>-31.400000000000546</v>
      </c>
      <c r="F14" s="6">
        <f>'Cobalt'!BY31</f>
        <v>-684.0</v>
      </c>
      <c r="G14" s="6">
        <f>'Cobalt'!BZ31</f>
        <v>-863.4999999999998</v>
      </c>
      <c r="H14" s="6">
        <f>'Cobalt'!CA31</f>
        <v>-676.8999999999999</v>
      </c>
      <c r="I14" s="6">
        <f>'Cobalt'!CC31</f>
        <v>-840.0</v>
      </c>
      <c r="J14" s="6">
        <f>'Cobalt'!CD31</f>
        <v>-1547.1999999999998</v>
      </c>
      <c r="K14" s="6">
        <f>'Cobalt'!CE31</f>
        <v>-708.3000000000002</v>
      </c>
    </row>
    <row r="17">
      <c r="B17" s="8" t="inlineStr">
        <is>
          <t>Commentary (business controller):</t>
        </is>
      </c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8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4" t="inlineStr">
        <is>
          <t>January</t>
        </is>
      </c>
      <c r="D4" s="4" t="inlineStr">
        <is>
          <t>February</t>
        </is>
      </c>
      <c r="E4" s="4" t="inlineStr">
        <is>
          <t>March</t>
        </is>
      </c>
      <c r="F4" s="4" t="inlineStr">
        <is>
          <t>April</t>
        </is>
      </c>
      <c r="G4" s="4" t="inlineStr">
        <is>
          <t>May</t>
        </is>
      </c>
      <c r="H4" s="4" t="inlineStr">
        <is>
          <t>June</t>
        </is>
      </c>
      <c r="I4" s="4" t="inlineStr">
        <is>
          <t>July</t>
        </is>
      </c>
      <c r="J4" s="4" t="inlineStr">
        <is>
          <t>August</t>
        </is>
      </c>
      <c r="K4" s="4" t="inlineStr">
        <is>
          <t>September</t>
        </is>
      </c>
      <c r="L4" s="4" t="inlineStr">
        <is>
          <t>October</t>
        </is>
      </c>
      <c r="M4" s="4" t="inlineStr">
        <is>
          <t>November</t>
        </is>
      </c>
      <c r="N4" s="4" t="inlineStr">
        <is>
          <t>December</t>
        </is>
      </c>
      <c r="O4" s="4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Volume increase - new distributor program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1" t="n">
        <v>300</v>
      </c>
      <c r="L6" s="21" t="n">
        <v>400</v>
      </c>
      <c r="M6" s="21" t="n">
        <v>400</v>
      </c>
      <c r="N6" s="21" t="n">
        <v>400</v>
      </c>
      <c r="O6" s="6">
        <f>SUM(C6:N6)</f>
        <v>1500.0</v>
      </c>
    </row>
    <row r="7">
      <c r="B7" t="inlineStr">
        <is>
          <t>Price adjustment to meet competitor pricing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21" t="n">
        <v>-270</v>
      </c>
      <c r="L7" s="21" t="n">
        <v>-360</v>
      </c>
      <c r="M7" s="21" t="n">
        <v>-360</v>
      </c>
      <c r="N7" s="21" t="n">
        <v>-360</v>
      </c>
      <c r="O7" s="6">
        <f>SUM(C7:N7)</f>
        <v>-1350.0</v>
      </c>
    </row>
    <row r="8">
      <c r="B8" t="inlineStr">
        <is>
          <t>Insert Adj. 3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6">
        <f>SUM(C8:N8)</f>
        <v>0.0</v>
      </c>
    </row>
    <row r="9">
      <c r="B9" t="inlineStr">
        <is>
          <t>Insert Adj. 4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6">
        <f>SUM(C9:N9)</f>
        <v>0.0</v>
      </c>
    </row>
    <row r="10">
      <c r="B10" t="inlineStr">
        <is>
          <t>Insert Adj. 5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6">
        <f>SUM(C10:N10)</f>
        <v>0.0</v>
      </c>
    </row>
    <row r="11">
      <c r="B11" t="inlineStr">
        <is>
          <t>Insert Adj. 6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6">
        <f>SUM(C11:N11)</f>
        <v>0.0</v>
      </c>
    </row>
    <row r="12">
      <c r="B12" t="inlineStr">
        <is>
          <t>Insert Adj. 7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6">
        <f>SUM(C12:N12)</f>
        <v>0.0</v>
      </c>
    </row>
    <row r="13">
      <c r="B13" t="inlineStr">
        <is>
          <t>Insert Adj. 8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6">
        <f>SUM(C13:N13)</f>
        <v>0.0</v>
      </c>
    </row>
    <row r="14">
      <c r="B14" s="2" t="inlineStr">
        <is>
          <t>Total Sales</t>
        </is>
      </c>
      <c r="C14" s="9">
        <f>SUM(C6:C13)</f>
        <v>0.0</v>
      </c>
      <c r="D14" s="9">
        <f>SUM(D6:D13)</f>
        <v>0.0</v>
      </c>
      <c r="E14" s="9">
        <f>SUM(E6:E13)</f>
        <v>0.0</v>
      </c>
      <c r="F14" s="9">
        <f>SUM(F6:F13)</f>
        <v>0.0</v>
      </c>
      <c r="G14" s="9">
        <f>SUM(G6:G13)</f>
        <v>0.0</v>
      </c>
      <c r="H14" s="9">
        <f>SUM(H6:H13)</f>
        <v>0.0</v>
      </c>
      <c r="I14" s="9">
        <f>SUM(I6:I13)</f>
        <v>0.0</v>
      </c>
      <c r="J14" s="9">
        <f>SUM(J6:J13)</f>
        <v>0.0</v>
      </c>
      <c r="K14" s="9">
        <f>SUM(K6:K13)</f>
        <v>30.0</v>
      </c>
      <c r="L14" s="9">
        <f>SUM(L6:L13)</f>
        <v>40.0</v>
      </c>
      <c r="M14" s="9">
        <f>SUM(M6:M13)</f>
        <v>40.0</v>
      </c>
      <c r="N14" s="9">
        <f>SUM(N6:N13)</f>
        <v>40.0</v>
      </c>
      <c r="O14" s="9">
        <f>SUM(O6:O13)</f>
        <v>150.0</v>
      </c>
    </row>
    <row r="16">
      <c r="B16" s="2" t="inlineStr">
        <is>
          <t>Gross Margin (%)</t>
        </is>
      </c>
    </row>
    <row r="17">
      <c r="B17" t="str">
        <f>B6</f>
        <v>Volume increase - new distributor program</v>
      </c>
      <c r="C17" s="12">
        <f>IFERROR(C28/C6,0)</f>
        <v>0.0</v>
      </c>
      <c r="D17" s="12">
        <f>IFERROR(D28/D6,0)</f>
        <v>0.0</v>
      </c>
      <c r="E17" s="12">
        <f>IFERROR(E28/E6,0)</f>
        <v>0.0</v>
      </c>
      <c r="F17" s="12">
        <f>IFERROR(F28/F6,0)</f>
        <v>0.0</v>
      </c>
      <c r="G17" s="12">
        <f>IFERROR(G28/G6,0)</f>
        <v>0.0</v>
      </c>
      <c r="H17" s="12">
        <f>IFERROR(H28/H6,0)</f>
        <v>0.0</v>
      </c>
      <c r="I17" s="12">
        <f>IFERROR(I28/I6,0)</f>
        <v>0.0</v>
      </c>
      <c r="J17" s="12">
        <f>IFERROR(J28/J6,0)</f>
        <v>0.0</v>
      </c>
      <c r="K17" s="12">
        <f>IFERROR(K28/K6,0)</f>
        <v>0.36</v>
      </c>
      <c r="L17" s="12">
        <f>IFERROR(L28/L6,0)</f>
        <v>0.36</v>
      </c>
      <c r="M17" s="12">
        <f>IFERROR(M28/M6,0)</f>
        <v>0.36</v>
      </c>
      <c r="N17" s="12">
        <f>IFERROR(N28/N6,0)</f>
        <v>0.36</v>
      </c>
      <c r="O17" s="12">
        <f>IFERROR(O28/O6,0)</f>
        <v>0.36</v>
      </c>
    </row>
    <row r="18">
      <c r="B18" t="str">
        <f>B7</f>
        <v>Price adjustment to meet competitor pricing</v>
      </c>
      <c r="C18" s="12">
        <f>IFERROR(C29/C7,0)</f>
        <v>0.0</v>
      </c>
      <c r="D18" s="12">
        <f>IFERROR(D29/D7,0)</f>
        <v>0.0</v>
      </c>
      <c r="E18" s="12">
        <f>IFERROR(E29/E7,0)</f>
        <v>0.0</v>
      </c>
      <c r="F18" s="12">
        <f>IFERROR(F29/F7,0)</f>
        <v>0.0</v>
      </c>
      <c r="G18" s="12">
        <f>IFERROR(G29/G7,0)</f>
        <v>0.0</v>
      </c>
      <c r="H18" s="12">
        <f>IFERROR(H29/H7,0)</f>
        <v>0.0</v>
      </c>
      <c r="I18" s="12">
        <f>IFERROR(I29/I7,0)</f>
        <v>0.0</v>
      </c>
      <c r="J18" s="12">
        <f>IFERROR(J29/J7,0)</f>
        <v>0.0</v>
      </c>
      <c r="K18" s="12">
        <f>IFERROR(K29/K7,0)</f>
        <v>1.0</v>
      </c>
      <c r="L18" s="12">
        <f>IFERROR(L29/L7,0)</f>
        <v>1.0</v>
      </c>
      <c r="M18" s="12">
        <f>IFERROR(M29/M7,0)</f>
        <v>1.0</v>
      </c>
      <c r="N18" s="12">
        <f>IFERROR(N29/N7,0)</f>
        <v>1.0</v>
      </c>
      <c r="O18" s="12">
        <f>IFERROR(O29/O7,0)</f>
        <v>1.0</v>
      </c>
    </row>
    <row r="19">
      <c r="B19" t="str">
        <f>B8</f>
        <v>Insert Adj. 3</v>
      </c>
      <c r="C19" s="12">
        <f>IFERROR(C30/C8,0)</f>
        <v>0.0</v>
      </c>
      <c r="D19" s="12">
        <f>IFERROR(D30/D8,0)</f>
        <v>0.0</v>
      </c>
      <c r="E19" s="12">
        <f>IFERROR(E30/E8,0)</f>
        <v>0.0</v>
      </c>
      <c r="F19" s="12">
        <f>IFERROR(F30/F8,0)</f>
        <v>0.0</v>
      </c>
      <c r="G19" s="12">
        <f>IFERROR(G30/G8,0)</f>
        <v>0.0</v>
      </c>
      <c r="H19" s="12">
        <f>IFERROR(H30/H8,0)</f>
        <v>0.0</v>
      </c>
      <c r="I19" s="12">
        <f>IFERROR(I30/I8,0)</f>
        <v>0.0</v>
      </c>
      <c r="J19" s="12">
        <f>IFERROR(J30/J8,0)</f>
        <v>0.0</v>
      </c>
      <c r="K19" s="12">
        <f>IFERROR(K30/K8,0)</f>
        <v>0.0</v>
      </c>
      <c r="L19" s="12">
        <f>IFERROR(L30/L8,0)</f>
        <v>0.0</v>
      </c>
      <c r="M19" s="12">
        <f>IFERROR(M30/M8,0)</f>
        <v>0.0</v>
      </c>
      <c r="N19" s="12">
        <f>IFERROR(N30/N8,0)</f>
        <v>0.0</v>
      </c>
      <c r="O19" s="12">
        <f>IFERROR(O30/O8,0)</f>
        <v>0.0</v>
      </c>
    </row>
    <row r="20">
      <c r="B20" t="str">
        <f>B9</f>
        <v>Insert Adj. 4</v>
      </c>
      <c r="C20" s="12">
        <f>IFERROR(C31/C9,0)</f>
        <v>0.0</v>
      </c>
      <c r="D20" s="12">
        <f>IFERROR(D31/D9,0)</f>
        <v>0.0</v>
      </c>
      <c r="E20" s="12">
        <f>IFERROR(E31/E9,0)</f>
        <v>0.0</v>
      </c>
      <c r="F20" s="12">
        <f>IFERROR(F31/F9,0)</f>
        <v>0.0</v>
      </c>
      <c r="G20" s="12">
        <f>IFERROR(G31/G9,0)</f>
        <v>0.0</v>
      </c>
      <c r="H20" s="12">
        <f>IFERROR(H31/H9,0)</f>
        <v>0.0</v>
      </c>
      <c r="I20" s="12">
        <f>IFERROR(I31/I9,0)</f>
        <v>0.0</v>
      </c>
      <c r="J20" s="12">
        <f>IFERROR(J31/J9,0)</f>
        <v>0.0</v>
      </c>
      <c r="K20" s="12">
        <f>IFERROR(K31/K9,0)</f>
        <v>0.0</v>
      </c>
      <c r="L20" s="12">
        <f>IFERROR(L31/L9,0)</f>
        <v>0.0</v>
      </c>
      <c r="M20" s="12">
        <f>IFERROR(M31/M9,0)</f>
        <v>0.0</v>
      </c>
      <c r="N20" s="12">
        <f>IFERROR(N31/N9,0)</f>
        <v>0.0</v>
      </c>
      <c r="O20" s="12">
        <f>IFERROR(O31/O9,0)</f>
        <v>0.0</v>
      </c>
    </row>
    <row r="21">
      <c r="B21" t="str">
        <f>B10</f>
        <v>Insert Adj. 5</v>
      </c>
      <c r="C21" s="12">
        <f>IFERROR(C32/C10,0)</f>
        <v>0.0</v>
      </c>
      <c r="D21" s="12">
        <f>IFERROR(D32/D10,0)</f>
        <v>0.0</v>
      </c>
      <c r="E21" s="12">
        <f>IFERROR(E32/E10,0)</f>
        <v>0.0</v>
      </c>
      <c r="F21" s="12">
        <f>IFERROR(F32/F10,0)</f>
        <v>0.0</v>
      </c>
      <c r="G21" s="12">
        <f>IFERROR(G32/G10,0)</f>
        <v>0.0</v>
      </c>
      <c r="H21" s="12">
        <f>IFERROR(H32/H10,0)</f>
        <v>0.0</v>
      </c>
      <c r="I21" s="12">
        <f>IFERROR(I32/I10,0)</f>
        <v>0.0</v>
      </c>
      <c r="J21" s="12">
        <f>IFERROR(J32/J10,0)</f>
        <v>0.0</v>
      </c>
      <c r="K21" s="12">
        <f>IFERROR(K32/K10,0)</f>
        <v>0.0</v>
      </c>
      <c r="L21" s="12">
        <f>IFERROR(L32/L10,0)</f>
        <v>0.0</v>
      </c>
      <c r="M21" s="12">
        <f>IFERROR(M32/M10,0)</f>
        <v>0.0</v>
      </c>
      <c r="N21" s="12">
        <f>IFERROR(N32/N10,0)</f>
        <v>0.0</v>
      </c>
      <c r="O21" s="12">
        <f>IFERROR(O32/O10,0)</f>
        <v>0.0</v>
      </c>
    </row>
    <row r="22">
      <c r="B22" t="str">
        <f>B11</f>
        <v>Insert Adj. 6</v>
      </c>
      <c r="C22" s="12">
        <f>IFERROR(C33/C11,0)</f>
        <v>0.0</v>
      </c>
      <c r="D22" s="12">
        <f>IFERROR(D33/D11,0)</f>
        <v>0.0</v>
      </c>
      <c r="E22" s="12">
        <f>IFERROR(E33/E11,0)</f>
        <v>0.0</v>
      </c>
      <c r="F22" s="12">
        <f>IFERROR(F33/F11,0)</f>
        <v>0.0</v>
      </c>
      <c r="G22" s="12">
        <f>IFERROR(G33/G11,0)</f>
        <v>0.0</v>
      </c>
      <c r="H22" s="12">
        <f>IFERROR(H33/H11,0)</f>
        <v>0.0</v>
      </c>
      <c r="I22" s="12">
        <f>IFERROR(I33/I11,0)</f>
        <v>0.0</v>
      </c>
      <c r="J22" s="12">
        <f>IFERROR(J33/J11,0)</f>
        <v>0.0</v>
      </c>
      <c r="K22" s="12">
        <f>IFERROR(K33/K11,0)</f>
        <v>0.0</v>
      </c>
      <c r="L22" s="12">
        <f>IFERROR(L33/L11,0)</f>
        <v>0.0</v>
      </c>
      <c r="M22" s="12">
        <f>IFERROR(M33/M11,0)</f>
        <v>0.0</v>
      </c>
      <c r="N22" s="12">
        <f>IFERROR(N33/N11,0)</f>
        <v>0.0</v>
      </c>
      <c r="O22" s="12">
        <f>IFERROR(O33/O11,0)</f>
        <v>0.0</v>
      </c>
    </row>
    <row r="23">
      <c r="B23" t="str">
        <f>B12</f>
        <v>Insert Adj. 7</v>
      </c>
      <c r="C23" s="12">
        <f>IFERROR(C34/C12,0)</f>
        <v>0.0</v>
      </c>
      <c r="D23" s="12">
        <f>IFERROR(D34/D12,0)</f>
        <v>0.0</v>
      </c>
      <c r="E23" s="12">
        <f>IFERROR(E34/E12,0)</f>
        <v>0.0</v>
      </c>
      <c r="F23" s="12">
        <f>IFERROR(F34/F12,0)</f>
        <v>0.0</v>
      </c>
      <c r="G23" s="12">
        <f>IFERROR(G34/G12,0)</f>
        <v>0.0</v>
      </c>
      <c r="H23" s="12">
        <f>IFERROR(H34/H12,0)</f>
        <v>0.0</v>
      </c>
      <c r="I23" s="12">
        <f>IFERROR(I34/I12,0)</f>
        <v>0.0</v>
      </c>
      <c r="J23" s="12">
        <f>IFERROR(J34/J12,0)</f>
        <v>0.0</v>
      </c>
      <c r="K23" s="12">
        <f>IFERROR(K34/K12,0)</f>
        <v>0.0</v>
      </c>
      <c r="L23" s="12">
        <f>IFERROR(L34/L12,0)</f>
        <v>0.0</v>
      </c>
      <c r="M23" s="12">
        <f>IFERROR(M34/M12,0)</f>
        <v>0.0</v>
      </c>
      <c r="N23" s="12">
        <f>IFERROR(N34/N12,0)</f>
        <v>0.0</v>
      </c>
      <c r="O23" s="12">
        <f>IFERROR(O34/O12,0)</f>
        <v>0.0</v>
      </c>
    </row>
    <row r="24">
      <c r="B24" t="str">
        <f>B13</f>
        <v>Insert Adj. 8</v>
      </c>
      <c r="C24" s="12">
        <f>IFERROR(C35/C13,0)</f>
        <v>0.0</v>
      </c>
      <c r="D24" s="12">
        <f>IFERROR(D35/D13,0)</f>
        <v>0.0</v>
      </c>
      <c r="E24" s="12">
        <f>IFERROR(E35/E13,0)</f>
        <v>0.0</v>
      </c>
      <c r="F24" s="12">
        <f>IFERROR(F35/F13,0)</f>
        <v>0.0</v>
      </c>
      <c r="G24" s="12">
        <f>IFERROR(G35/G13,0)</f>
        <v>0.0</v>
      </c>
      <c r="H24" s="12">
        <f>IFERROR(H35/H13,0)</f>
        <v>0.0</v>
      </c>
      <c r="I24" s="12">
        <f>IFERROR(I35/I13,0)</f>
        <v>0.0</v>
      </c>
      <c r="J24" s="12">
        <f>IFERROR(J35/J13,0)</f>
        <v>0.0</v>
      </c>
      <c r="K24" s="12">
        <f>IFERROR(K35/K13,0)</f>
        <v>0.0</v>
      </c>
      <c r="L24" s="12">
        <f>IFERROR(L35/L13,0)</f>
        <v>0.0</v>
      </c>
      <c r="M24" s="12">
        <f>IFERROR(M35/M13,0)</f>
        <v>0.0</v>
      </c>
      <c r="N24" s="12">
        <f>IFERROR(N35/N13,0)</f>
        <v>0.0</v>
      </c>
      <c r="O24" s="12">
        <f>IFERROR(O35/O13,0)</f>
        <v>0.0</v>
      </c>
    </row>
    <row r="25">
      <c r="B25" s="2" t="inlineStr">
        <is>
          <t>Total Gross Margin (%)</t>
        </is>
      </c>
      <c r="C25" s="15">
        <f>IFERROR(C36/C14,0)</f>
        <v>0.0</v>
      </c>
      <c r="D25" s="15">
        <f>IFERROR(D36/D14,0)</f>
        <v>0.0</v>
      </c>
      <c r="E25" s="15">
        <f>IFERROR(E36/E14,0)</f>
        <v>0.0</v>
      </c>
      <c r="F25" s="15">
        <f>IFERROR(F36/F14,0)</f>
        <v>0.0</v>
      </c>
      <c r="G25" s="15">
        <f>IFERROR(G36/G14,0)</f>
        <v>0.0</v>
      </c>
      <c r="H25" s="15">
        <f>IFERROR(H36/H14,0)</f>
        <v>0.0</v>
      </c>
      <c r="I25" s="15">
        <f>IFERROR(I36/I14,0)</f>
        <v>0.0</v>
      </c>
      <c r="J25" s="15">
        <f>IFERROR(J36/J14,0)</f>
        <v>0.0</v>
      </c>
      <c r="K25" s="15">
        <f>IFERROR(K36/K14,0)</f>
        <v>-5.4</v>
      </c>
      <c r="L25" s="15">
        <f>IFERROR(L36/L14,0)</f>
        <v>-5.4</v>
      </c>
      <c r="M25" s="15">
        <f>IFERROR(M36/M14,0)</f>
        <v>-5.4</v>
      </c>
      <c r="N25" s="15">
        <f>IFERROR(N36/N14,0)</f>
        <v>-5.4</v>
      </c>
      <c r="O25" s="15">
        <f>IFERROR(O36/O14,0)</f>
        <v>-5.4</v>
      </c>
    </row>
    <row r="27">
      <c r="B27" s="2" t="inlineStr">
        <is>
          <t>Gross Margin ($)</t>
        </is>
      </c>
    </row>
    <row r="28">
      <c r="B28" t="inlineStr">
        <is>
          <t>Volume increase - new distributor program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21" t="n">
        <v>108</v>
      </c>
      <c r="L28" s="21" t="n">
        <v>144</v>
      </c>
      <c r="M28" s="21" t="n">
        <v>144</v>
      </c>
      <c r="N28" s="21" t="n">
        <v>144</v>
      </c>
      <c r="O28" s="6">
        <f>SUM(C28:N28)</f>
        <v>540.0</v>
      </c>
    </row>
    <row r="29">
      <c r="B29" t="inlineStr">
        <is>
          <t>Price adjustment to meet competitor pricing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21" t="n">
        <v>-270</v>
      </c>
      <c r="L29" s="21" t="n">
        <v>-360</v>
      </c>
      <c r="M29" s="21" t="n">
        <v>-360</v>
      </c>
      <c r="N29" s="21" t="n">
        <v>-360</v>
      </c>
      <c r="O29" s="6">
        <f>SUM(C29:N29)</f>
        <v>-1350.0</v>
      </c>
    </row>
    <row r="30">
      <c r="B30" t="inlineStr">
        <is>
          <t>Insert Adj. 3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6">
        <f>SUM(C30:N30)</f>
        <v>0.0</v>
      </c>
    </row>
    <row r="31">
      <c r="B31" t="inlineStr">
        <is>
          <t>Insert Adj. 4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6">
        <f>SUM(C31:N31)</f>
        <v>0.0</v>
      </c>
    </row>
    <row r="32">
      <c r="B32" t="inlineStr">
        <is>
          <t>Insert Adj. 5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6">
        <f>SUM(C32:N32)</f>
        <v>0.0</v>
      </c>
    </row>
    <row r="33">
      <c r="B33" t="inlineStr">
        <is>
          <t>Insert Adj. 6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6">
        <f>SUM(C33:N33)</f>
        <v>0.0</v>
      </c>
    </row>
    <row r="34">
      <c r="B34" t="inlineStr">
        <is>
          <t>Insert Adj. 7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6">
        <f>SUM(C34:N34)</f>
        <v>0.0</v>
      </c>
    </row>
    <row r="35">
      <c r="B35" t="inlineStr">
        <is>
          <t>Insert Adj. 8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6">
        <f>SUM(C35:N35)</f>
        <v>0.0</v>
      </c>
    </row>
    <row r="36">
      <c r="B36" s="2" t="inlineStr">
        <is>
          <t>Total Gross Margin ($)</t>
        </is>
      </c>
      <c r="C36" s="9">
        <f>SUM(C28:C35)</f>
        <v>0.0</v>
      </c>
      <c r="D36" s="9">
        <f>SUM(D28:D35)</f>
        <v>0.0</v>
      </c>
      <c r="E36" s="9">
        <f>SUM(E28:E35)</f>
        <v>0.0</v>
      </c>
      <c r="F36" s="9">
        <f>SUM(F28:F35)</f>
        <v>0.0</v>
      </c>
      <c r="G36" s="9">
        <f>SUM(G28:G35)</f>
        <v>0.0</v>
      </c>
      <c r="H36" s="9">
        <f>SUM(H28:H35)</f>
        <v>0.0</v>
      </c>
      <c r="I36" s="9">
        <f>SUM(I28:I35)</f>
        <v>0.0</v>
      </c>
      <c r="J36" s="9">
        <f>SUM(J28:J35)</f>
        <v>0.0</v>
      </c>
      <c r="K36" s="9">
        <f>SUM(K28:K35)</f>
        <v>-162.0</v>
      </c>
      <c r="L36" s="9">
        <f>SUM(L28:L35)</f>
        <v>-216.0</v>
      </c>
      <c r="M36" s="9">
        <f>SUM(M28:M35)</f>
        <v>-216.0</v>
      </c>
      <c r="N36" s="9">
        <f>SUM(N28:N35)</f>
        <v>-216.0</v>
      </c>
      <c r="O36" s="9">
        <f>SUM(O28:O35)</f>
        <v>-810.0</v>
      </c>
    </row>
    <row r="38">
      <c r="B38" s="2" t="inlineStr">
        <is>
          <t>Op Costs (%)</t>
        </is>
      </c>
    </row>
    <row r="39">
      <c r="B39" t="str">
        <f>B6</f>
        <v>Volume increase - new distributor program</v>
      </c>
      <c r="C39" s="12">
        <f>IFERROR(C50/C6,0)</f>
        <v>0.0</v>
      </c>
      <c r="D39" s="12">
        <f>IFERROR(D50/D6,0)</f>
        <v>0.0</v>
      </c>
      <c r="E39" s="12">
        <f>IFERROR(E50/E6,0)</f>
        <v>0.0</v>
      </c>
      <c r="F39" s="12">
        <f>IFERROR(F50/F6,0)</f>
        <v>0.0</v>
      </c>
      <c r="G39" s="12">
        <f>IFERROR(G50/G6,0)</f>
        <v>0.0</v>
      </c>
      <c r="H39" s="12">
        <f>IFERROR(H50/H6,0)</f>
        <v>0.0</v>
      </c>
      <c r="I39" s="12">
        <f>IFERROR(I50/I6,0)</f>
        <v>0.0</v>
      </c>
      <c r="J39" s="12">
        <f>IFERROR(J50/J6,0)</f>
        <v>0.0</v>
      </c>
      <c r="K39" s="12">
        <f>IFERROR(K50/K6,0)</f>
        <v>0.08</v>
      </c>
      <c r="L39" s="12">
        <f>IFERROR(L50/L6,0)</f>
        <v>0.08</v>
      </c>
      <c r="M39" s="12">
        <f>IFERROR(M50/M6,0)</f>
        <v>0.08</v>
      </c>
      <c r="N39" s="12">
        <f>IFERROR(N50/N6,0)</f>
        <v>0.08</v>
      </c>
      <c r="O39" s="12">
        <f>IFERROR(O50/O6,0)</f>
        <v>0.08</v>
      </c>
    </row>
    <row r="40">
      <c r="B40" t="str">
        <f>B7</f>
        <v>Price adjustment to meet competitor pricing</v>
      </c>
      <c r="C40" s="12">
        <f>IFERROR(C51/C7,0)</f>
        <v>0.0</v>
      </c>
      <c r="D40" s="12">
        <f>IFERROR(D51/D7,0)</f>
        <v>0.0</v>
      </c>
      <c r="E40" s="12">
        <f>IFERROR(E51/E7,0)</f>
        <v>0.0</v>
      </c>
      <c r="F40" s="12">
        <f>IFERROR(F51/F7,0)</f>
        <v>0.0</v>
      </c>
      <c r="G40" s="12">
        <f>IFERROR(G51/G7,0)</f>
        <v>0.0</v>
      </c>
      <c r="H40" s="12">
        <f>IFERROR(H51/H7,0)</f>
        <v>0.0</v>
      </c>
      <c r="I40" s="12">
        <f>IFERROR(I51/I7,0)</f>
        <v>0.0</v>
      </c>
      <c r="J40" s="12">
        <f>IFERROR(J51/J7,0)</f>
        <v>0.0</v>
      </c>
      <c r="K40" s="12">
        <f>IFERROR(K51/K7,0)</f>
        <v>0.1111111111111111</v>
      </c>
      <c r="L40" s="12">
        <f>IFERROR(L51/L7,0)</f>
        <v>0.05555555555555555</v>
      </c>
      <c r="M40" s="12">
        <f>IFERROR(M51/M7,0)</f>
        <v>0.05555555555555555</v>
      </c>
      <c r="N40" s="12">
        <f>IFERROR(N51/N7,0)</f>
        <v>0.05555555555555555</v>
      </c>
      <c r="O40" s="12">
        <f>IFERROR(O51/O7,0)</f>
        <v>0.06666666666666667</v>
      </c>
    </row>
    <row r="41">
      <c r="B41" t="str">
        <f>B8</f>
        <v>Insert Adj. 3</v>
      </c>
      <c r="C41" s="12">
        <f>IFERROR(C52/C8,0)</f>
        <v>0.0</v>
      </c>
      <c r="D41" s="12">
        <f>IFERROR(D52/D8,0)</f>
        <v>0.0</v>
      </c>
      <c r="E41" s="12">
        <f>IFERROR(E52/E8,0)</f>
        <v>0.0</v>
      </c>
      <c r="F41" s="12">
        <f>IFERROR(F52/F8,0)</f>
        <v>0.0</v>
      </c>
      <c r="G41" s="12">
        <f>IFERROR(G52/G8,0)</f>
        <v>0.0</v>
      </c>
      <c r="H41" s="12">
        <f>IFERROR(H52/H8,0)</f>
        <v>0.0</v>
      </c>
      <c r="I41" s="12">
        <f>IFERROR(I52/I8,0)</f>
        <v>0.0</v>
      </c>
      <c r="J41" s="12">
        <f>IFERROR(J52/J8,0)</f>
        <v>0.0</v>
      </c>
      <c r="K41" s="12">
        <f>IFERROR(K52/K8,0)</f>
        <v>0.0</v>
      </c>
      <c r="L41" s="12">
        <f>IFERROR(L52/L8,0)</f>
        <v>0.0</v>
      </c>
      <c r="M41" s="12">
        <f>IFERROR(M52/M8,0)</f>
        <v>0.0</v>
      </c>
      <c r="N41" s="12">
        <f>IFERROR(N52/N8,0)</f>
        <v>0.0</v>
      </c>
      <c r="O41" s="12">
        <f>IFERROR(O52/O8,0)</f>
        <v>0.0</v>
      </c>
    </row>
    <row r="42">
      <c r="B42" t="str">
        <f>B9</f>
        <v>Insert Adj. 4</v>
      </c>
      <c r="C42" s="12">
        <f>IFERROR(C53/C9,0)</f>
        <v>0.0</v>
      </c>
      <c r="D42" s="12">
        <f>IFERROR(D53/D9,0)</f>
        <v>0.0</v>
      </c>
      <c r="E42" s="12">
        <f>IFERROR(E53/E9,0)</f>
        <v>0.0</v>
      </c>
      <c r="F42" s="12">
        <f>IFERROR(F53/F9,0)</f>
        <v>0.0</v>
      </c>
      <c r="G42" s="12">
        <f>IFERROR(G53/G9,0)</f>
        <v>0.0</v>
      </c>
      <c r="H42" s="12">
        <f>IFERROR(H53/H9,0)</f>
        <v>0.0</v>
      </c>
      <c r="I42" s="12">
        <f>IFERROR(I53/I9,0)</f>
        <v>0.0</v>
      </c>
      <c r="J42" s="12">
        <f>IFERROR(J53/J9,0)</f>
        <v>0.0</v>
      </c>
      <c r="K42" s="12">
        <f>IFERROR(K53/K9,0)</f>
        <v>0.0</v>
      </c>
      <c r="L42" s="12">
        <f>IFERROR(L53/L9,0)</f>
        <v>0.0</v>
      </c>
      <c r="M42" s="12">
        <f>IFERROR(M53/M9,0)</f>
        <v>0.0</v>
      </c>
      <c r="N42" s="12">
        <f>IFERROR(N53/N9,0)</f>
        <v>0.0</v>
      </c>
      <c r="O42" s="12">
        <f>IFERROR(O53/O9,0)</f>
        <v>0.0</v>
      </c>
    </row>
    <row r="43">
      <c r="B43" t="str">
        <f>B10</f>
        <v>Insert Adj. 5</v>
      </c>
      <c r="C43" s="12">
        <f>IFERROR(C54/C10,0)</f>
        <v>0.0</v>
      </c>
      <c r="D43" s="12">
        <f>IFERROR(D54/D10,0)</f>
        <v>0.0</v>
      </c>
      <c r="E43" s="12">
        <f>IFERROR(E54/E10,0)</f>
        <v>0.0</v>
      </c>
      <c r="F43" s="12">
        <f>IFERROR(F54/F10,0)</f>
        <v>0.0</v>
      </c>
      <c r="G43" s="12">
        <f>IFERROR(G54/G10,0)</f>
        <v>0.0</v>
      </c>
      <c r="H43" s="12">
        <f>IFERROR(H54/H10,0)</f>
        <v>0.0</v>
      </c>
      <c r="I43" s="12">
        <f>IFERROR(I54/I10,0)</f>
        <v>0.0</v>
      </c>
      <c r="J43" s="12">
        <f>IFERROR(J54/J10,0)</f>
        <v>0.0</v>
      </c>
      <c r="K43" s="12">
        <f>IFERROR(K54/K10,0)</f>
        <v>0.0</v>
      </c>
      <c r="L43" s="12">
        <f>IFERROR(L54/L10,0)</f>
        <v>0.0</v>
      </c>
      <c r="M43" s="12">
        <f>IFERROR(M54/M10,0)</f>
        <v>0.0</v>
      </c>
      <c r="N43" s="12">
        <f>IFERROR(N54/N10,0)</f>
        <v>0.0</v>
      </c>
      <c r="O43" s="12">
        <f>IFERROR(O54/O10,0)</f>
        <v>0.0</v>
      </c>
    </row>
    <row r="44">
      <c r="B44" t="str">
        <f>B11</f>
        <v>Insert Adj. 6</v>
      </c>
      <c r="C44" s="12">
        <f>IFERROR(C55/C11,0)</f>
        <v>0.0</v>
      </c>
      <c r="D44" s="12">
        <f>IFERROR(D55/D11,0)</f>
        <v>0.0</v>
      </c>
      <c r="E44" s="12">
        <f>IFERROR(E55/E11,0)</f>
        <v>0.0</v>
      </c>
      <c r="F44" s="12">
        <f>IFERROR(F55/F11,0)</f>
        <v>0.0</v>
      </c>
      <c r="G44" s="12">
        <f>IFERROR(G55/G11,0)</f>
        <v>0.0</v>
      </c>
      <c r="H44" s="12">
        <f>IFERROR(H55/H11,0)</f>
        <v>0.0</v>
      </c>
      <c r="I44" s="12">
        <f>IFERROR(I55/I11,0)</f>
        <v>0.0</v>
      </c>
      <c r="J44" s="12">
        <f>IFERROR(J55/J11,0)</f>
        <v>0.0</v>
      </c>
      <c r="K44" s="12">
        <f>IFERROR(K55/K11,0)</f>
        <v>0.0</v>
      </c>
      <c r="L44" s="12">
        <f>IFERROR(L55/L11,0)</f>
        <v>0.0</v>
      </c>
      <c r="M44" s="12">
        <f>IFERROR(M55/M11,0)</f>
        <v>0.0</v>
      </c>
      <c r="N44" s="12">
        <f>IFERROR(N55/N11,0)</f>
        <v>0.0</v>
      </c>
      <c r="O44" s="12">
        <f>IFERROR(O55/O11,0)</f>
        <v>0.0</v>
      </c>
    </row>
    <row r="45">
      <c r="B45" t="str">
        <f>B12</f>
        <v>Insert Adj. 7</v>
      </c>
      <c r="C45" s="12">
        <f>IFERROR(C56/C12,0)</f>
        <v>0.0</v>
      </c>
      <c r="D45" s="12">
        <f>IFERROR(D56/D12,0)</f>
        <v>0.0</v>
      </c>
      <c r="E45" s="12">
        <f>IFERROR(E56/E12,0)</f>
        <v>0.0</v>
      </c>
      <c r="F45" s="12">
        <f>IFERROR(F56/F12,0)</f>
        <v>0.0</v>
      </c>
      <c r="G45" s="12">
        <f>IFERROR(G56/G12,0)</f>
        <v>0.0</v>
      </c>
      <c r="H45" s="12">
        <f>IFERROR(H56/H12,0)</f>
        <v>0.0</v>
      </c>
      <c r="I45" s="12">
        <f>IFERROR(I56/I12,0)</f>
        <v>0.0</v>
      </c>
      <c r="J45" s="12">
        <f>IFERROR(J56/J12,0)</f>
        <v>0.0</v>
      </c>
      <c r="K45" s="12">
        <f>IFERROR(K56/K12,0)</f>
        <v>0.0</v>
      </c>
      <c r="L45" s="12">
        <f>IFERROR(L56/L12,0)</f>
        <v>0.0</v>
      </c>
      <c r="M45" s="12">
        <f>IFERROR(M56/M12,0)</f>
        <v>0.0</v>
      </c>
      <c r="N45" s="12">
        <f>IFERROR(N56/N12,0)</f>
        <v>0.0</v>
      </c>
      <c r="O45" s="12">
        <f>IFERROR(O56/O12,0)</f>
        <v>0.0</v>
      </c>
    </row>
    <row r="46">
      <c r="B46" t="str">
        <f>B13</f>
        <v>Insert Adj. 8</v>
      </c>
      <c r="C46" s="12">
        <f>IFERROR(C57/C13,0)</f>
        <v>0.0</v>
      </c>
      <c r="D46" s="12">
        <f>IFERROR(D57/D13,0)</f>
        <v>0.0</v>
      </c>
      <c r="E46" s="12">
        <f>IFERROR(E57/E13,0)</f>
        <v>0.0</v>
      </c>
      <c r="F46" s="12">
        <f>IFERROR(F57/F13,0)</f>
        <v>0.0</v>
      </c>
      <c r="G46" s="12">
        <f>IFERROR(G57/G13,0)</f>
        <v>0.0</v>
      </c>
      <c r="H46" s="12">
        <f>IFERROR(H57/H13,0)</f>
        <v>0.0</v>
      </c>
      <c r="I46" s="12">
        <f>IFERROR(I57/I13,0)</f>
        <v>0.0</v>
      </c>
      <c r="J46" s="12">
        <f>IFERROR(J57/J13,0)</f>
        <v>0.0</v>
      </c>
      <c r="K46" s="12">
        <f>IFERROR(K57/K13,0)</f>
        <v>0.0</v>
      </c>
      <c r="L46" s="12">
        <f>IFERROR(L57/L13,0)</f>
        <v>0.0</v>
      </c>
      <c r="M46" s="12">
        <f>IFERROR(M57/M13,0)</f>
        <v>0.0</v>
      </c>
      <c r="N46" s="12">
        <f>IFERROR(N57/N13,0)</f>
        <v>0.0</v>
      </c>
      <c r="O46" s="12">
        <f>IFERROR(O57/O13,0)</f>
        <v>0.0</v>
      </c>
    </row>
    <row r="47">
      <c r="B47" s="2" t="inlineStr">
        <is>
          <t>Total Op Costs (%)</t>
        </is>
      </c>
      <c r="C47" s="15">
        <f>IFERROR(C58/C14,0)</f>
        <v>0.0</v>
      </c>
      <c r="D47" s="15">
        <f>IFERROR(D58/D14,0)</f>
        <v>0.0</v>
      </c>
      <c r="E47" s="15">
        <f>IFERROR(E58/E14,0)</f>
        <v>0.0</v>
      </c>
      <c r="F47" s="15">
        <f>IFERROR(F58/F14,0)</f>
        <v>0.0</v>
      </c>
      <c r="G47" s="15">
        <f>IFERROR(G58/G14,0)</f>
        <v>0.0</v>
      </c>
      <c r="H47" s="15">
        <f>IFERROR(H58/H14,0)</f>
        <v>0.0</v>
      </c>
      <c r="I47" s="15">
        <f>IFERROR(I58/I14,0)</f>
        <v>0.0</v>
      </c>
      <c r="J47" s="15">
        <f>IFERROR(J58/J14,0)</f>
        <v>0.0</v>
      </c>
      <c r="K47" s="15">
        <f>IFERROR(K58/K14,0)</f>
        <v>-0.2</v>
      </c>
      <c r="L47" s="15">
        <f>IFERROR(L58/L14,0)</f>
        <v>0.3</v>
      </c>
      <c r="M47" s="15">
        <f>IFERROR(M58/M14,0)</f>
        <v>0.3</v>
      </c>
      <c r="N47" s="15">
        <f>IFERROR(N58/N14,0)</f>
        <v>0.3</v>
      </c>
      <c r="O47" s="15">
        <f>IFERROR(O58/O14,0)</f>
        <v>0.2</v>
      </c>
    </row>
    <row r="49">
      <c r="B49" s="2" t="inlineStr">
        <is>
          <t>Op Costs ($)</t>
        </is>
      </c>
    </row>
    <row r="50">
      <c r="B50" t="inlineStr">
        <is>
          <t>Volume increase - freight &amp; handling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21" t="n">
        <v>24</v>
      </c>
      <c r="L50" s="21" t="n">
        <v>32</v>
      </c>
      <c r="M50" s="21" t="n">
        <v>32</v>
      </c>
      <c r="N50" s="21" t="n">
        <v>32</v>
      </c>
      <c r="O50" s="6">
        <f>SUM(C50:N50)</f>
        <v>120.0</v>
      </c>
    </row>
    <row r="51">
      <c r="B51" t="inlineStr">
        <is>
          <t>Bonus adjustment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21" t="n">
        <v>-30</v>
      </c>
      <c r="L51" s="21" t="n">
        <v>-20</v>
      </c>
      <c r="M51" s="21" t="n">
        <v>-20</v>
      </c>
      <c r="N51" s="21" t="n">
        <v>-20</v>
      </c>
      <c r="O51" s="6">
        <f>SUM(C51:N51)</f>
        <v>-90.0</v>
      </c>
    </row>
    <row r="52">
      <c r="B52" t="inlineStr">
        <is>
          <t>Insert Adj. 3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6">
        <f>SUM(C52:N52)</f>
        <v>0.0</v>
      </c>
    </row>
    <row r="53">
      <c r="B53" t="inlineStr">
        <is>
          <t>Insert Adj. 4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6">
        <f>SUM(C53:N53)</f>
        <v>0.0</v>
      </c>
    </row>
    <row r="54">
      <c r="B54" t="inlineStr">
        <is>
          <t>Insert Adj. 5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6">
        <f>SUM(C54:N54)</f>
        <v>0.0</v>
      </c>
    </row>
    <row r="55">
      <c r="B55" t="inlineStr">
        <is>
          <t>Insert Adj. 6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6">
        <f>SUM(C55:N55)</f>
        <v>0.0</v>
      </c>
    </row>
    <row r="56">
      <c r="B56" t="inlineStr">
        <is>
          <t>Insert Adj. 7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6">
        <f>SUM(C56:N56)</f>
        <v>0.0</v>
      </c>
    </row>
    <row r="57">
      <c r="B57" t="inlineStr">
        <is>
          <t>Insert Adj. 8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6">
        <f>SUM(C57:N57)</f>
        <v>0.0</v>
      </c>
    </row>
    <row r="58">
      <c r="B58" s="2" t="inlineStr">
        <is>
          <t>Total Op Costs ($)</t>
        </is>
      </c>
      <c r="C58" s="9">
        <f>SUM(C50:C57)</f>
        <v>0.0</v>
      </c>
      <c r="D58" s="9">
        <f>SUM(D50:D57)</f>
        <v>0.0</v>
      </c>
      <c r="E58" s="9">
        <f>SUM(E50:E57)</f>
        <v>0.0</v>
      </c>
      <c r="F58" s="9">
        <f>SUM(F50:F57)</f>
        <v>0.0</v>
      </c>
      <c r="G58" s="9">
        <f>SUM(G50:G57)</f>
        <v>0.0</v>
      </c>
      <c r="H58" s="9">
        <f>SUM(H50:H57)</f>
        <v>0.0</v>
      </c>
      <c r="I58" s="9">
        <f>SUM(I50:I57)</f>
        <v>0.0</v>
      </c>
      <c r="J58" s="9">
        <f>SUM(J50:J57)</f>
        <v>0.0</v>
      </c>
      <c r="K58" s="9">
        <f>SUM(K50:K57)</f>
        <v>-6.0</v>
      </c>
      <c r="L58" s="9">
        <f>SUM(L50:L57)</f>
        <v>12.0</v>
      </c>
      <c r="M58" s="9">
        <f>SUM(M50:M57)</f>
        <v>12.0</v>
      </c>
      <c r="N58" s="9">
        <f>SUM(N50:N57)</f>
        <v>12.0</v>
      </c>
      <c r="O58" s="9">
        <f>SUM(O50:O57)</f>
        <v>30.0</v>
      </c>
    </row>
    <row r="60">
      <c r="B60" s="2" t="inlineStr">
        <is>
          <t>PBITA</t>
        </is>
      </c>
    </row>
    <row r="61">
      <c r="B61" t="str">
        <f>B6</f>
        <v>Volume increase - new distributor program</v>
      </c>
      <c r="C61" s="6">
        <f>C28-C50</f>
        <v>0.0</v>
      </c>
      <c r="D61" s="6">
        <f>D28-D50</f>
        <v>0.0</v>
      </c>
      <c r="E61" s="6">
        <f>E28-E50</f>
        <v>0.0</v>
      </c>
      <c r="F61" s="6">
        <f>F28-F50</f>
        <v>0.0</v>
      </c>
      <c r="G61" s="6">
        <f>G28-G50</f>
        <v>0.0</v>
      </c>
      <c r="H61" s="6">
        <f>H28-H50</f>
        <v>0.0</v>
      </c>
      <c r="I61" s="6">
        <f>I28-I50</f>
        <v>0.0</v>
      </c>
      <c r="J61" s="6">
        <f>J28-J50</f>
        <v>0.0</v>
      </c>
      <c r="K61" s="6">
        <f>K28-K50</f>
        <v>84.0</v>
      </c>
      <c r="L61" s="6">
        <f>L28-L50</f>
        <v>112.0</v>
      </c>
      <c r="M61" s="6">
        <f>M28-M50</f>
        <v>112.0</v>
      </c>
      <c r="N61" s="6">
        <f>N28-N50</f>
        <v>112.0</v>
      </c>
      <c r="O61" s="6">
        <f>SUM(C61:N61)</f>
        <v>420.0</v>
      </c>
    </row>
    <row r="62">
      <c r="B62" t="str">
        <f>B7</f>
        <v>Price adjustment to meet competitor pricing</v>
      </c>
      <c r="C62" s="6">
        <f>C29-C51</f>
        <v>0.0</v>
      </c>
      <c r="D62" s="6">
        <f>D29-D51</f>
        <v>0.0</v>
      </c>
      <c r="E62" s="6">
        <f>E29-E51</f>
        <v>0.0</v>
      </c>
      <c r="F62" s="6">
        <f>F29-F51</f>
        <v>0.0</v>
      </c>
      <c r="G62" s="6">
        <f>G29-G51</f>
        <v>0.0</v>
      </c>
      <c r="H62" s="6">
        <f>H29-H51</f>
        <v>0.0</v>
      </c>
      <c r="I62" s="6">
        <f>I29-I51</f>
        <v>0.0</v>
      </c>
      <c r="J62" s="6">
        <f>J29-J51</f>
        <v>0.0</v>
      </c>
      <c r="K62" s="6">
        <f>K29-K51</f>
        <v>-240.0</v>
      </c>
      <c r="L62" s="6">
        <f>L29-L51</f>
        <v>-340.0</v>
      </c>
      <c r="M62" s="6">
        <f>M29-M51</f>
        <v>-340.0</v>
      </c>
      <c r="N62" s="6">
        <f>N29-N51</f>
        <v>-340.0</v>
      </c>
      <c r="O62" s="6">
        <f>SUM(C62:N62)</f>
        <v>-1260.0</v>
      </c>
    </row>
    <row r="63">
      <c r="B63" t="str">
        <f>B8</f>
        <v>Insert Adj. 3</v>
      </c>
      <c r="C63" s="6">
        <f>C30-C52</f>
        <v>0.0</v>
      </c>
      <c r="D63" s="6">
        <f>D30-D52</f>
        <v>0.0</v>
      </c>
      <c r="E63" s="6">
        <f>E30-E52</f>
        <v>0.0</v>
      </c>
      <c r="F63" s="6">
        <f>F30-F52</f>
        <v>0.0</v>
      </c>
      <c r="G63" s="6">
        <f>G30-G52</f>
        <v>0.0</v>
      </c>
      <c r="H63" s="6">
        <f>H30-H52</f>
        <v>0.0</v>
      </c>
      <c r="I63" s="6">
        <f>I30-I52</f>
        <v>0.0</v>
      </c>
      <c r="J63" s="6">
        <f>J30-J52</f>
        <v>0.0</v>
      </c>
      <c r="K63" s="6">
        <f>K30-K52</f>
        <v>0.0</v>
      </c>
      <c r="L63" s="6">
        <f>L30-L52</f>
        <v>0.0</v>
      </c>
      <c r="M63" s="6">
        <f>M30-M52</f>
        <v>0.0</v>
      </c>
      <c r="N63" s="6">
        <f>N30-N52</f>
        <v>0.0</v>
      </c>
      <c r="O63" s="6">
        <f>SUM(C63:N63)</f>
        <v>0.0</v>
      </c>
    </row>
    <row r="64">
      <c r="B64" t="str">
        <f>B9</f>
        <v>Insert Adj. 4</v>
      </c>
      <c r="C64" s="6">
        <f>C31-C53</f>
        <v>0.0</v>
      </c>
      <c r="D64" s="6">
        <f>D31-D53</f>
        <v>0.0</v>
      </c>
      <c r="E64" s="6">
        <f>E31-E53</f>
        <v>0.0</v>
      </c>
      <c r="F64" s="6">
        <f>F31-F53</f>
        <v>0.0</v>
      </c>
      <c r="G64" s="6">
        <f>G31-G53</f>
        <v>0.0</v>
      </c>
      <c r="H64" s="6">
        <f>H31-H53</f>
        <v>0.0</v>
      </c>
      <c r="I64" s="6">
        <f>I31-I53</f>
        <v>0.0</v>
      </c>
      <c r="J64" s="6">
        <f>J31-J53</f>
        <v>0.0</v>
      </c>
      <c r="K64" s="6">
        <f>K31-K53</f>
        <v>0.0</v>
      </c>
      <c r="L64" s="6">
        <f>L31-L53</f>
        <v>0.0</v>
      </c>
      <c r="M64" s="6">
        <f>M31-M53</f>
        <v>0.0</v>
      </c>
      <c r="N64" s="6">
        <f>N31-N53</f>
        <v>0.0</v>
      </c>
      <c r="O64" s="6">
        <f>SUM(C64:N64)</f>
        <v>0.0</v>
      </c>
    </row>
    <row r="65">
      <c r="B65" t="str">
        <f>B10</f>
        <v>Insert Adj. 5</v>
      </c>
      <c r="C65" s="6">
        <f>C32-C54</f>
        <v>0.0</v>
      </c>
      <c r="D65" s="6">
        <f>D32-D54</f>
        <v>0.0</v>
      </c>
      <c r="E65" s="6">
        <f>E32-E54</f>
        <v>0.0</v>
      </c>
      <c r="F65" s="6">
        <f>F32-F54</f>
        <v>0.0</v>
      </c>
      <c r="G65" s="6">
        <f>G32-G54</f>
        <v>0.0</v>
      </c>
      <c r="H65" s="6">
        <f>H32-H54</f>
        <v>0.0</v>
      </c>
      <c r="I65" s="6">
        <f>I32-I54</f>
        <v>0.0</v>
      </c>
      <c r="J65" s="6">
        <f>J32-J54</f>
        <v>0.0</v>
      </c>
      <c r="K65" s="6">
        <f>K32-K54</f>
        <v>0.0</v>
      </c>
      <c r="L65" s="6">
        <f>L32-L54</f>
        <v>0.0</v>
      </c>
      <c r="M65" s="6">
        <f>M32-M54</f>
        <v>0.0</v>
      </c>
      <c r="N65" s="6">
        <f>N32-N54</f>
        <v>0.0</v>
      </c>
      <c r="O65" s="6">
        <f>SUM(C65:N65)</f>
        <v>0.0</v>
      </c>
    </row>
    <row r="66">
      <c r="B66" t="str">
        <f>B11</f>
        <v>Insert Adj. 6</v>
      </c>
      <c r="C66" s="6">
        <f>C33-C55</f>
        <v>0.0</v>
      </c>
      <c r="D66" s="6">
        <f>D33-D55</f>
        <v>0.0</v>
      </c>
      <c r="E66" s="6">
        <f>E33-E55</f>
        <v>0.0</v>
      </c>
      <c r="F66" s="6">
        <f>F33-F55</f>
        <v>0.0</v>
      </c>
      <c r="G66" s="6">
        <f>G33-G55</f>
        <v>0.0</v>
      </c>
      <c r="H66" s="6">
        <f>H33-H55</f>
        <v>0.0</v>
      </c>
      <c r="I66" s="6">
        <f>I33-I55</f>
        <v>0.0</v>
      </c>
      <c r="J66" s="6">
        <f>J33-J55</f>
        <v>0.0</v>
      </c>
      <c r="K66" s="6">
        <f>K33-K55</f>
        <v>0.0</v>
      </c>
      <c r="L66" s="6">
        <f>L33-L55</f>
        <v>0.0</v>
      </c>
      <c r="M66" s="6">
        <f>M33-M55</f>
        <v>0.0</v>
      </c>
      <c r="N66" s="6">
        <f>N33-N55</f>
        <v>0.0</v>
      </c>
      <c r="O66" s="6">
        <f>SUM(C66:N66)</f>
        <v>0.0</v>
      </c>
    </row>
    <row r="67">
      <c r="B67" t="str">
        <f>B12</f>
        <v>Insert Adj. 7</v>
      </c>
      <c r="C67" s="6">
        <f>C34-C56</f>
        <v>0.0</v>
      </c>
      <c r="D67" s="6">
        <f>D34-D56</f>
        <v>0.0</v>
      </c>
      <c r="E67" s="6">
        <f>E34-E56</f>
        <v>0.0</v>
      </c>
      <c r="F67" s="6">
        <f>F34-F56</f>
        <v>0.0</v>
      </c>
      <c r="G67" s="6">
        <f>G34-G56</f>
        <v>0.0</v>
      </c>
      <c r="H67" s="6">
        <f>H34-H56</f>
        <v>0.0</v>
      </c>
      <c r="I67" s="6">
        <f>I34-I56</f>
        <v>0.0</v>
      </c>
      <c r="J67" s="6">
        <f>J34-J56</f>
        <v>0.0</v>
      </c>
      <c r="K67" s="6">
        <f>K34-K56</f>
        <v>0.0</v>
      </c>
      <c r="L67" s="6">
        <f>L34-L56</f>
        <v>0.0</v>
      </c>
      <c r="M67" s="6">
        <f>M34-M56</f>
        <v>0.0</v>
      </c>
      <c r="N67" s="6">
        <f>N34-N56</f>
        <v>0.0</v>
      </c>
      <c r="O67" s="6">
        <f>SUM(C67:N67)</f>
        <v>0.0</v>
      </c>
    </row>
    <row r="68">
      <c r="B68" t="str">
        <f>B13</f>
        <v>Insert Adj. 8</v>
      </c>
      <c r="C68" s="6">
        <f>C35-C57</f>
        <v>0.0</v>
      </c>
      <c r="D68" s="6">
        <f>D35-D57</f>
        <v>0.0</v>
      </c>
      <c r="E68" s="6">
        <f>E35-E57</f>
        <v>0.0</v>
      </c>
      <c r="F68" s="6">
        <f>F35-F57</f>
        <v>0.0</v>
      </c>
      <c r="G68" s="6">
        <f>G35-G57</f>
        <v>0.0</v>
      </c>
      <c r="H68" s="6">
        <f>H35-H57</f>
        <v>0.0</v>
      </c>
      <c r="I68" s="6">
        <f>I35-I57</f>
        <v>0.0</v>
      </c>
      <c r="J68" s="6">
        <f>J35-J57</f>
        <v>0.0</v>
      </c>
      <c r="K68" s="6">
        <f>K35-K57</f>
        <v>0.0</v>
      </c>
      <c r="L68" s="6">
        <f>L35-L57</f>
        <v>0.0</v>
      </c>
      <c r="M68" s="6">
        <f>M35-M57</f>
        <v>0.0</v>
      </c>
      <c r="N68" s="6">
        <f>N35-N57</f>
        <v>0.0</v>
      </c>
      <c r="O68" s="6">
        <f>SUM(C68:N68)</f>
        <v>0.0</v>
      </c>
    </row>
    <row r="69">
      <c r="B69" s="2" t="inlineStr">
        <is>
          <t>Total PBITA</t>
        </is>
      </c>
      <c r="C69" s="9">
        <f>SUM(C61:C68)</f>
        <v>0.0</v>
      </c>
      <c r="D69" s="9">
        <f>SUM(D61:D68)</f>
        <v>0.0</v>
      </c>
      <c r="E69" s="9">
        <f>SUM(E61:E68)</f>
        <v>0.0</v>
      </c>
      <c r="F69" s="9">
        <f>SUM(F61:F68)</f>
        <v>0.0</v>
      </c>
      <c r="G69" s="9">
        <f>SUM(G61:G68)</f>
        <v>0.0</v>
      </c>
      <c r="H69" s="9">
        <f>SUM(H61:H68)</f>
        <v>0.0</v>
      </c>
      <c r="I69" s="9">
        <f>SUM(I61:I68)</f>
        <v>0.0</v>
      </c>
      <c r="J69" s="9">
        <f>SUM(J61:J68)</f>
        <v>0.0</v>
      </c>
      <c r="K69" s="9">
        <f>SUM(K61:K68)</f>
        <v>-156.0</v>
      </c>
      <c r="L69" s="9">
        <f>SUM(L61:L68)</f>
        <v>-228.0</v>
      </c>
      <c r="M69" s="9">
        <f>SUM(M61:M68)</f>
        <v>-228.0</v>
      </c>
      <c r="N69" s="9">
        <f>SUM(N61:N68)</f>
        <v>-228.0</v>
      </c>
      <c r="O69" s="9">
        <f>SUM(O61:O68)</f>
        <v>-840.0</v>
      </c>
    </row>
    <row r="71">
      <c r="B71" s="8" t="inlineStr">
        <is>
          <t>Section 2: General adjustments in Gross Margin or Opex % of Sales that are not tied to individual events (i.e., employee turnover):</t>
        </is>
      </c>
    </row>
    <row r="73">
      <c r="C73" s="4" t="inlineStr">
        <is>
          <t>January</t>
        </is>
      </c>
      <c r="D73" s="4" t="inlineStr">
        <is>
          <t>February</t>
        </is>
      </c>
      <c r="E73" s="4" t="inlineStr">
        <is>
          <t>March</t>
        </is>
      </c>
      <c r="F73" s="4" t="inlineStr">
        <is>
          <t>April</t>
        </is>
      </c>
      <c r="G73" s="4" t="inlineStr">
        <is>
          <t>May</t>
        </is>
      </c>
      <c r="H73" s="4" t="inlineStr">
        <is>
          <t>June</t>
        </is>
      </c>
      <c r="I73" s="4" t="inlineStr">
        <is>
          <t>July</t>
        </is>
      </c>
      <c r="J73" s="4" t="inlineStr">
        <is>
          <t>August</t>
        </is>
      </c>
      <c r="K73" s="4" t="inlineStr">
        <is>
          <t>September</t>
        </is>
      </c>
      <c r="L73" s="4" t="inlineStr">
        <is>
          <t>October</t>
        </is>
      </c>
      <c r="M73" s="4" t="inlineStr">
        <is>
          <t>November</t>
        </is>
      </c>
      <c r="N73" s="4" t="inlineStr">
        <is>
          <t>December</t>
        </is>
      </c>
      <c r="O73" s="4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2">
        <f>'Cobalt'!C35</f>
        <v>0.34824952112806074</v>
      </c>
      <c r="D75" s="12">
        <f>'Cobalt'!D35</f>
        <v>0.3529606351306649</v>
      </c>
      <c r="E75" s="12">
        <f>'Cobalt'!E35</f>
        <v>0.35215705283567617</v>
      </c>
      <c r="F75" s="12">
        <f>'Cobalt'!F35</f>
        <v>0.34943838449373504</v>
      </c>
      <c r="G75" s="12">
        <f>'Cobalt'!G35</f>
        <v>0.3519260743709641</v>
      </c>
      <c r="H75" s="12">
        <f>'Cobalt'!H35</f>
        <v>0.3511942776855282</v>
      </c>
      <c r="I75" s="12">
        <f>'Cobalt'!I35</f>
        <v>0.3486565231466494</v>
      </c>
      <c r="J75" s="12">
        <f>'Cobalt'!J35</f>
        <v>0.35233544952767415</v>
      </c>
      <c r="K75" s="12">
        <f>'Cobalt'!K35</f>
        <v>0.34882898806893503</v>
      </c>
      <c r="L75" s="12">
        <f>'Cobalt'!L35</f>
        <v>0.3511586827606511</v>
      </c>
      <c r="M75" s="12">
        <f>'Cobalt'!M35</f>
        <v>0.3481651903830668</v>
      </c>
      <c r="N75" s="12">
        <f>'Cobalt'!N35</f>
        <v>0.3491468818907752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6">
        <f>IF(C76="None",0,((('Cobalt'!C28*(C75+C76))-'Cobalt'!C29)))</f>
        <v>0.0</v>
      </c>
      <c r="D77" s="6">
        <f>IF(D76="None",0,((('Cobalt'!D28*(D75+D76))-'Cobalt'!D29)))</f>
        <v>0.0</v>
      </c>
      <c r="E77" s="6">
        <f>IF(E76="None",0,((('Cobalt'!E28*(E75+E76))-'Cobalt'!E29)))</f>
        <v>0.0</v>
      </c>
      <c r="F77" s="6">
        <f>IF(F76="None",0,((('Cobalt'!F28*(F75+F76))-'Cobalt'!F29)))</f>
        <v>0.0</v>
      </c>
      <c r="G77" s="6">
        <f>IF(G76="None",0,((('Cobalt'!G28*(G75+G76))-'Cobalt'!G29)))</f>
        <v>0.0</v>
      </c>
      <c r="H77" s="6">
        <f>IF(H76="None",0,((('Cobalt'!H28*(H75+H76))-'Cobalt'!H29)))</f>
        <v>0.0</v>
      </c>
      <c r="I77" s="6">
        <f>IF(I76="None",0,((('Cobalt'!I28*(I75+I76))-'Cobalt'!I29)))</f>
        <v>0.0</v>
      </c>
      <c r="J77" s="6">
        <f>IF(J76="None",0,((('Cobalt'!J28*(J75+J76))-'Cobalt'!J29)))</f>
        <v>0.0</v>
      </c>
      <c r="K77" s="6">
        <f>IF(K76="None",0,((('Cobalt'!K28*(K75+K76))-'Cobalt'!K29)))</f>
        <v>0.0</v>
      </c>
      <c r="L77" s="6">
        <f>IF(L76="None",0,((('Cobalt'!L28*(L75+L76))-'Cobalt'!L29)))</f>
        <v>0.0</v>
      </c>
      <c r="M77" s="6">
        <f>IF(M76="None",0,((('Cobalt'!M28*(M75+M76))-'Cobalt'!M29)))</f>
        <v>0.0</v>
      </c>
      <c r="N77" s="6">
        <f>IF(N76="None",0,((('Cobalt'!N28*(N75+N76))-'Cobalt'!N29)))</f>
        <v>0.0</v>
      </c>
      <c r="O77" s="6">
        <f>SUM(C77:N77)</f>
        <v>0.0</v>
      </c>
    </row>
    <row r="78">
      <c r="B78" t="inlineStr">
        <is>
          <t>Gross Margin - Current FCAST</t>
        </is>
      </c>
      <c r="C78" s="12">
        <f>SUM(C75:C76)</f>
        <v>0.34824952112806074</v>
      </c>
      <c r="D78" s="12">
        <f>SUM(D75:D76)</f>
        <v>0.3529606351306649</v>
      </c>
      <c r="E78" s="12">
        <f>SUM(E75:E76)</f>
        <v>0.35215705283567617</v>
      </c>
      <c r="F78" s="12">
        <f>SUM(F75:F76)</f>
        <v>0.34943838449373504</v>
      </c>
      <c r="G78" s="12">
        <f>SUM(G75:G76)</f>
        <v>0.3519260743709641</v>
      </c>
      <c r="H78" s="12">
        <f>SUM(H75:H76)</f>
        <v>0.3511942776855282</v>
      </c>
      <c r="I78" s="12">
        <f>SUM(I75:I76)</f>
        <v>0.3486565231466494</v>
      </c>
      <c r="J78" s="12">
        <f>SUM(J75:J76)</f>
        <v>0.35233544952767415</v>
      </c>
      <c r="K78" s="12">
        <f>SUM(K75:K76)</f>
        <v>0.34882898806893503</v>
      </c>
      <c r="L78" s="12">
        <f>SUM(L75:L76)</f>
        <v>0.3511586827606511</v>
      </c>
      <c r="M78" s="12">
        <f>SUM(M75:M76)</f>
        <v>0.3481651903830668</v>
      </c>
      <c r="N78" s="12">
        <f>SUM(N75:N76)</f>
        <v>0.3491468818907752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2">
        <f>'Cobalt'!C36</f>
        <v>-0.22401975490987974</v>
      </c>
      <c r="D82" s="12">
        <f>'Cobalt'!D36</f>
        <v>-0.22248475969944712</v>
      </c>
      <c r="E82" s="12">
        <f>'Cobalt'!E36</f>
        <v>-0.22339487947825318</v>
      </c>
      <c r="F82" s="12">
        <f>'Cobalt'!F36</f>
        <v>-0.22069259154130003</v>
      </c>
      <c r="G82" s="12">
        <f>'Cobalt'!G36</f>
        <v>-0.22113115119127144</v>
      </c>
      <c r="H82" s="12">
        <f>'Cobalt'!H36</f>
        <v>-0.22503938348873845</v>
      </c>
      <c r="I82" s="12">
        <f>'Cobalt'!I36</f>
        <v>-0.22322218625229306</v>
      </c>
      <c r="J82" s="12">
        <f>'Cobalt'!J36</f>
        <v>-0.24571852433623492</v>
      </c>
      <c r="K82" s="12">
        <f>'Cobalt'!K36</f>
        <v>-0.21915598762704375</v>
      </c>
      <c r="L82" s="12">
        <f>'Cobalt'!L36</f>
        <v>-0.22385078016570636</v>
      </c>
      <c r="M82" s="12">
        <f>'Cobalt'!M36</f>
        <v>-0.22300701714022775</v>
      </c>
      <c r="N82" s="12">
        <f>'Cobalt'!N36</f>
        <v>-0.22322365181648862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6">
        <f>-IF(C83="None",0,((('Cobalt'!C28*-(C82+C83))-'Cobalt'!C30)))</f>
        <v>0.0</v>
      </c>
      <c r="D84" s="6">
        <f>-IF(D83="None",0,((('Cobalt'!D28*-(D82+D83))-'Cobalt'!D30)))</f>
        <v>0.0</v>
      </c>
      <c r="E84" s="6">
        <f>-IF(E83="None",0,((('Cobalt'!E28*-(E82+E83))-'Cobalt'!E30)))</f>
        <v>0.0</v>
      </c>
      <c r="F84" s="6">
        <f>-IF(F83="None",0,((('Cobalt'!F28*-(F82+F83))-'Cobalt'!F30)))</f>
        <v>0.0</v>
      </c>
      <c r="G84" s="6">
        <f>-IF(G83="None",0,((('Cobalt'!G28*-(G82+G83))-'Cobalt'!G30)))</f>
        <v>0.0</v>
      </c>
      <c r="H84" s="6">
        <f>-IF(H83="None",0,((('Cobalt'!H28*-(H82+H83))-'Cobalt'!H30)))</f>
        <v>0.0</v>
      </c>
      <c r="I84" s="6">
        <f>-IF(I83="None",0,((('Cobalt'!I28*-(I82+I83))-'Cobalt'!I30)))</f>
        <v>0.0</v>
      </c>
      <c r="J84" s="6">
        <f>-IF(J83="None",0,((('Cobalt'!J28*-(J82+J83))-'Cobalt'!J30)))</f>
        <v>0.0</v>
      </c>
      <c r="K84" s="6">
        <f>-IF(K83="None",0,((('Cobalt'!K28*-(K82+K83))-'Cobalt'!K30)))</f>
        <v>0.0</v>
      </c>
      <c r="L84" s="6">
        <f>-IF(L83="None",0,((('Cobalt'!L28*-(L82+L83))-'Cobalt'!L30)))</f>
        <v>0.0</v>
      </c>
      <c r="M84" s="6">
        <f>-IF(M83="None",0,((('Cobalt'!M28*-(M82+M83))-'Cobalt'!M30)))</f>
        <v>0.0</v>
      </c>
      <c r="N84" s="6">
        <f>-IF(N83="None",0,((('Cobalt'!N28*-(N82+N83))-'Cobalt'!N30)))</f>
        <v>0.0</v>
      </c>
      <c r="O84" s="6">
        <f>SUM(C84:N84)</f>
        <v>0.0</v>
      </c>
    </row>
    <row r="85">
      <c r="B85" t="inlineStr">
        <is>
          <t>Op Costs - Current FCAST</t>
        </is>
      </c>
      <c r="C85" s="12">
        <f>SUM(C82:C83)</f>
        <v>-0.22401975490987974</v>
      </c>
      <c r="D85" s="12">
        <f>SUM(D82:D83)</f>
        <v>-0.22248475969944712</v>
      </c>
      <c r="E85" s="12">
        <f>SUM(E82:E83)</f>
        <v>-0.22339487947825318</v>
      </c>
      <c r="F85" s="12">
        <f>SUM(F82:F83)</f>
        <v>-0.22069259154130003</v>
      </c>
      <c r="G85" s="12">
        <f>SUM(G82:G83)</f>
        <v>-0.22113115119127144</v>
      </c>
      <c r="H85" s="12">
        <f>SUM(H82:H83)</f>
        <v>-0.22503938348873845</v>
      </c>
      <c r="I85" s="12">
        <f>SUM(I82:I83)</f>
        <v>-0.22322218625229306</v>
      </c>
      <c r="J85" s="12">
        <f>SUM(J82:J83)</f>
        <v>-0.24571852433623492</v>
      </c>
      <c r="K85" s="12">
        <f>SUM(K82:K83)</f>
        <v>-0.21915598762704375</v>
      </c>
      <c r="L85" s="12">
        <f>SUM(L82:L83)</f>
        <v>-0.22385078016570636</v>
      </c>
      <c r="M85" s="12">
        <f>SUM(M82:M83)</f>
        <v>-0.22300701714022775</v>
      </c>
      <c r="N85" s="12">
        <f>SUM(N82:N83)</f>
        <v>-0.22322365181648862</v>
      </c>
      <c r="O85" t="inlineStr">
        <is>
          <t>N/A</t>
        </is>
      </c>
    </row>
    <row r="87">
      <c r="B87" s="8" t="inlineStr">
        <is>
          <t>Section 3: Working Capital Adjustments</t>
        </is>
      </c>
    </row>
    <row r="89">
      <c r="C89" s="4" t="inlineStr">
        <is>
          <t>January</t>
        </is>
      </c>
      <c r="D89" s="4" t="inlineStr">
        <is>
          <t>February</t>
        </is>
      </c>
      <c r="E89" s="4" t="inlineStr">
        <is>
          <t>March</t>
        </is>
      </c>
      <c r="F89" s="4" t="inlineStr">
        <is>
          <t>April</t>
        </is>
      </c>
      <c r="G89" s="4" t="inlineStr">
        <is>
          <t>May</t>
        </is>
      </c>
      <c r="H89" s="4" t="inlineStr">
        <is>
          <t>June</t>
        </is>
      </c>
      <c r="I89" s="4" t="inlineStr">
        <is>
          <t>July</t>
        </is>
      </c>
      <c r="J89" s="4" t="inlineStr">
        <is>
          <t>August</t>
        </is>
      </c>
      <c r="K89" s="4" t="inlineStr">
        <is>
          <t>September</t>
        </is>
      </c>
      <c r="L89" s="4" t="inlineStr">
        <is>
          <t>October</t>
        </is>
      </c>
      <c r="M89" s="4" t="inlineStr">
        <is>
          <t>November</t>
        </is>
      </c>
      <c r="N89" s="4" t="inlineStr">
        <is>
          <t>December</t>
        </is>
      </c>
      <c r="O89" s="4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21" t="n">
        <v>0</v>
      </c>
      <c r="L90" s="21" t="n">
        <v>0</v>
      </c>
      <c r="M90" s="21" t="n">
        <v>0</v>
      </c>
      <c r="N90" s="21" t="n">
        <v>0</v>
      </c>
    </row>
    <row r="91">
      <c r="A91" t="n">
        <v>2135</v>
      </c>
      <c r="B91" t="inlineStr">
        <is>
          <t>Trade Receivables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21" t="n">
        <v>0</v>
      </c>
      <c r="L91" s="21" t="n">
        <v>0</v>
      </c>
      <c r="M91" s="21" t="n">
        <v>0</v>
      </c>
      <c r="N91" s="21" t="n">
        <v>0</v>
      </c>
    </row>
    <row r="92">
      <c r="A92" t="n">
        <v>2175</v>
      </c>
      <c r="B92" t="inlineStr">
        <is>
          <t>Other Receivables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21" t="n">
        <v>0</v>
      </c>
      <c r="L92" s="21" t="n">
        <v>0</v>
      </c>
      <c r="M92" s="21" t="n">
        <v>0</v>
      </c>
      <c r="N92" s="21" t="n">
        <v>0</v>
      </c>
    </row>
    <row r="93">
      <c r="A93" t="n">
        <v>2140</v>
      </c>
      <c r="B93" t="inlineStr">
        <is>
          <t>Trade Payables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21" t="n">
        <v>0</v>
      </c>
      <c r="L93" s="21" t="n">
        <v>0</v>
      </c>
      <c r="M93" s="21" t="n">
        <v>0</v>
      </c>
      <c r="N93" s="21" t="n">
        <v>0</v>
      </c>
    </row>
    <row r="94">
      <c r="A94" t="n">
        <v>2180</v>
      </c>
      <c r="B94" t="inlineStr">
        <is>
          <t>Other Payables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21" t="n">
        <v>0</v>
      </c>
      <c r="L94" s="21" t="n">
        <v>0</v>
      </c>
      <c r="M94" s="21" t="n">
        <v>0</v>
      </c>
      <c r="N94" s="21" t="n">
        <v>0</v>
      </c>
    </row>
    <row r="95">
      <c r="A95" t="n">
        <v>2185</v>
      </c>
      <c r="B95" s="2" t="inlineStr">
        <is>
          <t>Total Working Capital</t>
        </is>
      </c>
      <c r="C95" s="6">
        <f>SUM(C90:C94)</f>
        <v>0.0</v>
      </c>
      <c r="D95" s="6">
        <f>SUM(D90:D94)</f>
        <v>0.0</v>
      </c>
      <c r="E95" s="6">
        <f>SUM(E90:E94)</f>
        <v>0.0</v>
      </c>
      <c r="F95" s="6">
        <f>SUM(F90:F94)</f>
        <v>0.0</v>
      </c>
      <c r="G95" s="6">
        <f>SUM(G90:G94)</f>
        <v>0.0</v>
      </c>
      <c r="H95" s="6">
        <f>SUM(H90:H94)</f>
        <v>0.0</v>
      </c>
      <c r="I95" s="6">
        <f>SUM(I90:I94)</f>
        <v>0.0</v>
      </c>
      <c r="J95" s="6">
        <f>SUM(J90:J94)</f>
        <v>0.0</v>
      </c>
      <c r="K95" s="6">
        <f>SUM(K90:K94)</f>
        <v>0.0</v>
      </c>
      <c r="L95" s="6">
        <f>SUM(L90:L94)</f>
        <v>0.0</v>
      </c>
      <c r="M95" s="6">
        <f>SUM(M90:M94)</f>
        <v>0.0</v>
      </c>
      <c r="N95" s="6">
        <f>SUM(N90:N94)</f>
        <v>0.0</v>
      </c>
    </row>
    <row r="97">
      <c r="B97" s="22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COBALT_DISP</t>
        </is>
      </c>
    </row>
    <row r="23">
      <c r="B23" s="3" t="inlineStr">
        <is>
          <t>Cobalt Eyewear</t>
        </is>
      </c>
      <c r="BU23" s="8" t="inlineStr">
        <is>
          <t>FCAST10 - Variance ($) - Favorable / (Unfavorable)</t>
        </is>
      </c>
    </row>
    <row r="24">
      <c r="C24" s="8" t="inlineStr">
        <is>
          <t>FCAST09 as Reported</t>
        </is>
      </c>
      <c r="Q24" s="8" t="inlineStr">
        <is>
          <t>FCAST09 at New Fx Rates</t>
        </is>
      </c>
      <c r="AE24" s="8" t="inlineStr">
        <is>
          <t>Fx Changes</t>
        </is>
      </c>
      <c r="AS24" s="8" t="inlineStr">
        <is>
          <t>Operational Adjustments</t>
        </is>
      </c>
      <c r="BG24" s="8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6" t="n">
        <v>4333.1</v>
      </c>
      <c r="D28" s="6" t="n">
        <v>4232.2</v>
      </c>
      <c r="E28" s="6" t="n">
        <v>4538.6</v>
      </c>
      <c r="F28" s="6" t="n">
        <v>4932.2</v>
      </c>
      <c r="G28" s="6" t="n">
        <v>4491</v>
      </c>
      <c r="H28" s="6" t="n">
        <v>4697.4</v>
      </c>
      <c r="I28" s="6" t="n">
        <v>4633.5</v>
      </c>
      <c r="J28" s="6" t="n">
        <v>4583.7</v>
      </c>
      <c r="K28" s="6" t="n">
        <v>4526</v>
      </c>
      <c r="L28" s="6" t="n">
        <v>4755.4</v>
      </c>
      <c r="M28" s="6" t="n">
        <v>4346.5</v>
      </c>
      <c r="N28" s="6" t="n">
        <v>4671.1</v>
      </c>
      <c r="O28" s="19">
        <f>SUM(C28:N28)</f>
        <v>54740.7</v>
      </c>
      <c r="Q28" s="6" t="n">
        <v>4333.1</v>
      </c>
      <c r="R28" s="6" t="n">
        <v>4232.2</v>
      </c>
      <c r="S28" s="6" t="n">
        <v>4538.6</v>
      </c>
      <c r="T28" s="6" t="n">
        <v>4932.2</v>
      </c>
      <c r="U28" s="6" t="n">
        <v>4491</v>
      </c>
      <c r="V28" s="6" t="n">
        <v>4697.4</v>
      </c>
      <c r="W28" s="6" t="n">
        <v>4633.5</v>
      </c>
      <c r="X28" s="6" t="n">
        <v>4583.7</v>
      </c>
      <c r="Y28" s="6" t="n">
        <v>4526</v>
      </c>
      <c r="Z28" s="6" t="n">
        <v>4755.4</v>
      </c>
      <c r="AA28" s="6" t="n">
        <v>4346.5</v>
      </c>
      <c r="AB28" s="6" t="n">
        <v>4671.1</v>
      </c>
      <c r="AC28" s="19">
        <f>SUM(Q28:AB28)</f>
        <v>54740.7</v>
      </c>
      <c r="AE28" s="6">
        <f>Q28-C28</f>
        <v>0.0</v>
      </c>
      <c r="AF28" s="6">
        <f>R28-D28</f>
        <v>0.0</v>
      </c>
      <c r="AG28" s="6">
        <f>S28-E28</f>
        <v>0.0</v>
      </c>
      <c r="AH28" s="6">
        <f>T28-F28</f>
        <v>0.0</v>
      </c>
      <c r="AI28" s="6">
        <f>U28-G28</f>
        <v>0.0</v>
      </c>
      <c r="AJ28" s="6">
        <f>V28-H28</f>
        <v>0.0</v>
      </c>
      <c r="AK28" s="6">
        <f>W28-I28</f>
        <v>0.0</v>
      </c>
      <c r="AL28" s="6">
        <f>X28-J28</f>
        <v>0.0</v>
      </c>
      <c r="AM28" s="6">
        <f>Y28-K28</f>
        <v>0.0</v>
      </c>
      <c r="AN28" s="6">
        <f>Z28-L28</f>
        <v>0.0</v>
      </c>
      <c r="AO28" s="6">
        <f>AA28-M28</f>
        <v>0.0</v>
      </c>
      <c r="AP28" s="6">
        <f>AB28-N28</f>
        <v>0.0</v>
      </c>
      <c r="AQ28" s="19">
        <f>SUM(AE28:AP28)</f>
        <v>0.0</v>
      </c>
      <c r="AS28" s="6">
        <f>'Cobalt-Adj'!C14</f>
        <v>0.0</v>
      </c>
      <c r="AT28" s="6">
        <f>'Cobalt-Adj'!D14</f>
        <v>0.0</v>
      </c>
      <c r="AU28" s="6">
        <f>'Cobalt-Adj'!E14</f>
        <v>0.0</v>
      </c>
      <c r="AV28" s="6">
        <f>'Cobalt-Adj'!F14</f>
        <v>0.0</v>
      </c>
      <c r="AW28" s="6">
        <f>'Cobalt-Adj'!G14</f>
        <v>0.0</v>
      </c>
      <c r="AX28" s="6">
        <f>'Cobalt-Adj'!H14</f>
        <v>0.0</v>
      </c>
      <c r="AY28" s="6">
        <f>'Cobalt-Adj'!I14</f>
        <v>0.0</v>
      </c>
      <c r="AZ28" s="6">
        <f>'Cobalt-Adj'!J14</f>
        <v>0.0</v>
      </c>
      <c r="BA28" s="6">
        <f>'Cobalt-Adj'!K14</f>
        <v>30.0</v>
      </c>
      <c r="BB28" s="6">
        <f>'Cobalt-Adj'!L14</f>
        <v>40.0</v>
      </c>
      <c r="BC28" s="6">
        <f>'Cobalt-Adj'!M14</f>
        <v>40.0</v>
      </c>
      <c r="BD28" s="6">
        <f>'Cobalt-Adj'!N14</f>
        <v>40.0</v>
      </c>
      <c r="BE28" s="19">
        <f>SUM(AS28:BD28)</f>
        <v>150.0</v>
      </c>
      <c r="BG28" s="6">
        <f>C28+AE28+AS28</f>
        <v>4333.1</v>
      </c>
      <c r="BH28" s="6">
        <f>D28+AF28+AT28</f>
        <v>4232.2</v>
      </c>
      <c r="BI28" s="6">
        <f>E28+AG28+AU28</f>
        <v>4538.6</v>
      </c>
      <c r="BJ28" s="6">
        <f>F28+AH28+AV28</f>
        <v>4932.2</v>
      </c>
      <c r="BK28" s="6">
        <f>G28+AI28+AW28</f>
        <v>4491.0</v>
      </c>
      <c r="BL28" s="6">
        <f>H28+AJ28+AX28</f>
        <v>4697.4</v>
      </c>
      <c r="BM28" s="6">
        <f>I28+AK28+AY28</f>
        <v>4633.5</v>
      </c>
      <c r="BN28" s="6">
        <f>J28+AL28+AZ28</f>
        <v>4583.7</v>
      </c>
      <c r="BO28" s="6">
        <f>K28+AM28+BA28</f>
        <v>4556.0</v>
      </c>
      <c r="BP28" s="6">
        <f>L28+AN28+BB28</f>
        <v>4795.4</v>
      </c>
      <c r="BQ28" s="6">
        <f>M28+AO28+BC28</f>
        <v>4386.5</v>
      </c>
      <c r="BR28" s="6">
        <f>N28+AP28+BD28</f>
        <v>4711.1</v>
      </c>
      <c r="BS28" s="19">
        <f>SUM(BG28:BR28)</f>
        <v>54890.7</v>
      </c>
      <c r="BU28" s="6">
        <f>SUM(BG28:BO28)-SUM(C28:K28)</f>
        <v>30.0</v>
      </c>
      <c r="BV28" s="6">
        <f>SUM(BG28:BO28)-SUM(C51:K51)</f>
        <v>-114.60000000000582</v>
      </c>
      <c r="BW28" s="6">
        <f>SUM(BG28:BO28)-SUM(C64:K64)</f>
        <v>1556.199999999997</v>
      </c>
      <c r="BY28" s="6">
        <f>SUM(BP28:BR28)-SUM(L28:N28)</f>
        <v>120.0</v>
      </c>
      <c r="BZ28" s="6">
        <f>SUM(BP28:BR28)-SUM(L51:N51)</f>
        <v>5.5</v>
      </c>
      <c r="CA28" s="6">
        <f>SUM(BP28:BR28)-SUM(L64:N64)</f>
        <v>598.7999999999993</v>
      </c>
      <c r="CC28" s="6">
        <f>BS28-O28</f>
        <v>150.0</v>
      </c>
      <c r="CD28" s="6">
        <f>BS28-O51</f>
        <v>-109.09999999999854</v>
      </c>
      <c r="CE28" s="6">
        <f>BS28-O64</f>
        <v>2155.0</v>
      </c>
    </row>
    <row r="29">
      <c r="B29" s="5" t="inlineStr">
        <is>
          <t>Gross Margin</t>
        </is>
      </c>
      <c r="C29" s="6" t="n">
        <v>1509</v>
      </c>
      <c r="D29" s="6" t="n">
        <v>1493.8</v>
      </c>
      <c r="E29" s="6" t="n">
        <v>1598.3</v>
      </c>
      <c r="F29" s="6" t="n">
        <v>1723.5</v>
      </c>
      <c r="G29" s="6" t="n">
        <v>1580.5</v>
      </c>
      <c r="H29" s="6" t="n">
        <v>1649.7</v>
      </c>
      <c r="I29" s="6" t="n">
        <v>1615.5</v>
      </c>
      <c r="J29" s="6" t="n">
        <v>1615</v>
      </c>
      <c r="K29" s="6" t="n">
        <v>1578.8</v>
      </c>
      <c r="L29" s="6" t="n">
        <v>1669.9</v>
      </c>
      <c r="M29" s="6" t="n">
        <v>1513.3</v>
      </c>
      <c r="N29" s="6" t="n">
        <v>1630.9</v>
      </c>
      <c r="O29" s="19">
        <f>SUM(C29:N29)</f>
        <v>19178.2</v>
      </c>
      <c r="Q29" s="6" t="n">
        <v>1509</v>
      </c>
      <c r="R29" s="6" t="n">
        <v>1493.8</v>
      </c>
      <c r="S29" s="6" t="n">
        <v>1598.3</v>
      </c>
      <c r="T29" s="6" t="n">
        <v>1723.5</v>
      </c>
      <c r="U29" s="6" t="n">
        <v>1580.5</v>
      </c>
      <c r="V29" s="6" t="n">
        <v>1649.7</v>
      </c>
      <c r="W29" s="6" t="n">
        <v>1615.5</v>
      </c>
      <c r="X29" s="6" t="n">
        <v>1615</v>
      </c>
      <c r="Y29" s="6" t="n">
        <v>1578.8</v>
      </c>
      <c r="Z29" s="6" t="n">
        <v>1669.9</v>
      </c>
      <c r="AA29" s="6" t="n">
        <v>1513.3</v>
      </c>
      <c r="AB29" s="6" t="n">
        <v>1630.9</v>
      </c>
      <c r="AC29" s="19">
        <f>SUM(Q29:AB29)</f>
        <v>19178.2</v>
      </c>
      <c r="AE29" s="6">
        <f>Q29-C29</f>
        <v>0.0</v>
      </c>
      <c r="AF29" s="6">
        <f>R29-D29</f>
        <v>0.0</v>
      </c>
      <c r="AG29" s="6">
        <f>S29-E29</f>
        <v>0.0</v>
      </c>
      <c r="AH29" s="6">
        <f>T29-F29</f>
        <v>0.0</v>
      </c>
      <c r="AI29" s="6">
        <f>U29-G29</f>
        <v>0.0</v>
      </c>
      <c r="AJ29" s="6">
        <f>V29-H29</f>
        <v>0.0</v>
      </c>
      <c r="AK29" s="6">
        <f>W29-I29</f>
        <v>0.0</v>
      </c>
      <c r="AL29" s="6">
        <f>X29-J29</f>
        <v>0.0</v>
      </c>
      <c r="AM29" s="6">
        <f>Y29-K29</f>
        <v>0.0</v>
      </c>
      <c r="AN29" s="6">
        <f>Z29-L29</f>
        <v>0.0</v>
      </c>
      <c r="AO29" s="6">
        <f>AA29-M29</f>
        <v>0.0</v>
      </c>
      <c r="AP29" s="6">
        <f>AB29-N29</f>
        <v>0.0</v>
      </c>
      <c r="AQ29" s="19">
        <f>SUM(AE29:AP29)</f>
        <v>0.0</v>
      </c>
      <c r="AS29" s="6">
        <f>'Cobalt-Adj'!C36+'Cobalt-Adj'!C77</f>
        <v>0.0</v>
      </c>
      <c r="AT29" s="6">
        <f>'Cobalt-Adj'!D36+'Cobalt-Adj'!D77</f>
        <v>0.0</v>
      </c>
      <c r="AU29" s="6">
        <f>'Cobalt-Adj'!E36+'Cobalt-Adj'!E77</f>
        <v>0.0</v>
      </c>
      <c r="AV29" s="6">
        <f>'Cobalt-Adj'!F36+'Cobalt-Adj'!F77</f>
        <v>0.0</v>
      </c>
      <c r="AW29" s="6">
        <f>'Cobalt-Adj'!G36+'Cobalt-Adj'!G77</f>
        <v>0.0</v>
      </c>
      <c r="AX29" s="6">
        <f>'Cobalt-Adj'!H36+'Cobalt-Adj'!H77</f>
        <v>0.0</v>
      </c>
      <c r="AY29" s="6">
        <f>'Cobalt-Adj'!I36+'Cobalt-Adj'!I77</f>
        <v>0.0</v>
      </c>
      <c r="AZ29" s="6">
        <f>'Cobalt-Adj'!J36+'Cobalt-Adj'!J77</f>
        <v>0.0</v>
      </c>
      <c r="BA29" s="6">
        <f>'Cobalt-Adj'!K36+'Cobalt-Adj'!K77</f>
        <v>-162.0</v>
      </c>
      <c r="BB29" s="6">
        <f>'Cobalt-Adj'!L36+'Cobalt-Adj'!L77</f>
        <v>-216.0</v>
      </c>
      <c r="BC29" s="6">
        <f>'Cobalt-Adj'!M36+'Cobalt-Adj'!M77</f>
        <v>-216.0</v>
      </c>
      <c r="BD29" s="6">
        <f>'Cobalt-Adj'!N36+'Cobalt-Adj'!N77</f>
        <v>-216.0</v>
      </c>
      <c r="BE29" s="19">
        <f>SUM(AS29:BD29)</f>
        <v>-810.0</v>
      </c>
      <c r="BG29" s="6">
        <f>C29+AE29+AS29</f>
        <v>1509.0</v>
      </c>
      <c r="BH29" s="6">
        <f>D29+AF29+AT29</f>
        <v>1493.8</v>
      </c>
      <c r="BI29" s="6">
        <f>E29+AG29+AU29</f>
        <v>1598.3</v>
      </c>
      <c r="BJ29" s="6">
        <f>F29+AH29+AV29</f>
        <v>1723.5</v>
      </c>
      <c r="BK29" s="6">
        <f>G29+AI29+AW29</f>
        <v>1580.5</v>
      </c>
      <c r="BL29" s="6">
        <f>H29+AJ29+AX29</f>
        <v>1649.7</v>
      </c>
      <c r="BM29" s="6">
        <f>I29+AK29+AY29</f>
        <v>1615.5</v>
      </c>
      <c r="BN29" s="6">
        <f>J29+AL29+AZ29</f>
        <v>1615.0</v>
      </c>
      <c r="BO29" s="6">
        <f>K29+AM29+BA29</f>
        <v>1416.8</v>
      </c>
      <c r="BP29" s="6">
        <f>L29+AN29+BB29</f>
        <v>1453.9</v>
      </c>
      <c r="BQ29" s="6">
        <f>M29+AO29+BC29</f>
        <v>1297.3</v>
      </c>
      <c r="BR29" s="6">
        <f>N29+AP29+BD29</f>
        <v>1414.9</v>
      </c>
      <c r="BS29" s="19">
        <f>SUM(BG29:BR29)</f>
        <v>18368.2</v>
      </c>
      <c r="BU29" s="6">
        <f>SUM(BG29:BO29)-SUM(C29:K29)</f>
        <v>-162.0</v>
      </c>
      <c r="BV29" s="6">
        <f>SUM(BG29:BO29)-SUM(C52:K52)</f>
        <v>-598.3999999999996</v>
      </c>
      <c r="BW29" s="6">
        <f>SUM(BG29:BO29)-SUM(C65:K65)</f>
        <v>253.60000000000036</v>
      </c>
      <c r="BY29" s="6">
        <f>SUM(BP29:BR29)-SUM(L29:N29)</f>
        <v>-648.0</v>
      </c>
      <c r="BZ29" s="6">
        <f>SUM(BP29:BR29)-SUM(L52:N52)</f>
        <v>-833.5</v>
      </c>
      <c r="CA29" s="6">
        <f>SUM(BP29:BR29)-SUM(L65:N65)</f>
        <v>-575.3999999999996</v>
      </c>
      <c r="CC29" s="6">
        <f>BS29-O29</f>
        <v>-810.0</v>
      </c>
      <c r="CD29" s="6">
        <f>BS29-O52</f>
        <v>-1431.8999999999978</v>
      </c>
      <c r="CE29" s="6">
        <f>BS29-O65</f>
        <v>-321.7999999999993</v>
      </c>
    </row>
    <row r="30">
      <c r="B30" s="5" t="inlineStr">
        <is>
          <t>Op Costs</t>
        </is>
      </c>
      <c r="C30" s="6" t="n">
        <v>-970.7</v>
      </c>
      <c r="D30" s="6" t="n">
        <v>-941.6</v>
      </c>
      <c r="E30" s="6" t="n">
        <v>-1013.9</v>
      </c>
      <c r="F30" s="6" t="n">
        <v>-1088.5</v>
      </c>
      <c r="G30" s="6" t="n">
        <v>-993.1</v>
      </c>
      <c r="H30" s="6" t="n">
        <v>-1057.1</v>
      </c>
      <c r="I30" s="6" t="n">
        <v>-1034.3</v>
      </c>
      <c r="J30" s="6" t="n">
        <v>-1126.3</v>
      </c>
      <c r="K30" s="6" t="n">
        <v>-991.9</v>
      </c>
      <c r="L30" s="6" t="n">
        <v>-1064.5</v>
      </c>
      <c r="M30" s="6" t="n">
        <v>-969.3</v>
      </c>
      <c r="N30" s="6" t="n">
        <v>-1042.7</v>
      </c>
      <c r="O30" s="19">
        <f>SUM(C30:N30)</f>
        <v>-12293.9</v>
      </c>
      <c r="Q30" s="6" t="n">
        <v>-970.7</v>
      </c>
      <c r="R30" s="6" t="n">
        <v>-941.6</v>
      </c>
      <c r="S30" s="6" t="n">
        <v>-1013.9</v>
      </c>
      <c r="T30" s="6" t="n">
        <v>-1088.5</v>
      </c>
      <c r="U30" s="6" t="n">
        <v>-993.1</v>
      </c>
      <c r="V30" s="6" t="n">
        <v>-1057.1</v>
      </c>
      <c r="W30" s="6" t="n">
        <v>-1034.3</v>
      </c>
      <c r="X30" s="6" t="n">
        <v>-1126.3</v>
      </c>
      <c r="Y30" s="6" t="n">
        <v>-991.9</v>
      </c>
      <c r="Z30" s="6" t="n">
        <v>-1064.5</v>
      </c>
      <c r="AA30" s="6" t="n">
        <v>-969.3</v>
      </c>
      <c r="AB30" s="6" t="n">
        <v>-1042.7</v>
      </c>
      <c r="AC30" s="19">
        <f>SUM(Q30:AB30)</f>
        <v>-12293.9</v>
      </c>
      <c r="AE30" s="6">
        <f>Q30-C30</f>
        <v>0.0</v>
      </c>
      <c r="AF30" s="6">
        <f>R30-D30</f>
        <v>0.0</v>
      </c>
      <c r="AG30" s="6">
        <f>S30-E30</f>
        <v>0.0</v>
      </c>
      <c r="AH30" s="6">
        <f>T30-F30</f>
        <v>0.0</v>
      </c>
      <c r="AI30" s="6">
        <f>U30-G30</f>
        <v>0.0</v>
      </c>
      <c r="AJ30" s="6">
        <f>V30-H30</f>
        <v>0.0</v>
      </c>
      <c r="AK30" s="6">
        <f>W30-I30</f>
        <v>0.0</v>
      </c>
      <c r="AL30" s="6">
        <f>X30-J30</f>
        <v>0.0</v>
      </c>
      <c r="AM30" s="6">
        <f>Y30-K30</f>
        <v>0.0</v>
      </c>
      <c r="AN30" s="6">
        <f>Z30-L30</f>
        <v>0.0</v>
      </c>
      <c r="AO30" s="6">
        <f>AA30-M30</f>
        <v>0.0</v>
      </c>
      <c r="AP30" s="6">
        <f>AB30-N30</f>
        <v>0.0</v>
      </c>
      <c r="AQ30" s="19">
        <f>SUM(AE30:AP30)</f>
        <v>0.0</v>
      </c>
      <c r="AS30" s="6">
        <f>-'Cobalt-Adj'!C58-'Cobalt-Adj'!C84</f>
        <v>0.0</v>
      </c>
      <c r="AT30" s="6">
        <f>-'Cobalt-Adj'!D58-'Cobalt-Adj'!D84</f>
        <v>0.0</v>
      </c>
      <c r="AU30" s="6">
        <f>-'Cobalt-Adj'!E58-'Cobalt-Adj'!E84</f>
        <v>0.0</v>
      </c>
      <c r="AV30" s="6">
        <f>-'Cobalt-Adj'!F58-'Cobalt-Adj'!F84</f>
        <v>0.0</v>
      </c>
      <c r="AW30" s="6">
        <f>-'Cobalt-Adj'!G58-'Cobalt-Adj'!G84</f>
        <v>0.0</v>
      </c>
      <c r="AX30" s="6">
        <f>-'Cobalt-Adj'!H58-'Cobalt-Adj'!H84</f>
        <v>0.0</v>
      </c>
      <c r="AY30" s="6">
        <f>-'Cobalt-Adj'!I58-'Cobalt-Adj'!I84</f>
        <v>0.0</v>
      </c>
      <c r="AZ30" s="6">
        <f>-'Cobalt-Adj'!J58-'Cobalt-Adj'!J84</f>
        <v>0.0</v>
      </c>
      <c r="BA30" s="6">
        <f>-'Cobalt-Adj'!K58-'Cobalt-Adj'!K84</f>
        <v>6.0</v>
      </c>
      <c r="BB30" s="6">
        <f>-'Cobalt-Adj'!L58-'Cobalt-Adj'!L84</f>
        <v>-12.0</v>
      </c>
      <c r="BC30" s="6">
        <f>-'Cobalt-Adj'!M58-'Cobalt-Adj'!M84</f>
        <v>-12.0</v>
      </c>
      <c r="BD30" s="6">
        <f>-'Cobalt-Adj'!N58-'Cobalt-Adj'!N84</f>
        <v>-12.0</v>
      </c>
      <c r="BE30" s="19">
        <f>SUM(AS30:BD30)</f>
        <v>-30.0</v>
      </c>
      <c r="BG30" s="6">
        <f>C30+AE30+AS30</f>
        <v>-970.7</v>
      </c>
      <c r="BH30" s="6">
        <f>D30+AF30+AT30</f>
        <v>-941.6</v>
      </c>
      <c r="BI30" s="6">
        <f>E30+AG30+AU30</f>
        <v>-1013.9</v>
      </c>
      <c r="BJ30" s="6">
        <f>F30+AH30+AV30</f>
        <v>-1088.5</v>
      </c>
      <c r="BK30" s="6">
        <f>G30+AI30+AW30</f>
        <v>-993.1</v>
      </c>
      <c r="BL30" s="6">
        <f>H30+AJ30+AX30</f>
        <v>-1057.1</v>
      </c>
      <c r="BM30" s="6">
        <f>I30+AK30+AY30</f>
        <v>-1034.3</v>
      </c>
      <c r="BN30" s="6">
        <f>J30+AL30+AZ30</f>
        <v>-1126.3</v>
      </c>
      <c r="BO30" s="6">
        <f>K30+AM30+BA30</f>
        <v>-985.9</v>
      </c>
      <c r="BP30" s="6">
        <f>L30+AN30+BB30</f>
        <v>-1076.5</v>
      </c>
      <c r="BQ30" s="6">
        <f>M30+AO30+BC30</f>
        <v>-981.3</v>
      </c>
      <c r="BR30" s="6">
        <f>N30+AP30+BD30</f>
        <v>-1054.7</v>
      </c>
      <c r="BS30" s="19">
        <f>SUM(BG30:BR30)</f>
        <v>-12323.9</v>
      </c>
      <c r="BU30" s="6">
        <f>SUM(BG30:BO30)-SUM(C30:K30)</f>
        <v>6.0</v>
      </c>
      <c r="BV30" s="6">
        <f>SUM(BG30:BO30)-SUM(C53:K53)</f>
        <v>-85.29999999999927</v>
      </c>
      <c r="BW30" s="6">
        <f>SUM(BG30:BO30)-SUM(C66:K66)</f>
        <v>-284.9999999999982</v>
      </c>
      <c r="BY30" s="6">
        <f>SUM(BP30:BR30)-SUM(L30:N30)</f>
        <v>-36.0</v>
      </c>
      <c r="BZ30" s="6">
        <f>SUM(BP30:BR30)-SUM(L53:N53)</f>
        <v>-30.0</v>
      </c>
      <c r="CA30" s="6">
        <f>SUM(BP30:BR30)-SUM(L66:N66)</f>
        <v>-101.5</v>
      </c>
      <c r="CC30" s="6">
        <f>BS30-O30</f>
        <v>-30.0</v>
      </c>
      <c r="CD30" s="6">
        <f>BS30-O53</f>
        <v>-115.29999999999927</v>
      </c>
      <c r="CE30" s="6">
        <f>BS30-O66</f>
        <v>-386.4999999999982</v>
      </c>
    </row>
    <row r="31">
      <c r="B31" s="2" t="inlineStr">
        <is>
          <t>PBITA</t>
        </is>
      </c>
      <c r="C31" s="6">
        <f>C29+C30</f>
        <v>538.3</v>
      </c>
      <c r="D31" s="6">
        <f>D29+D30</f>
        <v>552.1999999999999</v>
      </c>
      <c r="E31" s="6">
        <f>E29+E30</f>
        <v>584.4</v>
      </c>
      <c r="F31" s="6">
        <f>F29+F30</f>
        <v>635.0</v>
      </c>
      <c r="G31" s="6">
        <f>G29+G30</f>
        <v>587.4</v>
      </c>
      <c r="H31" s="6">
        <f>H29+H30</f>
        <v>592.6000000000001</v>
      </c>
      <c r="I31" s="6">
        <f>I29+I30</f>
        <v>581.2</v>
      </c>
      <c r="J31" s="6">
        <f>J29+J30</f>
        <v>488.70000000000005</v>
      </c>
      <c r="K31" s="6">
        <f>K29+K30</f>
        <v>586.9</v>
      </c>
      <c r="L31" s="6">
        <f>L29+L30</f>
        <v>605.4000000000001</v>
      </c>
      <c r="M31" s="6">
        <f>M29+M30</f>
        <v>544.0</v>
      </c>
      <c r="N31" s="6">
        <f>N29+N30</f>
        <v>588.2</v>
      </c>
      <c r="O31" s="19">
        <f>SUM(C31:N31)</f>
        <v>6884.3</v>
      </c>
      <c r="Q31" s="6">
        <f>Q29+Q30</f>
        <v>538.3</v>
      </c>
      <c r="R31" s="6">
        <f>R29+R30</f>
        <v>552.1999999999999</v>
      </c>
      <c r="S31" s="6">
        <f>S29+S30</f>
        <v>584.4</v>
      </c>
      <c r="T31" s="6">
        <f>T29+T30</f>
        <v>635.0</v>
      </c>
      <c r="U31" s="6">
        <f>U29+U30</f>
        <v>587.4</v>
      </c>
      <c r="V31" s="6">
        <f>V29+V30</f>
        <v>592.6000000000001</v>
      </c>
      <c r="W31" s="6">
        <f>W29+W30</f>
        <v>581.2</v>
      </c>
      <c r="X31" s="6">
        <f>X29+X30</f>
        <v>488.70000000000005</v>
      </c>
      <c r="Y31" s="6">
        <f>Y29+Y30</f>
        <v>586.9</v>
      </c>
      <c r="Z31" s="6">
        <f>Z29+Z30</f>
        <v>605.4000000000001</v>
      </c>
      <c r="AA31" s="6">
        <f>AA29+AA30</f>
        <v>544.0</v>
      </c>
      <c r="AB31" s="6">
        <f>AB29+AB30</f>
        <v>588.2</v>
      </c>
      <c r="AC31" s="19">
        <f>SUM(Q31:AB31)</f>
        <v>6884.3</v>
      </c>
      <c r="AE31" s="6">
        <f>AE29+AE30</f>
        <v>0.0</v>
      </c>
      <c r="AF31" s="6">
        <f>AF29+AF30</f>
        <v>0.0</v>
      </c>
      <c r="AG31" s="6">
        <f>AG29+AG30</f>
        <v>0.0</v>
      </c>
      <c r="AH31" s="6">
        <f>AH29+AH30</f>
        <v>0.0</v>
      </c>
      <c r="AI31" s="6">
        <f>AI29+AI30</f>
        <v>0.0</v>
      </c>
      <c r="AJ31" s="6">
        <f>AJ29+AJ30</f>
        <v>0.0</v>
      </c>
      <c r="AK31" s="6">
        <f>AK29+AK30</f>
        <v>0.0</v>
      </c>
      <c r="AL31" s="6">
        <f>AL29+AL30</f>
        <v>0.0</v>
      </c>
      <c r="AM31" s="6">
        <f>AM29+AM30</f>
        <v>0.0</v>
      </c>
      <c r="AN31" s="6">
        <f>AN29+AN30</f>
        <v>0.0</v>
      </c>
      <c r="AO31" s="6">
        <f>AO29+AO30</f>
        <v>0.0</v>
      </c>
      <c r="AP31" s="6">
        <f>AP29+AP30</f>
        <v>0.0</v>
      </c>
      <c r="AQ31" s="19">
        <f>SUM(AE31:AP31)</f>
        <v>0.0</v>
      </c>
      <c r="AS31" s="6">
        <f>AS29+AS30</f>
        <v>0.0</v>
      </c>
      <c r="AT31" s="6">
        <f>AT29+AT30</f>
        <v>0.0</v>
      </c>
      <c r="AU31" s="6">
        <f>AU29+AU30</f>
        <v>0.0</v>
      </c>
      <c r="AV31" s="6">
        <f>AV29+AV30</f>
        <v>0.0</v>
      </c>
      <c r="AW31" s="6">
        <f>AW29+AW30</f>
        <v>0.0</v>
      </c>
      <c r="AX31" s="6">
        <f>AX29+AX30</f>
        <v>0.0</v>
      </c>
      <c r="AY31" s="6">
        <f>AY29+AY30</f>
        <v>0.0</v>
      </c>
      <c r="AZ31" s="6">
        <f>AZ29+AZ30</f>
        <v>0.0</v>
      </c>
      <c r="BA31" s="6">
        <f>BA29+BA30</f>
        <v>-156.0</v>
      </c>
      <c r="BB31" s="6">
        <f>BB29+BB30</f>
        <v>-228.0</v>
      </c>
      <c r="BC31" s="6">
        <f>BC29+BC30</f>
        <v>-228.0</v>
      </c>
      <c r="BD31" s="6">
        <f>BD29+BD30</f>
        <v>-228.0</v>
      </c>
      <c r="BE31" s="19">
        <f>SUM(AS31:BD31)</f>
        <v>-840.0</v>
      </c>
      <c r="BG31" s="6">
        <f>BG29+BG30</f>
        <v>538.3</v>
      </c>
      <c r="BH31" s="6">
        <f>BH29+BH30</f>
        <v>552.1999999999999</v>
      </c>
      <c r="BI31" s="6">
        <f>BI29+BI30</f>
        <v>584.4</v>
      </c>
      <c r="BJ31" s="6">
        <f>BJ29+BJ30</f>
        <v>635.0</v>
      </c>
      <c r="BK31" s="6">
        <f>BK29+BK30</f>
        <v>587.4</v>
      </c>
      <c r="BL31" s="6">
        <f>BL29+BL30</f>
        <v>592.6000000000001</v>
      </c>
      <c r="BM31" s="6">
        <f>BM29+BM30</f>
        <v>581.2</v>
      </c>
      <c r="BN31" s="6">
        <f>BN29+BN30</f>
        <v>488.70000000000005</v>
      </c>
      <c r="BO31" s="6">
        <f>BO29+BO30</f>
        <v>430.9</v>
      </c>
      <c r="BP31" s="6">
        <f>BP29+BP30</f>
        <v>377.4000000000001</v>
      </c>
      <c r="BQ31" s="6">
        <f>BQ29+BQ30</f>
        <v>316.0</v>
      </c>
      <c r="BR31" s="6">
        <f>BR29+BR30</f>
        <v>360.20000000000005</v>
      </c>
      <c r="BS31" s="19">
        <f>SUM(BG31:BR31)</f>
        <v>6044.3</v>
      </c>
      <c r="BU31" s="6">
        <f>SUM(BG31:BO31)-SUM(C31:K31)</f>
        <v>-156.0</v>
      </c>
      <c r="BV31" s="6">
        <f>SUM(BG31:BO31)-SUM(C54:K54)</f>
        <v>-683.7000000000007</v>
      </c>
      <c r="BW31" s="6">
        <f>SUM(BG31:BO31)-SUM(C67:K67)</f>
        <v>-31.400000000000546</v>
      </c>
      <c r="BY31" s="6">
        <f>SUM(BP31:BR31)-SUM(L31:N31)</f>
        <v>-684.0</v>
      </c>
      <c r="BZ31" s="6">
        <f>SUM(BP31:BR31)-SUM(L54:N54)</f>
        <v>-863.4999999999998</v>
      </c>
      <c r="CA31" s="6">
        <f>SUM(BP31:BR31)-SUM(L67:N67)</f>
        <v>-676.8999999999999</v>
      </c>
      <c r="CC31" s="6">
        <f>BS31-O31</f>
        <v>-840.0</v>
      </c>
      <c r="CD31" s="6">
        <f>BS31-O54</f>
        <v>-1547.1999999999998</v>
      </c>
      <c r="CE31" s="6">
        <f>BS31-O67</f>
        <v>-708.3000000000002</v>
      </c>
    </row>
    <row r="35">
      <c r="B35" s="5" t="inlineStr">
        <is>
          <t>GM %</t>
        </is>
      </c>
      <c r="C35" s="12">
        <f>IFERROR(C29/C28,0)</f>
        <v>0.34824952112806074</v>
      </c>
      <c r="D35" s="12">
        <f>IFERROR(D29/D28,0)</f>
        <v>0.3529606351306649</v>
      </c>
      <c r="E35" s="12">
        <f>IFERROR(E29/E28,0)</f>
        <v>0.35215705283567617</v>
      </c>
      <c r="F35" s="12">
        <f>IFERROR(F29/F28,0)</f>
        <v>0.34943838449373504</v>
      </c>
      <c r="G35" s="12">
        <f>IFERROR(G29/G28,0)</f>
        <v>0.3519260743709641</v>
      </c>
      <c r="H35" s="12">
        <f>IFERROR(H29/H28,0)</f>
        <v>0.3511942776855282</v>
      </c>
      <c r="I35" s="12">
        <f>IFERROR(I29/I28,0)</f>
        <v>0.3486565231466494</v>
      </c>
      <c r="J35" s="12">
        <f>IFERROR(J29/J28,0)</f>
        <v>0.35233544952767415</v>
      </c>
      <c r="K35" s="12">
        <f>IFERROR(K29/K28,0)</f>
        <v>0.34882898806893503</v>
      </c>
      <c r="L35" s="12">
        <f>IFERROR(L29/L28,0)</f>
        <v>0.3511586827606511</v>
      </c>
      <c r="M35" s="12">
        <f>IFERROR(M29/M28,0)</f>
        <v>0.3481651903830668</v>
      </c>
      <c r="N35" s="12">
        <f>IFERROR(N29/N28,0)</f>
        <v>0.3491468818907752</v>
      </c>
      <c r="O35" s="12">
        <f>IFERROR(O29/O28,0)</f>
        <v>0.3503462688639349</v>
      </c>
      <c r="Q35" s="12">
        <f>IFERROR(Q29/Q28,0)</f>
        <v>0.34824952112806074</v>
      </c>
      <c r="R35" s="12">
        <f>IFERROR(R29/R28,0)</f>
        <v>0.3529606351306649</v>
      </c>
      <c r="S35" s="12">
        <f>IFERROR(S29/S28,0)</f>
        <v>0.35215705283567617</v>
      </c>
      <c r="T35" s="12">
        <f>IFERROR(T29/T28,0)</f>
        <v>0.34943838449373504</v>
      </c>
      <c r="U35" s="12">
        <f>IFERROR(U29/U28,0)</f>
        <v>0.3519260743709641</v>
      </c>
      <c r="V35" s="12">
        <f>IFERROR(V29/V28,0)</f>
        <v>0.3511942776855282</v>
      </c>
      <c r="W35" s="12">
        <f>IFERROR(W29/W28,0)</f>
        <v>0.3486565231466494</v>
      </c>
      <c r="X35" s="12">
        <f>IFERROR(X29/X28,0)</f>
        <v>0.35233544952767415</v>
      </c>
      <c r="Y35" s="12">
        <f>IFERROR(Y29/Y28,0)</f>
        <v>0.34882898806893503</v>
      </c>
      <c r="Z35" s="12">
        <f>IFERROR(Z29/Z28,0)</f>
        <v>0.3511586827606511</v>
      </c>
      <c r="AA35" s="12">
        <f>IFERROR(AA29/AA28,0)</f>
        <v>0.3481651903830668</v>
      </c>
      <c r="AB35" s="12">
        <f>IFERROR(AB29/AB28,0)</f>
        <v>0.3491468818907752</v>
      </c>
      <c r="AC35" s="12">
        <f>IFERROR(AC29/AC28,0)</f>
        <v>0.3503462688639349</v>
      </c>
      <c r="AE35" s="12">
        <f>IFERROR(AE29/AE28,0)</f>
        <v>0.0</v>
      </c>
      <c r="AF35" s="12">
        <f>IFERROR(AF29/AF28,0)</f>
        <v>0.0</v>
      </c>
      <c r="AG35" s="12">
        <f>IFERROR(AG29/AG28,0)</f>
        <v>0.0</v>
      </c>
      <c r="AH35" s="12">
        <f>IFERROR(AH29/AH28,0)</f>
        <v>0.0</v>
      </c>
      <c r="AI35" s="12">
        <f>IFERROR(AI29/AI28,0)</f>
        <v>0.0</v>
      </c>
      <c r="AJ35" s="12">
        <f>IFERROR(AJ29/AJ28,0)</f>
        <v>0.0</v>
      </c>
      <c r="AK35" s="12">
        <f>IFERROR(AK29/AK28,0)</f>
        <v>0.0</v>
      </c>
      <c r="AL35" s="12">
        <f>IFERROR(AL29/AL28,0)</f>
        <v>0.0</v>
      </c>
      <c r="AM35" s="12">
        <f>IFERROR(AM29/AM28,0)</f>
        <v>0.0</v>
      </c>
      <c r="AN35" s="12">
        <f>IFERROR(AN29/AN28,0)</f>
        <v>0.0</v>
      </c>
      <c r="AO35" s="12">
        <f>IFERROR(AO29/AO28,0)</f>
        <v>0.0</v>
      </c>
      <c r="AP35" s="12">
        <f>IFERROR(AP29/AP28,0)</f>
        <v>0.0</v>
      </c>
      <c r="AQ35" s="12">
        <f>IFERROR(AQ29/AQ28,0)</f>
        <v>0.0</v>
      </c>
      <c r="AS35" s="12">
        <f>IFERROR(AS29/AS28,0)</f>
        <v>0.0</v>
      </c>
      <c r="AT35" s="12">
        <f>IFERROR(AT29/AT28,0)</f>
        <v>0.0</v>
      </c>
      <c r="AU35" s="12">
        <f>IFERROR(AU29/AU28,0)</f>
        <v>0.0</v>
      </c>
      <c r="AV35" s="12">
        <f>IFERROR(AV29/AV28,0)</f>
        <v>0.0</v>
      </c>
      <c r="AW35" s="12">
        <f>IFERROR(AW29/AW28,0)</f>
        <v>0.0</v>
      </c>
      <c r="AX35" s="12">
        <f>IFERROR(AX29/AX28,0)</f>
        <v>0.0</v>
      </c>
      <c r="AY35" s="12">
        <f>IFERROR(AY29/AY28,0)</f>
        <v>0.0</v>
      </c>
      <c r="AZ35" s="12">
        <f>IFERROR(AZ29/AZ28,0)</f>
        <v>0.0</v>
      </c>
      <c r="BA35" s="12">
        <f>IFERROR(BA29/BA28,0)</f>
        <v>-5.4</v>
      </c>
      <c r="BB35" s="12">
        <f>IFERROR(BB29/BB28,0)</f>
        <v>-5.4</v>
      </c>
      <c r="BC35" s="12">
        <f>IFERROR(BC29/BC28,0)</f>
        <v>-5.4</v>
      </c>
      <c r="BD35" s="12">
        <f>IFERROR(BD29/BD28,0)</f>
        <v>-5.4</v>
      </c>
      <c r="BE35" s="12">
        <f>IFERROR(BE29/BE28,0)</f>
        <v>-5.4</v>
      </c>
      <c r="BG35" s="12">
        <f>IFERROR(BG29/BG28,0)</f>
        <v>0.34824952112806074</v>
      </c>
      <c r="BH35" s="12">
        <f>IFERROR(BH29/BH28,0)</f>
        <v>0.3529606351306649</v>
      </c>
      <c r="BI35" s="12">
        <f>IFERROR(BI29/BI28,0)</f>
        <v>0.35215705283567617</v>
      </c>
      <c r="BJ35" s="12">
        <f>IFERROR(BJ29/BJ28,0)</f>
        <v>0.34943838449373504</v>
      </c>
      <c r="BK35" s="12">
        <f>IFERROR(BK29/BK28,0)</f>
        <v>0.3519260743709641</v>
      </c>
      <c r="BL35" s="12">
        <f>IFERROR(BL29/BL28,0)</f>
        <v>0.3511942776855282</v>
      </c>
      <c r="BM35" s="12">
        <f>IFERROR(BM29/BM28,0)</f>
        <v>0.3486565231466494</v>
      </c>
      <c r="BN35" s="12">
        <f>IFERROR(BN29/BN28,0)</f>
        <v>0.35233544952767415</v>
      </c>
      <c r="BO35" s="12">
        <f>IFERROR(BO29/BO28,0)</f>
        <v>0.31097453906935907</v>
      </c>
      <c r="BP35" s="12">
        <f>IFERROR(BP29/BP28,0)</f>
        <v>0.30318638695416444</v>
      </c>
      <c r="BQ35" s="12">
        <f>IFERROR(BQ29/BQ28,0)</f>
        <v>0.295748318705118</v>
      </c>
      <c r="BR35" s="12">
        <f>IFERROR(BR29/BR28,0)</f>
        <v>0.3003332555029611</v>
      </c>
      <c r="BS35" s="12">
        <f>IFERROR(BS29/BS28,0)</f>
        <v>0.33463227832765846</v>
      </c>
    </row>
    <row r="36">
      <c r="B36" s="5" t="inlineStr">
        <is>
          <t>Op Cost %</t>
        </is>
      </c>
      <c r="C36" s="12">
        <f>IFERROR(C30/C28,0)</f>
        <v>-0.22401975490987974</v>
      </c>
      <c r="D36" s="12">
        <f>IFERROR(D30/D28,0)</f>
        <v>-0.22248475969944712</v>
      </c>
      <c r="E36" s="12">
        <f>IFERROR(E30/E28,0)</f>
        <v>-0.22339487947825318</v>
      </c>
      <c r="F36" s="12">
        <f>IFERROR(F30/F28,0)</f>
        <v>-0.22069259154130003</v>
      </c>
      <c r="G36" s="12">
        <f>IFERROR(G30/G28,0)</f>
        <v>-0.22113115119127144</v>
      </c>
      <c r="H36" s="12">
        <f>IFERROR(H30/H28,0)</f>
        <v>-0.22503938348873845</v>
      </c>
      <c r="I36" s="12">
        <f>IFERROR(I30/I28,0)</f>
        <v>-0.22322218625229306</v>
      </c>
      <c r="J36" s="12">
        <f>IFERROR(J30/J28,0)</f>
        <v>-0.24571852433623492</v>
      </c>
      <c r="K36" s="12">
        <f>IFERROR(K30/K28,0)</f>
        <v>-0.21915598762704375</v>
      </c>
      <c r="L36" s="12">
        <f>IFERROR(L30/L28,0)</f>
        <v>-0.22385078016570636</v>
      </c>
      <c r="M36" s="12">
        <f>IFERROR(M30/M28,0)</f>
        <v>-0.22300701714022775</v>
      </c>
      <c r="N36" s="12">
        <f>IFERROR(N30/N28,0)</f>
        <v>-0.22322365181648862</v>
      </c>
      <c r="O36" s="12">
        <f>IFERROR(O30/O28,0)</f>
        <v>-0.224584267281931</v>
      </c>
      <c r="Q36" s="12">
        <f>IFERROR(Q30/Q28,0)</f>
        <v>-0.22401975490987974</v>
      </c>
      <c r="R36" s="12">
        <f>IFERROR(R30/R28,0)</f>
        <v>-0.22248475969944712</v>
      </c>
      <c r="S36" s="12">
        <f>IFERROR(S30/S28,0)</f>
        <v>-0.22339487947825318</v>
      </c>
      <c r="T36" s="12">
        <f>IFERROR(T30/T28,0)</f>
        <v>-0.22069259154130003</v>
      </c>
      <c r="U36" s="12">
        <f>IFERROR(U30/U28,0)</f>
        <v>-0.22113115119127144</v>
      </c>
      <c r="V36" s="12">
        <f>IFERROR(V30/V28,0)</f>
        <v>-0.22503938348873845</v>
      </c>
      <c r="W36" s="12">
        <f>IFERROR(W30/W28,0)</f>
        <v>-0.22322218625229306</v>
      </c>
      <c r="X36" s="12">
        <f>IFERROR(X30/X28,0)</f>
        <v>-0.24571852433623492</v>
      </c>
      <c r="Y36" s="12">
        <f>IFERROR(Y30/Y28,0)</f>
        <v>-0.21915598762704375</v>
      </c>
      <c r="Z36" s="12">
        <f>IFERROR(Z30/Z28,0)</f>
        <v>-0.22385078016570636</v>
      </c>
      <c r="AA36" s="12">
        <f>IFERROR(AA30/AA28,0)</f>
        <v>-0.22300701714022775</v>
      </c>
      <c r="AB36" s="12">
        <f>IFERROR(AB30/AB28,0)</f>
        <v>-0.22322365181648862</v>
      </c>
      <c r="AC36" s="12">
        <f>IFERROR(AC30/AC28,0)</f>
        <v>-0.224584267281931</v>
      </c>
      <c r="AE36" s="12">
        <f>IFERROR(AE30/AE28,0)</f>
        <v>0.0</v>
      </c>
      <c r="AF36" s="12">
        <f>IFERROR(AF30/AF28,0)</f>
        <v>0.0</v>
      </c>
      <c r="AG36" s="12">
        <f>IFERROR(AG30/AG28,0)</f>
        <v>0.0</v>
      </c>
      <c r="AH36" s="12">
        <f>IFERROR(AH30/AH28,0)</f>
        <v>0.0</v>
      </c>
      <c r="AI36" s="12">
        <f>IFERROR(AI30/AI28,0)</f>
        <v>0.0</v>
      </c>
      <c r="AJ36" s="12">
        <f>IFERROR(AJ30/AJ28,0)</f>
        <v>0.0</v>
      </c>
      <c r="AK36" s="12">
        <f>IFERROR(AK30/AK28,0)</f>
        <v>0.0</v>
      </c>
      <c r="AL36" s="12">
        <f>IFERROR(AL30/AL28,0)</f>
        <v>0.0</v>
      </c>
      <c r="AM36" s="12">
        <f>IFERROR(AM30/AM28,0)</f>
        <v>0.0</v>
      </c>
      <c r="AN36" s="12">
        <f>IFERROR(AN30/AN28,0)</f>
        <v>0.0</v>
      </c>
      <c r="AO36" s="12">
        <f>IFERROR(AO30/AO28,0)</f>
        <v>0.0</v>
      </c>
      <c r="AP36" s="12">
        <f>IFERROR(AP30/AP28,0)</f>
        <v>0.0</v>
      </c>
      <c r="AQ36" s="12">
        <f>IFERROR(AQ30/AQ28,0)</f>
        <v>0.0</v>
      </c>
      <c r="AS36" s="12">
        <f>IFERROR(AS30/AS28,0)</f>
        <v>0.0</v>
      </c>
      <c r="AT36" s="12">
        <f>IFERROR(AT30/AT28,0)</f>
        <v>0.0</v>
      </c>
      <c r="AU36" s="12">
        <f>IFERROR(AU30/AU28,0)</f>
        <v>0.0</v>
      </c>
      <c r="AV36" s="12">
        <f>IFERROR(AV30/AV28,0)</f>
        <v>0.0</v>
      </c>
      <c r="AW36" s="12">
        <f>IFERROR(AW30/AW28,0)</f>
        <v>0.0</v>
      </c>
      <c r="AX36" s="12">
        <f>IFERROR(AX30/AX28,0)</f>
        <v>0.0</v>
      </c>
      <c r="AY36" s="12">
        <f>IFERROR(AY30/AY28,0)</f>
        <v>0.0</v>
      </c>
      <c r="AZ36" s="12">
        <f>IFERROR(AZ30/AZ28,0)</f>
        <v>0.0</v>
      </c>
      <c r="BA36" s="12">
        <f>IFERROR(BA30/BA28,0)</f>
        <v>0.2</v>
      </c>
      <c r="BB36" s="12">
        <f>IFERROR(BB30/BB28,0)</f>
        <v>-0.3</v>
      </c>
      <c r="BC36" s="12">
        <f>IFERROR(BC30/BC28,0)</f>
        <v>-0.3</v>
      </c>
      <c r="BD36" s="12">
        <f>IFERROR(BD30/BD28,0)</f>
        <v>-0.3</v>
      </c>
      <c r="BE36" s="12">
        <f>IFERROR(BE30/BE28,0)</f>
        <v>-0.2</v>
      </c>
      <c r="BG36" s="12">
        <f>IFERROR(BG30/BG28,0)</f>
        <v>-0.22401975490987974</v>
      </c>
      <c r="BH36" s="12">
        <f>IFERROR(BH30/BH28,0)</f>
        <v>-0.22248475969944712</v>
      </c>
      <c r="BI36" s="12">
        <f>IFERROR(BI30/BI28,0)</f>
        <v>-0.22339487947825318</v>
      </c>
      <c r="BJ36" s="12">
        <f>IFERROR(BJ30/BJ28,0)</f>
        <v>-0.22069259154130003</v>
      </c>
      <c r="BK36" s="12">
        <f>IFERROR(BK30/BK28,0)</f>
        <v>-0.22113115119127144</v>
      </c>
      <c r="BL36" s="12">
        <f>IFERROR(BL30/BL28,0)</f>
        <v>-0.22503938348873845</v>
      </c>
      <c r="BM36" s="12">
        <f>IFERROR(BM30/BM28,0)</f>
        <v>-0.22322218625229306</v>
      </c>
      <c r="BN36" s="12">
        <f>IFERROR(BN30/BN28,0)</f>
        <v>-0.24571852433623492</v>
      </c>
      <c r="BO36" s="12">
        <f>IFERROR(BO30/BO28,0)</f>
        <v>-0.21639596136962247</v>
      </c>
      <c r="BP36" s="12">
        <f>IFERROR(BP30/BP28,0)</f>
        <v>-0.2244859657171456</v>
      </c>
      <c r="BQ36" s="12">
        <f>IFERROR(BQ30/BQ28,0)</f>
        <v>-0.22370910748888634</v>
      </c>
      <c r="BR36" s="12">
        <f>IFERROR(BR30/BR28,0)</f>
        <v>-0.22387552800832078</v>
      </c>
      <c r="BS36" s="12">
        <f>IFERROR(BS30/BS28,0)</f>
        <v>-0.22451708577227109</v>
      </c>
    </row>
    <row r="37">
      <c r="B37" s="5" t="inlineStr">
        <is>
          <t>PBITA %</t>
        </is>
      </c>
      <c r="C37" s="12">
        <f>IFERROR(C31/C28,0)</f>
        <v>0.12422976621818096</v>
      </c>
      <c r="D37" s="12">
        <f>IFERROR(D31/D28,0)</f>
        <v>0.1304758754312178</v>
      </c>
      <c r="E37" s="12">
        <f>IFERROR(E31/E28,0)</f>
        <v>0.128762173357423</v>
      </c>
      <c r="F37" s="12">
        <f>IFERROR(F31/F28,0)</f>
        <v>0.12874579295243502</v>
      </c>
      <c r="G37" s="12">
        <f>IFERROR(G31/G28,0)</f>
        <v>0.1307949231796927</v>
      </c>
      <c r="H37" s="12">
        <f>IFERROR(H31/H28,0)</f>
        <v>0.12615489419678974</v>
      </c>
      <c r="I37" s="12">
        <f>IFERROR(I31/I28,0)</f>
        <v>0.12543433689435632</v>
      </c>
      <c r="J37" s="12">
        <f>IFERROR(J31/J28,0)</f>
        <v>0.10661692519143924</v>
      </c>
      <c r="K37" s="12">
        <f>IFERROR(K31/K28,0)</f>
        <v>0.12967300044189128</v>
      </c>
      <c r="L37" s="12">
        <f>IFERROR(L31/L28,0)</f>
        <v>0.12730790259494473</v>
      </c>
      <c r="M37" s="12">
        <f>IFERROR(M31/M28,0)</f>
        <v>0.12515817324283907</v>
      </c>
      <c r="N37" s="12">
        <f>IFERROR(N31/N28,0)</f>
        <v>0.12592323007428657</v>
      </c>
      <c r="O37" s="12">
        <f>IFERROR(O31/O28,0)</f>
        <v>0.1257620015820039</v>
      </c>
      <c r="Q37" s="12">
        <f>IFERROR(Q31/Q28,0)</f>
        <v>0.12422976621818096</v>
      </c>
      <c r="R37" s="12">
        <f>IFERROR(R31/R28,0)</f>
        <v>0.1304758754312178</v>
      </c>
      <c r="S37" s="12">
        <f>IFERROR(S31/S28,0)</f>
        <v>0.128762173357423</v>
      </c>
      <c r="T37" s="12">
        <f>IFERROR(T31/T28,0)</f>
        <v>0.12874579295243502</v>
      </c>
      <c r="U37" s="12">
        <f>IFERROR(U31/U28,0)</f>
        <v>0.1307949231796927</v>
      </c>
      <c r="V37" s="12">
        <f>IFERROR(V31/V28,0)</f>
        <v>0.12615489419678974</v>
      </c>
      <c r="W37" s="12">
        <f>IFERROR(W31/W28,0)</f>
        <v>0.12543433689435632</v>
      </c>
      <c r="X37" s="12">
        <f>IFERROR(X31/X28,0)</f>
        <v>0.10661692519143924</v>
      </c>
      <c r="Y37" s="12">
        <f>IFERROR(Y31/Y28,0)</f>
        <v>0.12967300044189128</v>
      </c>
      <c r="Z37" s="12">
        <f>IFERROR(Z31/Z28,0)</f>
        <v>0.12730790259494473</v>
      </c>
      <c r="AA37" s="12">
        <f>IFERROR(AA31/AA28,0)</f>
        <v>0.12515817324283907</v>
      </c>
      <c r="AB37" s="12">
        <f>IFERROR(AB31/AB28,0)</f>
        <v>0.12592323007428657</v>
      </c>
      <c r="AC37" s="12">
        <f>IFERROR(AC31/AC28,0)</f>
        <v>0.1257620015820039</v>
      </c>
      <c r="AE37" s="12">
        <f>IFERROR(AE31/AE28,0)</f>
        <v>0.0</v>
      </c>
      <c r="AF37" s="12">
        <f>IFERROR(AF31/AF28,0)</f>
        <v>0.0</v>
      </c>
      <c r="AG37" s="12">
        <f>IFERROR(AG31/AG28,0)</f>
        <v>0.0</v>
      </c>
      <c r="AH37" s="12">
        <f>IFERROR(AH31/AH28,0)</f>
        <v>0.0</v>
      </c>
      <c r="AI37" s="12">
        <f>IFERROR(AI31/AI28,0)</f>
        <v>0.0</v>
      </c>
      <c r="AJ37" s="12">
        <f>IFERROR(AJ31/AJ28,0)</f>
        <v>0.0</v>
      </c>
      <c r="AK37" s="12">
        <f>IFERROR(AK31/AK28,0)</f>
        <v>0.0</v>
      </c>
      <c r="AL37" s="12">
        <f>IFERROR(AL31/AL28,0)</f>
        <v>0.0</v>
      </c>
      <c r="AM37" s="12">
        <f>IFERROR(AM31/AM28,0)</f>
        <v>0.0</v>
      </c>
      <c r="AN37" s="12">
        <f>IFERROR(AN31/AN28,0)</f>
        <v>0.0</v>
      </c>
      <c r="AO37" s="12">
        <f>IFERROR(AO31/AO28,0)</f>
        <v>0.0</v>
      </c>
      <c r="AP37" s="12">
        <f>IFERROR(AP31/AP28,0)</f>
        <v>0.0</v>
      </c>
      <c r="AQ37" s="12">
        <f>IFERROR(AQ31/AQ28,0)</f>
        <v>0.0</v>
      </c>
      <c r="AS37" s="12">
        <f>IFERROR(AS31/AS28,0)</f>
        <v>0.0</v>
      </c>
      <c r="AT37" s="12">
        <f>IFERROR(AT31/AT28,0)</f>
        <v>0.0</v>
      </c>
      <c r="AU37" s="12">
        <f>IFERROR(AU31/AU28,0)</f>
        <v>0.0</v>
      </c>
      <c r="AV37" s="12">
        <f>IFERROR(AV31/AV28,0)</f>
        <v>0.0</v>
      </c>
      <c r="AW37" s="12">
        <f>IFERROR(AW31/AW28,0)</f>
        <v>0.0</v>
      </c>
      <c r="AX37" s="12">
        <f>IFERROR(AX31/AX28,0)</f>
        <v>0.0</v>
      </c>
      <c r="AY37" s="12">
        <f>IFERROR(AY31/AY28,0)</f>
        <v>0.0</v>
      </c>
      <c r="AZ37" s="12">
        <f>IFERROR(AZ31/AZ28,0)</f>
        <v>0.0</v>
      </c>
      <c r="BA37" s="12">
        <f>IFERROR(BA31/BA28,0)</f>
        <v>-5.2</v>
      </c>
      <c r="BB37" s="12">
        <f>IFERROR(BB31/BB28,0)</f>
        <v>-5.7</v>
      </c>
      <c r="BC37" s="12">
        <f>IFERROR(BC31/BC28,0)</f>
        <v>-5.7</v>
      </c>
      <c r="BD37" s="12">
        <f>IFERROR(BD31/BD28,0)</f>
        <v>-5.7</v>
      </c>
      <c r="BE37" s="12">
        <f>IFERROR(BE31/BE28,0)</f>
        <v>-5.6</v>
      </c>
      <c r="BG37" s="12">
        <f>IFERROR(BG31/BG28,0)</f>
        <v>0.12422976621818096</v>
      </c>
      <c r="BH37" s="12">
        <f>IFERROR(BH31/BH28,0)</f>
        <v>0.1304758754312178</v>
      </c>
      <c r="BI37" s="12">
        <f>IFERROR(BI31/BI28,0)</f>
        <v>0.128762173357423</v>
      </c>
      <c r="BJ37" s="12">
        <f>IFERROR(BJ31/BJ28,0)</f>
        <v>0.12874579295243502</v>
      </c>
      <c r="BK37" s="12">
        <f>IFERROR(BK31/BK28,0)</f>
        <v>0.1307949231796927</v>
      </c>
      <c r="BL37" s="12">
        <f>IFERROR(BL31/BL28,0)</f>
        <v>0.12615489419678974</v>
      </c>
      <c r="BM37" s="12">
        <f>IFERROR(BM31/BM28,0)</f>
        <v>0.12543433689435632</v>
      </c>
      <c r="BN37" s="12">
        <f>IFERROR(BN31/BN28,0)</f>
        <v>0.10661692519143924</v>
      </c>
      <c r="BO37" s="12">
        <f>IFERROR(BO31/BO28,0)</f>
        <v>0.09457857769973661</v>
      </c>
      <c r="BP37" s="12">
        <f>IFERROR(BP31/BP28,0)</f>
        <v>0.07870042123701883</v>
      </c>
      <c r="BQ37" s="12">
        <f>IFERROR(BQ31/BQ28,0)</f>
        <v>0.07203921121623162</v>
      </c>
      <c r="BR37" s="12">
        <f>IFERROR(BR31/BR28,0)</f>
        <v>0.07645772749464032</v>
      </c>
      <c r="BS37" s="12">
        <f>IFERROR(BS31/BS28,0)</f>
        <v>0.11011519255538735</v>
      </c>
    </row>
    <row r="38">
      <c r="B38" s="5" t="inlineStr">
        <is>
          <t>Sales/Day</t>
        </is>
      </c>
      <c r="C38" s="6">
        <f>IFERROR(C28/21,0)</f>
        <v>206.33809523809526</v>
      </c>
      <c r="D38" s="6">
        <f>IFERROR(D28/20,0)</f>
        <v>211.60999999999999</v>
      </c>
      <c r="E38" s="6">
        <f>IFERROR(E28/22,0)</f>
        <v>206.3</v>
      </c>
      <c r="F38" s="6">
        <f>IFERROR(F28/22,0)</f>
        <v>224.1909090909091</v>
      </c>
      <c r="G38" s="6">
        <f>IFERROR(G28/20,0)</f>
        <v>224.55</v>
      </c>
      <c r="H38" s="6">
        <f>IFERROR(H28/22,0)</f>
        <v>213.5181818181818</v>
      </c>
      <c r="I38" s="6">
        <f>IFERROR(I28/22,0)</f>
        <v>210.61363636363637</v>
      </c>
      <c r="J38" s="6">
        <f>IFERROR(J28/21,0)</f>
        <v>218.27142857142857</v>
      </c>
      <c r="K38" s="6">
        <f>IFERROR(K28/21,0)</f>
        <v>215.52380952380952</v>
      </c>
      <c r="L38" s="6">
        <f>IFERROR(L28/22,0)</f>
        <v>216.15454545454543</v>
      </c>
      <c r="M38" s="6">
        <f>IFERROR(M28/19,0)</f>
        <v>228.76315789473685</v>
      </c>
      <c r="N38" s="6">
        <f>IFERROR(N28/22,0)</f>
        <v>212.3227272727273</v>
      </c>
      <c r="O38" s="6">
        <f>IFERROR(O28/254,0)</f>
        <v>215.51456692913385</v>
      </c>
      <c r="Q38" s="6">
        <f>IFERROR(Q28/21,0)</f>
        <v>206.33809523809526</v>
      </c>
      <c r="R38" s="6">
        <f>IFERROR(R28/20,0)</f>
        <v>211.60999999999999</v>
      </c>
      <c r="S38" s="6">
        <f>IFERROR(S28/22,0)</f>
        <v>206.3</v>
      </c>
      <c r="T38" s="6">
        <f>IFERROR(T28/22,0)</f>
        <v>224.1909090909091</v>
      </c>
      <c r="U38" s="6">
        <f>IFERROR(U28/20,0)</f>
        <v>224.55</v>
      </c>
      <c r="V38" s="6">
        <f>IFERROR(V28/22,0)</f>
        <v>213.5181818181818</v>
      </c>
      <c r="W38" s="6">
        <f>IFERROR(W28/22,0)</f>
        <v>210.61363636363637</v>
      </c>
      <c r="X38" s="6">
        <f>IFERROR(X28/21,0)</f>
        <v>218.27142857142857</v>
      </c>
      <c r="Y38" s="6">
        <f>IFERROR(Y28/21,0)</f>
        <v>215.52380952380952</v>
      </c>
      <c r="Z38" s="6">
        <f>IFERROR(Z28/22,0)</f>
        <v>216.15454545454543</v>
      </c>
      <c r="AA38" s="6">
        <f>IFERROR(AA28/19,0)</f>
        <v>228.76315789473685</v>
      </c>
      <c r="AB38" s="6">
        <f>IFERROR(AB28/22,0)</f>
        <v>212.3227272727273</v>
      </c>
      <c r="AC38" s="6">
        <f>IFERROR(AC28/254,0)</f>
        <v>215.51456692913385</v>
      </c>
      <c r="AE38" s="6">
        <f>IFERROR(AE28/21,0)</f>
        <v>0.0</v>
      </c>
      <c r="AF38" s="6">
        <f>IFERROR(AF28/20,0)</f>
        <v>0.0</v>
      </c>
      <c r="AG38" s="6">
        <f>IFERROR(AG28/22,0)</f>
        <v>0.0</v>
      </c>
      <c r="AH38" s="6">
        <f>IFERROR(AH28/22,0)</f>
        <v>0.0</v>
      </c>
      <c r="AI38" s="6">
        <f>IFERROR(AI28/20,0)</f>
        <v>0.0</v>
      </c>
      <c r="AJ38" s="6">
        <f>IFERROR(AJ28/22,0)</f>
        <v>0.0</v>
      </c>
      <c r="AK38" s="6">
        <f>IFERROR(AK28/22,0)</f>
        <v>0.0</v>
      </c>
      <c r="AL38" s="6">
        <f>IFERROR(AL28/21,0)</f>
        <v>0.0</v>
      </c>
      <c r="AM38" s="6">
        <f>IFERROR(AM28/21,0)</f>
        <v>0.0</v>
      </c>
      <c r="AN38" s="6">
        <f>IFERROR(AN28/22,0)</f>
        <v>0.0</v>
      </c>
      <c r="AO38" s="6">
        <f>IFERROR(AO28/19,0)</f>
        <v>0.0</v>
      </c>
      <c r="AP38" s="6">
        <f>IFERROR(AP28/22,0)</f>
        <v>0.0</v>
      </c>
      <c r="AQ38" s="6">
        <f>IFERROR(AQ28/254,0)</f>
        <v>0.0</v>
      </c>
      <c r="AS38" s="6">
        <f>IFERROR(AS28/21,0)</f>
        <v>0.0</v>
      </c>
      <c r="AT38" s="6">
        <f>IFERROR(AT28/20,0)</f>
        <v>0.0</v>
      </c>
      <c r="AU38" s="6">
        <f>IFERROR(AU28/22,0)</f>
        <v>0.0</v>
      </c>
      <c r="AV38" s="6">
        <f>IFERROR(AV28/22,0)</f>
        <v>0.0</v>
      </c>
      <c r="AW38" s="6">
        <f>IFERROR(AW28/20,0)</f>
        <v>0.0</v>
      </c>
      <c r="AX38" s="6">
        <f>IFERROR(AX28/22,0)</f>
        <v>0.0</v>
      </c>
      <c r="AY38" s="6">
        <f>IFERROR(AY28/22,0)</f>
        <v>0.0</v>
      </c>
      <c r="AZ38" s="6">
        <f>IFERROR(AZ28/21,0)</f>
        <v>0.0</v>
      </c>
      <c r="BA38" s="6">
        <f>IFERROR(BA28/21,0)</f>
        <v>1.4285714285714286</v>
      </c>
      <c r="BB38" s="6">
        <f>IFERROR(BB28/22,0)</f>
        <v>1.8181818181818181</v>
      </c>
      <c r="BC38" s="6">
        <f>IFERROR(BC28/19,0)</f>
        <v>2.1052631578947367</v>
      </c>
      <c r="BD38" s="6">
        <f>IFERROR(BD28/22,0)</f>
        <v>1.8181818181818181</v>
      </c>
      <c r="BE38" s="6">
        <f>IFERROR(BE28/254,0)</f>
        <v>0.5905511811023622</v>
      </c>
      <c r="BG38" s="6">
        <f>IFERROR(BG28/21,0)</f>
        <v>206.33809523809526</v>
      </c>
      <c r="BH38" s="6">
        <f>IFERROR(BH28/20,0)</f>
        <v>211.60999999999999</v>
      </c>
      <c r="BI38" s="6">
        <f>IFERROR(BI28/22,0)</f>
        <v>206.3</v>
      </c>
      <c r="BJ38" s="6">
        <f>IFERROR(BJ28/22,0)</f>
        <v>224.1909090909091</v>
      </c>
      <c r="BK38" s="6">
        <f>IFERROR(BK28/20,0)</f>
        <v>224.55</v>
      </c>
      <c r="BL38" s="6">
        <f>IFERROR(BL28/22,0)</f>
        <v>213.5181818181818</v>
      </c>
      <c r="BM38" s="6">
        <f>IFERROR(BM28/22,0)</f>
        <v>210.61363636363637</v>
      </c>
      <c r="BN38" s="6">
        <f>IFERROR(BN28/21,0)</f>
        <v>218.27142857142857</v>
      </c>
      <c r="BO38" s="6">
        <f>IFERROR(BO28/21,0)</f>
        <v>216.95238095238096</v>
      </c>
      <c r="BP38" s="6">
        <f>IFERROR(BP28/22,0)</f>
        <v>217.97272727272727</v>
      </c>
      <c r="BQ38" s="6">
        <f>IFERROR(BQ28/19,0)</f>
        <v>230.8684210526316</v>
      </c>
      <c r="BR38" s="6">
        <f>IFERROR(BR28/22,0)</f>
        <v>214.1409090909091</v>
      </c>
      <c r="BS38" s="6">
        <f>IFERROR(BS28/254,0)</f>
        <v>216.10511811023622</v>
      </c>
    </row>
    <row r="40">
      <c r="B40" s="5" t="inlineStr">
        <is>
          <t>Net Inventory</t>
        </is>
      </c>
      <c r="C40" s="6" t="n">
        <v>7094.3</v>
      </c>
      <c r="D40" s="6" t="n">
        <v>6972</v>
      </c>
      <c r="E40" s="6" t="n">
        <v>7351.6</v>
      </c>
      <c r="F40" s="6" t="n">
        <v>8214.5</v>
      </c>
      <c r="G40" s="6" t="n">
        <v>7205.2</v>
      </c>
      <c r="H40" s="6" t="n">
        <v>7160.1</v>
      </c>
      <c r="I40" s="6" t="n">
        <v>7084.7</v>
      </c>
      <c r="J40" s="6" t="n">
        <v>6525.8</v>
      </c>
      <c r="K40" s="6" t="n">
        <v>6847.2</v>
      </c>
      <c r="L40" s="6" t="n">
        <v>7279.3</v>
      </c>
      <c r="M40" s="6" t="n">
        <v>6741.2</v>
      </c>
      <c r="N40" s="6" t="n">
        <v>7395.4</v>
      </c>
      <c r="O40" s="6">
        <f>N40</f>
        <v>7395.4</v>
      </c>
      <c r="Q40" s="6" t="n">
        <v>7094.3</v>
      </c>
      <c r="R40" s="6" t="n">
        <v>6972</v>
      </c>
      <c r="S40" s="6" t="n">
        <v>7351.6</v>
      </c>
      <c r="T40" s="6" t="n">
        <v>8214.5</v>
      </c>
      <c r="U40" s="6" t="n">
        <v>7205.2</v>
      </c>
      <c r="V40" s="6" t="n">
        <v>7160.1</v>
      </c>
      <c r="W40" s="6" t="n">
        <v>7084.7</v>
      </c>
      <c r="X40" s="6" t="n">
        <v>6525.8</v>
      </c>
      <c r="Y40" s="6" t="n">
        <v>6847.2</v>
      </c>
      <c r="Z40" s="6" t="n">
        <v>7279.3</v>
      </c>
      <c r="AA40" s="6" t="n">
        <v>6741.2</v>
      </c>
      <c r="AB40" s="6" t="n">
        <v>7395.4</v>
      </c>
      <c r="AC40" s="6">
        <f>AB40</f>
        <v>7395.4</v>
      </c>
      <c r="AE40" s="6">
        <f>Q40-C40</f>
        <v>0.0</v>
      </c>
      <c r="AF40" s="6">
        <f>R40-D40</f>
        <v>0.0</v>
      </c>
      <c r="AG40" s="6">
        <f>S40-E40</f>
        <v>0.0</v>
      </c>
      <c r="AH40" s="6">
        <f>T40-F40</f>
        <v>0.0</v>
      </c>
      <c r="AI40" s="6">
        <f>U40-G40</f>
        <v>0.0</v>
      </c>
      <c r="AJ40" s="6">
        <f>V40-H40</f>
        <v>0.0</v>
      </c>
      <c r="AK40" s="6">
        <f>W40-I40</f>
        <v>0.0</v>
      </c>
      <c r="AL40" s="6">
        <f>X40-J40</f>
        <v>0.0</v>
      </c>
      <c r="AM40" s="6">
        <f>Y40-K40</f>
        <v>0.0</v>
      </c>
      <c r="AN40" s="6">
        <f>Z40-L40</f>
        <v>0.0</v>
      </c>
      <c r="AO40" s="6">
        <f>AA40-M40</f>
        <v>0.0</v>
      </c>
      <c r="AP40" s="6">
        <f>AB40-N40</f>
        <v>0.0</v>
      </c>
      <c r="AQ40" s="6">
        <f>AP40</f>
        <v>0.0</v>
      </c>
      <c r="AS40" s="6">
        <f>'Cobalt-Adj'!C90</f>
        <v>0.0</v>
      </c>
      <c r="AT40" s="6">
        <f>'Cobalt-Adj'!D90</f>
        <v>0.0</v>
      </c>
      <c r="AU40" s="6">
        <f>'Cobalt-Adj'!E90</f>
        <v>0.0</v>
      </c>
      <c r="AV40" s="6">
        <f>'Cobalt-Adj'!F90</f>
        <v>0.0</v>
      </c>
      <c r="AW40" s="6">
        <f>'Cobalt-Adj'!G90</f>
        <v>0.0</v>
      </c>
      <c r="AX40" s="6">
        <f>'Cobalt-Adj'!H90</f>
        <v>0.0</v>
      </c>
      <c r="AY40" s="6">
        <f>'Cobalt-Adj'!I90</f>
        <v>0.0</v>
      </c>
      <c r="AZ40" s="6">
        <f>'Cobalt-Adj'!J90</f>
        <v>0.0</v>
      </c>
      <c r="BA40" s="6">
        <f>'Cobalt-Adj'!K90</f>
        <v>0.0</v>
      </c>
      <c r="BB40" s="6">
        <f>'Cobalt-Adj'!L90</f>
        <v>0.0</v>
      </c>
      <c r="BC40" s="6">
        <f>'Cobalt-Adj'!M90</f>
        <v>0.0</v>
      </c>
      <c r="BD40" s="6">
        <f>'Cobalt-Adj'!N90</f>
        <v>0.0</v>
      </c>
      <c r="BE40" s="6">
        <f>BD40</f>
        <v>0.0</v>
      </c>
      <c r="BG40" s="6">
        <f>C40+AE40+AS40</f>
        <v>7094.3</v>
      </c>
      <c r="BH40" s="6">
        <f>D40+AF40+AT40</f>
        <v>6972.0</v>
      </c>
      <c r="BI40" s="6">
        <f>E40+AG40+AU40</f>
        <v>7351.6</v>
      </c>
      <c r="BJ40" s="6">
        <f>F40+AH40+AV40</f>
        <v>8214.5</v>
      </c>
      <c r="BK40" s="6">
        <f>G40+AI40+AW40</f>
        <v>7205.2</v>
      </c>
      <c r="BL40" s="6">
        <f>H40+AJ40+AX40</f>
        <v>7160.1</v>
      </c>
      <c r="BM40" s="6">
        <f>I40+AK40+AY40</f>
        <v>7084.7</v>
      </c>
      <c r="BN40" s="6">
        <f>J40+AL40+AZ40</f>
        <v>6525.8</v>
      </c>
      <c r="BO40" s="6">
        <f>K40+AM40+BA40</f>
        <v>6847.2</v>
      </c>
      <c r="BP40" s="6">
        <f>L40+AN40+BB40</f>
        <v>7279.3</v>
      </c>
      <c r="BQ40" s="6">
        <f>M40+AO40+BC40</f>
        <v>6741.2</v>
      </c>
      <c r="BR40" s="6">
        <f>N40+AP40+BD40</f>
        <v>7395.4</v>
      </c>
      <c r="BS40" s="6">
        <f>BR40</f>
        <v>7395.4</v>
      </c>
    </row>
    <row r="41">
      <c r="B41" s="5" t="inlineStr">
        <is>
          <t>Trade Receivables</t>
        </is>
      </c>
      <c r="C41" s="6" t="n">
        <v>6571.9</v>
      </c>
      <c r="D41" s="6" t="n">
        <v>6418.8</v>
      </c>
      <c r="E41" s="6" t="n">
        <v>6883.5</v>
      </c>
      <c r="F41" s="6" t="n">
        <v>7480.5</v>
      </c>
      <c r="G41" s="6" t="n">
        <v>6811.4</v>
      </c>
      <c r="H41" s="6" t="n">
        <v>7124.4</v>
      </c>
      <c r="I41" s="6" t="n">
        <v>7027.5</v>
      </c>
      <c r="J41" s="6" t="n">
        <v>6951.9</v>
      </c>
      <c r="K41" s="6" t="n">
        <v>6909.9</v>
      </c>
      <c r="L41" s="6" t="n">
        <v>7273</v>
      </c>
      <c r="M41" s="6" t="n">
        <v>6652.9</v>
      </c>
      <c r="N41" s="6" t="n">
        <v>7145.2</v>
      </c>
      <c r="O41" s="6">
        <f>N41</f>
        <v>7145.2</v>
      </c>
      <c r="Q41" s="6" t="n">
        <v>6571.9</v>
      </c>
      <c r="R41" s="6" t="n">
        <v>6418.8</v>
      </c>
      <c r="S41" s="6" t="n">
        <v>6883.5</v>
      </c>
      <c r="T41" s="6" t="n">
        <v>7480.5</v>
      </c>
      <c r="U41" s="6" t="n">
        <v>6811.4</v>
      </c>
      <c r="V41" s="6" t="n">
        <v>7124.4</v>
      </c>
      <c r="W41" s="6" t="n">
        <v>7027.5</v>
      </c>
      <c r="X41" s="6" t="n">
        <v>6951.9</v>
      </c>
      <c r="Y41" s="6" t="n">
        <v>6909.9</v>
      </c>
      <c r="Z41" s="6" t="n">
        <v>7273</v>
      </c>
      <c r="AA41" s="6" t="n">
        <v>6652.9</v>
      </c>
      <c r="AB41" s="6" t="n">
        <v>7145.2</v>
      </c>
      <c r="AC41" s="6">
        <f>AB41</f>
        <v>7145.2</v>
      </c>
      <c r="AE41" s="6">
        <f>Q41-C41</f>
        <v>0.0</v>
      </c>
      <c r="AF41" s="6">
        <f>R41-D41</f>
        <v>0.0</v>
      </c>
      <c r="AG41" s="6">
        <f>S41-E41</f>
        <v>0.0</v>
      </c>
      <c r="AH41" s="6">
        <f>T41-F41</f>
        <v>0.0</v>
      </c>
      <c r="AI41" s="6">
        <f>U41-G41</f>
        <v>0.0</v>
      </c>
      <c r="AJ41" s="6">
        <f>V41-H41</f>
        <v>0.0</v>
      </c>
      <c r="AK41" s="6">
        <f>W41-I41</f>
        <v>0.0</v>
      </c>
      <c r="AL41" s="6">
        <f>X41-J41</f>
        <v>0.0</v>
      </c>
      <c r="AM41" s="6">
        <f>Y41-K41</f>
        <v>0.0</v>
      </c>
      <c r="AN41" s="6">
        <f>Z41-L41</f>
        <v>0.0</v>
      </c>
      <c r="AO41" s="6">
        <f>AA41-M41</f>
        <v>0.0</v>
      </c>
      <c r="AP41" s="6">
        <f>AB41-N41</f>
        <v>0.0</v>
      </c>
      <c r="AQ41" s="6">
        <f>AP41</f>
        <v>0.0</v>
      </c>
      <c r="AS41" s="6">
        <f>'Cobalt-Adj'!C91</f>
        <v>0.0</v>
      </c>
      <c r="AT41" s="6">
        <f>'Cobalt-Adj'!D91</f>
        <v>0.0</v>
      </c>
      <c r="AU41" s="6">
        <f>'Cobalt-Adj'!E91</f>
        <v>0.0</v>
      </c>
      <c r="AV41" s="6">
        <f>'Cobalt-Adj'!F91</f>
        <v>0.0</v>
      </c>
      <c r="AW41" s="6">
        <f>'Cobalt-Adj'!G91</f>
        <v>0.0</v>
      </c>
      <c r="AX41" s="6">
        <f>'Cobalt-Adj'!H91</f>
        <v>0.0</v>
      </c>
      <c r="AY41" s="6">
        <f>'Cobalt-Adj'!I91</f>
        <v>0.0</v>
      </c>
      <c r="AZ41" s="6">
        <f>'Cobalt-Adj'!J91</f>
        <v>0.0</v>
      </c>
      <c r="BA41" s="6">
        <f>'Cobalt-Adj'!K91</f>
        <v>0.0</v>
      </c>
      <c r="BB41" s="6">
        <f>'Cobalt-Adj'!L91</f>
        <v>0.0</v>
      </c>
      <c r="BC41" s="6">
        <f>'Cobalt-Adj'!M91</f>
        <v>0.0</v>
      </c>
      <c r="BD41" s="6">
        <f>'Cobalt-Adj'!N91</f>
        <v>0.0</v>
      </c>
      <c r="BE41" s="6">
        <f>BD41</f>
        <v>0.0</v>
      </c>
      <c r="BG41" s="6">
        <f>C41+AE41+AS41</f>
        <v>6571.9</v>
      </c>
      <c r="BH41" s="6">
        <f>D41+AF41+AT41</f>
        <v>6418.8</v>
      </c>
      <c r="BI41" s="6">
        <f>E41+AG41+AU41</f>
        <v>6883.5</v>
      </c>
      <c r="BJ41" s="6">
        <f>F41+AH41+AV41</f>
        <v>7480.5</v>
      </c>
      <c r="BK41" s="6">
        <f>G41+AI41+AW41</f>
        <v>6811.4</v>
      </c>
      <c r="BL41" s="6">
        <f>H41+AJ41+AX41</f>
        <v>7124.4</v>
      </c>
      <c r="BM41" s="6">
        <f>I41+AK41+AY41</f>
        <v>7027.5</v>
      </c>
      <c r="BN41" s="6">
        <f>J41+AL41+AZ41</f>
        <v>6951.9</v>
      </c>
      <c r="BO41" s="6">
        <f>K41+AM41+BA41</f>
        <v>6909.9</v>
      </c>
      <c r="BP41" s="6">
        <f>L41+AN41+BB41</f>
        <v>7273.0</v>
      </c>
      <c r="BQ41" s="6">
        <f>M41+AO41+BC41</f>
        <v>6652.9</v>
      </c>
      <c r="BR41" s="6">
        <f>N41+AP41+BD41</f>
        <v>7145.2</v>
      </c>
      <c r="BS41" s="6">
        <f>BR41</f>
        <v>7145.2</v>
      </c>
    </row>
    <row r="42">
      <c r="B42" s="5" t="inlineStr">
        <is>
          <t>Other Receivables</t>
        </is>
      </c>
      <c r="C42" s="6" t="n">
        <v>65</v>
      </c>
      <c r="D42" s="6" t="n">
        <v>63.5</v>
      </c>
      <c r="E42" s="6" t="n">
        <v>68.09999999999999</v>
      </c>
      <c r="F42" s="6" t="n">
        <v>74</v>
      </c>
      <c r="G42" s="6" t="n">
        <v>67.40000000000001</v>
      </c>
      <c r="H42" s="6" t="n">
        <v>70.5</v>
      </c>
      <c r="I42" s="6" t="n">
        <v>69.5</v>
      </c>
      <c r="J42" s="6" t="n">
        <v>68.8</v>
      </c>
      <c r="K42" s="6" t="n">
        <v>68.3</v>
      </c>
      <c r="L42" s="6" t="n">
        <v>71.90000000000001</v>
      </c>
      <c r="M42" s="6" t="n">
        <v>65.8</v>
      </c>
      <c r="N42" s="6" t="n">
        <v>70.7</v>
      </c>
      <c r="O42" s="6">
        <f>N42</f>
        <v>70.7</v>
      </c>
      <c r="Q42" s="6" t="n">
        <v>65</v>
      </c>
      <c r="R42" s="6" t="n">
        <v>63.5</v>
      </c>
      <c r="S42" s="6" t="n">
        <v>68.09999999999999</v>
      </c>
      <c r="T42" s="6" t="n">
        <v>74</v>
      </c>
      <c r="U42" s="6" t="n">
        <v>67.40000000000001</v>
      </c>
      <c r="V42" s="6" t="n">
        <v>70.5</v>
      </c>
      <c r="W42" s="6" t="n">
        <v>69.5</v>
      </c>
      <c r="X42" s="6" t="n">
        <v>68.8</v>
      </c>
      <c r="Y42" s="6" t="n">
        <v>68.3</v>
      </c>
      <c r="Z42" s="6" t="n">
        <v>71.90000000000001</v>
      </c>
      <c r="AA42" s="6" t="n">
        <v>65.8</v>
      </c>
      <c r="AB42" s="6" t="n">
        <v>70.7</v>
      </c>
      <c r="AC42" s="6">
        <f>AB42</f>
        <v>70.7</v>
      </c>
      <c r="AE42" s="6">
        <f>Q42-C42</f>
        <v>0.0</v>
      </c>
      <c r="AF42" s="6">
        <f>R42-D42</f>
        <v>0.0</v>
      </c>
      <c r="AG42" s="6">
        <f>S42-E42</f>
        <v>0.0</v>
      </c>
      <c r="AH42" s="6">
        <f>T42-F42</f>
        <v>0.0</v>
      </c>
      <c r="AI42" s="6">
        <f>U42-G42</f>
        <v>0.0</v>
      </c>
      <c r="AJ42" s="6">
        <f>V42-H42</f>
        <v>0.0</v>
      </c>
      <c r="AK42" s="6">
        <f>W42-I42</f>
        <v>0.0</v>
      </c>
      <c r="AL42" s="6">
        <f>X42-J42</f>
        <v>0.0</v>
      </c>
      <c r="AM42" s="6">
        <f>Y42-K42</f>
        <v>0.0</v>
      </c>
      <c r="AN42" s="6">
        <f>Z42-L42</f>
        <v>0.0</v>
      </c>
      <c r="AO42" s="6">
        <f>AA42-M42</f>
        <v>0.0</v>
      </c>
      <c r="AP42" s="6">
        <f>AB42-N42</f>
        <v>0.0</v>
      </c>
      <c r="AQ42" s="6">
        <f>AP42</f>
        <v>0.0</v>
      </c>
      <c r="AS42" s="6">
        <f>'Cobalt-Adj'!C92</f>
        <v>0.0</v>
      </c>
      <c r="AT42" s="6">
        <f>'Cobalt-Adj'!D92</f>
        <v>0.0</v>
      </c>
      <c r="AU42" s="6">
        <f>'Cobalt-Adj'!E92</f>
        <v>0.0</v>
      </c>
      <c r="AV42" s="6">
        <f>'Cobalt-Adj'!F92</f>
        <v>0.0</v>
      </c>
      <c r="AW42" s="6">
        <f>'Cobalt-Adj'!G92</f>
        <v>0.0</v>
      </c>
      <c r="AX42" s="6">
        <f>'Cobalt-Adj'!H92</f>
        <v>0.0</v>
      </c>
      <c r="AY42" s="6">
        <f>'Cobalt-Adj'!I92</f>
        <v>0.0</v>
      </c>
      <c r="AZ42" s="6">
        <f>'Cobalt-Adj'!J92</f>
        <v>0.0</v>
      </c>
      <c r="BA42" s="6">
        <f>'Cobalt-Adj'!K92</f>
        <v>0.0</v>
      </c>
      <c r="BB42" s="6">
        <f>'Cobalt-Adj'!L92</f>
        <v>0.0</v>
      </c>
      <c r="BC42" s="6">
        <f>'Cobalt-Adj'!M92</f>
        <v>0.0</v>
      </c>
      <c r="BD42" s="6">
        <f>'Cobalt-Adj'!N92</f>
        <v>0.0</v>
      </c>
      <c r="BE42" s="6">
        <f>BD42</f>
        <v>0.0</v>
      </c>
      <c r="BG42" s="6">
        <f>C42+AE42+AS42</f>
        <v>65.0</v>
      </c>
      <c r="BH42" s="6">
        <f>D42+AF42+AT42</f>
        <v>63.5</v>
      </c>
      <c r="BI42" s="6">
        <f>E42+AG42+AU42</f>
        <v>68.1</v>
      </c>
      <c r="BJ42" s="6">
        <f>F42+AH42+AV42</f>
        <v>74.0</v>
      </c>
      <c r="BK42" s="6">
        <f>G42+AI42+AW42</f>
        <v>67.4</v>
      </c>
      <c r="BL42" s="6">
        <f>H42+AJ42+AX42</f>
        <v>70.5</v>
      </c>
      <c r="BM42" s="6">
        <f>I42+AK42+AY42</f>
        <v>69.5</v>
      </c>
      <c r="BN42" s="6">
        <f>J42+AL42+AZ42</f>
        <v>68.8</v>
      </c>
      <c r="BO42" s="6">
        <f>K42+AM42+BA42</f>
        <v>68.3</v>
      </c>
      <c r="BP42" s="6">
        <f>L42+AN42+BB42</f>
        <v>71.9</v>
      </c>
      <c r="BQ42" s="6">
        <f>M42+AO42+BC42</f>
        <v>65.8</v>
      </c>
      <c r="BR42" s="6">
        <f>N42+AP42+BD42</f>
        <v>70.7</v>
      </c>
      <c r="BS42" s="6">
        <f>BR42</f>
        <v>70.7</v>
      </c>
    </row>
    <row r="43">
      <c r="B43" s="5" t="inlineStr">
        <is>
          <t>Trade Payables</t>
        </is>
      </c>
      <c r="C43" s="6" t="n">
        <v>-4047.9</v>
      </c>
      <c r="D43" s="6" t="n">
        <v>-3925</v>
      </c>
      <c r="E43" s="6" t="n">
        <v>-4214.4</v>
      </c>
      <c r="F43" s="6" t="n">
        <v>-4599.1</v>
      </c>
      <c r="G43" s="6" t="n">
        <v>-4171.7</v>
      </c>
      <c r="H43" s="6" t="n">
        <v>-4368.4</v>
      </c>
      <c r="I43" s="6" t="n">
        <v>-4325.8</v>
      </c>
      <c r="J43" s="6" t="n">
        <v>-4255.1</v>
      </c>
      <c r="K43" s="6" t="n">
        <v>-4499.5</v>
      </c>
      <c r="L43" s="6" t="n">
        <v>-4789.5</v>
      </c>
      <c r="M43" s="6" t="n">
        <v>-4427.9</v>
      </c>
      <c r="N43" s="6" t="n">
        <v>-4724.6</v>
      </c>
      <c r="O43" s="6">
        <f>N43</f>
        <v>-4724.6</v>
      </c>
      <c r="Q43" s="6" t="n">
        <v>-4047.9</v>
      </c>
      <c r="R43" s="6" t="n">
        <v>-3925</v>
      </c>
      <c r="S43" s="6" t="n">
        <v>-4214.4</v>
      </c>
      <c r="T43" s="6" t="n">
        <v>-4599.1</v>
      </c>
      <c r="U43" s="6" t="n">
        <v>-4171.7</v>
      </c>
      <c r="V43" s="6" t="n">
        <v>-4368.4</v>
      </c>
      <c r="W43" s="6" t="n">
        <v>-4325.8</v>
      </c>
      <c r="X43" s="6" t="n">
        <v>-4255.1</v>
      </c>
      <c r="Y43" s="6" t="n">
        <v>-4499.5</v>
      </c>
      <c r="Z43" s="6" t="n">
        <v>-4789.5</v>
      </c>
      <c r="AA43" s="6" t="n">
        <v>-4427.9</v>
      </c>
      <c r="AB43" s="6" t="n">
        <v>-4724.6</v>
      </c>
      <c r="AC43" s="6">
        <f>AB43</f>
        <v>-4724.6</v>
      </c>
      <c r="AE43" s="6">
        <f>Q43-C43</f>
        <v>0.0</v>
      </c>
      <c r="AF43" s="6">
        <f>R43-D43</f>
        <v>0.0</v>
      </c>
      <c r="AG43" s="6">
        <f>S43-E43</f>
        <v>0.0</v>
      </c>
      <c r="AH43" s="6">
        <f>T43-F43</f>
        <v>0.0</v>
      </c>
      <c r="AI43" s="6">
        <f>U43-G43</f>
        <v>0.0</v>
      </c>
      <c r="AJ43" s="6">
        <f>V43-H43</f>
        <v>0.0</v>
      </c>
      <c r="AK43" s="6">
        <f>W43-I43</f>
        <v>0.0</v>
      </c>
      <c r="AL43" s="6">
        <f>X43-J43</f>
        <v>0.0</v>
      </c>
      <c r="AM43" s="6">
        <f>Y43-K43</f>
        <v>0.0</v>
      </c>
      <c r="AN43" s="6">
        <f>Z43-L43</f>
        <v>0.0</v>
      </c>
      <c r="AO43" s="6">
        <f>AA43-M43</f>
        <v>0.0</v>
      </c>
      <c r="AP43" s="6">
        <f>AB43-N43</f>
        <v>0.0</v>
      </c>
      <c r="AQ43" s="6">
        <f>AP43</f>
        <v>0.0</v>
      </c>
      <c r="AS43" s="6">
        <f>'Cobalt-Adj'!C93</f>
        <v>0.0</v>
      </c>
      <c r="AT43" s="6">
        <f>'Cobalt-Adj'!D93</f>
        <v>0.0</v>
      </c>
      <c r="AU43" s="6">
        <f>'Cobalt-Adj'!E93</f>
        <v>0.0</v>
      </c>
      <c r="AV43" s="6">
        <f>'Cobalt-Adj'!F93</f>
        <v>0.0</v>
      </c>
      <c r="AW43" s="6">
        <f>'Cobalt-Adj'!G93</f>
        <v>0.0</v>
      </c>
      <c r="AX43" s="6">
        <f>'Cobalt-Adj'!H93</f>
        <v>0.0</v>
      </c>
      <c r="AY43" s="6">
        <f>'Cobalt-Adj'!I93</f>
        <v>0.0</v>
      </c>
      <c r="AZ43" s="6">
        <f>'Cobalt-Adj'!J93</f>
        <v>0.0</v>
      </c>
      <c r="BA43" s="6">
        <f>'Cobalt-Adj'!K93</f>
        <v>0.0</v>
      </c>
      <c r="BB43" s="6">
        <f>'Cobalt-Adj'!L93</f>
        <v>0.0</v>
      </c>
      <c r="BC43" s="6">
        <f>'Cobalt-Adj'!M93</f>
        <v>0.0</v>
      </c>
      <c r="BD43" s="6">
        <f>'Cobalt-Adj'!N93</f>
        <v>0.0</v>
      </c>
      <c r="BE43" s="6">
        <f>BD43</f>
        <v>0.0</v>
      </c>
      <c r="BG43" s="6">
        <f>C43+AE43+AS43</f>
        <v>-4047.9</v>
      </c>
      <c r="BH43" s="6">
        <f>D43+AF43+AT43</f>
        <v>-3925.0</v>
      </c>
      <c r="BI43" s="6">
        <f>E43+AG43+AU43</f>
        <v>-4214.4</v>
      </c>
      <c r="BJ43" s="6">
        <f>F43+AH43+AV43</f>
        <v>-4599.1</v>
      </c>
      <c r="BK43" s="6">
        <f>G43+AI43+AW43</f>
        <v>-4171.7</v>
      </c>
      <c r="BL43" s="6">
        <f>H43+AJ43+AX43</f>
        <v>-4368.4</v>
      </c>
      <c r="BM43" s="6">
        <f>I43+AK43+AY43</f>
        <v>-4325.8</v>
      </c>
      <c r="BN43" s="6">
        <f>J43+AL43+AZ43</f>
        <v>-4255.1</v>
      </c>
      <c r="BO43" s="6">
        <f>K43+AM43+BA43</f>
        <v>-4499.5</v>
      </c>
      <c r="BP43" s="6">
        <f>L43+AN43+BB43</f>
        <v>-4789.5</v>
      </c>
      <c r="BQ43" s="6">
        <f>M43+AO43+BC43</f>
        <v>-4427.9</v>
      </c>
      <c r="BR43" s="6">
        <f>N43+AP43+BD43</f>
        <v>-4724.6</v>
      </c>
      <c r="BS43" s="6">
        <f>BR43</f>
        <v>-4724.6</v>
      </c>
    </row>
    <row r="44">
      <c r="B44" s="5" t="inlineStr">
        <is>
          <t>Other Payables</t>
        </is>
      </c>
      <c r="C44" s="6" t="n">
        <v>-130</v>
      </c>
      <c r="D44" s="6" t="n">
        <v>-127</v>
      </c>
      <c r="E44" s="6" t="n">
        <v>-136.2</v>
      </c>
      <c r="F44" s="6" t="n">
        <v>-148</v>
      </c>
      <c r="G44" s="6" t="n">
        <v>-134.7</v>
      </c>
      <c r="H44" s="6" t="n">
        <v>-140.9</v>
      </c>
      <c r="I44" s="6" t="n">
        <v>-139</v>
      </c>
      <c r="J44" s="6" t="n">
        <v>-137.5</v>
      </c>
      <c r="K44" s="6" t="n">
        <v>-136.7</v>
      </c>
      <c r="L44" s="6" t="n">
        <v>-143.9</v>
      </c>
      <c r="M44" s="6" t="n">
        <v>-131.6</v>
      </c>
      <c r="N44" s="6" t="n">
        <v>-141.3</v>
      </c>
      <c r="O44" s="6">
        <f>N44</f>
        <v>-141.3</v>
      </c>
      <c r="Q44" s="6" t="n">
        <v>-130</v>
      </c>
      <c r="R44" s="6" t="n">
        <v>-127</v>
      </c>
      <c r="S44" s="6" t="n">
        <v>-136.2</v>
      </c>
      <c r="T44" s="6" t="n">
        <v>-148</v>
      </c>
      <c r="U44" s="6" t="n">
        <v>-134.7</v>
      </c>
      <c r="V44" s="6" t="n">
        <v>-140.9</v>
      </c>
      <c r="W44" s="6" t="n">
        <v>-139</v>
      </c>
      <c r="X44" s="6" t="n">
        <v>-137.5</v>
      </c>
      <c r="Y44" s="6" t="n">
        <v>-136.7</v>
      </c>
      <c r="Z44" s="6" t="n">
        <v>-143.9</v>
      </c>
      <c r="AA44" s="6" t="n">
        <v>-131.6</v>
      </c>
      <c r="AB44" s="6" t="n">
        <v>-141.3</v>
      </c>
      <c r="AC44" s="6">
        <f>AB44</f>
        <v>-141.3</v>
      </c>
      <c r="AE44" s="6">
        <f>Q44-C44</f>
        <v>0.0</v>
      </c>
      <c r="AF44" s="6">
        <f>R44-D44</f>
        <v>0.0</v>
      </c>
      <c r="AG44" s="6">
        <f>S44-E44</f>
        <v>0.0</v>
      </c>
      <c r="AH44" s="6">
        <f>T44-F44</f>
        <v>0.0</v>
      </c>
      <c r="AI44" s="6">
        <f>U44-G44</f>
        <v>0.0</v>
      </c>
      <c r="AJ44" s="6">
        <f>V44-H44</f>
        <v>0.0</v>
      </c>
      <c r="AK44" s="6">
        <f>W44-I44</f>
        <v>0.0</v>
      </c>
      <c r="AL44" s="6">
        <f>X44-J44</f>
        <v>0.0</v>
      </c>
      <c r="AM44" s="6">
        <f>Y44-K44</f>
        <v>0.0</v>
      </c>
      <c r="AN44" s="6">
        <f>Z44-L44</f>
        <v>0.0</v>
      </c>
      <c r="AO44" s="6">
        <f>AA44-M44</f>
        <v>0.0</v>
      </c>
      <c r="AP44" s="6">
        <f>AB44-N44</f>
        <v>0.0</v>
      </c>
      <c r="AQ44" s="6">
        <f>AP44</f>
        <v>0.0</v>
      </c>
      <c r="AS44" s="6">
        <f>'Cobalt-Adj'!C94</f>
        <v>0.0</v>
      </c>
      <c r="AT44" s="6">
        <f>'Cobalt-Adj'!D94</f>
        <v>0.0</v>
      </c>
      <c r="AU44" s="6">
        <f>'Cobalt-Adj'!E94</f>
        <v>0.0</v>
      </c>
      <c r="AV44" s="6">
        <f>'Cobalt-Adj'!F94</f>
        <v>0.0</v>
      </c>
      <c r="AW44" s="6">
        <f>'Cobalt-Adj'!G94</f>
        <v>0.0</v>
      </c>
      <c r="AX44" s="6">
        <f>'Cobalt-Adj'!H94</f>
        <v>0.0</v>
      </c>
      <c r="AY44" s="6">
        <f>'Cobalt-Adj'!I94</f>
        <v>0.0</v>
      </c>
      <c r="AZ44" s="6">
        <f>'Cobalt-Adj'!J94</f>
        <v>0.0</v>
      </c>
      <c r="BA44" s="6">
        <f>'Cobalt-Adj'!K94</f>
        <v>0.0</v>
      </c>
      <c r="BB44" s="6">
        <f>'Cobalt-Adj'!L94</f>
        <v>0.0</v>
      </c>
      <c r="BC44" s="6">
        <f>'Cobalt-Adj'!M94</f>
        <v>0.0</v>
      </c>
      <c r="BD44" s="6">
        <f>'Cobalt-Adj'!N94</f>
        <v>0.0</v>
      </c>
      <c r="BE44" s="6">
        <f>BD44</f>
        <v>0.0</v>
      </c>
      <c r="BG44" s="6">
        <f>C44+AE44+AS44</f>
        <v>-130.0</v>
      </c>
      <c r="BH44" s="6">
        <f>D44+AF44+AT44</f>
        <v>-127.0</v>
      </c>
      <c r="BI44" s="6">
        <f>E44+AG44+AU44</f>
        <v>-136.2</v>
      </c>
      <c r="BJ44" s="6">
        <f>F44+AH44+AV44</f>
        <v>-148.0</v>
      </c>
      <c r="BK44" s="6">
        <f>G44+AI44+AW44</f>
        <v>-134.7</v>
      </c>
      <c r="BL44" s="6">
        <f>H44+AJ44+AX44</f>
        <v>-140.9</v>
      </c>
      <c r="BM44" s="6">
        <f>I44+AK44+AY44</f>
        <v>-139.0</v>
      </c>
      <c r="BN44" s="6">
        <f>J44+AL44+AZ44</f>
        <v>-137.5</v>
      </c>
      <c r="BO44" s="6">
        <f>K44+AM44+BA44</f>
        <v>-136.7</v>
      </c>
      <c r="BP44" s="6">
        <f>L44+AN44+BB44</f>
        <v>-143.9</v>
      </c>
      <c r="BQ44" s="6">
        <f>M44+AO44+BC44</f>
        <v>-131.6</v>
      </c>
      <c r="BR44" s="6">
        <f>N44+AP44+BD44</f>
        <v>-141.3</v>
      </c>
      <c r="BS44" s="6">
        <f>BR44</f>
        <v>-141.3</v>
      </c>
    </row>
    <row r="45">
      <c r="B45" s="2" t="inlineStr">
        <is>
          <t>Total working capital</t>
        </is>
      </c>
      <c r="C45" s="6">
        <f>SUM(C40:C44)</f>
        <v>9553.300000000001</v>
      </c>
      <c r="D45" s="6">
        <f>SUM(D40:D44)</f>
        <v>9402.3</v>
      </c>
      <c r="E45" s="6">
        <f>SUM(E40:E44)</f>
        <v>9952.6</v>
      </c>
      <c r="F45" s="6">
        <f>SUM(F40:F44)</f>
        <v>11021.9</v>
      </c>
      <c r="G45" s="6">
        <f>SUM(G40:G44)</f>
        <v>9777.599999999999</v>
      </c>
      <c r="H45" s="6">
        <f>SUM(H40:H44)</f>
        <v>9845.7</v>
      </c>
      <c r="I45" s="6">
        <f>SUM(I40:I44)</f>
        <v>9716.900000000001</v>
      </c>
      <c r="J45" s="6">
        <f>SUM(J40:J44)</f>
        <v>9153.9</v>
      </c>
      <c r="K45" s="6">
        <f>SUM(K40:K44)</f>
        <v>9189.199999999997</v>
      </c>
      <c r="L45" s="6">
        <f>SUM(L40:L44)</f>
        <v>9690.8</v>
      </c>
      <c r="M45" s="6">
        <f>SUM(M40:M44)</f>
        <v>8900.399999999998</v>
      </c>
      <c r="N45" s="6">
        <f>SUM(N40:N44)</f>
        <v>9745.4</v>
      </c>
      <c r="O45" s="6">
        <f>N45</f>
        <v>9745.4</v>
      </c>
      <c r="Q45" s="6">
        <f>SUM(Q40:Q44)</f>
        <v>9553.300000000001</v>
      </c>
      <c r="R45" s="6">
        <f>SUM(R40:R44)</f>
        <v>9402.3</v>
      </c>
      <c r="S45" s="6">
        <f>SUM(S40:S44)</f>
        <v>9952.6</v>
      </c>
      <c r="T45" s="6">
        <f>SUM(T40:T44)</f>
        <v>11021.9</v>
      </c>
      <c r="U45" s="6">
        <f>SUM(U40:U44)</f>
        <v>9777.599999999999</v>
      </c>
      <c r="V45" s="6">
        <f>SUM(V40:V44)</f>
        <v>9845.7</v>
      </c>
      <c r="W45" s="6">
        <f>SUM(W40:W44)</f>
        <v>9716.900000000001</v>
      </c>
      <c r="X45" s="6">
        <f>SUM(X40:X44)</f>
        <v>9153.9</v>
      </c>
      <c r="Y45" s="6">
        <f>SUM(Y40:Y44)</f>
        <v>9189.199999999997</v>
      </c>
      <c r="Z45" s="6">
        <f>SUM(Z40:Z44)</f>
        <v>9690.8</v>
      </c>
      <c r="AA45" s="6">
        <f>SUM(AA40:AA44)</f>
        <v>8900.399999999998</v>
      </c>
      <c r="AB45" s="6">
        <f>SUM(AB40:AB44)</f>
        <v>9745.4</v>
      </c>
      <c r="AC45" s="6">
        <f>AB45</f>
        <v>9745.4</v>
      </c>
      <c r="AE45" s="6">
        <f>SUM(AE40:AE44)</f>
        <v>0.0</v>
      </c>
      <c r="AF45" s="6">
        <f>SUM(AF40:AF44)</f>
        <v>0.0</v>
      </c>
      <c r="AG45" s="6">
        <f>SUM(AG40:AG44)</f>
        <v>0.0</v>
      </c>
      <c r="AH45" s="6">
        <f>SUM(AH40:AH44)</f>
        <v>0.0</v>
      </c>
      <c r="AI45" s="6">
        <f>SUM(AI40:AI44)</f>
        <v>0.0</v>
      </c>
      <c r="AJ45" s="6">
        <f>SUM(AJ40:AJ44)</f>
        <v>0.0</v>
      </c>
      <c r="AK45" s="6">
        <f>SUM(AK40:AK44)</f>
        <v>0.0</v>
      </c>
      <c r="AL45" s="6">
        <f>SUM(AL40:AL44)</f>
        <v>0.0</v>
      </c>
      <c r="AM45" s="6">
        <f>SUM(AM40:AM44)</f>
        <v>0.0</v>
      </c>
      <c r="AN45" s="6">
        <f>SUM(AN40:AN44)</f>
        <v>0.0</v>
      </c>
      <c r="AO45" s="6">
        <f>SUM(AO40:AO44)</f>
        <v>0.0</v>
      </c>
      <c r="AP45" s="6">
        <f>SUM(AP40:AP44)</f>
        <v>0.0</v>
      </c>
      <c r="AQ45" s="6">
        <f>AP45</f>
        <v>0.0</v>
      </c>
      <c r="AS45" s="6">
        <f>SUM(AS40:AS44)</f>
        <v>0.0</v>
      </c>
      <c r="AT45" s="6">
        <f>SUM(AT40:AT44)</f>
        <v>0.0</v>
      </c>
      <c r="AU45" s="6">
        <f>SUM(AU40:AU44)</f>
        <v>0.0</v>
      </c>
      <c r="AV45" s="6">
        <f>SUM(AV40:AV44)</f>
        <v>0.0</v>
      </c>
      <c r="AW45" s="6">
        <f>SUM(AW40:AW44)</f>
        <v>0.0</v>
      </c>
      <c r="AX45" s="6">
        <f>SUM(AX40:AX44)</f>
        <v>0.0</v>
      </c>
      <c r="AY45" s="6">
        <f>SUM(AY40:AY44)</f>
        <v>0.0</v>
      </c>
      <c r="AZ45" s="6">
        <f>SUM(AZ40:AZ44)</f>
        <v>0.0</v>
      </c>
      <c r="BA45" s="6">
        <f>SUM(BA40:BA44)</f>
        <v>0.0</v>
      </c>
      <c r="BB45" s="6">
        <f>SUM(BB40:BB44)</f>
        <v>0.0</v>
      </c>
      <c r="BC45" s="6">
        <f>SUM(BC40:BC44)</f>
        <v>0.0</v>
      </c>
      <c r="BD45" s="6">
        <f>SUM(BD40:BD44)</f>
        <v>0.0</v>
      </c>
      <c r="BE45" s="6">
        <f>BD45</f>
        <v>0.0</v>
      </c>
      <c r="BG45" s="6">
        <f>SUM(BG40:BG44)</f>
        <v>9553.300000000001</v>
      </c>
      <c r="BH45" s="6">
        <f>SUM(BH40:BH44)</f>
        <v>9402.3</v>
      </c>
      <c r="BI45" s="6">
        <f>SUM(BI40:BI44)</f>
        <v>9952.6</v>
      </c>
      <c r="BJ45" s="6">
        <f>SUM(BJ40:BJ44)</f>
        <v>11021.9</v>
      </c>
      <c r="BK45" s="6">
        <f>SUM(BK40:BK44)</f>
        <v>9777.599999999999</v>
      </c>
      <c r="BL45" s="6">
        <f>SUM(BL40:BL44)</f>
        <v>9845.7</v>
      </c>
      <c r="BM45" s="6">
        <f>SUM(BM40:BM44)</f>
        <v>9716.900000000001</v>
      </c>
      <c r="BN45" s="6">
        <f>SUM(BN40:BN44)</f>
        <v>9153.9</v>
      </c>
      <c r="BO45" s="6">
        <f>SUM(BO40:BO44)</f>
        <v>9189.199999999997</v>
      </c>
      <c r="BP45" s="6">
        <f>SUM(BP40:BP44)</f>
        <v>9690.8</v>
      </c>
      <c r="BQ45" s="6">
        <f>SUM(BQ40:BQ44)</f>
        <v>8900.399999999998</v>
      </c>
      <c r="BR45" s="6">
        <f>SUM(BR40:BR44)</f>
        <v>9745.4</v>
      </c>
      <c r="BS45" s="6">
        <f>BR45</f>
        <v>9745.4</v>
      </c>
    </row>
    <row r="46">
      <c r="B46" s="5" t="inlineStr">
        <is>
          <t>Working capital/sales (monthly)</t>
        </is>
      </c>
      <c r="C46" s="12">
        <f>IFERROR(C45/(C28*12),0)</f>
        <v>0.18372720069542206</v>
      </c>
      <c r="D46" s="12">
        <f>IFERROR(D45/(D28*12),0)</f>
        <v>0.18513420915835735</v>
      </c>
      <c r="E46" s="12">
        <f>IFERROR(E45/(E28*12),0)</f>
        <v>0.18273990511023958</v>
      </c>
      <c r="F46" s="12">
        <f>IFERROR(F45/(F28*12),0)</f>
        <v>0.18622352432315534</v>
      </c>
      <c r="G46" s="12">
        <f>IFERROR(G45/(G28*12),0)</f>
        <v>0.18142952571810284</v>
      </c>
      <c r="H46" s="12">
        <f>IFERROR(H45/(H28*12),0)</f>
        <v>0.17466577255503046</v>
      </c>
      <c r="I46" s="12">
        <f>IFERROR(I45/(I28*12),0)</f>
        <v>0.17475810222653865</v>
      </c>
      <c r="J46" s="12">
        <f>IFERROR(J45/(J28*12),0)</f>
        <v>0.16642123175600498</v>
      </c>
      <c r="K46" s="12">
        <f>IFERROR(K45/(K28*12),0)</f>
        <v>0.16919281190160548</v>
      </c>
      <c r="L46" s="12">
        <f>IFERROR(L45/(L28*12),0)</f>
        <v>0.16982097545246808</v>
      </c>
      <c r="M46" s="12">
        <f>IFERROR(M45/(M28*12),0)</f>
        <v>0.17064304612906933</v>
      </c>
      <c r="N46" s="12">
        <f>IFERROR(N45/(N28*12),0)</f>
        <v>0.1738598331584994</v>
      </c>
      <c r="Q46" s="12">
        <f>IFERROR(Q45/(Q28*12),0)</f>
        <v>0.18372720069542206</v>
      </c>
      <c r="R46" s="12">
        <f>IFERROR(R45/(R28*12),0)</f>
        <v>0.18513420915835735</v>
      </c>
      <c r="S46" s="12">
        <f>IFERROR(S45/(S28*12),0)</f>
        <v>0.18273990511023958</v>
      </c>
      <c r="T46" s="12">
        <f>IFERROR(T45/(T28*12),0)</f>
        <v>0.18622352432315534</v>
      </c>
      <c r="U46" s="12">
        <f>IFERROR(U45/(U28*12),0)</f>
        <v>0.18142952571810284</v>
      </c>
      <c r="V46" s="12">
        <f>IFERROR(V45/(V28*12),0)</f>
        <v>0.17466577255503046</v>
      </c>
      <c r="W46" s="12">
        <f>IFERROR(W45/(W28*12),0)</f>
        <v>0.17475810222653865</v>
      </c>
      <c r="X46" s="12">
        <f>IFERROR(X45/(X28*12),0)</f>
        <v>0.16642123175600498</v>
      </c>
      <c r="Y46" s="12">
        <f>IFERROR(Y45/(Y28*12),0)</f>
        <v>0.16919281190160548</v>
      </c>
      <c r="Z46" s="12">
        <f>IFERROR(Z45/(Z28*12),0)</f>
        <v>0.16982097545246808</v>
      </c>
      <c r="AA46" s="12">
        <f>IFERROR(AA45/(AA28*12),0)</f>
        <v>0.17064304612906933</v>
      </c>
      <c r="AB46" s="12">
        <f>IFERROR(AB45/(AB28*12),0)</f>
        <v>0.1738598331584994</v>
      </c>
      <c r="AE46" s="12">
        <f>IFERROR(AE45/(AE28*12),0)</f>
        <v>0.0</v>
      </c>
      <c r="AF46" s="12">
        <f>IFERROR(AF45/(AF28*12),0)</f>
        <v>0.0</v>
      </c>
      <c r="AG46" s="12">
        <f>IFERROR(AG45/(AG28*12),0)</f>
        <v>0.0</v>
      </c>
      <c r="AH46" s="12">
        <f>IFERROR(AH45/(AH28*12),0)</f>
        <v>0.0</v>
      </c>
      <c r="AI46" s="12">
        <f>IFERROR(AI45/(AI28*12),0)</f>
        <v>0.0</v>
      </c>
      <c r="AJ46" s="12">
        <f>IFERROR(AJ45/(AJ28*12),0)</f>
        <v>0.0</v>
      </c>
      <c r="AK46" s="12">
        <f>IFERROR(AK45/(AK28*12),0)</f>
        <v>0.0</v>
      </c>
      <c r="AL46" s="12">
        <f>IFERROR(AL45/(AL28*12),0)</f>
        <v>0.0</v>
      </c>
      <c r="AM46" s="12">
        <f>IFERROR(AM45/(AM28*12),0)</f>
        <v>0.0</v>
      </c>
      <c r="AN46" s="12">
        <f>IFERROR(AN45/(AN28*12),0)</f>
        <v>0.0</v>
      </c>
      <c r="AO46" s="12">
        <f>IFERROR(AO45/(AO28*12),0)</f>
        <v>0.0</v>
      </c>
      <c r="AP46" s="12">
        <f>IFERROR(AP45/(AP28*12),0)</f>
        <v>0.0</v>
      </c>
      <c r="AS46" s="12">
        <f>IFERROR(AS45/(AS28*12),0)</f>
        <v>0.0</v>
      </c>
      <c r="AT46" s="12">
        <f>IFERROR(AT45/(AT28*12),0)</f>
        <v>0.0</v>
      </c>
      <c r="AU46" s="12">
        <f>IFERROR(AU45/(AU28*12),0)</f>
        <v>0.0</v>
      </c>
      <c r="AV46" s="12">
        <f>IFERROR(AV45/(AV28*12),0)</f>
        <v>0.0</v>
      </c>
      <c r="AW46" s="12">
        <f>IFERROR(AW45/(AW28*12),0)</f>
        <v>0.0</v>
      </c>
      <c r="AX46" s="12">
        <f>IFERROR(AX45/(AX28*12),0)</f>
        <v>0.0</v>
      </c>
      <c r="AY46" s="12">
        <f>IFERROR(AY45/(AY28*12),0)</f>
        <v>0.0</v>
      </c>
      <c r="AZ46" s="12">
        <f>IFERROR(AZ45/(AZ28*12),0)</f>
        <v>0.0</v>
      </c>
      <c r="BA46" s="12">
        <f>IFERROR(BA45/(BA28*12),0)</f>
        <v>0.0</v>
      </c>
      <c r="BB46" s="12">
        <f>IFERROR(BB45/(BB28*12),0)</f>
        <v>0.0</v>
      </c>
      <c r="BC46" s="12">
        <f>IFERROR(BC45/(BC28*12),0)</f>
        <v>0.0</v>
      </c>
      <c r="BD46" s="12">
        <f>IFERROR(BD45/(BD28*12),0)</f>
        <v>0.0</v>
      </c>
      <c r="BG46" s="12">
        <f>IFERROR(BG45/(BG28*12),0)</f>
        <v>0.18372720069542206</v>
      </c>
      <c r="BH46" s="12">
        <f>IFERROR(BH45/(BH28*12),0)</f>
        <v>0.18513420915835735</v>
      </c>
      <c r="BI46" s="12">
        <f>IFERROR(BI45/(BI28*12),0)</f>
        <v>0.18273990511023958</v>
      </c>
      <c r="BJ46" s="12">
        <f>IFERROR(BJ45/(BJ28*12),0)</f>
        <v>0.18622352432315534</v>
      </c>
      <c r="BK46" s="12">
        <f>IFERROR(BK45/(BK28*12),0)</f>
        <v>0.18142952571810284</v>
      </c>
      <c r="BL46" s="12">
        <f>IFERROR(BL45/(BL28*12),0)</f>
        <v>0.17466577255503046</v>
      </c>
      <c r="BM46" s="12">
        <f>IFERROR(BM45/(BM28*12),0)</f>
        <v>0.17475810222653865</v>
      </c>
      <c r="BN46" s="12">
        <f>IFERROR(BN45/(BN28*12),0)</f>
        <v>0.16642123175600498</v>
      </c>
      <c r="BO46" s="12">
        <f>IFERROR(BO45/(BO28*12),0)</f>
        <v>0.16807872402692414</v>
      </c>
      <c r="BP46" s="12">
        <f>IFERROR(BP45/(BP28*12),0)</f>
        <v>0.16840444314690467</v>
      </c>
      <c r="BQ46" s="12">
        <f>IFERROR(BQ45/(BQ28*12),0)</f>
        <v>0.16908697138949044</v>
      </c>
      <c r="BR46" s="12">
        <f>IFERROR(BR45/(BR28*12),0)</f>
        <v>0.17238366128222</v>
      </c>
    </row>
    <row r="49">
      <c r="B49" s="8" t="inlineStr">
        <is>
          <t>Budget 2026</t>
        </is>
      </c>
    </row>
    <row r="50">
      <c r="C50" s="20" t="inlineStr">
        <is>
          <t>January</t>
        </is>
      </c>
      <c r="D50" s="20" t="inlineStr">
        <is>
          <t>February</t>
        </is>
      </c>
      <c r="E50" s="20" t="inlineStr">
        <is>
          <t>March</t>
        </is>
      </c>
      <c r="F50" s="20" t="inlineStr">
        <is>
          <t>April</t>
        </is>
      </c>
      <c r="G50" s="20" t="inlineStr">
        <is>
          <t>May</t>
        </is>
      </c>
      <c r="H50" s="20" t="inlineStr">
        <is>
          <t>June</t>
        </is>
      </c>
      <c r="I50" s="20" t="inlineStr">
        <is>
          <t>July</t>
        </is>
      </c>
      <c r="J50" s="20" t="inlineStr">
        <is>
          <t>August</t>
        </is>
      </c>
      <c r="K50" s="20" t="inlineStr">
        <is>
          <t>September</t>
        </is>
      </c>
      <c r="L50" s="20" t="inlineStr">
        <is>
          <t>October</t>
        </is>
      </c>
      <c r="M50" s="20" t="inlineStr">
        <is>
          <t>November</t>
        </is>
      </c>
      <c r="N50" s="20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6" t="n">
        <v>4354.1</v>
      </c>
      <c r="D51" s="6" t="n">
        <v>4262.4</v>
      </c>
      <c r="E51" s="6" t="n">
        <v>4583.3</v>
      </c>
      <c r="F51" s="6" t="n">
        <v>4950.1</v>
      </c>
      <c r="G51" s="6" t="n">
        <v>4491.7</v>
      </c>
      <c r="H51" s="6" t="n">
        <v>4720.7</v>
      </c>
      <c r="I51" s="6" t="n">
        <v>4675</v>
      </c>
      <c r="J51" s="6" t="n">
        <v>4583.5</v>
      </c>
      <c r="K51" s="6" t="n">
        <v>4491.5</v>
      </c>
      <c r="L51" s="6" t="n">
        <v>4812.6</v>
      </c>
      <c r="M51" s="6" t="n">
        <v>4354.2</v>
      </c>
      <c r="N51" s="6" t="n">
        <v>4720.7</v>
      </c>
      <c r="O51" s="6">
        <f>SUM(C51:N51)</f>
        <v>54999.799999999996</v>
      </c>
    </row>
    <row r="52">
      <c r="B52" t="inlineStr">
        <is>
          <t>Gross Margin</t>
        </is>
      </c>
      <c r="C52" s="6" t="n">
        <v>1567.5</v>
      </c>
      <c r="D52" s="6" t="n">
        <v>1534.4</v>
      </c>
      <c r="E52" s="6" t="n">
        <v>1650</v>
      </c>
      <c r="F52" s="6" t="n">
        <v>1782.1</v>
      </c>
      <c r="G52" s="6" t="n">
        <v>1617.1</v>
      </c>
      <c r="H52" s="6" t="n">
        <v>1699.4</v>
      </c>
      <c r="I52" s="6" t="n">
        <v>1682.9</v>
      </c>
      <c r="J52" s="6" t="n">
        <v>1650.2</v>
      </c>
      <c r="K52" s="6" t="n">
        <v>1616.9</v>
      </c>
      <c r="L52" s="6" t="n">
        <v>1732.6</v>
      </c>
      <c r="M52" s="6" t="n">
        <v>1567.6</v>
      </c>
      <c r="N52" s="6" t="n">
        <v>1699.4</v>
      </c>
      <c r="O52" s="6">
        <f>SUM(C52:N52)</f>
        <v>19800.1</v>
      </c>
    </row>
    <row r="53">
      <c r="B53" t="inlineStr">
        <is>
          <t>Op Costs</t>
        </is>
      </c>
      <c r="C53" s="6" t="n">
        <v>-966.4</v>
      </c>
      <c r="D53" s="6" t="n">
        <v>-946.3</v>
      </c>
      <c r="E53" s="6" t="n">
        <v>-1017.1</v>
      </c>
      <c r="F53" s="6" t="n">
        <v>-1098.9</v>
      </c>
      <c r="G53" s="6" t="n">
        <v>-997.2</v>
      </c>
      <c r="H53" s="6" t="n">
        <v>-1047.9</v>
      </c>
      <c r="I53" s="6" t="n">
        <v>-1038</v>
      </c>
      <c r="J53" s="6" t="n">
        <v>-1017.1</v>
      </c>
      <c r="K53" s="6" t="n">
        <v>-997.2</v>
      </c>
      <c r="L53" s="6" t="n">
        <v>-1068.2</v>
      </c>
      <c r="M53" s="6" t="n">
        <v>-966.4</v>
      </c>
      <c r="N53" s="6" t="n">
        <v>-1047.9</v>
      </c>
      <c r="O53" s="6">
        <f>SUM(C53:N53)</f>
        <v>-12208.6</v>
      </c>
    </row>
    <row r="54">
      <c r="B54" t="inlineStr">
        <is>
          <t>PBITA</t>
        </is>
      </c>
      <c r="C54" s="6">
        <f>C52+C53</f>
        <v>601.1</v>
      </c>
      <c r="D54" s="6">
        <f>D52+D53</f>
        <v>588.1000000000001</v>
      </c>
      <c r="E54" s="6">
        <f>E52+E53</f>
        <v>632.9</v>
      </c>
      <c r="F54" s="6">
        <f>F52+F53</f>
        <v>683.1999999999998</v>
      </c>
      <c r="G54" s="6">
        <f>G52+G53</f>
        <v>619.8999999999999</v>
      </c>
      <c r="H54" s="6">
        <f>H52+H53</f>
        <v>651.5</v>
      </c>
      <c r="I54" s="6">
        <f>I52+I53</f>
        <v>644.9000000000001</v>
      </c>
      <c r="J54" s="6">
        <f>J52+J53</f>
        <v>633.1</v>
      </c>
      <c r="K54" s="6">
        <f>K52+K53</f>
        <v>619.7</v>
      </c>
      <c r="L54" s="6">
        <f>L52+L53</f>
        <v>664.3999999999999</v>
      </c>
      <c r="M54" s="6">
        <f>M52+M53</f>
        <v>601.1999999999999</v>
      </c>
      <c r="N54" s="6">
        <f>N52+N53</f>
        <v>651.5</v>
      </c>
      <c r="O54" s="6">
        <f>SUM(C54:N54)</f>
        <v>7591.5</v>
      </c>
    </row>
    <row r="55">
      <c r="B55" t="inlineStr">
        <is>
          <t>Net Inventory</t>
        </is>
      </c>
      <c r="C55" s="6" t="n">
        <v>6936</v>
      </c>
      <c r="D55" s="6" t="n">
        <v>6905.2</v>
      </c>
      <c r="E55" s="6" t="n">
        <v>7528.7</v>
      </c>
      <c r="F55" s="6" t="n">
        <v>8003.3</v>
      </c>
      <c r="G55" s="6" t="n">
        <v>7149.3</v>
      </c>
      <c r="H55" s="6" t="n">
        <v>7523</v>
      </c>
      <c r="I55" s="6" t="n">
        <v>7706.4</v>
      </c>
      <c r="J55" s="6" t="n">
        <v>7535</v>
      </c>
      <c r="K55" s="6" t="n">
        <v>7210.9</v>
      </c>
      <c r="L55" s="6" t="n">
        <v>7742.1</v>
      </c>
      <c r="M55" s="6" t="n">
        <v>6959.6</v>
      </c>
      <c r="N55" s="6" t="n">
        <v>7532.9</v>
      </c>
      <c r="O55" s="6">
        <f>N55</f>
        <v>7532.9</v>
      </c>
    </row>
    <row r="56">
      <c r="B56" t="inlineStr">
        <is>
          <t>Trade Receivables</t>
        </is>
      </c>
      <c r="C56" s="6" t="n">
        <v>6531.2</v>
      </c>
      <c r="D56" s="6" t="n">
        <v>6393.6</v>
      </c>
      <c r="E56" s="6" t="n">
        <v>6874.9</v>
      </c>
      <c r="F56" s="6" t="n">
        <v>7425.2</v>
      </c>
      <c r="G56" s="6" t="n">
        <v>6737.6</v>
      </c>
      <c r="H56" s="6" t="n">
        <v>7081.1</v>
      </c>
      <c r="I56" s="6" t="n">
        <v>7012.5</v>
      </c>
      <c r="J56" s="6" t="n">
        <v>6875.2</v>
      </c>
      <c r="K56" s="6" t="n">
        <v>6737.2</v>
      </c>
      <c r="L56" s="6" t="n">
        <v>7218.9</v>
      </c>
      <c r="M56" s="6" t="n">
        <v>6531.3</v>
      </c>
      <c r="N56" s="6" t="n">
        <v>7081.1</v>
      </c>
      <c r="O56" s="6">
        <f>N56</f>
        <v>7081.1</v>
      </c>
    </row>
    <row r="57">
      <c r="B57" t="inlineStr">
        <is>
          <t>Other Receivables</t>
        </is>
      </c>
      <c r="C57" s="6" t="n">
        <v>65.3</v>
      </c>
      <c r="D57" s="6" t="n">
        <v>63.9</v>
      </c>
      <c r="E57" s="6" t="n">
        <v>68.7</v>
      </c>
      <c r="F57" s="6" t="n">
        <v>74.3</v>
      </c>
      <c r="G57" s="6" t="n">
        <v>67.40000000000001</v>
      </c>
      <c r="H57" s="6" t="n">
        <v>70.8</v>
      </c>
      <c r="I57" s="6" t="n">
        <v>70.09999999999999</v>
      </c>
      <c r="J57" s="6" t="n">
        <v>68.8</v>
      </c>
      <c r="K57" s="6" t="n">
        <v>67.40000000000001</v>
      </c>
      <c r="L57" s="6" t="n">
        <v>72.2</v>
      </c>
      <c r="M57" s="6" t="n">
        <v>65.3</v>
      </c>
      <c r="N57" s="6" t="n">
        <v>70.8</v>
      </c>
      <c r="O57" s="6">
        <f>N57</f>
        <v>70.8</v>
      </c>
    </row>
    <row r="58">
      <c r="B58" t="inlineStr">
        <is>
          <t>Trade Payables</t>
        </is>
      </c>
      <c r="C58" s="6" t="n">
        <v>-3901.2</v>
      </c>
      <c r="D58" s="6" t="n">
        <v>-3819.2</v>
      </c>
      <c r="E58" s="6" t="n">
        <v>-4106.6</v>
      </c>
      <c r="F58" s="6" t="n">
        <v>-4435.2</v>
      </c>
      <c r="G58" s="6" t="n">
        <v>-4024.4</v>
      </c>
      <c r="H58" s="6" t="n">
        <v>-4229.8</v>
      </c>
      <c r="I58" s="6" t="n">
        <v>-4188.9</v>
      </c>
      <c r="J58" s="6" t="n">
        <v>-4106.6</v>
      </c>
      <c r="K58" s="6" t="n">
        <v>-4024.4</v>
      </c>
      <c r="L58" s="6" t="n">
        <v>-4312</v>
      </c>
      <c r="M58" s="6" t="n">
        <v>-3901.2</v>
      </c>
      <c r="N58" s="6" t="n">
        <v>-4229.8</v>
      </c>
      <c r="O58" s="6">
        <f>N58</f>
        <v>-4229.8</v>
      </c>
    </row>
    <row r="59">
      <c r="B59" t="inlineStr">
        <is>
          <t>Other Payables</t>
        </is>
      </c>
      <c r="C59" s="6" t="n">
        <v>-130.6</v>
      </c>
      <c r="D59" s="6" t="n">
        <v>-127.9</v>
      </c>
      <c r="E59" s="6" t="n">
        <v>-137.5</v>
      </c>
      <c r="F59" s="6" t="n">
        <v>-148.5</v>
      </c>
      <c r="G59" s="6" t="n">
        <v>-134.8</v>
      </c>
      <c r="H59" s="6" t="n">
        <v>-141.6</v>
      </c>
      <c r="I59" s="6" t="n">
        <v>-140.2</v>
      </c>
      <c r="J59" s="6" t="n">
        <v>-137.5</v>
      </c>
      <c r="K59" s="6" t="n">
        <v>-134.7</v>
      </c>
      <c r="L59" s="6" t="n">
        <v>-144.4</v>
      </c>
      <c r="M59" s="6" t="n">
        <v>-130.6</v>
      </c>
      <c r="N59" s="6" t="n">
        <v>-141.6</v>
      </c>
      <c r="O59" s="6">
        <f>N59</f>
        <v>-141.6</v>
      </c>
    </row>
    <row r="60">
      <c r="B60" t="inlineStr">
        <is>
          <t>Total working capital</t>
        </is>
      </c>
      <c r="C60" s="6">
        <f>SUM(C55:C59)</f>
        <v>9500.699999999999</v>
      </c>
      <c r="D60" s="6">
        <f>SUM(D55:D59)</f>
        <v>9415.6</v>
      </c>
      <c r="E60" s="6">
        <f>SUM(E55:E59)</f>
        <v>10228.199999999999</v>
      </c>
      <c r="F60" s="6">
        <f>SUM(F55:F59)</f>
        <v>10919.099999999999</v>
      </c>
      <c r="G60" s="6">
        <f>SUM(G55:G59)</f>
        <v>9795.100000000002</v>
      </c>
      <c r="H60" s="6">
        <f>SUM(H55:H59)</f>
        <v>10303.499999999998</v>
      </c>
      <c r="I60" s="6">
        <f>SUM(I55:I59)</f>
        <v>10459.9</v>
      </c>
      <c r="J60" s="6">
        <f>SUM(J55:J59)</f>
        <v>10234.9</v>
      </c>
      <c r="K60" s="6">
        <f>SUM(K55:K59)</f>
        <v>9856.399999999998</v>
      </c>
      <c r="L60" s="6">
        <f>SUM(L55:L59)</f>
        <v>10576.800000000001</v>
      </c>
      <c r="M60" s="6">
        <f>SUM(M55:M59)</f>
        <v>9524.4</v>
      </c>
      <c r="N60" s="6">
        <f>SUM(N55:N59)</f>
        <v>10313.4</v>
      </c>
      <c r="O60" s="6">
        <f>N60</f>
        <v>10313.4</v>
      </c>
    </row>
    <row r="62">
      <c r="B62" s="8" t="inlineStr">
        <is>
          <t>2025 Actual</t>
        </is>
      </c>
    </row>
    <row r="63">
      <c r="C63" s="20" t="inlineStr">
        <is>
          <t>January</t>
        </is>
      </c>
      <c r="D63" s="20" t="inlineStr">
        <is>
          <t>February</t>
        </is>
      </c>
      <c r="E63" s="20" t="inlineStr">
        <is>
          <t>March</t>
        </is>
      </c>
      <c r="F63" s="20" t="inlineStr">
        <is>
          <t>April</t>
        </is>
      </c>
      <c r="G63" s="20" t="inlineStr">
        <is>
          <t>May</t>
        </is>
      </c>
      <c r="H63" s="20" t="inlineStr">
        <is>
          <t>June</t>
        </is>
      </c>
      <c r="I63" s="20" t="inlineStr">
        <is>
          <t>July</t>
        </is>
      </c>
      <c r="J63" s="20" t="inlineStr">
        <is>
          <t>August</t>
        </is>
      </c>
      <c r="K63" s="20" t="inlineStr">
        <is>
          <t>September</t>
        </is>
      </c>
      <c r="L63" s="20" t="inlineStr">
        <is>
          <t>October</t>
        </is>
      </c>
      <c r="M63" s="20" t="inlineStr">
        <is>
          <t>November</t>
        </is>
      </c>
      <c r="N63" s="20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6" t="n">
        <v>4131.1</v>
      </c>
      <c r="D64" s="6" t="n">
        <v>4153.7</v>
      </c>
      <c r="E64" s="6" t="n">
        <v>4407.4</v>
      </c>
      <c r="F64" s="6" t="n">
        <v>4690.5</v>
      </c>
      <c r="G64" s="6" t="n">
        <v>4318.6</v>
      </c>
      <c r="H64" s="6" t="n">
        <v>4497.7</v>
      </c>
      <c r="I64" s="6" t="n">
        <v>4544.9</v>
      </c>
      <c r="J64" s="6" t="n">
        <v>4350.3</v>
      </c>
      <c r="K64" s="6" t="n">
        <v>4347.3</v>
      </c>
      <c r="L64" s="6" t="n">
        <v>4572.3</v>
      </c>
      <c r="M64" s="6" t="n">
        <v>4172.2</v>
      </c>
      <c r="N64" s="6" t="n">
        <v>4549.7</v>
      </c>
      <c r="O64" s="6">
        <f>SUM(C64:N64)</f>
        <v>52735.7</v>
      </c>
    </row>
    <row r="65">
      <c r="B65" t="inlineStr">
        <is>
          <t>Gross Margin</t>
        </is>
      </c>
      <c r="C65" s="6" t="n">
        <v>1456.7</v>
      </c>
      <c r="D65" s="6" t="n">
        <v>1462.7</v>
      </c>
      <c r="E65" s="6" t="n">
        <v>1561.9</v>
      </c>
      <c r="F65" s="6" t="n">
        <v>1660.8</v>
      </c>
      <c r="G65" s="6" t="n">
        <v>1523.3</v>
      </c>
      <c r="H65" s="6" t="n">
        <v>1601.6</v>
      </c>
      <c r="I65" s="6" t="n">
        <v>1616.9</v>
      </c>
      <c r="J65" s="6" t="n">
        <v>1531.4</v>
      </c>
      <c r="K65" s="6" t="n">
        <v>1533.2</v>
      </c>
      <c r="L65" s="6" t="n">
        <v>1628.7</v>
      </c>
      <c r="M65" s="6" t="n">
        <v>1500.8</v>
      </c>
      <c r="N65" s="6" t="n">
        <v>1612</v>
      </c>
      <c r="O65" s="6">
        <f>SUM(C65:N65)</f>
        <v>18690.0</v>
      </c>
    </row>
    <row r="66">
      <c r="B66" t="inlineStr">
        <is>
          <t>Op Costs</t>
        </is>
      </c>
      <c r="C66" s="6" t="n">
        <v>-943.8</v>
      </c>
      <c r="D66" s="6" t="n">
        <v>-921.7</v>
      </c>
      <c r="E66" s="6" t="n">
        <v>-992.8</v>
      </c>
      <c r="F66" s="6" t="n">
        <v>-1079</v>
      </c>
      <c r="G66" s="6" t="n">
        <v>-972.1</v>
      </c>
      <c r="H66" s="6" t="n">
        <v>-1023.6</v>
      </c>
      <c r="I66" s="6" t="n">
        <v>-1018.6</v>
      </c>
      <c r="J66" s="6" t="n">
        <v>-1000.2</v>
      </c>
      <c r="K66" s="6" t="n">
        <v>-974.6</v>
      </c>
      <c r="L66" s="6" t="n">
        <v>-1036.5</v>
      </c>
      <c r="M66" s="6" t="n">
        <v>-946.3</v>
      </c>
      <c r="N66" s="6" t="n">
        <v>-1028.2</v>
      </c>
      <c r="O66" s="6">
        <f>SUM(C66:N66)</f>
        <v>-11937.400000000001</v>
      </c>
    </row>
    <row r="67">
      <c r="B67" t="inlineStr">
        <is>
          <t>PBITA</t>
        </is>
      </c>
      <c r="C67" s="6">
        <f>C65+C66</f>
        <v>512.9000000000001</v>
      </c>
      <c r="D67" s="6">
        <f>D65+D66</f>
        <v>541.0</v>
      </c>
      <c r="E67" s="6">
        <f>E65+E66</f>
        <v>569.1000000000001</v>
      </c>
      <c r="F67" s="6">
        <f>F65+F66</f>
        <v>581.8</v>
      </c>
      <c r="G67" s="6">
        <f>G65+G66</f>
        <v>551.1999999999999</v>
      </c>
      <c r="H67" s="6">
        <f>H65+H66</f>
        <v>577.9999999999999</v>
      </c>
      <c r="I67" s="6">
        <f>I65+I66</f>
        <v>598.3000000000001</v>
      </c>
      <c r="J67" s="6">
        <f>J65+J66</f>
        <v>531.2</v>
      </c>
      <c r="K67" s="6">
        <f>K65+K66</f>
        <v>558.6</v>
      </c>
      <c r="L67" s="6">
        <f>L65+L66</f>
        <v>592.2</v>
      </c>
      <c r="M67" s="6">
        <f>M65+M66</f>
        <v>554.5</v>
      </c>
      <c r="N67" s="6">
        <f>N65+N66</f>
        <v>583.8</v>
      </c>
      <c r="O67" s="6">
        <f>SUM(C67:N67)</f>
        <v>6752.6</v>
      </c>
    </row>
    <row r="68">
      <c r="B68" t="inlineStr">
        <is>
          <t>Net Inventory</t>
        </is>
      </c>
      <c r="C68" s="6" t="n">
        <v>7610.3</v>
      </c>
      <c r="D68" s="6" t="n">
        <v>7509.1</v>
      </c>
      <c r="E68" s="6" t="n">
        <v>8069.3</v>
      </c>
      <c r="F68" s="6" t="n">
        <v>8489</v>
      </c>
      <c r="G68" s="6" t="n">
        <v>7879.4</v>
      </c>
      <c r="H68" s="6" t="n">
        <v>8168</v>
      </c>
      <c r="I68" s="6" t="n">
        <v>8229.700000000001</v>
      </c>
      <c r="J68" s="6" t="n">
        <v>7923.1</v>
      </c>
      <c r="K68" s="6" t="n">
        <v>7812.2</v>
      </c>
      <c r="L68" s="6" t="n">
        <v>8310.700000000001</v>
      </c>
      <c r="M68" s="6" t="n">
        <v>7389</v>
      </c>
      <c r="N68" s="6" t="n">
        <v>8186.3</v>
      </c>
      <c r="O68" s="6">
        <f>N68</f>
        <v>8186.3</v>
      </c>
    </row>
    <row r="69">
      <c r="B69" t="inlineStr">
        <is>
          <t>Trade Receivables</t>
        </is>
      </c>
      <c r="C69" s="6" t="n">
        <v>6334.4</v>
      </c>
      <c r="D69" s="6" t="n">
        <v>6369</v>
      </c>
      <c r="E69" s="6" t="n">
        <v>6758</v>
      </c>
      <c r="F69" s="6" t="n">
        <v>7192.1</v>
      </c>
      <c r="G69" s="6" t="n">
        <v>6621.9</v>
      </c>
      <c r="H69" s="6" t="n">
        <v>6896.5</v>
      </c>
      <c r="I69" s="6" t="n">
        <v>6968.8</v>
      </c>
      <c r="J69" s="6" t="n">
        <v>6670.5</v>
      </c>
      <c r="K69" s="6" t="n">
        <v>6665.9</v>
      </c>
      <c r="L69" s="6" t="n">
        <v>7010.9</v>
      </c>
      <c r="M69" s="6" t="n">
        <v>6397.4</v>
      </c>
      <c r="N69" s="6" t="n">
        <v>6976.2</v>
      </c>
      <c r="O69" s="6">
        <f>N69</f>
        <v>6976.2</v>
      </c>
    </row>
    <row r="70">
      <c r="B70" t="inlineStr">
        <is>
          <t>Other Receivables</t>
        </is>
      </c>
      <c r="C70" s="6" t="n">
        <v>62</v>
      </c>
      <c r="D70" s="6" t="n">
        <v>62.3</v>
      </c>
      <c r="E70" s="6" t="n">
        <v>66.09999999999999</v>
      </c>
      <c r="F70" s="6" t="n">
        <v>70.40000000000001</v>
      </c>
      <c r="G70" s="6" t="n">
        <v>64.8</v>
      </c>
      <c r="H70" s="6" t="n">
        <v>67.5</v>
      </c>
      <c r="I70" s="6" t="n">
        <v>68.2</v>
      </c>
      <c r="J70" s="6" t="n">
        <v>65.3</v>
      </c>
      <c r="K70" s="6" t="n">
        <v>65.2</v>
      </c>
      <c r="L70" s="6" t="n">
        <v>68.59999999999999</v>
      </c>
      <c r="M70" s="6" t="n">
        <v>62.6</v>
      </c>
      <c r="N70" s="6" t="n">
        <v>68.2</v>
      </c>
      <c r="O70" s="6">
        <f>N70</f>
        <v>68.2</v>
      </c>
    </row>
    <row r="71">
      <c r="B71" t="inlineStr">
        <is>
          <t>Trade Payables</t>
        </is>
      </c>
      <c r="C71" s="6" t="n">
        <v>-3655</v>
      </c>
      <c r="D71" s="6" t="n">
        <v>-3677.7</v>
      </c>
      <c r="E71" s="6" t="n">
        <v>-3888.8</v>
      </c>
      <c r="F71" s="6" t="n">
        <v>-4140.6</v>
      </c>
      <c r="G71" s="6" t="n">
        <v>-3820.2</v>
      </c>
      <c r="H71" s="6" t="n">
        <v>-3958</v>
      </c>
      <c r="I71" s="6" t="n">
        <v>-4001.6</v>
      </c>
      <c r="J71" s="6" t="n">
        <v>-3852.5</v>
      </c>
      <c r="K71" s="6" t="n">
        <v>-3845.9</v>
      </c>
      <c r="L71" s="6" t="n">
        <v>-4022.9</v>
      </c>
      <c r="M71" s="6" t="n">
        <v>-3650.9</v>
      </c>
      <c r="N71" s="6" t="n">
        <v>-4014.9</v>
      </c>
      <c r="O71" s="6">
        <f>N71</f>
        <v>-4014.9</v>
      </c>
    </row>
    <row r="72">
      <c r="B72" t="inlineStr">
        <is>
          <t>Other Payables</t>
        </is>
      </c>
      <c r="C72" s="6" t="n">
        <v>-123.9</v>
      </c>
      <c r="D72" s="6" t="n">
        <v>-124.6</v>
      </c>
      <c r="E72" s="6" t="n">
        <v>-132.2</v>
      </c>
      <c r="F72" s="6" t="n">
        <v>-140.7</v>
      </c>
      <c r="G72" s="6" t="n">
        <v>-129.6</v>
      </c>
      <c r="H72" s="6" t="n">
        <v>-134.9</v>
      </c>
      <c r="I72" s="6" t="n">
        <v>-136.3</v>
      </c>
      <c r="J72" s="6" t="n">
        <v>-130.5</v>
      </c>
      <c r="K72" s="6" t="n">
        <v>-130.4</v>
      </c>
      <c r="L72" s="6" t="n">
        <v>-137.2</v>
      </c>
      <c r="M72" s="6" t="n">
        <v>-125.2</v>
      </c>
      <c r="N72" s="6" t="n">
        <v>-136.5</v>
      </c>
      <c r="O72" s="6">
        <f>N72</f>
        <v>-136.5</v>
      </c>
    </row>
    <row r="73">
      <c r="B73" t="inlineStr">
        <is>
          <t>Total working capital</t>
        </is>
      </c>
      <c r="C73" s="6">
        <f>SUM(C68:C72)</f>
        <v>10227.800000000001</v>
      </c>
      <c r="D73" s="6">
        <f>SUM(D68:D72)</f>
        <v>10138.1</v>
      </c>
      <c r="E73" s="6">
        <f>SUM(E68:E72)</f>
        <v>10872.399999999998</v>
      </c>
      <c r="F73" s="6">
        <f>SUM(F68:F72)</f>
        <v>11470.199999999999</v>
      </c>
      <c r="G73" s="6">
        <f>SUM(G68:G72)</f>
        <v>10616.299999999997</v>
      </c>
      <c r="H73" s="6">
        <f>SUM(H68:H72)</f>
        <v>11039.1</v>
      </c>
      <c r="I73" s="6">
        <f>SUM(I68:I72)</f>
        <v>11128.800000000001</v>
      </c>
      <c r="J73" s="6">
        <f>SUM(J68:J72)</f>
        <v>10675.9</v>
      </c>
      <c r="K73" s="6">
        <f>SUM(K68:K72)</f>
        <v>10567.0</v>
      </c>
      <c r="L73" s="6">
        <f>SUM(L68:L72)</f>
        <v>11230.1</v>
      </c>
      <c r="M73" s="6">
        <f>SUM(M68:M72)</f>
        <v>10072.9</v>
      </c>
      <c r="N73" s="6">
        <f>SUM(N68:N72)</f>
        <v>11079.300000000001</v>
      </c>
      <c r="O73" s="6">
        <f>N73</f>
        <v>11079.300000000001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Delta Welding Supply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2" t="inlineStr">
        <is>
          <t>Sales</t>
        </is>
      </c>
      <c r="C8" s="6">
        <f>'Delta'!BU28</f>
        <v>0.0</v>
      </c>
      <c r="D8" s="6">
        <f>'Delta'!BV28</f>
        <v>-664.0</v>
      </c>
      <c r="E8" s="6">
        <f>'Delta'!BW28</f>
        <v>386.8000000000029</v>
      </c>
      <c r="F8" s="6">
        <f>'Delta'!BY28</f>
        <v>0.0</v>
      </c>
      <c r="G8" s="6">
        <f>'Delta'!BZ28</f>
        <v>-260.60000000000036</v>
      </c>
      <c r="H8" s="6">
        <f>'Delta'!CA28</f>
        <v>8.399999999999636</v>
      </c>
      <c r="I8" s="6">
        <f>'Delta'!CC28</f>
        <v>0.0</v>
      </c>
      <c r="J8" s="6">
        <f>'Delta'!CD28</f>
        <v>-924.5999999999985</v>
      </c>
      <c r="K8" s="6">
        <f>'Delta'!CE28</f>
        <v>395.20000000000437</v>
      </c>
    </row>
    <row r="10">
      <c r="B10" s="2" t="inlineStr">
        <is>
          <t>Gross Margin</t>
        </is>
      </c>
      <c r="C10" s="6">
        <f>'Delta'!BU29</f>
        <v>0.0</v>
      </c>
      <c r="D10" s="6">
        <f>'Delta'!BV29</f>
        <v>-209.70000000000255</v>
      </c>
      <c r="E10" s="6">
        <f>'Delta'!BW29</f>
        <v>72.19999999999891</v>
      </c>
      <c r="F10" s="6">
        <f>'Delta'!BY29</f>
        <v>0.0</v>
      </c>
      <c r="G10" s="6">
        <f>'Delta'!BZ29</f>
        <v>-94.69999999999982</v>
      </c>
      <c r="H10" s="6">
        <f>'Delta'!CA29</f>
        <v>-5.199999999999818</v>
      </c>
      <c r="I10" s="6">
        <f>'Delta'!CC29</f>
        <v>0.0</v>
      </c>
      <c r="J10" s="6">
        <f>'Delta'!CD29</f>
        <v>-304.4000000000033</v>
      </c>
      <c r="K10" s="6">
        <f>'Delta'!CE29</f>
        <v>66.99999999999818</v>
      </c>
    </row>
    <row r="12">
      <c r="B12" s="2" t="inlineStr">
        <is>
          <t>Op Costs</t>
        </is>
      </c>
      <c r="C12" s="6">
        <f>'Delta'!BU30</f>
        <v>0.0</v>
      </c>
      <c r="D12" s="6">
        <f>'Delta'!BV30</f>
        <v>78.5</v>
      </c>
      <c r="E12" s="6">
        <f>'Delta'!BW30</f>
        <v>-53.79999999999927</v>
      </c>
      <c r="F12" s="6">
        <f>'Delta'!BY30</f>
        <v>0.0</v>
      </c>
      <c r="G12" s="6">
        <f>'Delta'!BZ30</f>
        <v>33.100000000000364</v>
      </c>
      <c r="H12" s="6">
        <f>'Delta'!CA30</f>
        <v>-9.799999999999272</v>
      </c>
      <c r="I12" s="6">
        <f>'Delta'!CC30</f>
        <v>0.0</v>
      </c>
      <c r="J12" s="6">
        <f>'Delta'!CD30</f>
        <v>111.60000000000036</v>
      </c>
      <c r="K12" s="6">
        <f>'Delta'!CE30</f>
        <v>-63.599999999998545</v>
      </c>
    </row>
    <row r="14">
      <c r="B14" s="2" t="inlineStr">
        <is>
          <t>PBITA</t>
        </is>
      </c>
      <c r="C14" s="6">
        <f>'Delta'!BU31</f>
        <v>0.0</v>
      </c>
      <c r="D14" s="6">
        <f>'Delta'!BV31</f>
        <v>-131.19999999999936</v>
      </c>
      <c r="E14" s="6">
        <f>'Delta'!BW31</f>
        <v>18.399999999999636</v>
      </c>
      <c r="F14" s="6">
        <f>'Delta'!BY31</f>
        <v>0.0</v>
      </c>
      <c r="G14" s="6">
        <f>'Delta'!BZ31</f>
        <v>-61.59999999999968</v>
      </c>
      <c r="H14" s="6">
        <f>'Delta'!CA31</f>
        <v>-15.0</v>
      </c>
      <c r="I14" s="6">
        <f>'Delta'!CC31</f>
        <v>0.0</v>
      </c>
      <c r="J14" s="6">
        <f>'Delta'!CD31</f>
        <v>-192.79999999999927</v>
      </c>
      <c r="K14" s="6">
        <f>'Delta'!CE31</f>
        <v>3.399999999999636</v>
      </c>
    </row>
    <row r="17">
      <c r="B17" s="8" t="inlineStr">
        <is>
          <t>Commentary (business controller):</t>
        </is>
      </c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8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4" t="inlineStr">
        <is>
          <t>January</t>
        </is>
      </c>
      <c r="D4" s="4" t="inlineStr">
        <is>
          <t>February</t>
        </is>
      </c>
      <c r="E4" s="4" t="inlineStr">
        <is>
          <t>March</t>
        </is>
      </c>
      <c r="F4" s="4" t="inlineStr">
        <is>
          <t>April</t>
        </is>
      </c>
      <c r="G4" s="4" t="inlineStr">
        <is>
          <t>May</t>
        </is>
      </c>
      <c r="H4" s="4" t="inlineStr">
        <is>
          <t>June</t>
        </is>
      </c>
      <c r="I4" s="4" t="inlineStr">
        <is>
          <t>July</t>
        </is>
      </c>
      <c r="J4" s="4" t="inlineStr">
        <is>
          <t>August</t>
        </is>
      </c>
      <c r="K4" s="4" t="inlineStr">
        <is>
          <t>September</t>
        </is>
      </c>
      <c r="L4" s="4" t="inlineStr">
        <is>
          <t>October</t>
        </is>
      </c>
      <c r="M4" s="4" t="inlineStr">
        <is>
          <t>November</t>
        </is>
      </c>
      <c r="N4" s="4" t="inlineStr">
        <is>
          <t>December</t>
        </is>
      </c>
      <c r="O4" s="4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Insert Adj. 1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6">
        <f>SUM(C6:N6)</f>
        <v>0.0</v>
      </c>
    </row>
    <row r="7">
      <c r="B7" t="inlineStr">
        <is>
          <t>Insert Adj. 2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6">
        <f>SUM(C7:N7)</f>
        <v>0.0</v>
      </c>
    </row>
    <row r="8">
      <c r="B8" t="inlineStr">
        <is>
          <t>Insert Adj. 3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6">
        <f>SUM(C8:N8)</f>
        <v>0.0</v>
      </c>
    </row>
    <row r="9">
      <c r="B9" t="inlineStr">
        <is>
          <t>Insert Adj. 4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6">
        <f>SUM(C9:N9)</f>
        <v>0.0</v>
      </c>
    </row>
    <row r="10">
      <c r="B10" t="inlineStr">
        <is>
          <t>Insert Adj. 5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6">
        <f>SUM(C10:N10)</f>
        <v>0.0</v>
      </c>
    </row>
    <row r="11">
      <c r="B11" t="inlineStr">
        <is>
          <t>Insert Adj. 6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6">
        <f>SUM(C11:N11)</f>
        <v>0.0</v>
      </c>
    </row>
    <row r="12">
      <c r="B12" t="inlineStr">
        <is>
          <t>Insert Adj. 7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6">
        <f>SUM(C12:N12)</f>
        <v>0.0</v>
      </c>
    </row>
    <row r="13">
      <c r="B13" t="inlineStr">
        <is>
          <t>Insert Adj. 8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6">
        <f>SUM(C13:N13)</f>
        <v>0.0</v>
      </c>
    </row>
    <row r="14">
      <c r="B14" s="2" t="inlineStr">
        <is>
          <t>Total Sales</t>
        </is>
      </c>
      <c r="C14" s="9">
        <f>SUM(C6:C13)</f>
        <v>0.0</v>
      </c>
      <c r="D14" s="9">
        <f>SUM(D6:D13)</f>
        <v>0.0</v>
      </c>
      <c r="E14" s="9">
        <f>SUM(E6:E13)</f>
        <v>0.0</v>
      </c>
      <c r="F14" s="9">
        <f>SUM(F6:F13)</f>
        <v>0.0</v>
      </c>
      <c r="G14" s="9">
        <f>SUM(G6:G13)</f>
        <v>0.0</v>
      </c>
      <c r="H14" s="9">
        <f>SUM(H6:H13)</f>
        <v>0.0</v>
      </c>
      <c r="I14" s="9">
        <f>SUM(I6:I13)</f>
        <v>0.0</v>
      </c>
      <c r="J14" s="9">
        <f>SUM(J6:J13)</f>
        <v>0.0</v>
      </c>
      <c r="K14" s="9">
        <f>SUM(K6:K13)</f>
        <v>0.0</v>
      </c>
      <c r="L14" s="9">
        <f>SUM(L6:L13)</f>
        <v>0.0</v>
      </c>
      <c r="M14" s="9">
        <f>SUM(M6:M13)</f>
        <v>0.0</v>
      </c>
      <c r="N14" s="9">
        <f>SUM(N6:N13)</f>
        <v>0.0</v>
      </c>
      <c r="O14" s="9">
        <f>SUM(O6:O13)</f>
        <v>0.0</v>
      </c>
    </row>
    <row r="16">
      <c r="B16" s="2" t="inlineStr">
        <is>
          <t>Gross Margin (%)</t>
        </is>
      </c>
    </row>
    <row r="17">
      <c r="B17" t="str">
        <f>B6</f>
        <v>Insert Adj. 1</v>
      </c>
      <c r="C17" s="12">
        <f>IFERROR(C28/C6,0)</f>
        <v>0.0</v>
      </c>
      <c r="D17" s="12">
        <f>IFERROR(D28/D6,0)</f>
        <v>0.0</v>
      </c>
      <c r="E17" s="12">
        <f>IFERROR(E28/E6,0)</f>
        <v>0.0</v>
      </c>
      <c r="F17" s="12">
        <f>IFERROR(F28/F6,0)</f>
        <v>0.0</v>
      </c>
      <c r="G17" s="12">
        <f>IFERROR(G28/G6,0)</f>
        <v>0.0</v>
      </c>
      <c r="H17" s="12">
        <f>IFERROR(H28/H6,0)</f>
        <v>0.0</v>
      </c>
      <c r="I17" s="12">
        <f>IFERROR(I28/I6,0)</f>
        <v>0.0</v>
      </c>
      <c r="J17" s="12">
        <f>IFERROR(J28/J6,0)</f>
        <v>0.0</v>
      </c>
      <c r="K17" s="12">
        <f>IFERROR(K28/K6,0)</f>
        <v>0.0</v>
      </c>
      <c r="L17" s="12">
        <f>IFERROR(L28/L6,0)</f>
        <v>0.0</v>
      </c>
      <c r="M17" s="12">
        <f>IFERROR(M28/M6,0)</f>
        <v>0.0</v>
      </c>
      <c r="N17" s="12">
        <f>IFERROR(N28/N6,0)</f>
        <v>0.0</v>
      </c>
      <c r="O17" s="12">
        <f>IFERROR(O28/O6,0)</f>
        <v>0.0</v>
      </c>
    </row>
    <row r="18">
      <c r="B18" t="str">
        <f>B7</f>
        <v>Insert Adj. 2</v>
      </c>
      <c r="C18" s="12">
        <f>IFERROR(C29/C7,0)</f>
        <v>0.0</v>
      </c>
      <c r="D18" s="12">
        <f>IFERROR(D29/D7,0)</f>
        <v>0.0</v>
      </c>
      <c r="E18" s="12">
        <f>IFERROR(E29/E7,0)</f>
        <v>0.0</v>
      </c>
      <c r="F18" s="12">
        <f>IFERROR(F29/F7,0)</f>
        <v>0.0</v>
      </c>
      <c r="G18" s="12">
        <f>IFERROR(G29/G7,0)</f>
        <v>0.0</v>
      </c>
      <c r="H18" s="12">
        <f>IFERROR(H29/H7,0)</f>
        <v>0.0</v>
      </c>
      <c r="I18" s="12">
        <f>IFERROR(I29/I7,0)</f>
        <v>0.0</v>
      </c>
      <c r="J18" s="12">
        <f>IFERROR(J29/J7,0)</f>
        <v>0.0</v>
      </c>
      <c r="K18" s="12">
        <f>IFERROR(K29/K7,0)</f>
        <v>0.0</v>
      </c>
      <c r="L18" s="12">
        <f>IFERROR(L29/L7,0)</f>
        <v>0.0</v>
      </c>
      <c r="M18" s="12">
        <f>IFERROR(M29/M7,0)</f>
        <v>0.0</v>
      </c>
      <c r="N18" s="12">
        <f>IFERROR(N29/N7,0)</f>
        <v>0.0</v>
      </c>
      <c r="O18" s="12">
        <f>IFERROR(O29/O7,0)</f>
        <v>0.0</v>
      </c>
    </row>
    <row r="19">
      <c r="B19" t="str">
        <f>B8</f>
        <v>Insert Adj. 3</v>
      </c>
      <c r="C19" s="12">
        <f>IFERROR(C30/C8,0)</f>
        <v>0.0</v>
      </c>
      <c r="D19" s="12">
        <f>IFERROR(D30/D8,0)</f>
        <v>0.0</v>
      </c>
      <c r="E19" s="12">
        <f>IFERROR(E30/E8,0)</f>
        <v>0.0</v>
      </c>
      <c r="F19" s="12">
        <f>IFERROR(F30/F8,0)</f>
        <v>0.0</v>
      </c>
      <c r="G19" s="12">
        <f>IFERROR(G30/G8,0)</f>
        <v>0.0</v>
      </c>
      <c r="H19" s="12">
        <f>IFERROR(H30/H8,0)</f>
        <v>0.0</v>
      </c>
      <c r="I19" s="12">
        <f>IFERROR(I30/I8,0)</f>
        <v>0.0</v>
      </c>
      <c r="J19" s="12">
        <f>IFERROR(J30/J8,0)</f>
        <v>0.0</v>
      </c>
      <c r="K19" s="12">
        <f>IFERROR(K30/K8,0)</f>
        <v>0.0</v>
      </c>
      <c r="L19" s="12">
        <f>IFERROR(L30/L8,0)</f>
        <v>0.0</v>
      </c>
      <c r="M19" s="12">
        <f>IFERROR(M30/M8,0)</f>
        <v>0.0</v>
      </c>
      <c r="N19" s="12">
        <f>IFERROR(N30/N8,0)</f>
        <v>0.0</v>
      </c>
      <c r="O19" s="12">
        <f>IFERROR(O30/O8,0)</f>
        <v>0.0</v>
      </c>
    </row>
    <row r="20">
      <c r="B20" t="str">
        <f>B9</f>
        <v>Insert Adj. 4</v>
      </c>
      <c r="C20" s="12">
        <f>IFERROR(C31/C9,0)</f>
        <v>0.0</v>
      </c>
      <c r="D20" s="12">
        <f>IFERROR(D31/D9,0)</f>
        <v>0.0</v>
      </c>
      <c r="E20" s="12">
        <f>IFERROR(E31/E9,0)</f>
        <v>0.0</v>
      </c>
      <c r="F20" s="12">
        <f>IFERROR(F31/F9,0)</f>
        <v>0.0</v>
      </c>
      <c r="G20" s="12">
        <f>IFERROR(G31/G9,0)</f>
        <v>0.0</v>
      </c>
      <c r="H20" s="12">
        <f>IFERROR(H31/H9,0)</f>
        <v>0.0</v>
      </c>
      <c r="I20" s="12">
        <f>IFERROR(I31/I9,0)</f>
        <v>0.0</v>
      </c>
      <c r="J20" s="12">
        <f>IFERROR(J31/J9,0)</f>
        <v>0.0</v>
      </c>
      <c r="K20" s="12">
        <f>IFERROR(K31/K9,0)</f>
        <v>0.0</v>
      </c>
      <c r="L20" s="12">
        <f>IFERROR(L31/L9,0)</f>
        <v>0.0</v>
      </c>
      <c r="M20" s="12">
        <f>IFERROR(M31/M9,0)</f>
        <v>0.0</v>
      </c>
      <c r="N20" s="12">
        <f>IFERROR(N31/N9,0)</f>
        <v>0.0</v>
      </c>
      <c r="O20" s="12">
        <f>IFERROR(O31/O9,0)</f>
        <v>0.0</v>
      </c>
    </row>
    <row r="21">
      <c r="B21" t="str">
        <f>B10</f>
        <v>Insert Adj. 5</v>
      </c>
      <c r="C21" s="12">
        <f>IFERROR(C32/C10,0)</f>
        <v>0.0</v>
      </c>
      <c r="D21" s="12">
        <f>IFERROR(D32/D10,0)</f>
        <v>0.0</v>
      </c>
      <c r="E21" s="12">
        <f>IFERROR(E32/E10,0)</f>
        <v>0.0</v>
      </c>
      <c r="F21" s="12">
        <f>IFERROR(F32/F10,0)</f>
        <v>0.0</v>
      </c>
      <c r="G21" s="12">
        <f>IFERROR(G32/G10,0)</f>
        <v>0.0</v>
      </c>
      <c r="H21" s="12">
        <f>IFERROR(H32/H10,0)</f>
        <v>0.0</v>
      </c>
      <c r="I21" s="12">
        <f>IFERROR(I32/I10,0)</f>
        <v>0.0</v>
      </c>
      <c r="J21" s="12">
        <f>IFERROR(J32/J10,0)</f>
        <v>0.0</v>
      </c>
      <c r="K21" s="12">
        <f>IFERROR(K32/K10,0)</f>
        <v>0.0</v>
      </c>
      <c r="L21" s="12">
        <f>IFERROR(L32/L10,0)</f>
        <v>0.0</v>
      </c>
      <c r="M21" s="12">
        <f>IFERROR(M32/M10,0)</f>
        <v>0.0</v>
      </c>
      <c r="N21" s="12">
        <f>IFERROR(N32/N10,0)</f>
        <v>0.0</v>
      </c>
      <c r="O21" s="12">
        <f>IFERROR(O32/O10,0)</f>
        <v>0.0</v>
      </c>
    </row>
    <row r="22">
      <c r="B22" t="str">
        <f>B11</f>
        <v>Insert Adj. 6</v>
      </c>
      <c r="C22" s="12">
        <f>IFERROR(C33/C11,0)</f>
        <v>0.0</v>
      </c>
      <c r="D22" s="12">
        <f>IFERROR(D33/D11,0)</f>
        <v>0.0</v>
      </c>
      <c r="E22" s="12">
        <f>IFERROR(E33/E11,0)</f>
        <v>0.0</v>
      </c>
      <c r="F22" s="12">
        <f>IFERROR(F33/F11,0)</f>
        <v>0.0</v>
      </c>
      <c r="G22" s="12">
        <f>IFERROR(G33/G11,0)</f>
        <v>0.0</v>
      </c>
      <c r="H22" s="12">
        <f>IFERROR(H33/H11,0)</f>
        <v>0.0</v>
      </c>
      <c r="I22" s="12">
        <f>IFERROR(I33/I11,0)</f>
        <v>0.0</v>
      </c>
      <c r="J22" s="12">
        <f>IFERROR(J33/J11,0)</f>
        <v>0.0</v>
      </c>
      <c r="K22" s="12">
        <f>IFERROR(K33/K11,0)</f>
        <v>0.0</v>
      </c>
      <c r="L22" s="12">
        <f>IFERROR(L33/L11,0)</f>
        <v>0.0</v>
      </c>
      <c r="M22" s="12">
        <f>IFERROR(M33/M11,0)</f>
        <v>0.0</v>
      </c>
      <c r="N22" s="12">
        <f>IFERROR(N33/N11,0)</f>
        <v>0.0</v>
      </c>
      <c r="O22" s="12">
        <f>IFERROR(O33/O11,0)</f>
        <v>0.0</v>
      </c>
    </row>
    <row r="23">
      <c r="B23" t="str">
        <f>B12</f>
        <v>Insert Adj. 7</v>
      </c>
      <c r="C23" s="12">
        <f>IFERROR(C34/C12,0)</f>
        <v>0.0</v>
      </c>
      <c r="D23" s="12">
        <f>IFERROR(D34/D12,0)</f>
        <v>0.0</v>
      </c>
      <c r="E23" s="12">
        <f>IFERROR(E34/E12,0)</f>
        <v>0.0</v>
      </c>
      <c r="F23" s="12">
        <f>IFERROR(F34/F12,0)</f>
        <v>0.0</v>
      </c>
      <c r="G23" s="12">
        <f>IFERROR(G34/G12,0)</f>
        <v>0.0</v>
      </c>
      <c r="H23" s="12">
        <f>IFERROR(H34/H12,0)</f>
        <v>0.0</v>
      </c>
      <c r="I23" s="12">
        <f>IFERROR(I34/I12,0)</f>
        <v>0.0</v>
      </c>
      <c r="J23" s="12">
        <f>IFERROR(J34/J12,0)</f>
        <v>0.0</v>
      </c>
      <c r="K23" s="12">
        <f>IFERROR(K34/K12,0)</f>
        <v>0.0</v>
      </c>
      <c r="L23" s="12">
        <f>IFERROR(L34/L12,0)</f>
        <v>0.0</v>
      </c>
      <c r="M23" s="12">
        <f>IFERROR(M34/M12,0)</f>
        <v>0.0</v>
      </c>
      <c r="N23" s="12">
        <f>IFERROR(N34/N12,0)</f>
        <v>0.0</v>
      </c>
      <c r="O23" s="12">
        <f>IFERROR(O34/O12,0)</f>
        <v>0.0</v>
      </c>
    </row>
    <row r="24">
      <c r="B24" t="str">
        <f>B13</f>
        <v>Insert Adj. 8</v>
      </c>
      <c r="C24" s="12">
        <f>IFERROR(C35/C13,0)</f>
        <v>0.0</v>
      </c>
      <c r="D24" s="12">
        <f>IFERROR(D35/D13,0)</f>
        <v>0.0</v>
      </c>
      <c r="E24" s="12">
        <f>IFERROR(E35/E13,0)</f>
        <v>0.0</v>
      </c>
      <c r="F24" s="12">
        <f>IFERROR(F35/F13,0)</f>
        <v>0.0</v>
      </c>
      <c r="G24" s="12">
        <f>IFERROR(G35/G13,0)</f>
        <v>0.0</v>
      </c>
      <c r="H24" s="12">
        <f>IFERROR(H35/H13,0)</f>
        <v>0.0</v>
      </c>
      <c r="I24" s="12">
        <f>IFERROR(I35/I13,0)</f>
        <v>0.0</v>
      </c>
      <c r="J24" s="12">
        <f>IFERROR(J35/J13,0)</f>
        <v>0.0</v>
      </c>
      <c r="K24" s="12">
        <f>IFERROR(K35/K13,0)</f>
        <v>0.0</v>
      </c>
      <c r="L24" s="12">
        <f>IFERROR(L35/L13,0)</f>
        <v>0.0</v>
      </c>
      <c r="M24" s="12">
        <f>IFERROR(M35/M13,0)</f>
        <v>0.0</v>
      </c>
      <c r="N24" s="12">
        <f>IFERROR(N35/N13,0)</f>
        <v>0.0</v>
      </c>
      <c r="O24" s="12">
        <f>IFERROR(O35/O13,0)</f>
        <v>0.0</v>
      </c>
    </row>
    <row r="25">
      <c r="B25" s="2" t="inlineStr">
        <is>
          <t>Total Gross Margin (%)</t>
        </is>
      </c>
      <c r="C25" s="15">
        <f>IFERROR(C36/C14,0)</f>
        <v>0.0</v>
      </c>
      <c r="D25" s="15">
        <f>IFERROR(D36/D14,0)</f>
        <v>0.0</v>
      </c>
      <c r="E25" s="15">
        <f>IFERROR(E36/E14,0)</f>
        <v>0.0</v>
      </c>
      <c r="F25" s="15">
        <f>IFERROR(F36/F14,0)</f>
        <v>0.0</v>
      </c>
      <c r="G25" s="15">
        <f>IFERROR(G36/G14,0)</f>
        <v>0.0</v>
      </c>
      <c r="H25" s="15">
        <f>IFERROR(H36/H14,0)</f>
        <v>0.0</v>
      </c>
      <c r="I25" s="15">
        <f>IFERROR(I36/I14,0)</f>
        <v>0.0</v>
      </c>
      <c r="J25" s="15">
        <f>IFERROR(J36/J14,0)</f>
        <v>0.0</v>
      </c>
      <c r="K25" s="15">
        <f>IFERROR(K36/K14,0)</f>
        <v>0.0</v>
      </c>
      <c r="L25" s="15">
        <f>IFERROR(L36/L14,0)</f>
        <v>0.0</v>
      </c>
      <c r="M25" s="15">
        <f>IFERROR(M36/M14,0)</f>
        <v>0.0</v>
      </c>
      <c r="N25" s="15">
        <f>IFERROR(N36/N14,0)</f>
        <v>0.0</v>
      </c>
      <c r="O25" s="15">
        <f>IFERROR(O36/O14,0)</f>
        <v>0.0</v>
      </c>
    </row>
    <row r="27">
      <c r="B27" s="2" t="inlineStr">
        <is>
          <t>Gross Margin ($)</t>
        </is>
      </c>
    </row>
    <row r="28">
      <c r="B28" t="inlineStr">
        <is>
          <t>Insert Adj. 1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6">
        <f>SUM(C28:N28)</f>
        <v>0.0</v>
      </c>
    </row>
    <row r="29">
      <c r="B29" t="inlineStr">
        <is>
          <t>Insert Adj. 2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6">
        <f>SUM(C29:N29)</f>
        <v>0.0</v>
      </c>
    </row>
    <row r="30">
      <c r="B30" t="inlineStr">
        <is>
          <t>Insert Adj. 3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6">
        <f>SUM(C30:N30)</f>
        <v>0.0</v>
      </c>
    </row>
    <row r="31">
      <c r="B31" t="inlineStr">
        <is>
          <t>Insert Adj. 4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6">
        <f>SUM(C31:N31)</f>
        <v>0.0</v>
      </c>
    </row>
    <row r="32">
      <c r="B32" t="inlineStr">
        <is>
          <t>Insert Adj. 5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6">
        <f>SUM(C32:N32)</f>
        <v>0.0</v>
      </c>
    </row>
    <row r="33">
      <c r="B33" t="inlineStr">
        <is>
          <t>Insert Adj. 6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6">
        <f>SUM(C33:N33)</f>
        <v>0.0</v>
      </c>
    </row>
    <row r="34">
      <c r="B34" t="inlineStr">
        <is>
          <t>Insert Adj. 7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6">
        <f>SUM(C34:N34)</f>
        <v>0.0</v>
      </c>
    </row>
    <row r="35">
      <c r="B35" t="inlineStr">
        <is>
          <t>Insert Adj. 8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6">
        <f>SUM(C35:N35)</f>
        <v>0.0</v>
      </c>
    </row>
    <row r="36">
      <c r="B36" s="2" t="inlineStr">
        <is>
          <t>Total Gross Margin ($)</t>
        </is>
      </c>
      <c r="C36" s="9">
        <f>SUM(C28:C35)</f>
        <v>0.0</v>
      </c>
      <c r="D36" s="9">
        <f>SUM(D28:D35)</f>
        <v>0.0</v>
      </c>
      <c r="E36" s="9">
        <f>SUM(E28:E35)</f>
        <v>0.0</v>
      </c>
      <c r="F36" s="9">
        <f>SUM(F28:F35)</f>
        <v>0.0</v>
      </c>
      <c r="G36" s="9">
        <f>SUM(G28:G35)</f>
        <v>0.0</v>
      </c>
      <c r="H36" s="9">
        <f>SUM(H28:H35)</f>
        <v>0.0</v>
      </c>
      <c r="I36" s="9">
        <f>SUM(I28:I35)</f>
        <v>0.0</v>
      </c>
      <c r="J36" s="9">
        <f>SUM(J28:J35)</f>
        <v>0.0</v>
      </c>
      <c r="K36" s="9">
        <f>SUM(K28:K35)</f>
        <v>0.0</v>
      </c>
      <c r="L36" s="9">
        <f>SUM(L28:L35)</f>
        <v>0.0</v>
      </c>
      <c r="M36" s="9">
        <f>SUM(M28:M35)</f>
        <v>0.0</v>
      </c>
      <c r="N36" s="9">
        <f>SUM(N28:N35)</f>
        <v>0.0</v>
      </c>
      <c r="O36" s="9">
        <f>SUM(O28:O35)</f>
        <v>0.0</v>
      </c>
    </row>
    <row r="38">
      <c r="B38" s="2" t="inlineStr">
        <is>
          <t>Op Costs (%)</t>
        </is>
      </c>
    </row>
    <row r="39">
      <c r="B39" t="str">
        <f>B6</f>
        <v>Insert Adj. 1</v>
      </c>
      <c r="C39" s="12">
        <f>IFERROR(C50/C6,0)</f>
        <v>0.0</v>
      </c>
      <c r="D39" s="12">
        <f>IFERROR(D50/D6,0)</f>
        <v>0.0</v>
      </c>
      <c r="E39" s="12">
        <f>IFERROR(E50/E6,0)</f>
        <v>0.0</v>
      </c>
      <c r="F39" s="12">
        <f>IFERROR(F50/F6,0)</f>
        <v>0.0</v>
      </c>
      <c r="G39" s="12">
        <f>IFERROR(G50/G6,0)</f>
        <v>0.0</v>
      </c>
      <c r="H39" s="12">
        <f>IFERROR(H50/H6,0)</f>
        <v>0.0</v>
      </c>
      <c r="I39" s="12">
        <f>IFERROR(I50/I6,0)</f>
        <v>0.0</v>
      </c>
      <c r="J39" s="12">
        <f>IFERROR(J50/J6,0)</f>
        <v>0.0</v>
      </c>
      <c r="K39" s="12">
        <f>IFERROR(K50/K6,0)</f>
        <v>0.0</v>
      </c>
      <c r="L39" s="12">
        <f>IFERROR(L50/L6,0)</f>
        <v>0.0</v>
      </c>
      <c r="M39" s="12">
        <f>IFERROR(M50/M6,0)</f>
        <v>0.0</v>
      </c>
      <c r="N39" s="12">
        <f>IFERROR(N50/N6,0)</f>
        <v>0.0</v>
      </c>
      <c r="O39" s="12">
        <f>IFERROR(O50/O6,0)</f>
        <v>0.0</v>
      </c>
    </row>
    <row r="40">
      <c r="B40" t="str">
        <f>B7</f>
        <v>Insert Adj. 2</v>
      </c>
      <c r="C40" s="12">
        <f>IFERROR(C51/C7,0)</f>
        <v>0.0</v>
      </c>
      <c r="D40" s="12">
        <f>IFERROR(D51/D7,0)</f>
        <v>0.0</v>
      </c>
      <c r="E40" s="12">
        <f>IFERROR(E51/E7,0)</f>
        <v>0.0</v>
      </c>
      <c r="F40" s="12">
        <f>IFERROR(F51/F7,0)</f>
        <v>0.0</v>
      </c>
      <c r="G40" s="12">
        <f>IFERROR(G51/G7,0)</f>
        <v>0.0</v>
      </c>
      <c r="H40" s="12">
        <f>IFERROR(H51/H7,0)</f>
        <v>0.0</v>
      </c>
      <c r="I40" s="12">
        <f>IFERROR(I51/I7,0)</f>
        <v>0.0</v>
      </c>
      <c r="J40" s="12">
        <f>IFERROR(J51/J7,0)</f>
        <v>0.0</v>
      </c>
      <c r="K40" s="12">
        <f>IFERROR(K51/K7,0)</f>
        <v>0.0</v>
      </c>
      <c r="L40" s="12">
        <f>IFERROR(L51/L7,0)</f>
        <v>0.0</v>
      </c>
      <c r="M40" s="12">
        <f>IFERROR(M51/M7,0)</f>
        <v>0.0</v>
      </c>
      <c r="N40" s="12">
        <f>IFERROR(N51/N7,0)</f>
        <v>0.0</v>
      </c>
      <c r="O40" s="12">
        <f>IFERROR(O51/O7,0)</f>
        <v>0.0</v>
      </c>
    </row>
    <row r="41">
      <c r="B41" t="str">
        <f>B8</f>
        <v>Insert Adj. 3</v>
      </c>
      <c r="C41" s="12">
        <f>IFERROR(C52/C8,0)</f>
        <v>0.0</v>
      </c>
      <c r="D41" s="12">
        <f>IFERROR(D52/D8,0)</f>
        <v>0.0</v>
      </c>
      <c r="E41" s="12">
        <f>IFERROR(E52/E8,0)</f>
        <v>0.0</v>
      </c>
      <c r="F41" s="12">
        <f>IFERROR(F52/F8,0)</f>
        <v>0.0</v>
      </c>
      <c r="G41" s="12">
        <f>IFERROR(G52/G8,0)</f>
        <v>0.0</v>
      </c>
      <c r="H41" s="12">
        <f>IFERROR(H52/H8,0)</f>
        <v>0.0</v>
      </c>
      <c r="I41" s="12">
        <f>IFERROR(I52/I8,0)</f>
        <v>0.0</v>
      </c>
      <c r="J41" s="12">
        <f>IFERROR(J52/J8,0)</f>
        <v>0.0</v>
      </c>
      <c r="K41" s="12">
        <f>IFERROR(K52/K8,0)</f>
        <v>0.0</v>
      </c>
      <c r="L41" s="12">
        <f>IFERROR(L52/L8,0)</f>
        <v>0.0</v>
      </c>
      <c r="M41" s="12">
        <f>IFERROR(M52/M8,0)</f>
        <v>0.0</v>
      </c>
      <c r="N41" s="12">
        <f>IFERROR(N52/N8,0)</f>
        <v>0.0</v>
      </c>
      <c r="O41" s="12">
        <f>IFERROR(O52/O8,0)</f>
        <v>0.0</v>
      </c>
    </row>
    <row r="42">
      <c r="B42" t="str">
        <f>B9</f>
        <v>Insert Adj. 4</v>
      </c>
      <c r="C42" s="12">
        <f>IFERROR(C53/C9,0)</f>
        <v>0.0</v>
      </c>
      <c r="D42" s="12">
        <f>IFERROR(D53/D9,0)</f>
        <v>0.0</v>
      </c>
      <c r="E42" s="12">
        <f>IFERROR(E53/E9,0)</f>
        <v>0.0</v>
      </c>
      <c r="F42" s="12">
        <f>IFERROR(F53/F9,0)</f>
        <v>0.0</v>
      </c>
      <c r="G42" s="12">
        <f>IFERROR(G53/G9,0)</f>
        <v>0.0</v>
      </c>
      <c r="H42" s="12">
        <f>IFERROR(H53/H9,0)</f>
        <v>0.0</v>
      </c>
      <c r="I42" s="12">
        <f>IFERROR(I53/I9,0)</f>
        <v>0.0</v>
      </c>
      <c r="J42" s="12">
        <f>IFERROR(J53/J9,0)</f>
        <v>0.0</v>
      </c>
      <c r="K42" s="12">
        <f>IFERROR(K53/K9,0)</f>
        <v>0.0</v>
      </c>
      <c r="L42" s="12">
        <f>IFERROR(L53/L9,0)</f>
        <v>0.0</v>
      </c>
      <c r="M42" s="12">
        <f>IFERROR(M53/M9,0)</f>
        <v>0.0</v>
      </c>
      <c r="N42" s="12">
        <f>IFERROR(N53/N9,0)</f>
        <v>0.0</v>
      </c>
      <c r="O42" s="12">
        <f>IFERROR(O53/O9,0)</f>
        <v>0.0</v>
      </c>
    </row>
    <row r="43">
      <c r="B43" t="str">
        <f>B10</f>
        <v>Insert Adj. 5</v>
      </c>
      <c r="C43" s="12">
        <f>IFERROR(C54/C10,0)</f>
        <v>0.0</v>
      </c>
      <c r="D43" s="12">
        <f>IFERROR(D54/D10,0)</f>
        <v>0.0</v>
      </c>
      <c r="E43" s="12">
        <f>IFERROR(E54/E10,0)</f>
        <v>0.0</v>
      </c>
      <c r="F43" s="12">
        <f>IFERROR(F54/F10,0)</f>
        <v>0.0</v>
      </c>
      <c r="G43" s="12">
        <f>IFERROR(G54/G10,0)</f>
        <v>0.0</v>
      </c>
      <c r="H43" s="12">
        <f>IFERROR(H54/H10,0)</f>
        <v>0.0</v>
      </c>
      <c r="I43" s="12">
        <f>IFERROR(I54/I10,0)</f>
        <v>0.0</v>
      </c>
      <c r="J43" s="12">
        <f>IFERROR(J54/J10,0)</f>
        <v>0.0</v>
      </c>
      <c r="K43" s="12">
        <f>IFERROR(K54/K10,0)</f>
        <v>0.0</v>
      </c>
      <c r="L43" s="12">
        <f>IFERROR(L54/L10,0)</f>
        <v>0.0</v>
      </c>
      <c r="M43" s="12">
        <f>IFERROR(M54/M10,0)</f>
        <v>0.0</v>
      </c>
      <c r="N43" s="12">
        <f>IFERROR(N54/N10,0)</f>
        <v>0.0</v>
      </c>
      <c r="O43" s="12">
        <f>IFERROR(O54/O10,0)</f>
        <v>0.0</v>
      </c>
    </row>
    <row r="44">
      <c r="B44" t="str">
        <f>B11</f>
        <v>Insert Adj. 6</v>
      </c>
      <c r="C44" s="12">
        <f>IFERROR(C55/C11,0)</f>
        <v>0.0</v>
      </c>
      <c r="D44" s="12">
        <f>IFERROR(D55/D11,0)</f>
        <v>0.0</v>
      </c>
      <c r="E44" s="12">
        <f>IFERROR(E55/E11,0)</f>
        <v>0.0</v>
      </c>
      <c r="F44" s="12">
        <f>IFERROR(F55/F11,0)</f>
        <v>0.0</v>
      </c>
      <c r="G44" s="12">
        <f>IFERROR(G55/G11,0)</f>
        <v>0.0</v>
      </c>
      <c r="H44" s="12">
        <f>IFERROR(H55/H11,0)</f>
        <v>0.0</v>
      </c>
      <c r="I44" s="12">
        <f>IFERROR(I55/I11,0)</f>
        <v>0.0</v>
      </c>
      <c r="J44" s="12">
        <f>IFERROR(J55/J11,0)</f>
        <v>0.0</v>
      </c>
      <c r="K44" s="12">
        <f>IFERROR(K55/K11,0)</f>
        <v>0.0</v>
      </c>
      <c r="L44" s="12">
        <f>IFERROR(L55/L11,0)</f>
        <v>0.0</v>
      </c>
      <c r="M44" s="12">
        <f>IFERROR(M55/M11,0)</f>
        <v>0.0</v>
      </c>
      <c r="N44" s="12">
        <f>IFERROR(N55/N11,0)</f>
        <v>0.0</v>
      </c>
      <c r="O44" s="12">
        <f>IFERROR(O55/O11,0)</f>
        <v>0.0</v>
      </c>
    </row>
    <row r="45">
      <c r="B45" t="str">
        <f>B12</f>
        <v>Insert Adj. 7</v>
      </c>
      <c r="C45" s="12">
        <f>IFERROR(C56/C12,0)</f>
        <v>0.0</v>
      </c>
      <c r="D45" s="12">
        <f>IFERROR(D56/D12,0)</f>
        <v>0.0</v>
      </c>
      <c r="E45" s="12">
        <f>IFERROR(E56/E12,0)</f>
        <v>0.0</v>
      </c>
      <c r="F45" s="12">
        <f>IFERROR(F56/F12,0)</f>
        <v>0.0</v>
      </c>
      <c r="G45" s="12">
        <f>IFERROR(G56/G12,0)</f>
        <v>0.0</v>
      </c>
      <c r="H45" s="12">
        <f>IFERROR(H56/H12,0)</f>
        <v>0.0</v>
      </c>
      <c r="I45" s="12">
        <f>IFERROR(I56/I12,0)</f>
        <v>0.0</v>
      </c>
      <c r="J45" s="12">
        <f>IFERROR(J56/J12,0)</f>
        <v>0.0</v>
      </c>
      <c r="K45" s="12">
        <f>IFERROR(K56/K12,0)</f>
        <v>0.0</v>
      </c>
      <c r="L45" s="12">
        <f>IFERROR(L56/L12,0)</f>
        <v>0.0</v>
      </c>
      <c r="M45" s="12">
        <f>IFERROR(M56/M12,0)</f>
        <v>0.0</v>
      </c>
      <c r="N45" s="12">
        <f>IFERROR(N56/N12,0)</f>
        <v>0.0</v>
      </c>
      <c r="O45" s="12">
        <f>IFERROR(O56/O12,0)</f>
        <v>0.0</v>
      </c>
    </row>
    <row r="46">
      <c r="B46" t="str">
        <f>B13</f>
        <v>Insert Adj. 8</v>
      </c>
      <c r="C46" s="12">
        <f>IFERROR(C57/C13,0)</f>
        <v>0.0</v>
      </c>
      <c r="D46" s="12">
        <f>IFERROR(D57/D13,0)</f>
        <v>0.0</v>
      </c>
      <c r="E46" s="12">
        <f>IFERROR(E57/E13,0)</f>
        <v>0.0</v>
      </c>
      <c r="F46" s="12">
        <f>IFERROR(F57/F13,0)</f>
        <v>0.0</v>
      </c>
      <c r="G46" s="12">
        <f>IFERROR(G57/G13,0)</f>
        <v>0.0</v>
      </c>
      <c r="H46" s="12">
        <f>IFERROR(H57/H13,0)</f>
        <v>0.0</v>
      </c>
      <c r="I46" s="12">
        <f>IFERROR(I57/I13,0)</f>
        <v>0.0</v>
      </c>
      <c r="J46" s="12">
        <f>IFERROR(J57/J13,0)</f>
        <v>0.0</v>
      </c>
      <c r="K46" s="12">
        <f>IFERROR(K57/K13,0)</f>
        <v>0.0</v>
      </c>
      <c r="L46" s="12">
        <f>IFERROR(L57/L13,0)</f>
        <v>0.0</v>
      </c>
      <c r="M46" s="12">
        <f>IFERROR(M57/M13,0)</f>
        <v>0.0</v>
      </c>
      <c r="N46" s="12">
        <f>IFERROR(N57/N13,0)</f>
        <v>0.0</v>
      </c>
      <c r="O46" s="12">
        <f>IFERROR(O57/O13,0)</f>
        <v>0.0</v>
      </c>
    </row>
    <row r="47">
      <c r="B47" s="2" t="inlineStr">
        <is>
          <t>Total Op Costs (%)</t>
        </is>
      </c>
      <c r="C47" s="15">
        <f>IFERROR(C58/C14,0)</f>
        <v>0.0</v>
      </c>
      <c r="D47" s="15">
        <f>IFERROR(D58/D14,0)</f>
        <v>0.0</v>
      </c>
      <c r="E47" s="15">
        <f>IFERROR(E58/E14,0)</f>
        <v>0.0</v>
      </c>
      <c r="F47" s="15">
        <f>IFERROR(F58/F14,0)</f>
        <v>0.0</v>
      </c>
      <c r="G47" s="15">
        <f>IFERROR(G58/G14,0)</f>
        <v>0.0</v>
      </c>
      <c r="H47" s="15">
        <f>IFERROR(H58/H14,0)</f>
        <v>0.0</v>
      </c>
      <c r="I47" s="15">
        <f>IFERROR(I58/I14,0)</f>
        <v>0.0</v>
      </c>
      <c r="J47" s="15">
        <f>IFERROR(J58/J14,0)</f>
        <v>0.0</v>
      </c>
      <c r="K47" s="15">
        <f>IFERROR(K58/K14,0)</f>
        <v>0.0</v>
      </c>
      <c r="L47" s="15">
        <f>IFERROR(L58/L14,0)</f>
        <v>0.0</v>
      </c>
      <c r="M47" s="15">
        <f>IFERROR(M58/M14,0)</f>
        <v>0.0</v>
      </c>
      <c r="N47" s="15">
        <f>IFERROR(N58/N14,0)</f>
        <v>0.0</v>
      </c>
      <c r="O47" s="15">
        <f>IFERROR(O58/O14,0)</f>
        <v>0.0</v>
      </c>
    </row>
    <row r="49">
      <c r="B49" s="2" t="inlineStr">
        <is>
          <t>Op Costs ($)</t>
        </is>
      </c>
    </row>
    <row r="50">
      <c r="B50" t="inlineStr">
        <is>
          <t>Insert Adj. 1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6">
        <f>SUM(C50:N50)</f>
        <v>0.0</v>
      </c>
    </row>
    <row r="51">
      <c r="B51" t="inlineStr">
        <is>
          <t>Insert Adj. 2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6">
        <f>SUM(C51:N51)</f>
        <v>0.0</v>
      </c>
    </row>
    <row r="52">
      <c r="B52" t="inlineStr">
        <is>
          <t>Insert Adj. 3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6">
        <f>SUM(C52:N52)</f>
        <v>0.0</v>
      </c>
    </row>
    <row r="53">
      <c r="B53" t="inlineStr">
        <is>
          <t>Insert Adj. 4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6">
        <f>SUM(C53:N53)</f>
        <v>0.0</v>
      </c>
    </row>
    <row r="54">
      <c r="B54" t="inlineStr">
        <is>
          <t>Insert Adj. 5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6">
        <f>SUM(C54:N54)</f>
        <v>0.0</v>
      </c>
    </row>
    <row r="55">
      <c r="B55" t="inlineStr">
        <is>
          <t>Insert Adj. 6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6">
        <f>SUM(C55:N55)</f>
        <v>0.0</v>
      </c>
    </row>
    <row r="56">
      <c r="B56" t="inlineStr">
        <is>
          <t>Insert Adj. 7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6">
        <f>SUM(C56:N56)</f>
        <v>0.0</v>
      </c>
    </row>
    <row r="57">
      <c r="B57" t="inlineStr">
        <is>
          <t>Insert Adj. 8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6">
        <f>SUM(C57:N57)</f>
        <v>0.0</v>
      </c>
    </row>
    <row r="58">
      <c r="B58" s="2" t="inlineStr">
        <is>
          <t>Total Op Costs ($)</t>
        </is>
      </c>
      <c r="C58" s="9">
        <f>SUM(C50:C57)</f>
        <v>0.0</v>
      </c>
      <c r="D58" s="9">
        <f>SUM(D50:D57)</f>
        <v>0.0</v>
      </c>
      <c r="E58" s="9">
        <f>SUM(E50:E57)</f>
        <v>0.0</v>
      </c>
      <c r="F58" s="9">
        <f>SUM(F50:F57)</f>
        <v>0.0</v>
      </c>
      <c r="G58" s="9">
        <f>SUM(G50:G57)</f>
        <v>0.0</v>
      </c>
      <c r="H58" s="9">
        <f>SUM(H50:H57)</f>
        <v>0.0</v>
      </c>
      <c r="I58" s="9">
        <f>SUM(I50:I57)</f>
        <v>0.0</v>
      </c>
      <c r="J58" s="9">
        <f>SUM(J50:J57)</f>
        <v>0.0</v>
      </c>
      <c r="K58" s="9">
        <f>SUM(K50:K57)</f>
        <v>0.0</v>
      </c>
      <c r="L58" s="9">
        <f>SUM(L50:L57)</f>
        <v>0.0</v>
      </c>
      <c r="M58" s="9">
        <f>SUM(M50:M57)</f>
        <v>0.0</v>
      </c>
      <c r="N58" s="9">
        <f>SUM(N50:N57)</f>
        <v>0.0</v>
      </c>
      <c r="O58" s="9">
        <f>SUM(O50:O57)</f>
        <v>0.0</v>
      </c>
    </row>
    <row r="60">
      <c r="B60" s="2" t="inlineStr">
        <is>
          <t>PBITA</t>
        </is>
      </c>
    </row>
    <row r="61">
      <c r="B61" t="str">
        <f>B6</f>
        <v>Insert Adj. 1</v>
      </c>
      <c r="C61" s="6">
        <f>C28-C50</f>
        <v>0.0</v>
      </c>
      <c r="D61" s="6">
        <f>D28-D50</f>
        <v>0.0</v>
      </c>
      <c r="E61" s="6">
        <f>E28-E50</f>
        <v>0.0</v>
      </c>
      <c r="F61" s="6">
        <f>F28-F50</f>
        <v>0.0</v>
      </c>
      <c r="G61" s="6">
        <f>G28-G50</f>
        <v>0.0</v>
      </c>
      <c r="H61" s="6">
        <f>H28-H50</f>
        <v>0.0</v>
      </c>
      <c r="I61" s="6">
        <f>I28-I50</f>
        <v>0.0</v>
      </c>
      <c r="J61" s="6">
        <f>J28-J50</f>
        <v>0.0</v>
      </c>
      <c r="K61" s="6">
        <f>K28-K50</f>
        <v>0.0</v>
      </c>
      <c r="L61" s="6">
        <f>L28-L50</f>
        <v>0.0</v>
      </c>
      <c r="M61" s="6">
        <f>M28-M50</f>
        <v>0.0</v>
      </c>
      <c r="N61" s="6">
        <f>N28-N50</f>
        <v>0.0</v>
      </c>
      <c r="O61" s="6">
        <f>SUM(C61:N61)</f>
        <v>0.0</v>
      </c>
    </row>
    <row r="62">
      <c r="B62" t="str">
        <f>B7</f>
        <v>Insert Adj. 2</v>
      </c>
      <c r="C62" s="6">
        <f>C29-C51</f>
        <v>0.0</v>
      </c>
      <c r="D62" s="6">
        <f>D29-D51</f>
        <v>0.0</v>
      </c>
      <c r="E62" s="6">
        <f>E29-E51</f>
        <v>0.0</v>
      </c>
      <c r="F62" s="6">
        <f>F29-F51</f>
        <v>0.0</v>
      </c>
      <c r="G62" s="6">
        <f>G29-G51</f>
        <v>0.0</v>
      </c>
      <c r="H62" s="6">
        <f>H29-H51</f>
        <v>0.0</v>
      </c>
      <c r="I62" s="6">
        <f>I29-I51</f>
        <v>0.0</v>
      </c>
      <c r="J62" s="6">
        <f>J29-J51</f>
        <v>0.0</v>
      </c>
      <c r="K62" s="6">
        <f>K29-K51</f>
        <v>0.0</v>
      </c>
      <c r="L62" s="6">
        <f>L29-L51</f>
        <v>0.0</v>
      </c>
      <c r="M62" s="6">
        <f>M29-M51</f>
        <v>0.0</v>
      </c>
      <c r="N62" s="6">
        <f>N29-N51</f>
        <v>0.0</v>
      </c>
      <c r="O62" s="6">
        <f>SUM(C62:N62)</f>
        <v>0.0</v>
      </c>
    </row>
    <row r="63">
      <c r="B63" t="str">
        <f>B8</f>
        <v>Insert Adj. 3</v>
      </c>
      <c r="C63" s="6">
        <f>C30-C52</f>
        <v>0.0</v>
      </c>
      <c r="D63" s="6">
        <f>D30-D52</f>
        <v>0.0</v>
      </c>
      <c r="E63" s="6">
        <f>E30-E52</f>
        <v>0.0</v>
      </c>
      <c r="F63" s="6">
        <f>F30-F52</f>
        <v>0.0</v>
      </c>
      <c r="G63" s="6">
        <f>G30-G52</f>
        <v>0.0</v>
      </c>
      <c r="H63" s="6">
        <f>H30-H52</f>
        <v>0.0</v>
      </c>
      <c r="I63" s="6">
        <f>I30-I52</f>
        <v>0.0</v>
      </c>
      <c r="J63" s="6">
        <f>J30-J52</f>
        <v>0.0</v>
      </c>
      <c r="K63" s="6">
        <f>K30-K52</f>
        <v>0.0</v>
      </c>
      <c r="L63" s="6">
        <f>L30-L52</f>
        <v>0.0</v>
      </c>
      <c r="M63" s="6">
        <f>M30-M52</f>
        <v>0.0</v>
      </c>
      <c r="N63" s="6">
        <f>N30-N52</f>
        <v>0.0</v>
      </c>
      <c r="O63" s="6">
        <f>SUM(C63:N63)</f>
        <v>0.0</v>
      </c>
    </row>
    <row r="64">
      <c r="B64" t="str">
        <f>B9</f>
        <v>Insert Adj. 4</v>
      </c>
      <c r="C64" s="6">
        <f>C31-C53</f>
        <v>0.0</v>
      </c>
      <c r="D64" s="6">
        <f>D31-D53</f>
        <v>0.0</v>
      </c>
      <c r="E64" s="6">
        <f>E31-E53</f>
        <v>0.0</v>
      </c>
      <c r="F64" s="6">
        <f>F31-F53</f>
        <v>0.0</v>
      </c>
      <c r="G64" s="6">
        <f>G31-G53</f>
        <v>0.0</v>
      </c>
      <c r="H64" s="6">
        <f>H31-H53</f>
        <v>0.0</v>
      </c>
      <c r="I64" s="6">
        <f>I31-I53</f>
        <v>0.0</v>
      </c>
      <c r="J64" s="6">
        <f>J31-J53</f>
        <v>0.0</v>
      </c>
      <c r="K64" s="6">
        <f>K31-K53</f>
        <v>0.0</v>
      </c>
      <c r="L64" s="6">
        <f>L31-L53</f>
        <v>0.0</v>
      </c>
      <c r="M64" s="6">
        <f>M31-M53</f>
        <v>0.0</v>
      </c>
      <c r="N64" s="6">
        <f>N31-N53</f>
        <v>0.0</v>
      </c>
      <c r="O64" s="6">
        <f>SUM(C64:N64)</f>
        <v>0.0</v>
      </c>
    </row>
    <row r="65">
      <c r="B65" t="str">
        <f>B10</f>
        <v>Insert Adj. 5</v>
      </c>
      <c r="C65" s="6">
        <f>C32-C54</f>
        <v>0.0</v>
      </c>
      <c r="D65" s="6">
        <f>D32-D54</f>
        <v>0.0</v>
      </c>
      <c r="E65" s="6">
        <f>E32-E54</f>
        <v>0.0</v>
      </c>
      <c r="F65" s="6">
        <f>F32-F54</f>
        <v>0.0</v>
      </c>
      <c r="G65" s="6">
        <f>G32-G54</f>
        <v>0.0</v>
      </c>
      <c r="H65" s="6">
        <f>H32-H54</f>
        <v>0.0</v>
      </c>
      <c r="I65" s="6">
        <f>I32-I54</f>
        <v>0.0</v>
      </c>
      <c r="J65" s="6">
        <f>J32-J54</f>
        <v>0.0</v>
      </c>
      <c r="K65" s="6">
        <f>K32-K54</f>
        <v>0.0</v>
      </c>
      <c r="L65" s="6">
        <f>L32-L54</f>
        <v>0.0</v>
      </c>
      <c r="M65" s="6">
        <f>M32-M54</f>
        <v>0.0</v>
      </c>
      <c r="N65" s="6">
        <f>N32-N54</f>
        <v>0.0</v>
      </c>
      <c r="O65" s="6">
        <f>SUM(C65:N65)</f>
        <v>0.0</v>
      </c>
    </row>
    <row r="66">
      <c r="B66" t="str">
        <f>B11</f>
        <v>Insert Adj. 6</v>
      </c>
      <c r="C66" s="6">
        <f>C33-C55</f>
        <v>0.0</v>
      </c>
      <c r="D66" s="6">
        <f>D33-D55</f>
        <v>0.0</v>
      </c>
      <c r="E66" s="6">
        <f>E33-E55</f>
        <v>0.0</v>
      </c>
      <c r="F66" s="6">
        <f>F33-F55</f>
        <v>0.0</v>
      </c>
      <c r="G66" s="6">
        <f>G33-G55</f>
        <v>0.0</v>
      </c>
      <c r="H66" s="6">
        <f>H33-H55</f>
        <v>0.0</v>
      </c>
      <c r="I66" s="6">
        <f>I33-I55</f>
        <v>0.0</v>
      </c>
      <c r="J66" s="6">
        <f>J33-J55</f>
        <v>0.0</v>
      </c>
      <c r="K66" s="6">
        <f>K33-K55</f>
        <v>0.0</v>
      </c>
      <c r="L66" s="6">
        <f>L33-L55</f>
        <v>0.0</v>
      </c>
      <c r="M66" s="6">
        <f>M33-M55</f>
        <v>0.0</v>
      </c>
      <c r="N66" s="6">
        <f>N33-N55</f>
        <v>0.0</v>
      </c>
      <c r="O66" s="6">
        <f>SUM(C66:N66)</f>
        <v>0.0</v>
      </c>
    </row>
    <row r="67">
      <c r="B67" t="str">
        <f>B12</f>
        <v>Insert Adj. 7</v>
      </c>
      <c r="C67" s="6">
        <f>C34-C56</f>
        <v>0.0</v>
      </c>
      <c r="D67" s="6">
        <f>D34-D56</f>
        <v>0.0</v>
      </c>
      <c r="E67" s="6">
        <f>E34-E56</f>
        <v>0.0</v>
      </c>
      <c r="F67" s="6">
        <f>F34-F56</f>
        <v>0.0</v>
      </c>
      <c r="G67" s="6">
        <f>G34-G56</f>
        <v>0.0</v>
      </c>
      <c r="H67" s="6">
        <f>H34-H56</f>
        <v>0.0</v>
      </c>
      <c r="I67" s="6">
        <f>I34-I56</f>
        <v>0.0</v>
      </c>
      <c r="J67" s="6">
        <f>J34-J56</f>
        <v>0.0</v>
      </c>
      <c r="K67" s="6">
        <f>K34-K56</f>
        <v>0.0</v>
      </c>
      <c r="L67" s="6">
        <f>L34-L56</f>
        <v>0.0</v>
      </c>
      <c r="M67" s="6">
        <f>M34-M56</f>
        <v>0.0</v>
      </c>
      <c r="N67" s="6">
        <f>N34-N56</f>
        <v>0.0</v>
      </c>
      <c r="O67" s="6">
        <f>SUM(C67:N67)</f>
        <v>0.0</v>
      </c>
    </row>
    <row r="68">
      <c r="B68" t="str">
        <f>B13</f>
        <v>Insert Adj. 8</v>
      </c>
      <c r="C68" s="6">
        <f>C35-C57</f>
        <v>0.0</v>
      </c>
      <c r="D68" s="6">
        <f>D35-D57</f>
        <v>0.0</v>
      </c>
      <c r="E68" s="6">
        <f>E35-E57</f>
        <v>0.0</v>
      </c>
      <c r="F68" s="6">
        <f>F35-F57</f>
        <v>0.0</v>
      </c>
      <c r="G68" s="6">
        <f>G35-G57</f>
        <v>0.0</v>
      </c>
      <c r="H68" s="6">
        <f>H35-H57</f>
        <v>0.0</v>
      </c>
      <c r="I68" s="6">
        <f>I35-I57</f>
        <v>0.0</v>
      </c>
      <c r="J68" s="6">
        <f>J35-J57</f>
        <v>0.0</v>
      </c>
      <c r="K68" s="6">
        <f>K35-K57</f>
        <v>0.0</v>
      </c>
      <c r="L68" s="6">
        <f>L35-L57</f>
        <v>0.0</v>
      </c>
      <c r="M68" s="6">
        <f>M35-M57</f>
        <v>0.0</v>
      </c>
      <c r="N68" s="6">
        <f>N35-N57</f>
        <v>0.0</v>
      </c>
      <c r="O68" s="6">
        <f>SUM(C68:N68)</f>
        <v>0.0</v>
      </c>
    </row>
    <row r="69">
      <c r="B69" s="2" t="inlineStr">
        <is>
          <t>Total PBITA</t>
        </is>
      </c>
      <c r="C69" s="9">
        <f>SUM(C61:C68)</f>
        <v>0.0</v>
      </c>
      <c r="D69" s="9">
        <f>SUM(D61:D68)</f>
        <v>0.0</v>
      </c>
      <c r="E69" s="9">
        <f>SUM(E61:E68)</f>
        <v>0.0</v>
      </c>
      <c r="F69" s="9">
        <f>SUM(F61:F68)</f>
        <v>0.0</v>
      </c>
      <c r="G69" s="9">
        <f>SUM(G61:G68)</f>
        <v>0.0</v>
      </c>
      <c r="H69" s="9">
        <f>SUM(H61:H68)</f>
        <v>0.0</v>
      </c>
      <c r="I69" s="9">
        <f>SUM(I61:I68)</f>
        <v>0.0</v>
      </c>
      <c r="J69" s="9">
        <f>SUM(J61:J68)</f>
        <v>0.0</v>
      </c>
      <c r="K69" s="9">
        <f>SUM(K61:K68)</f>
        <v>0.0</v>
      </c>
      <c r="L69" s="9">
        <f>SUM(L61:L68)</f>
        <v>0.0</v>
      </c>
      <c r="M69" s="9">
        <f>SUM(M61:M68)</f>
        <v>0.0</v>
      </c>
      <c r="N69" s="9">
        <f>SUM(N61:N68)</f>
        <v>0.0</v>
      </c>
      <c r="O69" s="9">
        <f>SUM(O61:O68)</f>
        <v>0.0</v>
      </c>
    </row>
    <row r="71">
      <c r="B71" s="8" t="inlineStr">
        <is>
          <t>Section 2: General adjustments in Gross Margin or Opex % of Sales that are not tied to individual events (i.e., employee turnover):</t>
        </is>
      </c>
    </row>
    <row r="73">
      <c r="C73" s="4" t="inlineStr">
        <is>
          <t>January</t>
        </is>
      </c>
      <c r="D73" s="4" t="inlineStr">
        <is>
          <t>February</t>
        </is>
      </c>
      <c r="E73" s="4" t="inlineStr">
        <is>
          <t>March</t>
        </is>
      </c>
      <c r="F73" s="4" t="inlineStr">
        <is>
          <t>April</t>
        </is>
      </c>
      <c r="G73" s="4" t="inlineStr">
        <is>
          <t>May</t>
        </is>
      </c>
      <c r="H73" s="4" t="inlineStr">
        <is>
          <t>June</t>
        </is>
      </c>
      <c r="I73" s="4" t="inlineStr">
        <is>
          <t>July</t>
        </is>
      </c>
      <c r="J73" s="4" t="inlineStr">
        <is>
          <t>August</t>
        </is>
      </c>
      <c r="K73" s="4" t="inlineStr">
        <is>
          <t>September</t>
        </is>
      </c>
      <c r="L73" s="4" t="inlineStr">
        <is>
          <t>October</t>
        </is>
      </c>
      <c r="M73" s="4" t="inlineStr">
        <is>
          <t>November</t>
        </is>
      </c>
      <c r="N73" s="4" t="inlineStr">
        <is>
          <t>December</t>
        </is>
      </c>
      <c r="O73" s="4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2">
        <f>'Delta'!C35</f>
        <v>0.3327294344109155</v>
      </c>
      <c r="D75" s="12">
        <f>'Delta'!D35</f>
        <v>0.3273160262252668</v>
      </c>
      <c r="E75" s="12">
        <f>'Delta'!E35</f>
        <v>0.33109462167578396</v>
      </c>
      <c r="F75" s="12">
        <f>'Delta'!F35</f>
        <v>0.3302259322203339</v>
      </c>
      <c r="G75" s="12">
        <f>'Delta'!G35</f>
        <v>0.3312470444240452</v>
      </c>
      <c r="H75" s="12">
        <f>'Delta'!H35</f>
        <v>0.32815336964648084</v>
      </c>
      <c r="I75" s="12">
        <f>'Delta'!I35</f>
        <v>0.33140001069118513</v>
      </c>
      <c r="J75" s="12">
        <f>'Delta'!J35</f>
        <v>0.32876787527790735</v>
      </c>
      <c r="K75" s="12">
        <f>'Delta'!K35</f>
        <v>0.3315289438798056</v>
      </c>
      <c r="L75" s="12">
        <f>'Delta'!L35</f>
        <v>0.3307508319467554</v>
      </c>
      <c r="M75" s="12">
        <f>'Delta'!M35</f>
        <v>0.32990102398813426</v>
      </c>
      <c r="N75" s="12">
        <f>'Delta'!N35</f>
        <v>0.32707488798805207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6">
        <f>IF(C76="None",0,((('Delta'!C28*(C75+C76))-'Delta'!C29)))</f>
        <v>0.0</v>
      </c>
      <c r="D77" s="6">
        <f>IF(D76="None",0,((('Delta'!D28*(D75+D76))-'Delta'!D29)))</f>
        <v>0.0</v>
      </c>
      <c r="E77" s="6">
        <f>IF(E76="None",0,((('Delta'!E28*(E75+E76))-'Delta'!E29)))</f>
        <v>0.0</v>
      </c>
      <c r="F77" s="6">
        <f>IF(F76="None",0,((('Delta'!F28*(F75+F76))-'Delta'!F29)))</f>
        <v>0.0</v>
      </c>
      <c r="G77" s="6">
        <f>IF(G76="None",0,((('Delta'!G28*(G75+G76))-'Delta'!G29)))</f>
        <v>0.0</v>
      </c>
      <c r="H77" s="6">
        <f>IF(H76="None",0,((('Delta'!H28*(H75+H76))-'Delta'!H29)))</f>
        <v>0.0</v>
      </c>
      <c r="I77" s="6">
        <f>IF(I76="None",0,((('Delta'!I28*(I75+I76))-'Delta'!I29)))</f>
        <v>0.0</v>
      </c>
      <c r="J77" s="6">
        <f>IF(J76="None",0,((('Delta'!J28*(J75+J76))-'Delta'!J29)))</f>
        <v>0.0</v>
      </c>
      <c r="K77" s="6">
        <f>IF(K76="None",0,((('Delta'!K28*(K75+K76))-'Delta'!K29)))</f>
        <v>0.0</v>
      </c>
      <c r="L77" s="6">
        <f>IF(L76="None",0,((('Delta'!L28*(L75+L76))-'Delta'!L29)))</f>
        <v>0.0</v>
      </c>
      <c r="M77" s="6">
        <f>IF(M76="None",0,((('Delta'!M28*(M75+M76))-'Delta'!M29)))</f>
        <v>0.0</v>
      </c>
      <c r="N77" s="6">
        <f>IF(N76="None",0,((('Delta'!N28*(N75+N76))-'Delta'!N29)))</f>
        <v>0.0</v>
      </c>
      <c r="O77" s="6">
        <f>SUM(C77:N77)</f>
        <v>0.0</v>
      </c>
    </row>
    <row r="78">
      <c r="B78" t="inlineStr">
        <is>
          <t>Gross Margin - Current FCAST</t>
        </is>
      </c>
      <c r="C78" s="12">
        <f>SUM(C75:C76)</f>
        <v>0.3327294344109155</v>
      </c>
      <c r="D78" s="12">
        <f>SUM(D75:D76)</f>
        <v>0.3273160262252668</v>
      </c>
      <c r="E78" s="12">
        <f>SUM(E75:E76)</f>
        <v>0.33109462167578396</v>
      </c>
      <c r="F78" s="12">
        <f>SUM(F75:F76)</f>
        <v>0.3302259322203339</v>
      </c>
      <c r="G78" s="12">
        <f>SUM(G75:G76)</f>
        <v>0.3312470444240452</v>
      </c>
      <c r="H78" s="12">
        <f>SUM(H75:H76)</f>
        <v>0.32815336964648084</v>
      </c>
      <c r="I78" s="12">
        <f>SUM(I75:I76)</f>
        <v>0.33140001069118513</v>
      </c>
      <c r="J78" s="12">
        <f>SUM(J75:J76)</f>
        <v>0.32876787527790735</v>
      </c>
      <c r="K78" s="12">
        <f>SUM(K75:K76)</f>
        <v>0.3315289438798056</v>
      </c>
      <c r="L78" s="12">
        <f>SUM(L75:L76)</f>
        <v>0.3307508319467554</v>
      </c>
      <c r="M78" s="12">
        <f>SUM(M75:M76)</f>
        <v>0.32990102398813426</v>
      </c>
      <c r="N78" s="12">
        <f>SUM(N75:N76)</f>
        <v>0.32707488798805207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2">
        <f>'Delta'!C36</f>
        <v>-0.22637717262073262</v>
      </c>
      <c r="D82" s="12">
        <f>'Delta'!D36</f>
        <v>-0.23073530708846615</v>
      </c>
      <c r="E82" s="12">
        <f>'Delta'!E36</f>
        <v>-0.22842983263824948</v>
      </c>
      <c r="F82" s="12">
        <f>'Delta'!F36</f>
        <v>-0.2293811856443067</v>
      </c>
      <c r="G82" s="12">
        <f>'Delta'!G36</f>
        <v>-0.22899107068346825</v>
      </c>
      <c r="H82" s="12">
        <f>'Delta'!H36</f>
        <v>-0.2325376481896828</v>
      </c>
      <c r="I82" s="12">
        <f>'Delta'!I36</f>
        <v>-0.2278826107874058</v>
      </c>
      <c r="J82" s="12">
        <f>'Delta'!J36</f>
        <v>-0.23077978755523837</v>
      </c>
      <c r="K82" s="12">
        <f>'Delta'!K36</f>
        <v>-0.22782258064516128</v>
      </c>
      <c r="L82" s="12">
        <f>'Delta'!L36</f>
        <v>-0.23042325291181362</v>
      </c>
      <c r="M82" s="12">
        <f>'Delta'!M36</f>
        <v>-0.22730254713482984</v>
      </c>
      <c r="N82" s="12">
        <f>'Delta'!N36</f>
        <v>-0.23021122253040327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6">
        <f>-IF(C83="None",0,((('Delta'!C28*-(C82+C83))-'Delta'!C30)))</f>
        <v>0.0</v>
      </c>
      <c r="D84" s="6">
        <f>-IF(D83="None",0,((('Delta'!D28*-(D82+D83))-'Delta'!D30)))</f>
        <v>0.0</v>
      </c>
      <c r="E84" s="6">
        <f>-IF(E83="None",0,((('Delta'!E28*-(E82+E83))-'Delta'!E30)))</f>
        <v>0.0</v>
      </c>
      <c r="F84" s="6">
        <f>-IF(F83="None",0,((('Delta'!F28*-(F82+F83))-'Delta'!F30)))</f>
        <v>0.0</v>
      </c>
      <c r="G84" s="6">
        <f>-IF(G83="None",0,((('Delta'!G28*-(G82+G83))-'Delta'!G30)))</f>
        <v>0.0</v>
      </c>
      <c r="H84" s="6">
        <f>-IF(H83="None",0,((('Delta'!H28*-(H82+H83))-'Delta'!H30)))</f>
        <v>0.0</v>
      </c>
      <c r="I84" s="6">
        <f>-IF(I83="None",0,((('Delta'!I28*-(I82+I83))-'Delta'!I30)))</f>
        <v>0.0</v>
      </c>
      <c r="J84" s="6">
        <f>-IF(J83="None",0,((('Delta'!J28*-(J82+J83))-'Delta'!J30)))</f>
        <v>0.0</v>
      </c>
      <c r="K84" s="6">
        <f>-IF(K83="None",0,((('Delta'!K28*-(K82+K83))-'Delta'!K30)))</f>
        <v>0.0</v>
      </c>
      <c r="L84" s="6">
        <f>-IF(L83="None",0,((('Delta'!L28*-(L82+L83))-'Delta'!L30)))</f>
        <v>0.0</v>
      </c>
      <c r="M84" s="6">
        <f>-IF(M83="None",0,((('Delta'!M28*-(M82+M83))-'Delta'!M30)))</f>
        <v>0.0</v>
      </c>
      <c r="N84" s="6">
        <f>-IF(N83="None",0,((('Delta'!N28*-(N82+N83))-'Delta'!N30)))</f>
        <v>0.0</v>
      </c>
      <c r="O84" s="6">
        <f>SUM(C84:N84)</f>
        <v>0.0</v>
      </c>
    </row>
    <row r="85">
      <c r="B85" t="inlineStr">
        <is>
          <t>Op Costs - Current FCAST</t>
        </is>
      </c>
      <c r="C85" s="12">
        <f>SUM(C82:C83)</f>
        <v>-0.22637717262073262</v>
      </c>
      <c r="D85" s="12">
        <f>SUM(D82:D83)</f>
        <v>-0.23073530708846615</v>
      </c>
      <c r="E85" s="12">
        <f>SUM(E82:E83)</f>
        <v>-0.22842983263824948</v>
      </c>
      <c r="F85" s="12">
        <f>SUM(F82:F83)</f>
        <v>-0.2293811856443067</v>
      </c>
      <c r="G85" s="12">
        <f>SUM(G82:G83)</f>
        <v>-0.22899107068346825</v>
      </c>
      <c r="H85" s="12">
        <f>SUM(H82:H83)</f>
        <v>-0.2325376481896828</v>
      </c>
      <c r="I85" s="12">
        <f>SUM(I82:I83)</f>
        <v>-0.2278826107874058</v>
      </c>
      <c r="J85" s="12">
        <f>SUM(J82:J83)</f>
        <v>-0.23077978755523837</v>
      </c>
      <c r="K85" s="12">
        <f>SUM(K82:K83)</f>
        <v>-0.22782258064516128</v>
      </c>
      <c r="L85" s="12">
        <f>SUM(L82:L83)</f>
        <v>-0.23042325291181362</v>
      </c>
      <c r="M85" s="12">
        <f>SUM(M82:M83)</f>
        <v>-0.22730254713482984</v>
      </c>
      <c r="N85" s="12">
        <f>SUM(N82:N83)</f>
        <v>-0.23021122253040327</v>
      </c>
      <c r="O85" t="inlineStr">
        <is>
          <t>N/A</t>
        </is>
      </c>
    </row>
    <row r="87">
      <c r="B87" s="8" t="inlineStr">
        <is>
          <t>Section 3: Working Capital Adjustments</t>
        </is>
      </c>
    </row>
    <row r="89">
      <c r="C89" s="4" t="inlineStr">
        <is>
          <t>January</t>
        </is>
      </c>
      <c r="D89" s="4" t="inlineStr">
        <is>
          <t>February</t>
        </is>
      </c>
      <c r="E89" s="4" t="inlineStr">
        <is>
          <t>March</t>
        </is>
      </c>
      <c r="F89" s="4" t="inlineStr">
        <is>
          <t>April</t>
        </is>
      </c>
      <c r="G89" s="4" t="inlineStr">
        <is>
          <t>May</t>
        </is>
      </c>
      <c r="H89" s="4" t="inlineStr">
        <is>
          <t>June</t>
        </is>
      </c>
      <c r="I89" s="4" t="inlineStr">
        <is>
          <t>July</t>
        </is>
      </c>
      <c r="J89" s="4" t="inlineStr">
        <is>
          <t>August</t>
        </is>
      </c>
      <c r="K89" s="4" t="inlineStr">
        <is>
          <t>September</t>
        </is>
      </c>
      <c r="L89" s="4" t="inlineStr">
        <is>
          <t>October</t>
        </is>
      </c>
      <c r="M89" s="4" t="inlineStr">
        <is>
          <t>November</t>
        </is>
      </c>
      <c r="N89" s="4" t="inlineStr">
        <is>
          <t>December</t>
        </is>
      </c>
      <c r="O89" s="4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21" t="n">
        <v>0</v>
      </c>
      <c r="L90" s="21" t="n">
        <v>0</v>
      </c>
      <c r="M90" s="21" t="n">
        <v>0</v>
      </c>
      <c r="N90" s="21" t="n">
        <v>0</v>
      </c>
    </row>
    <row r="91">
      <c r="A91" t="n">
        <v>2135</v>
      </c>
      <c r="B91" t="inlineStr">
        <is>
          <t>Trade Receivables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21" t="n">
        <v>0</v>
      </c>
      <c r="L91" s="21" t="n">
        <v>0</v>
      </c>
      <c r="M91" s="21" t="n">
        <v>0</v>
      </c>
      <c r="N91" s="21" t="n">
        <v>0</v>
      </c>
    </row>
    <row r="92">
      <c r="A92" t="n">
        <v>2175</v>
      </c>
      <c r="B92" t="inlineStr">
        <is>
          <t>Other Receivables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21" t="n">
        <v>0</v>
      </c>
      <c r="L92" s="21" t="n">
        <v>0</v>
      </c>
      <c r="M92" s="21" t="n">
        <v>0</v>
      </c>
      <c r="N92" s="21" t="n">
        <v>0</v>
      </c>
    </row>
    <row r="93">
      <c r="A93" t="n">
        <v>2140</v>
      </c>
      <c r="B93" t="inlineStr">
        <is>
          <t>Trade Payables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21" t="n">
        <v>0</v>
      </c>
      <c r="L93" s="21" t="n">
        <v>0</v>
      </c>
      <c r="M93" s="21" t="n">
        <v>0</v>
      </c>
      <c r="N93" s="21" t="n">
        <v>0</v>
      </c>
    </row>
    <row r="94">
      <c r="A94" t="n">
        <v>2180</v>
      </c>
      <c r="B94" t="inlineStr">
        <is>
          <t>Other Payables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21" t="n">
        <v>0</v>
      </c>
      <c r="L94" s="21" t="n">
        <v>0</v>
      </c>
      <c r="M94" s="21" t="n">
        <v>0</v>
      </c>
      <c r="N94" s="21" t="n">
        <v>0</v>
      </c>
    </row>
    <row r="95">
      <c r="A95" t="n">
        <v>2185</v>
      </c>
      <c r="B95" s="2" t="inlineStr">
        <is>
          <t>Total Working Capital</t>
        </is>
      </c>
      <c r="C95" s="6">
        <f>SUM(C90:C94)</f>
        <v>0.0</v>
      </c>
      <c r="D95" s="6">
        <f>SUM(D90:D94)</f>
        <v>0.0</v>
      </c>
      <c r="E95" s="6">
        <f>SUM(E90:E94)</f>
        <v>0.0</v>
      </c>
      <c r="F95" s="6">
        <f>SUM(F90:F94)</f>
        <v>0.0</v>
      </c>
      <c r="G95" s="6">
        <f>SUM(G90:G94)</f>
        <v>0.0</v>
      </c>
      <c r="H95" s="6">
        <f>SUM(H90:H94)</f>
        <v>0.0</v>
      </c>
      <c r="I95" s="6">
        <f>SUM(I90:I94)</f>
        <v>0.0</v>
      </c>
      <c r="J95" s="6">
        <f>SUM(J90:J94)</f>
        <v>0.0</v>
      </c>
      <c r="K95" s="6">
        <f>SUM(K90:K94)</f>
        <v>0.0</v>
      </c>
      <c r="L95" s="6">
        <f>SUM(L90:L94)</f>
        <v>0.0</v>
      </c>
      <c r="M95" s="6">
        <f>SUM(M90:M94)</f>
        <v>0.0</v>
      </c>
      <c r="N95" s="6">
        <f>SUM(N90:N94)</f>
        <v>0.0</v>
      </c>
    </row>
    <row r="97">
      <c r="B97" s="22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DELTA_DISP</t>
        </is>
      </c>
    </row>
    <row r="23">
      <c r="B23" s="3" t="inlineStr">
        <is>
          <t>Delta Welding Supply</t>
        </is>
      </c>
      <c r="BU23" s="8" t="inlineStr">
        <is>
          <t>FCAST10 - Variance ($) - Favorable / (Unfavorable)</t>
        </is>
      </c>
    </row>
    <row r="24">
      <c r="C24" s="8" t="inlineStr">
        <is>
          <t>FCAST09 as Reported</t>
        </is>
      </c>
      <c r="Q24" s="8" t="inlineStr">
        <is>
          <t>FCAST09 at New Fx Rates</t>
        </is>
      </c>
      <c r="AE24" s="8" t="inlineStr">
        <is>
          <t>Fx Changes</t>
        </is>
      </c>
      <c r="AS24" s="8" t="inlineStr">
        <is>
          <t>Operational Adjustments</t>
        </is>
      </c>
      <c r="BG24" s="8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6" t="n">
        <v>3532.6</v>
      </c>
      <c r="D28" s="6" t="n">
        <v>3401.3</v>
      </c>
      <c r="E28" s="6" t="n">
        <v>3692.6</v>
      </c>
      <c r="F28" s="6" t="n">
        <v>4001.2</v>
      </c>
      <c r="G28" s="6" t="n">
        <v>3594.9</v>
      </c>
      <c r="H28" s="6" t="n">
        <v>3745.2</v>
      </c>
      <c r="I28" s="6" t="n">
        <v>3741.4</v>
      </c>
      <c r="J28" s="6" t="n">
        <v>3643.3</v>
      </c>
      <c r="K28" s="6" t="n">
        <v>3620.8</v>
      </c>
      <c r="L28" s="6" t="n">
        <v>3846.4</v>
      </c>
      <c r="M28" s="6" t="n">
        <v>3505.9</v>
      </c>
      <c r="N28" s="6" t="n">
        <v>3749.6</v>
      </c>
      <c r="O28" s="19">
        <f>SUM(C28:N28)</f>
        <v>44075.200000000004</v>
      </c>
      <c r="Q28" s="6" t="n">
        <v>3532.6</v>
      </c>
      <c r="R28" s="6" t="n">
        <v>3401.3</v>
      </c>
      <c r="S28" s="6" t="n">
        <v>3692.6</v>
      </c>
      <c r="T28" s="6" t="n">
        <v>4001.2</v>
      </c>
      <c r="U28" s="6" t="n">
        <v>3594.9</v>
      </c>
      <c r="V28" s="6" t="n">
        <v>3745.2</v>
      </c>
      <c r="W28" s="6" t="n">
        <v>3741.4</v>
      </c>
      <c r="X28" s="6" t="n">
        <v>3643.3</v>
      </c>
      <c r="Y28" s="6" t="n">
        <v>3620.8</v>
      </c>
      <c r="Z28" s="6" t="n">
        <v>3846.4</v>
      </c>
      <c r="AA28" s="6" t="n">
        <v>3505.9</v>
      </c>
      <c r="AB28" s="6" t="n">
        <v>3749.6</v>
      </c>
      <c r="AC28" s="19">
        <f>SUM(Q28:AB28)</f>
        <v>44075.200000000004</v>
      </c>
      <c r="AE28" s="6">
        <f>Q28-C28</f>
        <v>0.0</v>
      </c>
      <c r="AF28" s="6">
        <f>R28-D28</f>
        <v>0.0</v>
      </c>
      <c r="AG28" s="6">
        <f>S28-E28</f>
        <v>0.0</v>
      </c>
      <c r="AH28" s="6">
        <f>T28-F28</f>
        <v>0.0</v>
      </c>
      <c r="AI28" s="6">
        <f>U28-G28</f>
        <v>0.0</v>
      </c>
      <c r="AJ28" s="6">
        <f>V28-H28</f>
        <v>0.0</v>
      </c>
      <c r="AK28" s="6">
        <f>W28-I28</f>
        <v>0.0</v>
      </c>
      <c r="AL28" s="6">
        <f>X28-J28</f>
        <v>0.0</v>
      </c>
      <c r="AM28" s="6">
        <f>Y28-K28</f>
        <v>0.0</v>
      </c>
      <c r="AN28" s="6">
        <f>Z28-L28</f>
        <v>0.0</v>
      </c>
      <c r="AO28" s="6">
        <f>AA28-M28</f>
        <v>0.0</v>
      </c>
      <c r="AP28" s="6">
        <f>AB28-N28</f>
        <v>0.0</v>
      </c>
      <c r="AQ28" s="19">
        <f>SUM(AE28:AP28)</f>
        <v>0.0</v>
      </c>
      <c r="AS28" s="6">
        <f>'Delta-Adj'!C14</f>
        <v>0.0</v>
      </c>
      <c r="AT28" s="6">
        <f>'Delta-Adj'!D14</f>
        <v>0.0</v>
      </c>
      <c r="AU28" s="6">
        <f>'Delta-Adj'!E14</f>
        <v>0.0</v>
      </c>
      <c r="AV28" s="6">
        <f>'Delta-Adj'!F14</f>
        <v>0.0</v>
      </c>
      <c r="AW28" s="6">
        <f>'Delta-Adj'!G14</f>
        <v>0.0</v>
      </c>
      <c r="AX28" s="6">
        <f>'Delta-Adj'!H14</f>
        <v>0.0</v>
      </c>
      <c r="AY28" s="6">
        <f>'Delta-Adj'!I14</f>
        <v>0.0</v>
      </c>
      <c r="AZ28" s="6">
        <f>'Delta-Adj'!J14</f>
        <v>0.0</v>
      </c>
      <c r="BA28" s="6">
        <f>'Delta-Adj'!K14</f>
        <v>0.0</v>
      </c>
      <c r="BB28" s="6">
        <f>'Delta-Adj'!L14</f>
        <v>0.0</v>
      </c>
      <c r="BC28" s="6">
        <f>'Delta-Adj'!M14</f>
        <v>0.0</v>
      </c>
      <c r="BD28" s="6">
        <f>'Delta-Adj'!N14</f>
        <v>0.0</v>
      </c>
      <c r="BE28" s="19">
        <f>SUM(AS28:BD28)</f>
        <v>0.0</v>
      </c>
      <c r="BG28" s="6">
        <f>C28+AE28+AS28</f>
        <v>3532.6</v>
      </c>
      <c r="BH28" s="6">
        <f>D28+AF28+AT28</f>
        <v>3401.3</v>
      </c>
      <c r="BI28" s="6">
        <f>E28+AG28+AU28</f>
        <v>3692.6</v>
      </c>
      <c r="BJ28" s="6">
        <f>F28+AH28+AV28</f>
        <v>4001.2</v>
      </c>
      <c r="BK28" s="6">
        <f>G28+AI28+AW28</f>
        <v>3594.9</v>
      </c>
      <c r="BL28" s="6">
        <f>H28+AJ28+AX28</f>
        <v>3745.2</v>
      </c>
      <c r="BM28" s="6">
        <f>I28+AK28+AY28</f>
        <v>3741.4</v>
      </c>
      <c r="BN28" s="6">
        <f>J28+AL28+AZ28</f>
        <v>3643.3</v>
      </c>
      <c r="BO28" s="6">
        <f>K28+AM28+BA28</f>
        <v>3620.8</v>
      </c>
      <c r="BP28" s="6">
        <f>L28+AN28+BB28</f>
        <v>3846.4</v>
      </c>
      <c r="BQ28" s="6">
        <f>M28+AO28+BC28</f>
        <v>3505.9</v>
      </c>
      <c r="BR28" s="6">
        <f>N28+AP28+BD28</f>
        <v>3749.6</v>
      </c>
      <c r="BS28" s="19">
        <f>SUM(BG28:BR28)</f>
        <v>44075.200000000004</v>
      </c>
      <c r="BU28" s="6">
        <f>SUM(BG28:BO28)-SUM(C28:K28)</f>
        <v>0.0</v>
      </c>
      <c r="BV28" s="6">
        <f>SUM(BG28:BO28)-SUM(C51:K51)</f>
        <v>-664.0</v>
      </c>
      <c r="BW28" s="6">
        <f>SUM(BG28:BO28)-SUM(C64:K64)</f>
        <v>386.8000000000029</v>
      </c>
      <c r="BY28" s="6">
        <f>SUM(BP28:BR28)-SUM(L28:N28)</f>
        <v>0.0</v>
      </c>
      <c r="BZ28" s="6">
        <f>SUM(BP28:BR28)-SUM(L51:N51)</f>
        <v>-260.60000000000036</v>
      </c>
      <c r="CA28" s="6">
        <f>SUM(BP28:BR28)-SUM(L64:N64)</f>
        <v>8.399999999999636</v>
      </c>
      <c r="CC28" s="6">
        <f>BS28-O28</f>
        <v>0.0</v>
      </c>
      <c r="CD28" s="6">
        <f>BS28-O51</f>
        <v>-924.5999999999985</v>
      </c>
      <c r="CE28" s="6">
        <f>BS28-O64</f>
        <v>395.20000000000437</v>
      </c>
    </row>
    <row r="29">
      <c r="B29" s="5" t="inlineStr">
        <is>
          <t>Gross Margin</t>
        </is>
      </c>
      <c r="C29" s="6" t="n">
        <v>1175.4</v>
      </c>
      <c r="D29" s="6" t="n">
        <v>1113.3</v>
      </c>
      <c r="E29" s="6" t="n">
        <v>1222.6</v>
      </c>
      <c r="F29" s="6" t="n">
        <v>1321.3</v>
      </c>
      <c r="G29" s="6" t="n">
        <v>1190.8</v>
      </c>
      <c r="H29" s="6" t="n">
        <v>1229</v>
      </c>
      <c r="I29" s="6" t="n">
        <v>1239.9</v>
      </c>
      <c r="J29" s="6" t="n">
        <v>1197.8</v>
      </c>
      <c r="K29" s="6" t="n">
        <v>1200.4</v>
      </c>
      <c r="L29" s="6" t="n">
        <v>1272.2</v>
      </c>
      <c r="M29" s="6" t="n">
        <v>1156.6</v>
      </c>
      <c r="N29" s="6" t="n">
        <v>1226.4</v>
      </c>
      <c r="O29" s="19">
        <f>SUM(C29:N29)</f>
        <v>14545.699999999999</v>
      </c>
      <c r="Q29" s="6" t="n">
        <v>1175.4</v>
      </c>
      <c r="R29" s="6" t="n">
        <v>1113.3</v>
      </c>
      <c r="S29" s="6" t="n">
        <v>1222.6</v>
      </c>
      <c r="T29" s="6" t="n">
        <v>1321.3</v>
      </c>
      <c r="U29" s="6" t="n">
        <v>1190.8</v>
      </c>
      <c r="V29" s="6" t="n">
        <v>1229</v>
      </c>
      <c r="W29" s="6" t="n">
        <v>1239.9</v>
      </c>
      <c r="X29" s="6" t="n">
        <v>1197.8</v>
      </c>
      <c r="Y29" s="6" t="n">
        <v>1200.4</v>
      </c>
      <c r="Z29" s="6" t="n">
        <v>1272.2</v>
      </c>
      <c r="AA29" s="6" t="n">
        <v>1156.6</v>
      </c>
      <c r="AB29" s="6" t="n">
        <v>1226.4</v>
      </c>
      <c r="AC29" s="19">
        <f>SUM(Q29:AB29)</f>
        <v>14545.699999999999</v>
      </c>
      <c r="AE29" s="6">
        <f>Q29-C29</f>
        <v>0.0</v>
      </c>
      <c r="AF29" s="6">
        <f>R29-D29</f>
        <v>0.0</v>
      </c>
      <c r="AG29" s="6">
        <f>S29-E29</f>
        <v>0.0</v>
      </c>
      <c r="AH29" s="6">
        <f>T29-F29</f>
        <v>0.0</v>
      </c>
      <c r="AI29" s="6">
        <f>U29-G29</f>
        <v>0.0</v>
      </c>
      <c r="AJ29" s="6">
        <f>V29-H29</f>
        <v>0.0</v>
      </c>
      <c r="AK29" s="6">
        <f>W29-I29</f>
        <v>0.0</v>
      </c>
      <c r="AL29" s="6">
        <f>X29-J29</f>
        <v>0.0</v>
      </c>
      <c r="AM29" s="6">
        <f>Y29-K29</f>
        <v>0.0</v>
      </c>
      <c r="AN29" s="6">
        <f>Z29-L29</f>
        <v>0.0</v>
      </c>
      <c r="AO29" s="6">
        <f>AA29-M29</f>
        <v>0.0</v>
      </c>
      <c r="AP29" s="6">
        <f>AB29-N29</f>
        <v>0.0</v>
      </c>
      <c r="AQ29" s="19">
        <f>SUM(AE29:AP29)</f>
        <v>0.0</v>
      </c>
      <c r="AS29" s="6">
        <f>'Delta-Adj'!C36+'Delta-Adj'!C77</f>
        <v>0.0</v>
      </c>
      <c r="AT29" s="6">
        <f>'Delta-Adj'!D36+'Delta-Adj'!D77</f>
        <v>0.0</v>
      </c>
      <c r="AU29" s="6">
        <f>'Delta-Adj'!E36+'Delta-Adj'!E77</f>
        <v>0.0</v>
      </c>
      <c r="AV29" s="6">
        <f>'Delta-Adj'!F36+'Delta-Adj'!F77</f>
        <v>0.0</v>
      </c>
      <c r="AW29" s="6">
        <f>'Delta-Adj'!G36+'Delta-Adj'!G77</f>
        <v>0.0</v>
      </c>
      <c r="AX29" s="6">
        <f>'Delta-Adj'!H36+'Delta-Adj'!H77</f>
        <v>0.0</v>
      </c>
      <c r="AY29" s="6">
        <f>'Delta-Adj'!I36+'Delta-Adj'!I77</f>
        <v>0.0</v>
      </c>
      <c r="AZ29" s="6">
        <f>'Delta-Adj'!J36+'Delta-Adj'!J77</f>
        <v>0.0</v>
      </c>
      <c r="BA29" s="6">
        <f>'Delta-Adj'!K36+'Delta-Adj'!K77</f>
        <v>0.0</v>
      </c>
      <c r="BB29" s="6">
        <f>'Delta-Adj'!L36+'Delta-Adj'!L77</f>
        <v>0.0</v>
      </c>
      <c r="BC29" s="6">
        <f>'Delta-Adj'!M36+'Delta-Adj'!M77</f>
        <v>0.0</v>
      </c>
      <c r="BD29" s="6">
        <f>'Delta-Adj'!N36+'Delta-Adj'!N77</f>
        <v>0.0</v>
      </c>
      <c r="BE29" s="19">
        <f>SUM(AS29:BD29)</f>
        <v>0.0</v>
      </c>
      <c r="BG29" s="6">
        <f>C29+AE29+AS29</f>
        <v>1175.4</v>
      </c>
      <c r="BH29" s="6">
        <f>D29+AF29+AT29</f>
        <v>1113.3</v>
      </c>
      <c r="BI29" s="6">
        <f>E29+AG29+AU29</f>
        <v>1222.6</v>
      </c>
      <c r="BJ29" s="6">
        <f>F29+AH29+AV29</f>
        <v>1321.3</v>
      </c>
      <c r="BK29" s="6">
        <f>G29+AI29+AW29</f>
        <v>1190.8</v>
      </c>
      <c r="BL29" s="6">
        <f>H29+AJ29+AX29</f>
        <v>1229.0</v>
      </c>
      <c r="BM29" s="6">
        <f>I29+AK29+AY29</f>
        <v>1239.9</v>
      </c>
      <c r="BN29" s="6">
        <f>J29+AL29+AZ29</f>
        <v>1197.8</v>
      </c>
      <c r="BO29" s="6">
        <f>K29+AM29+BA29</f>
        <v>1200.4</v>
      </c>
      <c r="BP29" s="6">
        <f>L29+AN29+BB29</f>
        <v>1272.2</v>
      </c>
      <c r="BQ29" s="6">
        <f>M29+AO29+BC29</f>
        <v>1156.6</v>
      </c>
      <c r="BR29" s="6">
        <f>N29+AP29+BD29</f>
        <v>1226.4</v>
      </c>
      <c r="BS29" s="19">
        <f>SUM(BG29:BR29)</f>
        <v>14545.699999999999</v>
      </c>
      <c r="BU29" s="6">
        <f>SUM(BG29:BO29)-SUM(C29:K29)</f>
        <v>0.0</v>
      </c>
      <c r="BV29" s="6">
        <f>SUM(BG29:BO29)-SUM(C52:K52)</f>
        <v>-209.70000000000255</v>
      </c>
      <c r="BW29" s="6">
        <f>SUM(BG29:BO29)-SUM(C65:K65)</f>
        <v>72.19999999999891</v>
      </c>
      <c r="BY29" s="6">
        <f>SUM(BP29:BR29)-SUM(L29:N29)</f>
        <v>0.0</v>
      </c>
      <c r="BZ29" s="6">
        <f>SUM(BP29:BR29)-SUM(L52:N52)</f>
        <v>-94.69999999999982</v>
      </c>
      <c r="CA29" s="6">
        <f>SUM(BP29:BR29)-SUM(L65:N65)</f>
        <v>-5.199999999999818</v>
      </c>
      <c r="CC29" s="6">
        <f>BS29-O29</f>
        <v>0.0</v>
      </c>
      <c r="CD29" s="6">
        <f>BS29-O52</f>
        <v>-304.4000000000033</v>
      </c>
      <c r="CE29" s="6">
        <f>BS29-O65</f>
        <v>66.99999999999818</v>
      </c>
    </row>
    <row r="30">
      <c r="B30" s="5" t="inlineStr">
        <is>
          <t>Op Costs</t>
        </is>
      </c>
      <c r="C30" s="6" t="n">
        <v>-799.7</v>
      </c>
      <c r="D30" s="6" t="n">
        <v>-784.8</v>
      </c>
      <c r="E30" s="6" t="n">
        <v>-843.5</v>
      </c>
      <c r="F30" s="6" t="n">
        <v>-917.8</v>
      </c>
      <c r="G30" s="6" t="n">
        <v>-823.2</v>
      </c>
      <c r="H30" s="6" t="n">
        <v>-870.9</v>
      </c>
      <c r="I30" s="6" t="n">
        <v>-852.6</v>
      </c>
      <c r="J30" s="6" t="n">
        <v>-840.8</v>
      </c>
      <c r="K30" s="6" t="n">
        <v>-824.9</v>
      </c>
      <c r="L30" s="6" t="n">
        <v>-886.3</v>
      </c>
      <c r="M30" s="6" t="n">
        <v>-796.9</v>
      </c>
      <c r="N30" s="6" t="n">
        <v>-863.2</v>
      </c>
      <c r="O30" s="19">
        <f>SUM(C30:N30)</f>
        <v>-10104.6</v>
      </c>
      <c r="Q30" s="6" t="n">
        <v>-799.7</v>
      </c>
      <c r="R30" s="6" t="n">
        <v>-784.8</v>
      </c>
      <c r="S30" s="6" t="n">
        <v>-843.5</v>
      </c>
      <c r="T30" s="6" t="n">
        <v>-917.8</v>
      </c>
      <c r="U30" s="6" t="n">
        <v>-823.2</v>
      </c>
      <c r="V30" s="6" t="n">
        <v>-870.9</v>
      </c>
      <c r="W30" s="6" t="n">
        <v>-852.6</v>
      </c>
      <c r="X30" s="6" t="n">
        <v>-840.8</v>
      </c>
      <c r="Y30" s="6" t="n">
        <v>-824.9</v>
      </c>
      <c r="Z30" s="6" t="n">
        <v>-886.3</v>
      </c>
      <c r="AA30" s="6" t="n">
        <v>-796.9</v>
      </c>
      <c r="AB30" s="6" t="n">
        <v>-863.2</v>
      </c>
      <c r="AC30" s="19">
        <f>SUM(Q30:AB30)</f>
        <v>-10104.6</v>
      </c>
      <c r="AE30" s="6">
        <f>Q30-C30</f>
        <v>0.0</v>
      </c>
      <c r="AF30" s="6">
        <f>R30-D30</f>
        <v>0.0</v>
      </c>
      <c r="AG30" s="6">
        <f>S30-E30</f>
        <v>0.0</v>
      </c>
      <c r="AH30" s="6">
        <f>T30-F30</f>
        <v>0.0</v>
      </c>
      <c r="AI30" s="6">
        <f>U30-G30</f>
        <v>0.0</v>
      </c>
      <c r="AJ30" s="6">
        <f>V30-H30</f>
        <v>0.0</v>
      </c>
      <c r="AK30" s="6">
        <f>W30-I30</f>
        <v>0.0</v>
      </c>
      <c r="AL30" s="6">
        <f>X30-J30</f>
        <v>0.0</v>
      </c>
      <c r="AM30" s="6">
        <f>Y30-K30</f>
        <v>0.0</v>
      </c>
      <c r="AN30" s="6">
        <f>Z30-L30</f>
        <v>0.0</v>
      </c>
      <c r="AO30" s="6">
        <f>AA30-M30</f>
        <v>0.0</v>
      </c>
      <c r="AP30" s="6">
        <f>AB30-N30</f>
        <v>0.0</v>
      </c>
      <c r="AQ30" s="19">
        <f>SUM(AE30:AP30)</f>
        <v>0.0</v>
      </c>
      <c r="AS30" s="6">
        <f>-'Delta-Adj'!C58-'Delta-Adj'!C84</f>
        <v>0.0</v>
      </c>
      <c r="AT30" s="6">
        <f>-'Delta-Adj'!D58-'Delta-Adj'!D84</f>
        <v>0.0</v>
      </c>
      <c r="AU30" s="6">
        <f>-'Delta-Adj'!E58-'Delta-Adj'!E84</f>
        <v>0.0</v>
      </c>
      <c r="AV30" s="6">
        <f>-'Delta-Adj'!F58-'Delta-Adj'!F84</f>
        <v>0.0</v>
      </c>
      <c r="AW30" s="6">
        <f>-'Delta-Adj'!G58-'Delta-Adj'!G84</f>
        <v>0.0</v>
      </c>
      <c r="AX30" s="6">
        <f>-'Delta-Adj'!H58-'Delta-Adj'!H84</f>
        <v>0.0</v>
      </c>
      <c r="AY30" s="6">
        <f>-'Delta-Adj'!I58-'Delta-Adj'!I84</f>
        <v>0.0</v>
      </c>
      <c r="AZ30" s="6">
        <f>-'Delta-Adj'!J58-'Delta-Adj'!J84</f>
        <v>0.0</v>
      </c>
      <c r="BA30" s="6">
        <f>-'Delta-Adj'!K58-'Delta-Adj'!K84</f>
        <v>0.0</v>
      </c>
      <c r="BB30" s="6">
        <f>-'Delta-Adj'!L58-'Delta-Adj'!L84</f>
        <v>0.0</v>
      </c>
      <c r="BC30" s="6">
        <f>-'Delta-Adj'!M58-'Delta-Adj'!M84</f>
        <v>0.0</v>
      </c>
      <c r="BD30" s="6">
        <f>-'Delta-Adj'!N58-'Delta-Adj'!N84</f>
        <v>0.0</v>
      </c>
      <c r="BE30" s="19">
        <f>SUM(AS30:BD30)</f>
        <v>0.0</v>
      </c>
      <c r="BG30" s="6">
        <f>C30+AE30+AS30</f>
        <v>-799.7</v>
      </c>
      <c r="BH30" s="6">
        <f>D30+AF30+AT30</f>
        <v>-784.8</v>
      </c>
      <c r="BI30" s="6">
        <f>E30+AG30+AU30</f>
        <v>-843.5</v>
      </c>
      <c r="BJ30" s="6">
        <f>F30+AH30+AV30</f>
        <v>-917.8</v>
      </c>
      <c r="BK30" s="6">
        <f>G30+AI30+AW30</f>
        <v>-823.2</v>
      </c>
      <c r="BL30" s="6">
        <f>H30+AJ30+AX30</f>
        <v>-870.9</v>
      </c>
      <c r="BM30" s="6">
        <f>I30+AK30+AY30</f>
        <v>-852.6</v>
      </c>
      <c r="BN30" s="6">
        <f>J30+AL30+AZ30</f>
        <v>-840.8</v>
      </c>
      <c r="BO30" s="6">
        <f>K30+AM30+BA30</f>
        <v>-824.9</v>
      </c>
      <c r="BP30" s="6">
        <f>L30+AN30+BB30</f>
        <v>-886.3</v>
      </c>
      <c r="BQ30" s="6">
        <f>M30+AO30+BC30</f>
        <v>-796.9</v>
      </c>
      <c r="BR30" s="6">
        <f>N30+AP30+BD30</f>
        <v>-863.2</v>
      </c>
      <c r="BS30" s="19">
        <f>SUM(BG30:BR30)</f>
        <v>-10104.6</v>
      </c>
      <c r="BU30" s="6">
        <f>SUM(BG30:BO30)-SUM(C30:K30)</f>
        <v>0.0</v>
      </c>
      <c r="BV30" s="6">
        <f>SUM(BG30:BO30)-SUM(C53:K53)</f>
        <v>78.5</v>
      </c>
      <c r="BW30" s="6">
        <f>SUM(BG30:BO30)-SUM(C66:K66)</f>
        <v>-53.79999999999927</v>
      </c>
      <c r="BY30" s="6">
        <f>SUM(BP30:BR30)-SUM(L30:N30)</f>
        <v>0.0</v>
      </c>
      <c r="BZ30" s="6">
        <f>SUM(BP30:BR30)-SUM(L53:N53)</f>
        <v>33.100000000000364</v>
      </c>
      <c r="CA30" s="6">
        <f>SUM(BP30:BR30)-SUM(L66:N66)</f>
        <v>-9.799999999999272</v>
      </c>
      <c r="CC30" s="6">
        <f>BS30-O30</f>
        <v>0.0</v>
      </c>
      <c r="CD30" s="6">
        <f>BS30-O53</f>
        <v>111.60000000000036</v>
      </c>
      <c r="CE30" s="6">
        <f>BS30-O66</f>
        <v>-63.599999999998545</v>
      </c>
    </row>
    <row r="31">
      <c r="B31" s="2" t="inlineStr">
        <is>
          <t>PBITA</t>
        </is>
      </c>
      <c r="C31" s="6">
        <f>C29+C30</f>
        <v>375.70000000000005</v>
      </c>
      <c r="D31" s="6">
        <f>D29+D30</f>
        <v>328.5</v>
      </c>
      <c r="E31" s="6">
        <f>E29+E30</f>
        <v>379.0999999999999</v>
      </c>
      <c r="F31" s="6">
        <f>F29+F30</f>
        <v>403.5</v>
      </c>
      <c r="G31" s="6">
        <f>G29+G30</f>
        <v>367.5999999999999</v>
      </c>
      <c r="H31" s="6">
        <f>H29+H30</f>
        <v>358.1</v>
      </c>
      <c r="I31" s="6">
        <f>I29+I30</f>
        <v>387.30000000000007</v>
      </c>
      <c r="J31" s="6">
        <f>J29+J30</f>
        <v>357.0</v>
      </c>
      <c r="K31" s="6">
        <f>K29+K30</f>
        <v>375.5000000000001</v>
      </c>
      <c r="L31" s="6">
        <f>L29+L30</f>
        <v>385.9000000000001</v>
      </c>
      <c r="M31" s="6">
        <f>M29+M30</f>
        <v>359.69999999999993</v>
      </c>
      <c r="N31" s="6">
        <f>N29+N30</f>
        <v>363.20000000000005</v>
      </c>
      <c r="O31" s="19">
        <f>SUM(C31:N31)</f>
        <v>4441.1</v>
      </c>
      <c r="Q31" s="6">
        <f>Q29+Q30</f>
        <v>375.70000000000005</v>
      </c>
      <c r="R31" s="6">
        <f>R29+R30</f>
        <v>328.5</v>
      </c>
      <c r="S31" s="6">
        <f>S29+S30</f>
        <v>379.0999999999999</v>
      </c>
      <c r="T31" s="6">
        <f>T29+T30</f>
        <v>403.5</v>
      </c>
      <c r="U31" s="6">
        <f>U29+U30</f>
        <v>367.5999999999999</v>
      </c>
      <c r="V31" s="6">
        <f>V29+V30</f>
        <v>358.1</v>
      </c>
      <c r="W31" s="6">
        <f>W29+W30</f>
        <v>387.30000000000007</v>
      </c>
      <c r="X31" s="6">
        <f>X29+X30</f>
        <v>357.0</v>
      </c>
      <c r="Y31" s="6">
        <f>Y29+Y30</f>
        <v>375.5000000000001</v>
      </c>
      <c r="Z31" s="6">
        <f>Z29+Z30</f>
        <v>385.9000000000001</v>
      </c>
      <c r="AA31" s="6">
        <f>AA29+AA30</f>
        <v>359.69999999999993</v>
      </c>
      <c r="AB31" s="6">
        <f>AB29+AB30</f>
        <v>363.20000000000005</v>
      </c>
      <c r="AC31" s="19">
        <f>SUM(Q31:AB31)</f>
        <v>4441.1</v>
      </c>
      <c r="AE31" s="6">
        <f>AE29+AE30</f>
        <v>0.0</v>
      </c>
      <c r="AF31" s="6">
        <f>AF29+AF30</f>
        <v>0.0</v>
      </c>
      <c r="AG31" s="6">
        <f>AG29+AG30</f>
        <v>0.0</v>
      </c>
      <c r="AH31" s="6">
        <f>AH29+AH30</f>
        <v>0.0</v>
      </c>
      <c r="AI31" s="6">
        <f>AI29+AI30</f>
        <v>0.0</v>
      </c>
      <c r="AJ31" s="6">
        <f>AJ29+AJ30</f>
        <v>0.0</v>
      </c>
      <c r="AK31" s="6">
        <f>AK29+AK30</f>
        <v>0.0</v>
      </c>
      <c r="AL31" s="6">
        <f>AL29+AL30</f>
        <v>0.0</v>
      </c>
      <c r="AM31" s="6">
        <f>AM29+AM30</f>
        <v>0.0</v>
      </c>
      <c r="AN31" s="6">
        <f>AN29+AN30</f>
        <v>0.0</v>
      </c>
      <c r="AO31" s="6">
        <f>AO29+AO30</f>
        <v>0.0</v>
      </c>
      <c r="AP31" s="6">
        <f>AP29+AP30</f>
        <v>0.0</v>
      </c>
      <c r="AQ31" s="19">
        <f>SUM(AE31:AP31)</f>
        <v>0.0</v>
      </c>
      <c r="AS31" s="6">
        <f>AS29+AS30</f>
        <v>0.0</v>
      </c>
      <c r="AT31" s="6">
        <f>AT29+AT30</f>
        <v>0.0</v>
      </c>
      <c r="AU31" s="6">
        <f>AU29+AU30</f>
        <v>0.0</v>
      </c>
      <c r="AV31" s="6">
        <f>AV29+AV30</f>
        <v>0.0</v>
      </c>
      <c r="AW31" s="6">
        <f>AW29+AW30</f>
        <v>0.0</v>
      </c>
      <c r="AX31" s="6">
        <f>AX29+AX30</f>
        <v>0.0</v>
      </c>
      <c r="AY31" s="6">
        <f>AY29+AY30</f>
        <v>0.0</v>
      </c>
      <c r="AZ31" s="6">
        <f>AZ29+AZ30</f>
        <v>0.0</v>
      </c>
      <c r="BA31" s="6">
        <f>BA29+BA30</f>
        <v>0.0</v>
      </c>
      <c r="BB31" s="6">
        <f>BB29+BB30</f>
        <v>0.0</v>
      </c>
      <c r="BC31" s="6">
        <f>BC29+BC30</f>
        <v>0.0</v>
      </c>
      <c r="BD31" s="6">
        <f>BD29+BD30</f>
        <v>0.0</v>
      </c>
      <c r="BE31" s="19">
        <f>SUM(AS31:BD31)</f>
        <v>0.0</v>
      </c>
      <c r="BG31" s="6">
        <f>BG29+BG30</f>
        <v>375.70000000000005</v>
      </c>
      <c r="BH31" s="6">
        <f>BH29+BH30</f>
        <v>328.5</v>
      </c>
      <c r="BI31" s="6">
        <f>BI29+BI30</f>
        <v>379.0999999999999</v>
      </c>
      <c r="BJ31" s="6">
        <f>BJ29+BJ30</f>
        <v>403.5</v>
      </c>
      <c r="BK31" s="6">
        <f>BK29+BK30</f>
        <v>367.5999999999999</v>
      </c>
      <c r="BL31" s="6">
        <f>BL29+BL30</f>
        <v>358.1</v>
      </c>
      <c r="BM31" s="6">
        <f>BM29+BM30</f>
        <v>387.30000000000007</v>
      </c>
      <c r="BN31" s="6">
        <f>BN29+BN30</f>
        <v>357.0</v>
      </c>
      <c r="BO31" s="6">
        <f>BO29+BO30</f>
        <v>375.5000000000001</v>
      </c>
      <c r="BP31" s="6">
        <f>BP29+BP30</f>
        <v>385.9000000000001</v>
      </c>
      <c r="BQ31" s="6">
        <f>BQ29+BQ30</f>
        <v>359.69999999999993</v>
      </c>
      <c r="BR31" s="6">
        <f>BR29+BR30</f>
        <v>363.20000000000005</v>
      </c>
      <c r="BS31" s="19">
        <f>SUM(BG31:BR31)</f>
        <v>4441.1</v>
      </c>
      <c r="BU31" s="6">
        <f>SUM(BG31:BO31)-SUM(C31:K31)</f>
        <v>0.0</v>
      </c>
      <c r="BV31" s="6">
        <f>SUM(BG31:BO31)-SUM(C54:K54)</f>
        <v>-131.19999999999936</v>
      </c>
      <c r="BW31" s="6">
        <f>SUM(BG31:BO31)-SUM(C67:K67)</f>
        <v>18.399999999999636</v>
      </c>
      <c r="BY31" s="6">
        <f>SUM(BP31:BR31)-SUM(L31:N31)</f>
        <v>0.0</v>
      </c>
      <c r="BZ31" s="6">
        <f>SUM(BP31:BR31)-SUM(L54:N54)</f>
        <v>-61.59999999999968</v>
      </c>
      <c r="CA31" s="6">
        <f>SUM(BP31:BR31)-SUM(L67:N67)</f>
        <v>-15.0</v>
      </c>
      <c r="CC31" s="6">
        <f>BS31-O31</f>
        <v>0.0</v>
      </c>
      <c r="CD31" s="6">
        <f>BS31-O54</f>
        <v>-192.79999999999927</v>
      </c>
      <c r="CE31" s="6">
        <f>BS31-O67</f>
        <v>3.399999999999636</v>
      </c>
    </row>
    <row r="35">
      <c r="B35" s="5" t="inlineStr">
        <is>
          <t>GM %</t>
        </is>
      </c>
      <c r="C35" s="12">
        <f>IFERROR(C29/C28,0)</f>
        <v>0.3327294344109155</v>
      </c>
      <c r="D35" s="12">
        <f>IFERROR(D29/D28,0)</f>
        <v>0.3273160262252668</v>
      </c>
      <c r="E35" s="12">
        <f>IFERROR(E29/E28,0)</f>
        <v>0.33109462167578396</v>
      </c>
      <c r="F35" s="12">
        <f>IFERROR(F29/F28,0)</f>
        <v>0.3302259322203339</v>
      </c>
      <c r="G35" s="12">
        <f>IFERROR(G29/G28,0)</f>
        <v>0.3312470444240452</v>
      </c>
      <c r="H35" s="12">
        <f>IFERROR(H29/H28,0)</f>
        <v>0.32815336964648084</v>
      </c>
      <c r="I35" s="12">
        <f>IFERROR(I29/I28,0)</f>
        <v>0.33140001069118513</v>
      </c>
      <c r="J35" s="12">
        <f>IFERROR(J29/J28,0)</f>
        <v>0.32876787527790735</v>
      </c>
      <c r="K35" s="12">
        <f>IFERROR(K29/K28,0)</f>
        <v>0.3315289438798056</v>
      </c>
      <c r="L35" s="12">
        <f>IFERROR(L29/L28,0)</f>
        <v>0.3307508319467554</v>
      </c>
      <c r="M35" s="12">
        <f>IFERROR(M29/M28,0)</f>
        <v>0.32990102398813426</v>
      </c>
      <c r="N35" s="12">
        <f>IFERROR(N29/N28,0)</f>
        <v>0.32707488798805207</v>
      </c>
      <c r="O35" s="12">
        <f>IFERROR(O29/O28,0)</f>
        <v>0.330020056630486</v>
      </c>
      <c r="Q35" s="12">
        <f>IFERROR(Q29/Q28,0)</f>
        <v>0.3327294344109155</v>
      </c>
      <c r="R35" s="12">
        <f>IFERROR(R29/R28,0)</f>
        <v>0.3273160262252668</v>
      </c>
      <c r="S35" s="12">
        <f>IFERROR(S29/S28,0)</f>
        <v>0.33109462167578396</v>
      </c>
      <c r="T35" s="12">
        <f>IFERROR(T29/T28,0)</f>
        <v>0.3302259322203339</v>
      </c>
      <c r="U35" s="12">
        <f>IFERROR(U29/U28,0)</f>
        <v>0.3312470444240452</v>
      </c>
      <c r="V35" s="12">
        <f>IFERROR(V29/V28,0)</f>
        <v>0.32815336964648084</v>
      </c>
      <c r="W35" s="12">
        <f>IFERROR(W29/W28,0)</f>
        <v>0.33140001069118513</v>
      </c>
      <c r="X35" s="12">
        <f>IFERROR(X29/X28,0)</f>
        <v>0.32876787527790735</v>
      </c>
      <c r="Y35" s="12">
        <f>IFERROR(Y29/Y28,0)</f>
        <v>0.3315289438798056</v>
      </c>
      <c r="Z35" s="12">
        <f>IFERROR(Z29/Z28,0)</f>
        <v>0.3307508319467554</v>
      </c>
      <c r="AA35" s="12">
        <f>IFERROR(AA29/AA28,0)</f>
        <v>0.32990102398813426</v>
      </c>
      <c r="AB35" s="12">
        <f>IFERROR(AB29/AB28,0)</f>
        <v>0.32707488798805207</v>
      </c>
      <c r="AC35" s="12">
        <f>IFERROR(AC29/AC28,0)</f>
        <v>0.330020056630486</v>
      </c>
      <c r="AE35" s="12">
        <f>IFERROR(AE29/AE28,0)</f>
        <v>0.0</v>
      </c>
      <c r="AF35" s="12">
        <f>IFERROR(AF29/AF28,0)</f>
        <v>0.0</v>
      </c>
      <c r="AG35" s="12">
        <f>IFERROR(AG29/AG28,0)</f>
        <v>0.0</v>
      </c>
      <c r="AH35" s="12">
        <f>IFERROR(AH29/AH28,0)</f>
        <v>0.0</v>
      </c>
      <c r="AI35" s="12">
        <f>IFERROR(AI29/AI28,0)</f>
        <v>0.0</v>
      </c>
      <c r="AJ35" s="12">
        <f>IFERROR(AJ29/AJ28,0)</f>
        <v>0.0</v>
      </c>
      <c r="AK35" s="12">
        <f>IFERROR(AK29/AK28,0)</f>
        <v>0.0</v>
      </c>
      <c r="AL35" s="12">
        <f>IFERROR(AL29/AL28,0)</f>
        <v>0.0</v>
      </c>
      <c r="AM35" s="12">
        <f>IFERROR(AM29/AM28,0)</f>
        <v>0.0</v>
      </c>
      <c r="AN35" s="12">
        <f>IFERROR(AN29/AN28,0)</f>
        <v>0.0</v>
      </c>
      <c r="AO35" s="12">
        <f>IFERROR(AO29/AO28,0)</f>
        <v>0.0</v>
      </c>
      <c r="AP35" s="12">
        <f>IFERROR(AP29/AP28,0)</f>
        <v>0.0</v>
      </c>
      <c r="AQ35" s="12">
        <f>IFERROR(AQ29/AQ28,0)</f>
        <v>0.0</v>
      </c>
      <c r="AS35" s="12">
        <f>IFERROR(AS29/AS28,0)</f>
        <v>0.0</v>
      </c>
      <c r="AT35" s="12">
        <f>IFERROR(AT29/AT28,0)</f>
        <v>0.0</v>
      </c>
      <c r="AU35" s="12">
        <f>IFERROR(AU29/AU28,0)</f>
        <v>0.0</v>
      </c>
      <c r="AV35" s="12">
        <f>IFERROR(AV29/AV28,0)</f>
        <v>0.0</v>
      </c>
      <c r="AW35" s="12">
        <f>IFERROR(AW29/AW28,0)</f>
        <v>0.0</v>
      </c>
      <c r="AX35" s="12">
        <f>IFERROR(AX29/AX28,0)</f>
        <v>0.0</v>
      </c>
      <c r="AY35" s="12">
        <f>IFERROR(AY29/AY28,0)</f>
        <v>0.0</v>
      </c>
      <c r="AZ35" s="12">
        <f>IFERROR(AZ29/AZ28,0)</f>
        <v>0.0</v>
      </c>
      <c r="BA35" s="12">
        <f>IFERROR(BA29/BA28,0)</f>
        <v>0.0</v>
      </c>
      <c r="BB35" s="12">
        <f>IFERROR(BB29/BB28,0)</f>
        <v>0.0</v>
      </c>
      <c r="BC35" s="12">
        <f>IFERROR(BC29/BC28,0)</f>
        <v>0.0</v>
      </c>
      <c r="BD35" s="12">
        <f>IFERROR(BD29/BD28,0)</f>
        <v>0.0</v>
      </c>
      <c r="BE35" s="12">
        <f>IFERROR(BE29/BE28,0)</f>
        <v>0.0</v>
      </c>
      <c r="BG35" s="12">
        <f>IFERROR(BG29/BG28,0)</f>
        <v>0.3327294344109155</v>
      </c>
      <c r="BH35" s="12">
        <f>IFERROR(BH29/BH28,0)</f>
        <v>0.3273160262252668</v>
      </c>
      <c r="BI35" s="12">
        <f>IFERROR(BI29/BI28,0)</f>
        <v>0.33109462167578396</v>
      </c>
      <c r="BJ35" s="12">
        <f>IFERROR(BJ29/BJ28,0)</f>
        <v>0.3302259322203339</v>
      </c>
      <c r="BK35" s="12">
        <f>IFERROR(BK29/BK28,0)</f>
        <v>0.3312470444240452</v>
      </c>
      <c r="BL35" s="12">
        <f>IFERROR(BL29/BL28,0)</f>
        <v>0.32815336964648084</v>
      </c>
      <c r="BM35" s="12">
        <f>IFERROR(BM29/BM28,0)</f>
        <v>0.33140001069118513</v>
      </c>
      <c r="BN35" s="12">
        <f>IFERROR(BN29/BN28,0)</f>
        <v>0.32876787527790735</v>
      </c>
      <c r="BO35" s="12">
        <f>IFERROR(BO29/BO28,0)</f>
        <v>0.3315289438798056</v>
      </c>
      <c r="BP35" s="12">
        <f>IFERROR(BP29/BP28,0)</f>
        <v>0.3307508319467554</v>
      </c>
      <c r="BQ35" s="12">
        <f>IFERROR(BQ29/BQ28,0)</f>
        <v>0.32990102398813426</v>
      </c>
      <c r="BR35" s="12">
        <f>IFERROR(BR29/BR28,0)</f>
        <v>0.32707488798805207</v>
      </c>
      <c r="BS35" s="12">
        <f>IFERROR(BS29/BS28,0)</f>
        <v>0.330020056630486</v>
      </c>
    </row>
    <row r="36">
      <c r="B36" s="5" t="inlineStr">
        <is>
          <t>Op Cost %</t>
        </is>
      </c>
      <c r="C36" s="12">
        <f>IFERROR(C30/C28,0)</f>
        <v>-0.22637717262073262</v>
      </c>
      <c r="D36" s="12">
        <f>IFERROR(D30/D28,0)</f>
        <v>-0.23073530708846615</v>
      </c>
      <c r="E36" s="12">
        <f>IFERROR(E30/E28,0)</f>
        <v>-0.22842983263824948</v>
      </c>
      <c r="F36" s="12">
        <f>IFERROR(F30/F28,0)</f>
        <v>-0.2293811856443067</v>
      </c>
      <c r="G36" s="12">
        <f>IFERROR(G30/G28,0)</f>
        <v>-0.22899107068346825</v>
      </c>
      <c r="H36" s="12">
        <f>IFERROR(H30/H28,0)</f>
        <v>-0.2325376481896828</v>
      </c>
      <c r="I36" s="12">
        <f>IFERROR(I30/I28,0)</f>
        <v>-0.2278826107874058</v>
      </c>
      <c r="J36" s="12">
        <f>IFERROR(J30/J28,0)</f>
        <v>-0.23077978755523837</v>
      </c>
      <c r="K36" s="12">
        <f>IFERROR(K30/K28,0)</f>
        <v>-0.22782258064516128</v>
      </c>
      <c r="L36" s="12">
        <f>IFERROR(L30/L28,0)</f>
        <v>-0.23042325291181362</v>
      </c>
      <c r="M36" s="12">
        <f>IFERROR(M30/M28,0)</f>
        <v>-0.22730254713482984</v>
      </c>
      <c r="N36" s="12">
        <f>IFERROR(N30/N28,0)</f>
        <v>-0.23021122253040327</v>
      </c>
      <c r="O36" s="12">
        <f>IFERROR(O30/O28,0)</f>
        <v>-0.22925817693396738</v>
      </c>
      <c r="Q36" s="12">
        <f>IFERROR(Q30/Q28,0)</f>
        <v>-0.22637717262073262</v>
      </c>
      <c r="R36" s="12">
        <f>IFERROR(R30/R28,0)</f>
        <v>-0.23073530708846615</v>
      </c>
      <c r="S36" s="12">
        <f>IFERROR(S30/S28,0)</f>
        <v>-0.22842983263824948</v>
      </c>
      <c r="T36" s="12">
        <f>IFERROR(T30/T28,0)</f>
        <v>-0.2293811856443067</v>
      </c>
      <c r="U36" s="12">
        <f>IFERROR(U30/U28,0)</f>
        <v>-0.22899107068346825</v>
      </c>
      <c r="V36" s="12">
        <f>IFERROR(V30/V28,0)</f>
        <v>-0.2325376481896828</v>
      </c>
      <c r="W36" s="12">
        <f>IFERROR(W30/W28,0)</f>
        <v>-0.2278826107874058</v>
      </c>
      <c r="X36" s="12">
        <f>IFERROR(X30/X28,0)</f>
        <v>-0.23077978755523837</v>
      </c>
      <c r="Y36" s="12">
        <f>IFERROR(Y30/Y28,0)</f>
        <v>-0.22782258064516128</v>
      </c>
      <c r="Z36" s="12">
        <f>IFERROR(Z30/Z28,0)</f>
        <v>-0.23042325291181362</v>
      </c>
      <c r="AA36" s="12">
        <f>IFERROR(AA30/AA28,0)</f>
        <v>-0.22730254713482984</v>
      </c>
      <c r="AB36" s="12">
        <f>IFERROR(AB30/AB28,0)</f>
        <v>-0.23021122253040327</v>
      </c>
      <c r="AC36" s="12">
        <f>IFERROR(AC30/AC28,0)</f>
        <v>-0.22925817693396738</v>
      </c>
      <c r="AE36" s="12">
        <f>IFERROR(AE30/AE28,0)</f>
        <v>0.0</v>
      </c>
      <c r="AF36" s="12">
        <f>IFERROR(AF30/AF28,0)</f>
        <v>0.0</v>
      </c>
      <c r="AG36" s="12">
        <f>IFERROR(AG30/AG28,0)</f>
        <v>0.0</v>
      </c>
      <c r="AH36" s="12">
        <f>IFERROR(AH30/AH28,0)</f>
        <v>0.0</v>
      </c>
      <c r="AI36" s="12">
        <f>IFERROR(AI30/AI28,0)</f>
        <v>0.0</v>
      </c>
      <c r="AJ36" s="12">
        <f>IFERROR(AJ30/AJ28,0)</f>
        <v>0.0</v>
      </c>
      <c r="AK36" s="12">
        <f>IFERROR(AK30/AK28,0)</f>
        <v>0.0</v>
      </c>
      <c r="AL36" s="12">
        <f>IFERROR(AL30/AL28,0)</f>
        <v>0.0</v>
      </c>
      <c r="AM36" s="12">
        <f>IFERROR(AM30/AM28,0)</f>
        <v>0.0</v>
      </c>
      <c r="AN36" s="12">
        <f>IFERROR(AN30/AN28,0)</f>
        <v>0.0</v>
      </c>
      <c r="AO36" s="12">
        <f>IFERROR(AO30/AO28,0)</f>
        <v>0.0</v>
      </c>
      <c r="AP36" s="12">
        <f>IFERROR(AP30/AP28,0)</f>
        <v>0.0</v>
      </c>
      <c r="AQ36" s="12">
        <f>IFERROR(AQ30/AQ28,0)</f>
        <v>0.0</v>
      </c>
      <c r="AS36" s="12">
        <f>IFERROR(AS30/AS28,0)</f>
        <v>0.0</v>
      </c>
      <c r="AT36" s="12">
        <f>IFERROR(AT30/AT28,0)</f>
        <v>0.0</v>
      </c>
      <c r="AU36" s="12">
        <f>IFERROR(AU30/AU28,0)</f>
        <v>0.0</v>
      </c>
      <c r="AV36" s="12">
        <f>IFERROR(AV30/AV28,0)</f>
        <v>0.0</v>
      </c>
      <c r="AW36" s="12">
        <f>IFERROR(AW30/AW28,0)</f>
        <v>0.0</v>
      </c>
      <c r="AX36" s="12">
        <f>IFERROR(AX30/AX28,0)</f>
        <v>0.0</v>
      </c>
      <c r="AY36" s="12">
        <f>IFERROR(AY30/AY28,0)</f>
        <v>0.0</v>
      </c>
      <c r="AZ36" s="12">
        <f>IFERROR(AZ30/AZ28,0)</f>
        <v>0.0</v>
      </c>
      <c r="BA36" s="12">
        <f>IFERROR(BA30/BA28,0)</f>
        <v>0.0</v>
      </c>
      <c r="BB36" s="12">
        <f>IFERROR(BB30/BB28,0)</f>
        <v>0.0</v>
      </c>
      <c r="BC36" s="12">
        <f>IFERROR(BC30/BC28,0)</f>
        <v>0.0</v>
      </c>
      <c r="BD36" s="12">
        <f>IFERROR(BD30/BD28,0)</f>
        <v>0.0</v>
      </c>
      <c r="BE36" s="12">
        <f>IFERROR(BE30/BE28,0)</f>
        <v>0.0</v>
      </c>
      <c r="BG36" s="12">
        <f>IFERROR(BG30/BG28,0)</f>
        <v>-0.22637717262073262</v>
      </c>
      <c r="BH36" s="12">
        <f>IFERROR(BH30/BH28,0)</f>
        <v>-0.23073530708846615</v>
      </c>
      <c r="BI36" s="12">
        <f>IFERROR(BI30/BI28,0)</f>
        <v>-0.22842983263824948</v>
      </c>
      <c r="BJ36" s="12">
        <f>IFERROR(BJ30/BJ28,0)</f>
        <v>-0.2293811856443067</v>
      </c>
      <c r="BK36" s="12">
        <f>IFERROR(BK30/BK28,0)</f>
        <v>-0.22899107068346825</v>
      </c>
      <c r="BL36" s="12">
        <f>IFERROR(BL30/BL28,0)</f>
        <v>-0.2325376481896828</v>
      </c>
      <c r="BM36" s="12">
        <f>IFERROR(BM30/BM28,0)</f>
        <v>-0.2278826107874058</v>
      </c>
      <c r="BN36" s="12">
        <f>IFERROR(BN30/BN28,0)</f>
        <v>-0.23077978755523837</v>
      </c>
      <c r="BO36" s="12">
        <f>IFERROR(BO30/BO28,0)</f>
        <v>-0.22782258064516128</v>
      </c>
      <c r="BP36" s="12">
        <f>IFERROR(BP30/BP28,0)</f>
        <v>-0.23042325291181362</v>
      </c>
      <c r="BQ36" s="12">
        <f>IFERROR(BQ30/BQ28,0)</f>
        <v>-0.22730254713482984</v>
      </c>
      <c r="BR36" s="12">
        <f>IFERROR(BR30/BR28,0)</f>
        <v>-0.23021122253040327</v>
      </c>
      <c r="BS36" s="12">
        <f>IFERROR(BS30/BS28,0)</f>
        <v>-0.22925817693396738</v>
      </c>
    </row>
    <row r="37">
      <c r="B37" s="5" t="inlineStr">
        <is>
          <t>PBITA %</t>
        </is>
      </c>
      <c r="C37" s="12">
        <f>IFERROR(C31/C28,0)</f>
        <v>0.10635226179018288</v>
      </c>
      <c r="D37" s="12">
        <f>IFERROR(D31/D28,0)</f>
        <v>0.09658071913680064</v>
      </c>
      <c r="E37" s="12">
        <f>IFERROR(E31/E28,0)</f>
        <v>0.10266478903753451</v>
      </c>
      <c r="F37" s="12">
        <f>IFERROR(F31/F28,0)</f>
        <v>0.1008447465760272</v>
      </c>
      <c r="G37" s="12">
        <f>IFERROR(G31/G28,0)</f>
        <v>0.1022559737405769</v>
      </c>
      <c r="H37" s="12">
        <f>IFERROR(H31/H28,0)</f>
        <v>0.09561572145679804</v>
      </c>
      <c r="I37" s="12">
        <f>IFERROR(I31/I28,0)</f>
        <v>0.10351739990377935</v>
      </c>
      <c r="J37" s="12">
        <f>IFERROR(J31/J28,0)</f>
        <v>0.09798808772266901</v>
      </c>
      <c r="K37" s="12">
        <f>IFERROR(K31/K28,0)</f>
        <v>0.1037063632346443</v>
      </c>
      <c r="L37" s="12">
        <f>IFERROR(L31/L28,0)</f>
        <v>0.10032757903494179</v>
      </c>
      <c r="M37" s="12">
        <f>IFERROR(M31/M28,0)</f>
        <v>0.10259847685330441</v>
      </c>
      <c r="N37" s="12">
        <f>IFERROR(N31/N28,0)</f>
        <v>0.09686366545764884</v>
      </c>
      <c r="O37" s="12">
        <f>IFERROR(O31/O28,0)</f>
        <v>0.10076187969651867</v>
      </c>
      <c r="Q37" s="12">
        <f>IFERROR(Q31/Q28,0)</f>
        <v>0.10635226179018288</v>
      </c>
      <c r="R37" s="12">
        <f>IFERROR(R31/R28,0)</f>
        <v>0.09658071913680064</v>
      </c>
      <c r="S37" s="12">
        <f>IFERROR(S31/S28,0)</f>
        <v>0.10266478903753451</v>
      </c>
      <c r="T37" s="12">
        <f>IFERROR(T31/T28,0)</f>
        <v>0.1008447465760272</v>
      </c>
      <c r="U37" s="12">
        <f>IFERROR(U31/U28,0)</f>
        <v>0.1022559737405769</v>
      </c>
      <c r="V37" s="12">
        <f>IFERROR(V31/V28,0)</f>
        <v>0.09561572145679804</v>
      </c>
      <c r="W37" s="12">
        <f>IFERROR(W31/W28,0)</f>
        <v>0.10351739990377935</v>
      </c>
      <c r="X37" s="12">
        <f>IFERROR(X31/X28,0)</f>
        <v>0.09798808772266901</v>
      </c>
      <c r="Y37" s="12">
        <f>IFERROR(Y31/Y28,0)</f>
        <v>0.1037063632346443</v>
      </c>
      <c r="Z37" s="12">
        <f>IFERROR(Z31/Z28,0)</f>
        <v>0.10032757903494179</v>
      </c>
      <c r="AA37" s="12">
        <f>IFERROR(AA31/AA28,0)</f>
        <v>0.10259847685330441</v>
      </c>
      <c r="AB37" s="12">
        <f>IFERROR(AB31/AB28,0)</f>
        <v>0.09686366545764884</v>
      </c>
      <c r="AC37" s="12">
        <f>IFERROR(AC31/AC28,0)</f>
        <v>0.10076187969651867</v>
      </c>
      <c r="AE37" s="12">
        <f>IFERROR(AE31/AE28,0)</f>
        <v>0.0</v>
      </c>
      <c r="AF37" s="12">
        <f>IFERROR(AF31/AF28,0)</f>
        <v>0.0</v>
      </c>
      <c r="AG37" s="12">
        <f>IFERROR(AG31/AG28,0)</f>
        <v>0.0</v>
      </c>
      <c r="AH37" s="12">
        <f>IFERROR(AH31/AH28,0)</f>
        <v>0.0</v>
      </c>
      <c r="AI37" s="12">
        <f>IFERROR(AI31/AI28,0)</f>
        <v>0.0</v>
      </c>
      <c r="AJ37" s="12">
        <f>IFERROR(AJ31/AJ28,0)</f>
        <v>0.0</v>
      </c>
      <c r="AK37" s="12">
        <f>IFERROR(AK31/AK28,0)</f>
        <v>0.0</v>
      </c>
      <c r="AL37" s="12">
        <f>IFERROR(AL31/AL28,0)</f>
        <v>0.0</v>
      </c>
      <c r="AM37" s="12">
        <f>IFERROR(AM31/AM28,0)</f>
        <v>0.0</v>
      </c>
      <c r="AN37" s="12">
        <f>IFERROR(AN31/AN28,0)</f>
        <v>0.0</v>
      </c>
      <c r="AO37" s="12">
        <f>IFERROR(AO31/AO28,0)</f>
        <v>0.0</v>
      </c>
      <c r="AP37" s="12">
        <f>IFERROR(AP31/AP28,0)</f>
        <v>0.0</v>
      </c>
      <c r="AQ37" s="12">
        <f>IFERROR(AQ31/AQ28,0)</f>
        <v>0.0</v>
      </c>
      <c r="AS37" s="12">
        <f>IFERROR(AS31/AS28,0)</f>
        <v>0.0</v>
      </c>
      <c r="AT37" s="12">
        <f>IFERROR(AT31/AT28,0)</f>
        <v>0.0</v>
      </c>
      <c r="AU37" s="12">
        <f>IFERROR(AU31/AU28,0)</f>
        <v>0.0</v>
      </c>
      <c r="AV37" s="12">
        <f>IFERROR(AV31/AV28,0)</f>
        <v>0.0</v>
      </c>
      <c r="AW37" s="12">
        <f>IFERROR(AW31/AW28,0)</f>
        <v>0.0</v>
      </c>
      <c r="AX37" s="12">
        <f>IFERROR(AX31/AX28,0)</f>
        <v>0.0</v>
      </c>
      <c r="AY37" s="12">
        <f>IFERROR(AY31/AY28,0)</f>
        <v>0.0</v>
      </c>
      <c r="AZ37" s="12">
        <f>IFERROR(AZ31/AZ28,0)</f>
        <v>0.0</v>
      </c>
      <c r="BA37" s="12">
        <f>IFERROR(BA31/BA28,0)</f>
        <v>0.0</v>
      </c>
      <c r="BB37" s="12">
        <f>IFERROR(BB31/BB28,0)</f>
        <v>0.0</v>
      </c>
      <c r="BC37" s="12">
        <f>IFERROR(BC31/BC28,0)</f>
        <v>0.0</v>
      </c>
      <c r="BD37" s="12">
        <f>IFERROR(BD31/BD28,0)</f>
        <v>0.0</v>
      </c>
      <c r="BE37" s="12">
        <f>IFERROR(BE31/BE28,0)</f>
        <v>0.0</v>
      </c>
      <c r="BG37" s="12">
        <f>IFERROR(BG31/BG28,0)</f>
        <v>0.10635226179018288</v>
      </c>
      <c r="BH37" s="12">
        <f>IFERROR(BH31/BH28,0)</f>
        <v>0.09658071913680064</v>
      </c>
      <c r="BI37" s="12">
        <f>IFERROR(BI31/BI28,0)</f>
        <v>0.10266478903753451</v>
      </c>
      <c r="BJ37" s="12">
        <f>IFERROR(BJ31/BJ28,0)</f>
        <v>0.1008447465760272</v>
      </c>
      <c r="BK37" s="12">
        <f>IFERROR(BK31/BK28,0)</f>
        <v>0.1022559737405769</v>
      </c>
      <c r="BL37" s="12">
        <f>IFERROR(BL31/BL28,0)</f>
        <v>0.09561572145679804</v>
      </c>
      <c r="BM37" s="12">
        <f>IFERROR(BM31/BM28,0)</f>
        <v>0.10351739990377935</v>
      </c>
      <c r="BN37" s="12">
        <f>IFERROR(BN31/BN28,0)</f>
        <v>0.09798808772266901</v>
      </c>
      <c r="BO37" s="12">
        <f>IFERROR(BO31/BO28,0)</f>
        <v>0.1037063632346443</v>
      </c>
      <c r="BP37" s="12">
        <f>IFERROR(BP31/BP28,0)</f>
        <v>0.10032757903494179</v>
      </c>
      <c r="BQ37" s="12">
        <f>IFERROR(BQ31/BQ28,0)</f>
        <v>0.10259847685330441</v>
      </c>
      <c r="BR37" s="12">
        <f>IFERROR(BR31/BR28,0)</f>
        <v>0.09686366545764884</v>
      </c>
      <c r="BS37" s="12">
        <f>IFERROR(BS31/BS28,0)</f>
        <v>0.10076187969651867</v>
      </c>
    </row>
    <row r="38">
      <c r="B38" s="5" t="inlineStr">
        <is>
          <t>Sales/Day</t>
        </is>
      </c>
      <c r="C38" s="6">
        <f>IFERROR(C28/21,0)</f>
        <v>168.21904761904761</v>
      </c>
      <c r="D38" s="6">
        <f>IFERROR(D28/20,0)</f>
        <v>170.065</v>
      </c>
      <c r="E38" s="6">
        <f>IFERROR(E28/22,0)</f>
        <v>167.84545454545454</v>
      </c>
      <c r="F38" s="6">
        <f>IFERROR(F28/22,0)</f>
        <v>181.87272727272727</v>
      </c>
      <c r="G38" s="6">
        <f>IFERROR(G28/20,0)</f>
        <v>179.745</v>
      </c>
      <c r="H38" s="6">
        <f>IFERROR(H28/22,0)</f>
        <v>170.23636363636362</v>
      </c>
      <c r="I38" s="6">
        <f>IFERROR(I28/22,0)</f>
        <v>170.06363636363636</v>
      </c>
      <c r="J38" s="6">
        <f>IFERROR(J28/21,0)</f>
        <v>173.4904761904762</v>
      </c>
      <c r="K38" s="6">
        <f>IFERROR(K28/21,0)</f>
        <v>172.41904761904763</v>
      </c>
      <c r="L38" s="6">
        <f>IFERROR(L28/22,0)</f>
        <v>174.83636363636364</v>
      </c>
      <c r="M38" s="6">
        <f>IFERROR(M28/19,0)</f>
        <v>184.52105263157895</v>
      </c>
      <c r="N38" s="6">
        <f>IFERROR(N28/22,0)</f>
        <v>170.43636363636364</v>
      </c>
      <c r="O38" s="6">
        <f>IFERROR(O28/254,0)</f>
        <v>173.52440944881891</v>
      </c>
      <c r="Q38" s="6">
        <f>IFERROR(Q28/21,0)</f>
        <v>168.21904761904761</v>
      </c>
      <c r="R38" s="6">
        <f>IFERROR(R28/20,0)</f>
        <v>170.065</v>
      </c>
      <c r="S38" s="6">
        <f>IFERROR(S28/22,0)</f>
        <v>167.84545454545454</v>
      </c>
      <c r="T38" s="6">
        <f>IFERROR(T28/22,0)</f>
        <v>181.87272727272727</v>
      </c>
      <c r="U38" s="6">
        <f>IFERROR(U28/20,0)</f>
        <v>179.745</v>
      </c>
      <c r="V38" s="6">
        <f>IFERROR(V28/22,0)</f>
        <v>170.23636363636362</v>
      </c>
      <c r="W38" s="6">
        <f>IFERROR(W28/22,0)</f>
        <v>170.06363636363636</v>
      </c>
      <c r="X38" s="6">
        <f>IFERROR(X28/21,0)</f>
        <v>173.4904761904762</v>
      </c>
      <c r="Y38" s="6">
        <f>IFERROR(Y28/21,0)</f>
        <v>172.41904761904763</v>
      </c>
      <c r="Z38" s="6">
        <f>IFERROR(Z28/22,0)</f>
        <v>174.83636363636364</v>
      </c>
      <c r="AA38" s="6">
        <f>IFERROR(AA28/19,0)</f>
        <v>184.52105263157895</v>
      </c>
      <c r="AB38" s="6">
        <f>IFERROR(AB28/22,0)</f>
        <v>170.43636363636364</v>
      </c>
      <c r="AC38" s="6">
        <f>IFERROR(AC28/254,0)</f>
        <v>173.52440944881891</v>
      </c>
      <c r="AE38" s="6">
        <f>IFERROR(AE28/21,0)</f>
        <v>0.0</v>
      </c>
      <c r="AF38" s="6">
        <f>IFERROR(AF28/20,0)</f>
        <v>0.0</v>
      </c>
      <c r="AG38" s="6">
        <f>IFERROR(AG28/22,0)</f>
        <v>0.0</v>
      </c>
      <c r="AH38" s="6">
        <f>IFERROR(AH28/22,0)</f>
        <v>0.0</v>
      </c>
      <c r="AI38" s="6">
        <f>IFERROR(AI28/20,0)</f>
        <v>0.0</v>
      </c>
      <c r="AJ38" s="6">
        <f>IFERROR(AJ28/22,0)</f>
        <v>0.0</v>
      </c>
      <c r="AK38" s="6">
        <f>IFERROR(AK28/22,0)</f>
        <v>0.0</v>
      </c>
      <c r="AL38" s="6">
        <f>IFERROR(AL28/21,0)</f>
        <v>0.0</v>
      </c>
      <c r="AM38" s="6">
        <f>IFERROR(AM28/21,0)</f>
        <v>0.0</v>
      </c>
      <c r="AN38" s="6">
        <f>IFERROR(AN28/22,0)</f>
        <v>0.0</v>
      </c>
      <c r="AO38" s="6">
        <f>IFERROR(AO28/19,0)</f>
        <v>0.0</v>
      </c>
      <c r="AP38" s="6">
        <f>IFERROR(AP28/22,0)</f>
        <v>0.0</v>
      </c>
      <c r="AQ38" s="6">
        <f>IFERROR(AQ28/254,0)</f>
        <v>0.0</v>
      </c>
      <c r="AS38" s="6">
        <f>IFERROR(AS28/21,0)</f>
        <v>0.0</v>
      </c>
      <c r="AT38" s="6">
        <f>IFERROR(AT28/20,0)</f>
        <v>0.0</v>
      </c>
      <c r="AU38" s="6">
        <f>IFERROR(AU28/22,0)</f>
        <v>0.0</v>
      </c>
      <c r="AV38" s="6">
        <f>IFERROR(AV28/22,0)</f>
        <v>0.0</v>
      </c>
      <c r="AW38" s="6">
        <f>IFERROR(AW28/20,0)</f>
        <v>0.0</v>
      </c>
      <c r="AX38" s="6">
        <f>IFERROR(AX28/22,0)</f>
        <v>0.0</v>
      </c>
      <c r="AY38" s="6">
        <f>IFERROR(AY28/22,0)</f>
        <v>0.0</v>
      </c>
      <c r="AZ38" s="6">
        <f>IFERROR(AZ28/21,0)</f>
        <v>0.0</v>
      </c>
      <c r="BA38" s="6">
        <f>IFERROR(BA28/21,0)</f>
        <v>0.0</v>
      </c>
      <c r="BB38" s="6">
        <f>IFERROR(BB28/22,0)</f>
        <v>0.0</v>
      </c>
      <c r="BC38" s="6">
        <f>IFERROR(BC28/19,0)</f>
        <v>0.0</v>
      </c>
      <c r="BD38" s="6">
        <f>IFERROR(BD28/22,0)</f>
        <v>0.0</v>
      </c>
      <c r="BE38" s="6">
        <f>IFERROR(BE28/254,0)</f>
        <v>0.0</v>
      </c>
      <c r="BG38" s="6">
        <f>IFERROR(BG28/21,0)</f>
        <v>168.21904761904761</v>
      </c>
      <c r="BH38" s="6">
        <f>IFERROR(BH28/20,0)</f>
        <v>170.065</v>
      </c>
      <c r="BI38" s="6">
        <f>IFERROR(BI28/22,0)</f>
        <v>167.84545454545454</v>
      </c>
      <c r="BJ38" s="6">
        <f>IFERROR(BJ28/22,0)</f>
        <v>181.87272727272727</v>
      </c>
      <c r="BK38" s="6">
        <f>IFERROR(BK28/20,0)</f>
        <v>179.745</v>
      </c>
      <c r="BL38" s="6">
        <f>IFERROR(BL28/22,0)</f>
        <v>170.23636363636362</v>
      </c>
      <c r="BM38" s="6">
        <f>IFERROR(BM28/22,0)</f>
        <v>170.06363636363636</v>
      </c>
      <c r="BN38" s="6">
        <f>IFERROR(BN28/21,0)</f>
        <v>173.4904761904762</v>
      </c>
      <c r="BO38" s="6">
        <f>IFERROR(BO28/21,0)</f>
        <v>172.41904761904763</v>
      </c>
      <c r="BP38" s="6">
        <f>IFERROR(BP28/22,0)</f>
        <v>174.83636363636364</v>
      </c>
      <c r="BQ38" s="6">
        <f>IFERROR(BQ28/19,0)</f>
        <v>184.52105263157895</v>
      </c>
      <c r="BR38" s="6">
        <f>IFERROR(BR28/22,0)</f>
        <v>170.43636363636364</v>
      </c>
      <c r="BS38" s="6">
        <f>IFERROR(BS28/254,0)</f>
        <v>173.52440944881891</v>
      </c>
    </row>
    <row r="40">
      <c r="B40" s="5" t="inlineStr">
        <is>
          <t>Net Inventory</t>
        </is>
      </c>
      <c r="C40" s="6" t="n">
        <v>6044.6</v>
      </c>
      <c r="D40" s="6" t="n">
        <v>5849.3</v>
      </c>
      <c r="E40" s="6" t="n">
        <v>6209.3</v>
      </c>
      <c r="F40" s="6" t="n">
        <v>6844.9</v>
      </c>
      <c r="G40" s="6" t="n">
        <v>6018.1</v>
      </c>
      <c r="H40" s="6" t="n">
        <v>6019.1</v>
      </c>
      <c r="I40" s="6" t="n">
        <v>5717.6</v>
      </c>
      <c r="J40" s="6" t="n">
        <v>5491.9</v>
      </c>
      <c r="K40" s="6" t="n">
        <v>5242.8</v>
      </c>
      <c r="L40" s="6" t="n">
        <v>5564</v>
      </c>
      <c r="M40" s="6" t="n">
        <v>5096.6</v>
      </c>
      <c r="N40" s="6" t="n">
        <v>5491.2</v>
      </c>
      <c r="O40" s="6">
        <f>N40</f>
        <v>5491.2</v>
      </c>
      <c r="Q40" s="6" t="n">
        <v>6044.6</v>
      </c>
      <c r="R40" s="6" t="n">
        <v>5849.3</v>
      </c>
      <c r="S40" s="6" t="n">
        <v>6209.3</v>
      </c>
      <c r="T40" s="6" t="n">
        <v>6844.9</v>
      </c>
      <c r="U40" s="6" t="n">
        <v>6018.1</v>
      </c>
      <c r="V40" s="6" t="n">
        <v>6019.1</v>
      </c>
      <c r="W40" s="6" t="n">
        <v>5717.6</v>
      </c>
      <c r="X40" s="6" t="n">
        <v>5491.9</v>
      </c>
      <c r="Y40" s="6" t="n">
        <v>5242.8</v>
      </c>
      <c r="Z40" s="6" t="n">
        <v>5564</v>
      </c>
      <c r="AA40" s="6" t="n">
        <v>5096.6</v>
      </c>
      <c r="AB40" s="6" t="n">
        <v>5491.2</v>
      </c>
      <c r="AC40" s="6">
        <f>AB40</f>
        <v>5491.2</v>
      </c>
      <c r="AE40" s="6">
        <f>Q40-C40</f>
        <v>0.0</v>
      </c>
      <c r="AF40" s="6">
        <f>R40-D40</f>
        <v>0.0</v>
      </c>
      <c r="AG40" s="6">
        <f>S40-E40</f>
        <v>0.0</v>
      </c>
      <c r="AH40" s="6">
        <f>T40-F40</f>
        <v>0.0</v>
      </c>
      <c r="AI40" s="6">
        <f>U40-G40</f>
        <v>0.0</v>
      </c>
      <c r="AJ40" s="6">
        <f>V40-H40</f>
        <v>0.0</v>
      </c>
      <c r="AK40" s="6">
        <f>W40-I40</f>
        <v>0.0</v>
      </c>
      <c r="AL40" s="6">
        <f>X40-J40</f>
        <v>0.0</v>
      </c>
      <c r="AM40" s="6">
        <f>Y40-K40</f>
        <v>0.0</v>
      </c>
      <c r="AN40" s="6">
        <f>Z40-L40</f>
        <v>0.0</v>
      </c>
      <c r="AO40" s="6">
        <f>AA40-M40</f>
        <v>0.0</v>
      </c>
      <c r="AP40" s="6">
        <f>AB40-N40</f>
        <v>0.0</v>
      </c>
      <c r="AQ40" s="6">
        <f>AP40</f>
        <v>0.0</v>
      </c>
      <c r="AS40" s="6">
        <f>'Delta-Adj'!C90</f>
        <v>0.0</v>
      </c>
      <c r="AT40" s="6">
        <f>'Delta-Adj'!D90</f>
        <v>0.0</v>
      </c>
      <c r="AU40" s="6">
        <f>'Delta-Adj'!E90</f>
        <v>0.0</v>
      </c>
      <c r="AV40" s="6">
        <f>'Delta-Adj'!F90</f>
        <v>0.0</v>
      </c>
      <c r="AW40" s="6">
        <f>'Delta-Adj'!G90</f>
        <v>0.0</v>
      </c>
      <c r="AX40" s="6">
        <f>'Delta-Adj'!H90</f>
        <v>0.0</v>
      </c>
      <c r="AY40" s="6">
        <f>'Delta-Adj'!I90</f>
        <v>0.0</v>
      </c>
      <c r="AZ40" s="6">
        <f>'Delta-Adj'!J90</f>
        <v>0.0</v>
      </c>
      <c r="BA40" s="6">
        <f>'Delta-Adj'!K90</f>
        <v>0.0</v>
      </c>
      <c r="BB40" s="6">
        <f>'Delta-Adj'!L90</f>
        <v>0.0</v>
      </c>
      <c r="BC40" s="6">
        <f>'Delta-Adj'!M90</f>
        <v>0.0</v>
      </c>
      <c r="BD40" s="6">
        <f>'Delta-Adj'!N90</f>
        <v>0.0</v>
      </c>
      <c r="BE40" s="6">
        <f>BD40</f>
        <v>0.0</v>
      </c>
      <c r="BG40" s="6">
        <f>C40+AE40+AS40</f>
        <v>6044.6</v>
      </c>
      <c r="BH40" s="6">
        <f>D40+AF40+AT40</f>
        <v>5849.3</v>
      </c>
      <c r="BI40" s="6">
        <f>E40+AG40+AU40</f>
        <v>6209.3</v>
      </c>
      <c r="BJ40" s="6">
        <f>F40+AH40+AV40</f>
        <v>6844.9</v>
      </c>
      <c r="BK40" s="6">
        <f>G40+AI40+AW40</f>
        <v>6018.1</v>
      </c>
      <c r="BL40" s="6">
        <f>H40+AJ40+AX40</f>
        <v>6019.1</v>
      </c>
      <c r="BM40" s="6">
        <f>I40+AK40+AY40</f>
        <v>5717.6</v>
      </c>
      <c r="BN40" s="6">
        <f>J40+AL40+AZ40</f>
        <v>5491.9</v>
      </c>
      <c r="BO40" s="6">
        <f>K40+AM40+BA40</f>
        <v>5242.8</v>
      </c>
      <c r="BP40" s="6">
        <f>L40+AN40+BB40</f>
        <v>5564.0</v>
      </c>
      <c r="BQ40" s="6">
        <f>M40+AO40+BC40</f>
        <v>5096.6</v>
      </c>
      <c r="BR40" s="6">
        <f>N40+AP40+BD40</f>
        <v>5491.2</v>
      </c>
      <c r="BS40" s="6">
        <f>BR40</f>
        <v>5491.2</v>
      </c>
    </row>
    <row r="41">
      <c r="B41" s="5" t="inlineStr">
        <is>
          <t>Trade Receivables</t>
        </is>
      </c>
      <c r="C41" s="6" t="n">
        <v>5357.8</v>
      </c>
      <c r="D41" s="6" t="n">
        <v>5158.6</v>
      </c>
      <c r="E41" s="6" t="n">
        <v>5600.4</v>
      </c>
      <c r="F41" s="6" t="n">
        <v>6068.5</v>
      </c>
      <c r="G41" s="6" t="n">
        <v>5452.3</v>
      </c>
      <c r="H41" s="6" t="n">
        <v>5680.2</v>
      </c>
      <c r="I41" s="6" t="n">
        <v>5674.5</v>
      </c>
      <c r="J41" s="6" t="n">
        <v>5525.7</v>
      </c>
      <c r="K41" s="6" t="n">
        <v>5491.5</v>
      </c>
      <c r="L41" s="6" t="n">
        <v>5833.7</v>
      </c>
      <c r="M41" s="6" t="n">
        <v>5317.3</v>
      </c>
      <c r="N41" s="6" t="n">
        <v>5686.9</v>
      </c>
      <c r="O41" s="6">
        <f>N41</f>
        <v>5686.9</v>
      </c>
      <c r="Q41" s="6" t="n">
        <v>5357.8</v>
      </c>
      <c r="R41" s="6" t="n">
        <v>5158.6</v>
      </c>
      <c r="S41" s="6" t="n">
        <v>5600.4</v>
      </c>
      <c r="T41" s="6" t="n">
        <v>6068.5</v>
      </c>
      <c r="U41" s="6" t="n">
        <v>5452.3</v>
      </c>
      <c r="V41" s="6" t="n">
        <v>5680.2</v>
      </c>
      <c r="W41" s="6" t="n">
        <v>5674.5</v>
      </c>
      <c r="X41" s="6" t="n">
        <v>5525.7</v>
      </c>
      <c r="Y41" s="6" t="n">
        <v>5491.5</v>
      </c>
      <c r="Z41" s="6" t="n">
        <v>5833.7</v>
      </c>
      <c r="AA41" s="6" t="n">
        <v>5317.3</v>
      </c>
      <c r="AB41" s="6" t="n">
        <v>5686.9</v>
      </c>
      <c r="AC41" s="6">
        <f>AB41</f>
        <v>5686.9</v>
      </c>
      <c r="AE41" s="6">
        <f>Q41-C41</f>
        <v>0.0</v>
      </c>
      <c r="AF41" s="6">
        <f>R41-D41</f>
        <v>0.0</v>
      </c>
      <c r="AG41" s="6">
        <f>S41-E41</f>
        <v>0.0</v>
      </c>
      <c r="AH41" s="6">
        <f>T41-F41</f>
        <v>0.0</v>
      </c>
      <c r="AI41" s="6">
        <f>U41-G41</f>
        <v>0.0</v>
      </c>
      <c r="AJ41" s="6">
        <f>V41-H41</f>
        <v>0.0</v>
      </c>
      <c r="AK41" s="6">
        <f>W41-I41</f>
        <v>0.0</v>
      </c>
      <c r="AL41" s="6">
        <f>X41-J41</f>
        <v>0.0</v>
      </c>
      <c r="AM41" s="6">
        <f>Y41-K41</f>
        <v>0.0</v>
      </c>
      <c r="AN41" s="6">
        <f>Z41-L41</f>
        <v>0.0</v>
      </c>
      <c r="AO41" s="6">
        <f>AA41-M41</f>
        <v>0.0</v>
      </c>
      <c r="AP41" s="6">
        <f>AB41-N41</f>
        <v>0.0</v>
      </c>
      <c r="AQ41" s="6">
        <f>AP41</f>
        <v>0.0</v>
      </c>
      <c r="AS41" s="6">
        <f>'Delta-Adj'!C91</f>
        <v>0.0</v>
      </c>
      <c r="AT41" s="6">
        <f>'Delta-Adj'!D91</f>
        <v>0.0</v>
      </c>
      <c r="AU41" s="6">
        <f>'Delta-Adj'!E91</f>
        <v>0.0</v>
      </c>
      <c r="AV41" s="6">
        <f>'Delta-Adj'!F91</f>
        <v>0.0</v>
      </c>
      <c r="AW41" s="6">
        <f>'Delta-Adj'!G91</f>
        <v>0.0</v>
      </c>
      <c r="AX41" s="6">
        <f>'Delta-Adj'!H91</f>
        <v>0.0</v>
      </c>
      <c r="AY41" s="6">
        <f>'Delta-Adj'!I91</f>
        <v>0.0</v>
      </c>
      <c r="AZ41" s="6">
        <f>'Delta-Adj'!J91</f>
        <v>0.0</v>
      </c>
      <c r="BA41" s="6">
        <f>'Delta-Adj'!K91</f>
        <v>0.0</v>
      </c>
      <c r="BB41" s="6">
        <f>'Delta-Adj'!L91</f>
        <v>0.0</v>
      </c>
      <c r="BC41" s="6">
        <f>'Delta-Adj'!M91</f>
        <v>0.0</v>
      </c>
      <c r="BD41" s="6">
        <f>'Delta-Adj'!N91</f>
        <v>0.0</v>
      </c>
      <c r="BE41" s="6">
        <f>BD41</f>
        <v>0.0</v>
      </c>
      <c r="BG41" s="6">
        <f>C41+AE41+AS41</f>
        <v>5357.8</v>
      </c>
      <c r="BH41" s="6">
        <f>D41+AF41+AT41</f>
        <v>5158.6</v>
      </c>
      <c r="BI41" s="6">
        <f>E41+AG41+AU41</f>
        <v>5600.4</v>
      </c>
      <c r="BJ41" s="6">
        <f>F41+AH41+AV41</f>
        <v>6068.5</v>
      </c>
      <c r="BK41" s="6">
        <f>G41+AI41+AW41</f>
        <v>5452.3</v>
      </c>
      <c r="BL41" s="6">
        <f>H41+AJ41+AX41</f>
        <v>5680.2</v>
      </c>
      <c r="BM41" s="6">
        <f>I41+AK41+AY41</f>
        <v>5674.5</v>
      </c>
      <c r="BN41" s="6">
        <f>J41+AL41+AZ41</f>
        <v>5525.7</v>
      </c>
      <c r="BO41" s="6">
        <f>K41+AM41+BA41</f>
        <v>5491.5</v>
      </c>
      <c r="BP41" s="6">
        <f>L41+AN41+BB41</f>
        <v>5833.7</v>
      </c>
      <c r="BQ41" s="6">
        <f>M41+AO41+BC41</f>
        <v>5317.3</v>
      </c>
      <c r="BR41" s="6">
        <f>N41+AP41+BD41</f>
        <v>5686.9</v>
      </c>
      <c r="BS41" s="6">
        <f>BR41</f>
        <v>5686.9</v>
      </c>
    </row>
    <row r="42">
      <c r="B42" s="5" t="inlineStr">
        <is>
          <t>Other Receivables</t>
        </is>
      </c>
      <c r="C42" s="6" t="n">
        <v>53</v>
      </c>
      <c r="D42" s="6" t="n">
        <v>51</v>
      </c>
      <c r="E42" s="6" t="n">
        <v>55.4</v>
      </c>
      <c r="F42" s="6" t="n">
        <v>60</v>
      </c>
      <c r="G42" s="6" t="n">
        <v>53.9</v>
      </c>
      <c r="H42" s="6" t="n">
        <v>56.2</v>
      </c>
      <c r="I42" s="6" t="n">
        <v>56.1</v>
      </c>
      <c r="J42" s="6" t="n">
        <v>54.6</v>
      </c>
      <c r="K42" s="6" t="n">
        <v>54.3</v>
      </c>
      <c r="L42" s="6" t="n">
        <v>57.7</v>
      </c>
      <c r="M42" s="6" t="n">
        <v>52.6</v>
      </c>
      <c r="N42" s="6" t="n">
        <v>56.2</v>
      </c>
      <c r="O42" s="6">
        <f>N42</f>
        <v>56.2</v>
      </c>
      <c r="Q42" s="6" t="n">
        <v>53</v>
      </c>
      <c r="R42" s="6" t="n">
        <v>51</v>
      </c>
      <c r="S42" s="6" t="n">
        <v>55.4</v>
      </c>
      <c r="T42" s="6" t="n">
        <v>60</v>
      </c>
      <c r="U42" s="6" t="n">
        <v>53.9</v>
      </c>
      <c r="V42" s="6" t="n">
        <v>56.2</v>
      </c>
      <c r="W42" s="6" t="n">
        <v>56.1</v>
      </c>
      <c r="X42" s="6" t="n">
        <v>54.6</v>
      </c>
      <c r="Y42" s="6" t="n">
        <v>54.3</v>
      </c>
      <c r="Z42" s="6" t="n">
        <v>57.7</v>
      </c>
      <c r="AA42" s="6" t="n">
        <v>52.6</v>
      </c>
      <c r="AB42" s="6" t="n">
        <v>56.2</v>
      </c>
      <c r="AC42" s="6">
        <f>AB42</f>
        <v>56.2</v>
      </c>
      <c r="AE42" s="6">
        <f>Q42-C42</f>
        <v>0.0</v>
      </c>
      <c r="AF42" s="6">
        <f>R42-D42</f>
        <v>0.0</v>
      </c>
      <c r="AG42" s="6">
        <f>S42-E42</f>
        <v>0.0</v>
      </c>
      <c r="AH42" s="6">
        <f>T42-F42</f>
        <v>0.0</v>
      </c>
      <c r="AI42" s="6">
        <f>U42-G42</f>
        <v>0.0</v>
      </c>
      <c r="AJ42" s="6">
        <f>V42-H42</f>
        <v>0.0</v>
      </c>
      <c r="AK42" s="6">
        <f>W42-I42</f>
        <v>0.0</v>
      </c>
      <c r="AL42" s="6">
        <f>X42-J42</f>
        <v>0.0</v>
      </c>
      <c r="AM42" s="6">
        <f>Y42-K42</f>
        <v>0.0</v>
      </c>
      <c r="AN42" s="6">
        <f>Z42-L42</f>
        <v>0.0</v>
      </c>
      <c r="AO42" s="6">
        <f>AA42-M42</f>
        <v>0.0</v>
      </c>
      <c r="AP42" s="6">
        <f>AB42-N42</f>
        <v>0.0</v>
      </c>
      <c r="AQ42" s="6">
        <f>AP42</f>
        <v>0.0</v>
      </c>
      <c r="AS42" s="6">
        <f>'Delta-Adj'!C92</f>
        <v>0.0</v>
      </c>
      <c r="AT42" s="6">
        <f>'Delta-Adj'!D92</f>
        <v>0.0</v>
      </c>
      <c r="AU42" s="6">
        <f>'Delta-Adj'!E92</f>
        <v>0.0</v>
      </c>
      <c r="AV42" s="6">
        <f>'Delta-Adj'!F92</f>
        <v>0.0</v>
      </c>
      <c r="AW42" s="6">
        <f>'Delta-Adj'!G92</f>
        <v>0.0</v>
      </c>
      <c r="AX42" s="6">
        <f>'Delta-Adj'!H92</f>
        <v>0.0</v>
      </c>
      <c r="AY42" s="6">
        <f>'Delta-Adj'!I92</f>
        <v>0.0</v>
      </c>
      <c r="AZ42" s="6">
        <f>'Delta-Adj'!J92</f>
        <v>0.0</v>
      </c>
      <c r="BA42" s="6">
        <f>'Delta-Adj'!K92</f>
        <v>0.0</v>
      </c>
      <c r="BB42" s="6">
        <f>'Delta-Adj'!L92</f>
        <v>0.0</v>
      </c>
      <c r="BC42" s="6">
        <f>'Delta-Adj'!M92</f>
        <v>0.0</v>
      </c>
      <c r="BD42" s="6">
        <f>'Delta-Adj'!N92</f>
        <v>0.0</v>
      </c>
      <c r="BE42" s="6">
        <f>BD42</f>
        <v>0.0</v>
      </c>
      <c r="BG42" s="6">
        <f>C42+AE42+AS42</f>
        <v>53.0</v>
      </c>
      <c r="BH42" s="6">
        <f>D42+AF42+AT42</f>
        <v>51.0</v>
      </c>
      <c r="BI42" s="6">
        <f>E42+AG42+AU42</f>
        <v>55.4</v>
      </c>
      <c r="BJ42" s="6">
        <f>F42+AH42+AV42</f>
        <v>60.0</v>
      </c>
      <c r="BK42" s="6">
        <f>G42+AI42+AW42</f>
        <v>53.9</v>
      </c>
      <c r="BL42" s="6">
        <f>H42+AJ42+AX42</f>
        <v>56.2</v>
      </c>
      <c r="BM42" s="6">
        <f>I42+AK42+AY42</f>
        <v>56.1</v>
      </c>
      <c r="BN42" s="6">
        <f>J42+AL42+AZ42</f>
        <v>54.6</v>
      </c>
      <c r="BO42" s="6">
        <f>K42+AM42+BA42</f>
        <v>54.3</v>
      </c>
      <c r="BP42" s="6">
        <f>L42+AN42+BB42</f>
        <v>57.7</v>
      </c>
      <c r="BQ42" s="6">
        <f>M42+AO42+BC42</f>
        <v>52.6</v>
      </c>
      <c r="BR42" s="6">
        <f>N42+AP42+BD42</f>
        <v>56.2</v>
      </c>
      <c r="BS42" s="6">
        <f>BR42</f>
        <v>56.2</v>
      </c>
    </row>
    <row r="43">
      <c r="B43" s="5" t="inlineStr">
        <is>
          <t>Trade Payables</t>
        </is>
      </c>
      <c r="C43" s="6" t="n">
        <v>-3378.7</v>
      </c>
      <c r="D43" s="6" t="n">
        <v>-3279.5</v>
      </c>
      <c r="E43" s="6" t="n">
        <v>-3540.3</v>
      </c>
      <c r="F43" s="6" t="n">
        <v>-3841.2</v>
      </c>
      <c r="G43" s="6" t="n">
        <v>-3445.9</v>
      </c>
      <c r="H43" s="6" t="n">
        <v>-3606.6</v>
      </c>
      <c r="I43" s="6" t="n">
        <v>-3585.5</v>
      </c>
      <c r="J43" s="6" t="n">
        <v>-3505.2</v>
      </c>
      <c r="K43" s="6" t="n">
        <v>-3469.2</v>
      </c>
      <c r="L43" s="6" t="n">
        <v>-3689.7</v>
      </c>
      <c r="M43" s="6" t="n">
        <v>-3367.3</v>
      </c>
      <c r="N43" s="6" t="n">
        <v>-3616.6</v>
      </c>
      <c r="O43" s="6">
        <f>N43</f>
        <v>-3616.6</v>
      </c>
      <c r="Q43" s="6" t="n">
        <v>-3378.7</v>
      </c>
      <c r="R43" s="6" t="n">
        <v>-3279.5</v>
      </c>
      <c r="S43" s="6" t="n">
        <v>-3540.3</v>
      </c>
      <c r="T43" s="6" t="n">
        <v>-3841.2</v>
      </c>
      <c r="U43" s="6" t="n">
        <v>-3445.9</v>
      </c>
      <c r="V43" s="6" t="n">
        <v>-3606.6</v>
      </c>
      <c r="W43" s="6" t="n">
        <v>-3585.5</v>
      </c>
      <c r="X43" s="6" t="n">
        <v>-3505.2</v>
      </c>
      <c r="Y43" s="6" t="n">
        <v>-3469.2</v>
      </c>
      <c r="Z43" s="6" t="n">
        <v>-3689.7</v>
      </c>
      <c r="AA43" s="6" t="n">
        <v>-3367.3</v>
      </c>
      <c r="AB43" s="6" t="n">
        <v>-3616.6</v>
      </c>
      <c r="AC43" s="6">
        <f>AB43</f>
        <v>-3616.6</v>
      </c>
      <c r="AE43" s="6">
        <f>Q43-C43</f>
        <v>0.0</v>
      </c>
      <c r="AF43" s="6">
        <f>R43-D43</f>
        <v>0.0</v>
      </c>
      <c r="AG43" s="6">
        <f>S43-E43</f>
        <v>0.0</v>
      </c>
      <c r="AH43" s="6">
        <f>T43-F43</f>
        <v>0.0</v>
      </c>
      <c r="AI43" s="6">
        <f>U43-G43</f>
        <v>0.0</v>
      </c>
      <c r="AJ43" s="6">
        <f>V43-H43</f>
        <v>0.0</v>
      </c>
      <c r="AK43" s="6">
        <f>W43-I43</f>
        <v>0.0</v>
      </c>
      <c r="AL43" s="6">
        <f>X43-J43</f>
        <v>0.0</v>
      </c>
      <c r="AM43" s="6">
        <f>Y43-K43</f>
        <v>0.0</v>
      </c>
      <c r="AN43" s="6">
        <f>Z43-L43</f>
        <v>0.0</v>
      </c>
      <c r="AO43" s="6">
        <f>AA43-M43</f>
        <v>0.0</v>
      </c>
      <c r="AP43" s="6">
        <f>AB43-N43</f>
        <v>0.0</v>
      </c>
      <c r="AQ43" s="6">
        <f>AP43</f>
        <v>0.0</v>
      </c>
      <c r="AS43" s="6">
        <f>'Delta-Adj'!C93</f>
        <v>0.0</v>
      </c>
      <c r="AT43" s="6">
        <f>'Delta-Adj'!D93</f>
        <v>0.0</v>
      </c>
      <c r="AU43" s="6">
        <f>'Delta-Adj'!E93</f>
        <v>0.0</v>
      </c>
      <c r="AV43" s="6">
        <f>'Delta-Adj'!F93</f>
        <v>0.0</v>
      </c>
      <c r="AW43" s="6">
        <f>'Delta-Adj'!G93</f>
        <v>0.0</v>
      </c>
      <c r="AX43" s="6">
        <f>'Delta-Adj'!H93</f>
        <v>0.0</v>
      </c>
      <c r="AY43" s="6">
        <f>'Delta-Adj'!I93</f>
        <v>0.0</v>
      </c>
      <c r="AZ43" s="6">
        <f>'Delta-Adj'!J93</f>
        <v>0.0</v>
      </c>
      <c r="BA43" s="6">
        <f>'Delta-Adj'!K93</f>
        <v>0.0</v>
      </c>
      <c r="BB43" s="6">
        <f>'Delta-Adj'!L93</f>
        <v>0.0</v>
      </c>
      <c r="BC43" s="6">
        <f>'Delta-Adj'!M93</f>
        <v>0.0</v>
      </c>
      <c r="BD43" s="6">
        <f>'Delta-Adj'!N93</f>
        <v>0.0</v>
      </c>
      <c r="BE43" s="6">
        <f>BD43</f>
        <v>0.0</v>
      </c>
      <c r="BG43" s="6">
        <f>C43+AE43+AS43</f>
        <v>-3378.7</v>
      </c>
      <c r="BH43" s="6">
        <f>D43+AF43+AT43</f>
        <v>-3279.5</v>
      </c>
      <c r="BI43" s="6">
        <f>E43+AG43+AU43</f>
        <v>-3540.3</v>
      </c>
      <c r="BJ43" s="6">
        <f>F43+AH43+AV43</f>
        <v>-3841.2</v>
      </c>
      <c r="BK43" s="6">
        <f>G43+AI43+AW43</f>
        <v>-3445.9</v>
      </c>
      <c r="BL43" s="6">
        <f>H43+AJ43+AX43</f>
        <v>-3606.6</v>
      </c>
      <c r="BM43" s="6">
        <f>I43+AK43+AY43</f>
        <v>-3585.5</v>
      </c>
      <c r="BN43" s="6">
        <f>J43+AL43+AZ43</f>
        <v>-3505.2</v>
      </c>
      <c r="BO43" s="6">
        <f>K43+AM43+BA43</f>
        <v>-3469.2</v>
      </c>
      <c r="BP43" s="6">
        <f>L43+AN43+BB43</f>
        <v>-3689.7</v>
      </c>
      <c r="BQ43" s="6">
        <f>M43+AO43+BC43</f>
        <v>-3367.3</v>
      </c>
      <c r="BR43" s="6">
        <f>N43+AP43+BD43</f>
        <v>-3616.6</v>
      </c>
      <c r="BS43" s="6">
        <f>BR43</f>
        <v>-3616.6</v>
      </c>
    </row>
    <row r="44">
      <c r="B44" s="5" t="inlineStr">
        <is>
          <t>Other Payables</t>
        </is>
      </c>
      <c r="C44" s="6" t="n">
        <v>-106</v>
      </c>
      <c r="D44" s="6" t="n">
        <v>-102</v>
      </c>
      <c r="E44" s="6" t="n">
        <v>-110.8</v>
      </c>
      <c r="F44" s="6" t="n">
        <v>-120</v>
      </c>
      <c r="G44" s="6" t="n">
        <v>-107.8</v>
      </c>
      <c r="H44" s="6" t="n">
        <v>-112.4</v>
      </c>
      <c r="I44" s="6" t="n">
        <v>-112.2</v>
      </c>
      <c r="J44" s="6" t="n">
        <v>-109.3</v>
      </c>
      <c r="K44" s="6" t="n">
        <v>-108.6</v>
      </c>
      <c r="L44" s="6" t="n">
        <v>-115.4</v>
      </c>
      <c r="M44" s="6" t="n">
        <v>-105.2</v>
      </c>
      <c r="N44" s="6" t="n">
        <v>-112.5</v>
      </c>
      <c r="O44" s="6">
        <f>N44</f>
        <v>-112.5</v>
      </c>
      <c r="Q44" s="6" t="n">
        <v>-106</v>
      </c>
      <c r="R44" s="6" t="n">
        <v>-102</v>
      </c>
      <c r="S44" s="6" t="n">
        <v>-110.8</v>
      </c>
      <c r="T44" s="6" t="n">
        <v>-120</v>
      </c>
      <c r="U44" s="6" t="n">
        <v>-107.8</v>
      </c>
      <c r="V44" s="6" t="n">
        <v>-112.4</v>
      </c>
      <c r="W44" s="6" t="n">
        <v>-112.2</v>
      </c>
      <c r="X44" s="6" t="n">
        <v>-109.3</v>
      </c>
      <c r="Y44" s="6" t="n">
        <v>-108.6</v>
      </c>
      <c r="Z44" s="6" t="n">
        <v>-115.4</v>
      </c>
      <c r="AA44" s="6" t="n">
        <v>-105.2</v>
      </c>
      <c r="AB44" s="6" t="n">
        <v>-112.5</v>
      </c>
      <c r="AC44" s="6">
        <f>AB44</f>
        <v>-112.5</v>
      </c>
      <c r="AE44" s="6">
        <f>Q44-C44</f>
        <v>0.0</v>
      </c>
      <c r="AF44" s="6">
        <f>R44-D44</f>
        <v>0.0</v>
      </c>
      <c r="AG44" s="6">
        <f>S44-E44</f>
        <v>0.0</v>
      </c>
      <c r="AH44" s="6">
        <f>T44-F44</f>
        <v>0.0</v>
      </c>
      <c r="AI44" s="6">
        <f>U44-G44</f>
        <v>0.0</v>
      </c>
      <c r="AJ44" s="6">
        <f>V44-H44</f>
        <v>0.0</v>
      </c>
      <c r="AK44" s="6">
        <f>W44-I44</f>
        <v>0.0</v>
      </c>
      <c r="AL44" s="6">
        <f>X44-J44</f>
        <v>0.0</v>
      </c>
      <c r="AM44" s="6">
        <f>Y44-K44</f>
        <v>0.0</v>
      </c>
      <c r="AN44" s="6">
        <f>Z44-L44</f>
        <v>0.0</v>
      </c>
      <c r="AO44" s="6">
        <f>AA44-M44</f>
        <v>0.0</v>
      </c>
      <c r="AP44" s="6">
        <f>AB44-N44</f>
        <v>0.0</v>
      </c>
      <c r="AQ44" s="6">
        <f>AP44</f>
        <v>0.0</v>
      </c>
      <c r="AS44" s="6">
        <f>'Delta-Adj'!C94</f>
        <v>0.0</v>
      </c>
      <c r="AT44" s="6">
        <f>'Delta-Adj'!D94</f>
        <v>0.0</v>
      </c>
      <c r="AU44" s="6">
        <f>'Delta-Adj'!E94</f>
        <v>0.0</v>
      </c>
      <c r="AV44" s="6">
        <f>'Delta-Adj'!F94</f>
        <v>0.0</v>
      </c>
      <c r="AW44" s="6">
        <f>'Delta-Adj'!G94</f>
        <v>0.0</v>
      </c>
      <c r="AX44" s="6">
        <f>'Delta-Adj'!H94</f>
        <v>0.0</v>
      </c>
      <c r="AY44" s="6">
        <f>'Delta-Adj'!I94</f>
        <v>0.0</v>
      </c>
      <c r="AZ44" s="6">
        <f>'Delta-Adj'!J94</f>
        <v>0.0</v>
      </c>
      <c r="BA44" s="6">
        <f>'Delta-Adj'!K94</f>
        <v>0.0</v>
      </c>
      <c r="BB44" s="6">
        <f>'Delta-Adj'!L94</f>
        <v>0.0</v>
      </c>
      <c r="BC44" s="6">
        <f>'Delta-Adj'!M94</f>
        <v>0.0</v>
      </c>
      <c r="BD44" s="6">
        <f>'Delta-Adj'!N94</f>
        <v>0.0</v>
      </c>
      <c r="BE44" s="6">
        <f>BD44</f>
        <v>0.0</v>
      </c>
      <c r="BG44" s="6">
        <f>C44+AE44+AS44</f>
        <v>-106.0</v>
      </c>
      <c r="BH44" s="6">
        <f>D44+AF44+AT44</f>
        <v>-102.0</v>
      </c>
      <c r="BI44" s="6">
        <f>E44+AG44+AU44</f>
        <v>-110.8</v>
      </c>
      <c r="BJ44" s="6">
        <f>F44+AH44+AV44</f>
        <v>-120.0</v>
      </c>
      <c r="BK44" s="6">
        <f>G44+AI44+AW44</f>
        <v>-107.8</v>
      </c>
      <c r="BL44" s="6">
        <f>H44+AJ44+AX44</f>
        <v>-112.4</v>
      </c>
      <c r="BM44" s="6">
        <f>I44+AK44+AY44</f>
        <v>-112.2</v>
      </c>
      <c r="BN44" s="6">
        <f>J44+AL44+AZ44</f>
        <v>-109.3</v>
      </c>
      <c r="BO44" s="6">
        <f>K44+AM44+BA44</f>
        <v>-108.6</v>
      </c>
      <c r="BP44" s="6">
        <f>L44+AN44+BB44</f>
        <v>-115.4</v>
      </c>
      <c r="BQ44" s="6">
        <f>M44+AO44+BC44</f>
        <v>-105.2</v>
      </c>
      <c r="BR44" s="6">
        <f>N44+AP44+BD44</f>
        <v>-112.5</v>
      </c>
      <c r="BS44" s="6">
        <f>BR44</f>
        <v>-112.5</v>
      </c>
    </row>
    <row r="45">
      <c r="B45" s="2" t="inlineStr">
        <is>
          <t>Total working capital</t>
        </is>
      </c>
      <c r="C45" s="6">
        <f>SUM(C40:C44)</f>
        <v>7970.700000000002</v>
      </c>
      <c r="D45" s="6">
        <f>SUM(D40:D44)</f>
        <v>7677.4000000000015</v>
      </c>
      <c r="E45" s="6">
        <f>SUM(E40:E44)</f>
        <v>8214.0</v>
      </c>
      <c r="F45" s="6">
        <f>SUM(F40:F44)</f>
        <v>9012.2</v>
      </c>
      <c r="G45" s="6">
        <f>SUM(G40:G44)</f>
        <v>7970.600000000001</v>
      </c>
      <c r="H45" s="6">
        <f>SUM(H40:H44)</f>
        <v>8036.5</v>
      </c>
      <c r="I45" s="6">
        <f>SUM(I40:I44)</f>
        <v>7750.500000000001</v>
      </c>
      <c r="J45" s="6">
        <f>SUM(J40:J44)</f>
        <v>7457.699999999999</v>
      </c>
      <c r="K45" s="6">
        <f>SUM(K40:K44)</f>
        <v>7210.799999999998</v>
      </c>
      <c r="L45" s="6">
        <f>SUM(L40:L44)</f>
        <v>7650.300000000002</v>
      </c>
      <c r="M45" s="6">
        <f>SUM(M40:M44)</f>
        <v>6994.000000000002</v>
      </c>
      <c r="N45" s="6">
        <f>SUM(N40:N44)</f>
        <v>7505.199999999999</v>
      </c>
      <c r="O45" s="6">
        <f>N45</f>
        <v>7505.199999999999</v>
      </c>
      <c r="Q45" s="6">
        <f>SUM(Q40:Q44)</f>
        <v>7970.700000000002</v>
      </c>
      <c r="R45" s="6">
        <f>SUM(R40:R44)</f>
        <v>7677.4000000000015</v>
      </c>
      <c r="S45" s="6">
        <f>SUM(S40:S44)</f>
        <v>8214.0</v>
      </c>
      <c r="T45" s="6">
        <f>SUM(T40:T44)</f>
        <v>9012.2</v>
      </c>
      <c r="U45" s="6">
        <f>SUM(U40:U44)</f>
        <v>7970.600000000001</v>
      </c>
      <c r="V45" s="6">
        <f>SUM(V40:V44)</f>
        <v>8036.5</v>
      </c>
      <c r="W45" s="6">
        <f>SUM(W40:W44)</f>
        <v>7750.500000000001</v>
      </c>
      <c r="X45" s="6">
        <f>SUM(X40:X44)</f>
        <v>7457.699999999999</v>
      </c>
      <c r="Y45" s="6">
        <f>SUM(Y40:Y44)</f>
        <v>7210.799999999998</v>
      </c>
      <c r="Z45" s="6">
        <f>SUM(Z40:Z44)</f>
        <v>7650.300000000002</v>
      </c>
      <c r="AA45" s="6">
        <f>SUM(AA40:AA44)</f>
        <v>6994.000000000002</v>
      </c>
      <c r="AB45" s="6">
        <f>SUM(AB40:AB44)</f>
        <v>7505.199999999999</v>
      </c>
      <c r="AC45" s="6">
        <f>AB45</f>
        <v>7505.199999999999</v>
      </c>
      <c r="AE45" s="6">
        <f>SUM(AE40:AE44)</f>
        <v>0.0</v>
      </c>
      <c r="AF45" s="6">
        <f>SUM(AF40:AF44)</f>
        <v>0.0</v>
      </c>
      <c r="AG45" s="6">
        <f>SUM(AG40:AG44)</f>
        <v>0.0</v>
      </c>
      <c r="AH45" s="6">
        <f>SUM(AH40:AH44)</f>
        <v>0.0</v>
      </c>
      <c r="AI45" s="6">
        <f>SUM(AI40:AI44)</f>
        <v>0.0</v>
      </c>
      <c r="AJ45" s="6">
        <f>SUM(AJ40:AJ44)</f>
        <v>0.0</v>
      </c>
      <c r="AK45" s="6">
        <f>SUM(AK40:AK44)</f>
        <v>0.0</v>
      </c>
      <c r="AL45" s="6">
        <f>SUM(AL40:AL44)</f>
        <v>0.0</v>
      </c>
      <c r="AM45" s="6">
        <f>SUM(AM40:AM44)</f>
        <v>0.0</v>
      </c>
      <c r="AN45" s="6">
        <f>SUM(AN40:AN44)</f>
        <v>0.0</v>
      </c>
      <c r="AO45" s="6">
        <f>SUM(AO40:AO44)</f>
        <v>0.0</v>
      </c>
      <c r="AP45" s="6">
        <f>SUM(AP40:AP44)</f>
        <v>0.0</v>
      </c>
      <c r="AQ45" s="6">
        <f>AP45</f>
        <v>0.0</v>
      </c>
      <c r="AS45" s="6">
        <f>SUM(AS40:AS44)</f>
        <v>0.0</v>
      </c>
      <c r="AT45" s="6">
        <f>SUM(AT40:AT44)</f>
        <v>0.0</v>
      </c>
      <c r="AU45" s="6">
        <f>SUM(AU40:AU44)</f>
        <v>0.0</v>
      </c>
      <c r="AV45" s="6">
        <f>SUM(AV40:AV44)</f>
        <v>0.0</v>
      </c>
      <c r="AW45" s="6">
        <f>SUM(AW40:AW44)</f>
        <v>0.0</v>
      </c>
      <c r="AX45" s="6">
        <f>SUM(AX40:AX44)</f>
        <v>0.0</v>
      </c>
      <c r="AY45" s="6">
        <f>SUM(AY40:AY44)</f>
        <v>0.0</v>
      </c>
      <c r="AZ45" s="6">
        <f>SUM(AZ40:AZ44)</f>
        <v>0.0</v>
      </c>
      <c r="BA45" s="6">
        <f>SUM(BA40:BA44)</f>
        <v>0.0</v>
      </c>
      <c r="BB45" s="6">
        <f>SUM(BB40:BB44)</f>
        <v>0.0</v>
      </c>
      <c r="BC45" s="6">
        <f>SUM(BC40:BC44)</f>
        <v>0.0</v>
      </c>
      <c r="BD45" s="6">
        <f>SUM(BD40:BD44)</f>
        <v>0.0</v>
      </c>
      <c r="BE45" s="6">
        <f>BD45</f>
        <v>0.0</v>
      </c>
      <c r="BG45" s="6">
        <f>SUM(BG40:BG44)</f>
        <v>7970.700000000002</v>
      </c>
      <c r="BH45" s="6">
        <f>SUM(BH40:BH44)</f>
        <v>7677.4000000000015</v>
      </c>
      <c r="BI45" s="6">
        <f>SUM(BI40:BI44)</f>
        <v>8214.0</v>
      </c>
      <c r="BJ45" s="6">
        <f>SUM(BJ40:BJ44)</f>
        <v>9012.2</v>
      </c>
      <c r="BK45" s="6">
        <f>SUM(BK40:BK44)</f>
        <v>7970.600000000001</v>
      </c>
      <c r="BL45" s="6">
        <f>SUM(BL40:BL44)</f>
        <v>8036.5</v>
      </c>
      <c r="BM45" s="6">
        <f>SUM(BM40:BM44)</f>
        <v>7750.500000000001</v>
      </c>
      <c r="BN45" s="6">
        <f>SUM(BN40:BN44)</f>
        <v>7457.699999999999</v>
      </c>
      <c r="BO45" s="6">
        <f>SUM(BO40:BO44)</f>
        <v>7210.799999999998</v>
      </c>
      <c r="BP45" s="6">
        <f>SUM(BP40:BP44)</f>
        <v>7650.300000000002</v>
      </c>
      <c r="BQ45" s="6">
        <f>SUM(BQ40:BQ44)</f>
        <v>6994.000000000002</v>
      </c>
      <c r="BR45" s="6">
        <f>SUM(BR40:BR44)</f>
        <v>7505.199999999999</v>
      </c>
      <c r="BS45" s="6">
        <f>BR45</f>
        <v>7505.199999999999</v>
      </c>
    </row>
    <row r="46">
      <c r="B46" s="5" t="inlineStr">
        <is>
          <t>Working capital/sales (monthly)</t>
        </is>
      </c>
      <c r="C46" s="12">
        <f>IFERROR(C45/(C28*12),0)</f>
        <v>0.18802723206703284</v>
      </c>
      <c r="D46" s="12">
        <f>IFERROR(D45/(D28*12),0)</f>
        <v>0.1880996481737375</v>
      </c>
      <c r="E46" s="12">
        <f>IFERROR(E45/(E28*12),0)</f>
        <v>0.18537074148296595</v>
      </c>
      <c r="F46" s="12">
        <f>IFERROR(F45/(F28*12),0)</f>
        <v>0.18769785730947386</v>
      </c>
      <c r="G46" s="12">
        <f>IFERROR(G45/(G28*12),0)</f>
        <v>0.1847663820041355</v>
      </c>
      <c r="H46" s="12">
        <f>IFERROR(H45/(H28*12),0)</f>
        <v>0.1788177756417103</v>
      </c>
      <c r="I46" s="12">
        <f>IFERROR(I45/(I28*12),0)</f>
        <v>0.17262922970011227</v>
      </c>
      <c r="J46" s="12">
        <f>IFERROR(J45/(J28*12),0)</f>
        <v>0.17058024318612242</v>
      </c>
      <c r="K46" s="12">
        <f>IFERROR(K45/(K28*12),0)</f>
        <v>0.16595779938135213</v>
      </c>
      <c r="L46" s="12">
        <f>IFERROR(L45/(L28*12),0)</f>
        <v>0.1657458922628952</v>
      </c>
      <c r="M46" s="12">
        <f>IFERROR(M45/(M28*12),0)</f>
        <v>0.1662435703623416</v>
      </c>
      <c r="N46" s="12">
        <f>IFERROR(N45/(N28*12),0)</f>
        <v>0.1668000142237394</v>
      </c>
      <c r="Q46" s="12">
        <f>IFERROR(Q45/(Q28*12),0)</f>
        <v>0.18802723206703284</v>
      </c>
      <c r="R46" s="12">
        <f>IFERROR(R45/(R28*12),0)</f>
        <v>0.1880996481737375</v>
      </c>
      <c r="S46" s="12">
        <f>IFERROR(S45/(S28*12),0)</f>
        <v>0.18537074148296595</v>
      </c>
      <c r="T46" s="12">
        <f>IFERROR(T45/(T28*12),0)</f>
        <v>0.18769785730947386</v>
      </c>
      <c r="U46" s="12">
        <f>IFERROR(U45/(U28*12),0)</f>
        <v>0.1847663820041355</v>
      </c>
      <c r="V46" s="12">
        <f>IFERROR(V45/(V28*12),0)</f>
        <v>0.1788177756417103</v>
      </c>
      <c r="W46" s="12">
        <f>IFERROR(W45/(W28*12),0)</f>
        <v>0.17262922970011227</v>
      </c>
      <c r="X46" s="12">
        <f>IFERROR(X45/(X28*12),0)</f>
        <v>0.17058024318612242</v>
      </c>
      <c r="Y46" s="12">
        <f>IFERROR(Y45/(Y28*12),0)</f>
        <v>0.16595779938135213</v>
      </c>
      <c r="Z46" s="12">
        <f>IFERROR(Z45/(Z28*12),0)</f>
        <v>0.1657458922628952</v>
      </c>
      <c r="AA46" s="12">
        <f>IFERROR(AA45/(AA28*12),0)</f>
        <v>0.1662435703623416</v>
      </c>
      <c r="AB46" s="12">
        <f>IFERROR(AB45/(AB28*12),0)</f>
        <v>0.1668000142237394</v>
      </c>
      <c r="AE46" s="12">
        <f>IFERROR(AE45/(AE28*12),0)</f>
        <v>0.0</v>
      </c>
      <c r="AF46" s="12">
        <f>IFERROR(AF45/(AF28*12),0)</f>
        <v>0.0</v>
      </c>
      <c r="AG46" s="12">
        <f>IFERROR(AG45/(AG28*12),0)</f>
        <v>0.0</v>
      </c>
      <c r="AH46" s="12">
        <f>IFERROR(AH45/(AH28*12),0)</f>
        <v>0.0</v>
      </c>
      <c r="AI46" s="12">
        <f>IFERROR(AI45/(AI28*12),0)</f>
        <v>0.0</v>
      </c>
      <c r="AJ46" s="12">
        <f>IFERROR(AJ45/(AJ28*12),0)</f>
        <v>0.0</v>
      </c>
      <c r="AK46" s="12">
        <f>IFERROR(AK45/(AK28*12),0)</f>
        <v>0.0</v>
      </c>
      <c r="AL46" s="12">
        <f>IFERROR(AL45/(AL28*12),0)</f>
        <v>0.0</v>
      </c>
      <c r="AM46" s="12">
        <f>IFERROR(AM45/(AM28*12),0)</f>
        <v>0.0</v>
      </c>
      <c r="AN46" s="12">
        <f>IFERROR(AN45/(AN28*12),0)</f>
        <v>0.0</v>
      </c>
      <c r="AO46" s="12">
        <f>IFERROR(AO45/(AO28*12),0)</f>
        <v>0.0</v>
      </c>
      <c r="AP46" s="12">
        <f>IFERROR(AP45/(AP28*12),0)</f>
        <v>0.0</v>
      </c>
      <c r="AS46" s="12">
        <f>IFERROR(AS45/(AS28*12),0)</f>
        <v>0.0</v>
      </c>
      <c r="AT46" s="12">
        <f>IFERROR(AT45/(AT28*12),0)</f>
        <v>0.0</v>
      </c>
      <c r="AU46" s="12">
        <f>IFERROR(AU45/(AU28*12),0)</f>
        <v>0.0</v>
      </c>
      <c r="AV46" s="12">
        <f>IFERROR(AV45/(AV28*12),0)</f>
        <v>0.0</v>
      </c>
      <c r="AW46" s="12">
        <f>IFERROR(AW45/(AW28*12),0)</f>
        <v>0.0</v>
      </c>
      <c r="AX46" s="12">
        <f>IFERROR(AX45/(AX28*12),0)</f>
        <v>0.0</v>
      </c>
      <c r="AY46" s="12">
        <f>IFERROR(AY45/(AY28*12),0)</f>
        <v>0.0</v>
      </c>
      <c r="AZ46" s="12">
        <f>IFERROR(AZ45/(AZ28*12),0)</f>
        <v>0.0</v>
      </c>
      <c r="BA46" s="12">
        <f>IFERROR(BA45/(BA28*12),0)</f>
        <v>0.0</v>
      </c>
      <c r="BB46" s="12">
        <f>IFERROR(BB45/(BB28*12),0)</f>
        <v>0.0</v>
      </c>
      <c r="BC46" s="12">
        <f>IFERROR(BC45/(BC28*12),0)</f>
        <v>0.0</v>
      </c>
      <c r="BD46" s="12">
        <f>IFERROR(BD45/(BD28*12),0)</f>
        <v>0.0</v>
      </c>
      <c r="BG46" s="12">
        <f>IFERROR(BG45/(BG28*12),0)</f>
        <v>0.18802723206703284</v>
      </c>
      <c r="BH46" s="12">
        <f>IFERROR(BH45/(BH28*12),0)</f>
        <v>0.1880996481737375</v>
      </c>
      <c r="BI46" s="12">
        <f>IFERROR(BI45/(BI28*12),0)</f>
        <v>0.18537074148296595</v>
      </c>
      <c r="BJ46" s="12">
        <f>IFERROR(BJ45/(BJ28*12),0)</f>
        <v>0.18769785730947386</v>
      </c>
      <c r="BK46" s="12">
        <f>IFERROR(BK45/(BK28*12),0)</f>
        <v>0.1847663820041355</v>
      </c>
      <c r="BL46" s="12">
        <f>IFERROR(BL45/(BL28*12),0)</f>
        <v>0.1788177756417103</v>
      </c>
      <c r="BM46" s="12">
        <f>IFERROR(BM45/(BM28*12),0)</f>
        <v>0.17262922970011227</v>
      </c>
      <c r="BN46" s="12">
        <f>IFERROR(BN45/(BN28*12),0)</f>
        <v>0.17058024318612242</v>
      </c>
      <c r="BO46" s="12">
        <f>IFERROR(BO45/(BO28*12),0)</f>
        <v>0.16595779938135213</v>
      </c>
      <c r="BP46" s="12">
        <f>IFERROR(BP45/(BP28*12),0)</f>
        <v>0.1657458922628952</v>
      </c>
      <c r="BQ46" s="12">
        <f>IFERROR(BQ45/(BQ28*12),0)</f>
        <v>0.1662435703623416</v>
      </c>
      <c r="BR46" s="12">
        <f>IFERROR(BR45/(BR28*12),0)</f>
        <v>0.1668000142237394</v>
      </c>
    </row>
    <row r="49">
      <c r="B49" s="8" t="inlineStr">
        <is>
          <t>Budget 2026</t>
        </is>
      </c>
    </row>
    <row r="50">
      <c r="C50" s="20" t="inlineStr">
        <is>
          <t>January</t>
        </is>
      </c>
      <c r="D50" s="20" t="inlineStr">
        <is>
          <t>February</t>
        </is>
      </c>
      <c r="E50" s="20" t="inlineStr">
        <is>
          <t>March</t>
        </is>
      </c>
      <c r="F50" s="20" t="inlineStr">
        <is>
          <t>April</t>
        </is>
      </c>
      <c r="G50" s="20" t="inlineStr">
        <is>
          <t>May</t>
        </is>
      </c>
      <c r="H50" s="20" t="inlineStr">
        <is>
          <t>June</t>
        </is>
      </c>
      <c r="I50" s="20" t="inlineStr">
        <is>
          <t>July</t>
        </is>
      </c>
      <c r="J50" s="20" t="inlineStr">
        <is>
          <t>August</t>
        </is>
      </c>
      <c r="K50" s="20" t="inlineStr">
        <is>
          <t>September</t>
        </is>
      </c>
      <c r="L50" s="20" t="inlineStr">
        <is>
          <t>October</t>
        </is>
      </c>
      <c r="M50" s="20" t="inlineStr">
        <is>
          <t>November</t>
        </is>
      </c>
      <c r="N50" s="20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6" t="n">
        <v>3562.5</v>
      </c>
      <c r="D51" s="6" t="n">
        <v>3487.4</v>
      </c>
      <c r="E51" s="6" t="n">
        <v>3749.9</v>
      </c>
      <c r="F51" s="6" t="n">
        <v>4050</v>
      </c>
      <c r="G51" s="6" t="n">
        <v>3674.9</v>
      </c>
      <c r="H51" s="6" t="n">
        <v>3862.5</v>
      </c>
      <c r="I51" s="6" t="n">
        <v>3825</v>
      </c>
      <c r="J51" s="6" t="n">
        <v>3750</v>
      </c>
      <c r="K51" s="6" t="n">
        <v>3675.1</v>
      </c>
      <c r="L51" s="6" t="n">
        <v>3937.6</v>
      </c>
      <c r="M51" s="6" t="n">
        <v>3562.5</v>
      </c>
      <c r="N51" s="6" t="n">
        <v>3862.4</v>
      </c>
      <c r="O51" s="6">
        <f>SUM(C51:N51)</f>
        <v>44999.8</v>
      </c>
    </row>
    <row r="52">
      <c r="B52" t="inlineStr">
        <is>
          <t>Gross Margin</t>
        </is>
      </c>
      <c r="C52" s="6" t="n">
        <v>1175.7</v>
      </c>
      <c r="D52" s="6" t="n">
        <v>1150.8</v>
      </c>
      <c r="E52" s="6" t="n">
        <v>1237.3</v>
      </c>
      <c r="F52" s="6" t="n">
        <v>1336.4</v>
      </c>
      <c r="G52" s="6" t="n">
        <v>1212.8</v>
      </c>
      <c r="H52" s="6" t="n">
        <v>1274.6</v>
      </c>
      <c r="I52" s="6" t="n">
        <v>1262.2</v>
      </c>
      <c r="J52" s="6" t="n">
        <v>1237.5</v>
      </c>
      <c r="K52" s="6" t="n">
        <v>1212.9</v>
      </c>
      <c r="L52" s="6" t="n">
        <v>1299.6</v>
      </c>
      <c r="M52" s="6" t="n">
        <v>1175.7</v>
      </c>
      <c r="N52" s="6" t="n">
        <v>1274.6</v>
      </c>
      <c r="O52" s="6">
        <f>SUM(C52:N52)</f>
        <v>14850.100000000002</v>
      </c>
    </row>
    <row r="53">
      <c r="B53" t="inlineStr">
        <is>
          <t>Op Costs</t>
        </is>
      </c>
      <c r="C53" s="6" t="n">
        <v>-808.7</v>
      </c>
      <c r="D53" s="6" t="n">
        <v>-791.9</v>
      </c>
      <c r="E53" s="6" t="n">
        <v>-851.3</v>
      </c>
      <c r="F53" s="6" t="n">
        <v>-919.5</v>
      </c>
      <c r="G53" s="6" t="n">
        <v>-834.5</v>
      </c>
      <c r="H53" s="6" t="n">
        <v>-877</v>
      </c>
      <c r="I53" s="6" t="n">
        <v>-868</v>
      </c>
      <c r="J53" s="6" t="n">
        <v>-851.3</v>
      </c>
      <c r="K53" s="6" t="n">
        <v>-834.5</v>
      </c>
      <c r="L53" s="6" t="n">
        <v>-893.8</v>
      </c>
      <c r="M53" s="6" t="n">
        <v>-808.7</v>
      </c>
      <c r="N53" s="6" t="n">
        <v>-877</v>
      </c>
      <c r="O53" s="6">
        <f>SUM(C53:N53)</f>
        <v>-10216.2</v>
      </c>
    </row>
    <row r="54">
      <c r="B54" t="inlineStr">
        <is>
          <t>PBITA</t>
        </is>
      </c>
      <c r="C54" s="6">
        <f>C52+C53</f>
        <v>367.0</v>
      </c>
      <c r="D54" s="6">
        <f>D52+D53</f>
        <v>358.9</v>
      </c>
      <c r="E54" s="6">
        <f>E52+E53</f>
        <v>386.0</v>
      </c>
      <c r="F54" s="6">
        <f>F52+F53</f>
        <v>416.9000000000001</v>
      </c>
      <c r="G54" s="6">
        <f>G52+G53</f>
        <v>378.29999999999995</v>
      </c>
      <c r="H54" s="6">
        <f>H52+H53</f>
        <v>397.5999999999999</v>
      </c>
      <c r="I54" s="6">
        <f>I52+I53</f>
        <v>394.20000000000005</v>
      </c>
      <c r="J54" s="6">
        <f>J52+J53</f>
        <v>386.20000000000005</v>
      </c>
      <c r="K54" s="6">
        <f>K52+K53</f>
        <v>378.4000000000001</v>
      </c>
      <c r="L54" s="6">
        <f>L52+L53</f>
        <v>405.79999999999995</v>
      </c>
      <c r="M54" s="6">
        <f>M52+M53</f>
        <v>367.0</v>
      </c>
      <c r="N54" s="6">
        <f>N52+N53</f>
        <v>397.5999999999999</v>
      </c>
      <c r="O54" s="6">
        <f>SUM(C54:N54)</f>
        <v>4633.9</v>
      </c>
    </row>
    <row r="55">
      <c r="B55" t="inlineStr">
        <is>
          <t>Net Inventory</t>
        </is>
      </c>
      <c r="C55" s="6" t="n">
        <v>5988.3</v>
      </c>
      <c r="D55" s="6" t="n">
        <v>5855.1</v>
      </c>
      <c r="E55" s="6" t="n">
        <v>6281.4</v>
      </c>
      <c r="F55" s="6" t="n">
        <v>6781.6</v>
      </c>
      <c r="G55" s="6" t="n">
        <v>6268.7</v>
      </c>
      <c r="H55" s="6" t="n">
        <v>6588.7</v>
      </c>
      <c r="I55" s="6" t="n">
        <v>6383</v>
      </c>
      <c r="J55" s="6" t="n">
        <v>6335.6</v>
      </c>
      <c r="K55" s="6" t="n">
        <v>6216.6</v>
      </c>
      <c r="L55" s="6" t="n">
        <v>6595.9</v>
      </c>
      <c r="M55" s="6" t="n">
        <v>6150.3</v>
      </c>
      <c r="N55" s="6" t="n">
        <v>6575.4</v>
      </c>
      <c r="O55" s="6">
        <f>N55</f>
        <v>6575.4</v>
      </c>
    </row>
    <row r="56">
      <c r="B56" t="inlineStr">
        <is>
          <t>Trade Receivables</t>
        </is>
      </c>
      <c r="C56" s="6" t="n">
        <v>5343.8</v>
      </c>
      <c r="D56" s="6" t="n">
        <v>5231.1</v>
      </c>
      <c r="E56" s="6" t="n">
        <v>5624.9</v>
      </c>
      <c r="F56" s="6" t="n">
        <v>6075</v>
      </c>
      <c r="G56" s="6" t="n">
        <v>5512.4</v>
      </c>
      <c r="H56" s="6" t="n">
        <v>5793.8</v>
      </c>
      <c r="I56" s="6" t="n">
        <v>5737.5</v>
      </c>
      <c r="J56" s="6" t="n">
        <v>5625</v>
      </c>
      <c r="K56" s="6" t="n">
        <v>5512.6</v>
      </c>
      <c r="L56" s="6" t="n">
        <v>5906.4</v>
      </c>
      <c r="M56" s="6" t="n">
        <v>5343.8</v>
      </c>
      <c r="N56" s="6" t="n">
        <v>5793.6</v>
      </c>
      <c r="O56" s="6">
        <f>N56</f>
        <v>5793.6</v>
      </c>
    </row>
    <row r="57">
      <c r="B57" t="inlineStr">
        <is>
          <t>Other Receivables</t>
        </is>
      </c>
      <c r="C57" s="6" t="n">
        <v>53.4</v>
      </c>
      <c r="D57" s="6" t="n">
        <v>52.3</v>
      </c>
      <c r="E57" s="6" t="n">
        <v>56.2</v>
      </c>
      <c r="F57" s="6" t="n">
        <v>60.8</v>
      </c>
      <c r="G57" s="6" t="n">
        <v>55.1</v>
      </c>
      <c r="H57" s="6" t="n">
        <v>57.9</v>
      </c>
      <c r="I57" s="6" t="n">
        <v>57.4</v>
      </c>
      <c r="J57" s="6" t="n">
        <v>56.2</v>
      </c>
      <c r="K57" s="6" t="n">
        <v>55.1</v>
      </c>
      <c r="L57" s="6" t="n">
        <v>59.1</v>
      </c>
      <c r="M57" s="6" t="n">
        <v>53.4</v>
      </c>
      <c r="N57" s="6" t="n">
        <v>57.9</v>
      </c>
      <c r="O57" s="6">
        <f>N57</f>
        <v>57.9</v>
      </c>
    </row>
    <row r="58">
      <c r="B58" t="inlineStr">
        <is>
          <t>Trade Payables</t>
        </is>
      </c>
      <c r="C58" s="6" t="n">
        <v>-3341.5</v>
      </c>
      <c r="D58" s="6" t="n">
        <v>-3271.2</v>
      </c>
      <c r="E58" s="6" t="n">
        <v>-3517.6</v>
      </c>
      <c r="F58" s="6" t="n">
        <v>-3799</v>
      </c>
      <c r="G58" s="6" t="n">
        <v>-3446.9</v>
      </c>
      <c r="H58" s="6" t="n">
        <v>-3623.1</v>
      </c>
      <c r="I58" s="6" t="n">
        <v>-3587.9</v>
      </c>
      <c r="J58" s="6" t="n">
        <v>-3517.5</v>
      </c>
      <c r="K58" s="6" t="n">
        <v>-3447.1</v>
      </c>
      <c r="L58" s="6" t="n">
        <v>-3693.2</v>
      </c>
      <c r="M58" s="6" t="n">
        <v>-3341.5</v>
      </c>
      <c r="N58" s="6" t="n">
        <v>-3622.9</v>
      </c>
      <c r="O58" s="6">
        <f>N58</f>
        <v>-3622.9</v>
      </c>
    </row>
    <row r="59">
      <c r="B59" t="inlineStr">
        <is>
          <t>Other Payables</t>
        </is>
      </c>
      <c r="C59" s="6" t="n">
        <v>-106.9</v>
      </c>
      <c r="D59" s="6" t="n">
        <v>-104.6</v>
      </c>
      <c r="E59" s="6" t="n">
        <v>-112.5</v>
      </c>
      <c r="F59" s="6" t="n">
        <v>-121.5</v>
      </c>
      <c r="G59" s="6" t="n">
        <v>-110.2</v>
      </c>
      <c r="H59" s="6" t="n">
        <v>-115.9</v>
      </c>
      <c r="I59" s="6" t="n">
        <v>-114.8</v>
      </c>
      <c r="J59" s="6" t="n">
        <v>-112.5</v>
      </c>
      <c r="K59" s="6" t="n">
        <v>-110.3</v>
      </c>
      <c r="L59" s="6" t="n">
        <v>-118.1</v>
      </c>
      <c r="M59" s="6" t="n">
        <v>-106.9</v>
      </c>
      <c r="N59" s="6" t="n">
        <v>-115.9</v>
      </c>
      <c r="O59" s="6">
        <f>N59</f>
        <v>-115.9</v>
      </c>
    </row>
    <row r="60">
      <c r="B60" t="inlineStr">
        <is>
          <t>Total working capital</t>
        </is>
      </c>
      <c r="C60" s="6">
        <f>SUM(C55:C59)</f>
        <v>7937.1</v>
      </c>
      <c r="D60" s="6">
        <f>SUM(D55:D59)</f>
        <v>7762.7</v>
      </c>
      <c r="E60" s="6">
        <f>SUM(E55:E59)</f>
        <v>8332.4</v>
      </c>
      <c r="F60" s="6">
        <f>SUM(F55:F59)</f>
        <v>8996.9</v>
      </c>
      <c r="G60" s="6">
        <f>SUM(G55:G59)</f>
        <v>8279.099999999999</v>
      </c>
      <c r="H60" s="6">
        <f>SUM(H55:H59)</f>
        <v>8701.4</v>
      </c>
      <c r="I60" s="6">
        <f>SUM(I55:I59)</f>
        <v>8475.2</v>
      </c>
      <c r="J60" s="6">
        <f>SUM(J55:J59)</f>
        <v>8386.800000000001</v>
      </c>
      <c r="K60" s="6">
        <f>SUM(K55:K59)</f>
        <v>8226.900000000001</v>
      </c>
      <c r="L60" s="6">
        <f>SUM(L55:L59)</f>
        <v>8750.1</v>
      </c>
      <c r="M60" s="6">
        <f>SUM(M55:M59)</f>
        <v>8099.1</v>
      </c>
      <c r="N60" s="6">
        <f>SUM(N55:N59)</f>
        <v>8688.1</v>
      </c>
      <c r="O60" s="6">
        <f>N60</f>
        <v>8688.1</v>
      </c>
    </row>
    <row r="62">
      <c r="B62" s="8" t="inlineStr">
        <is>
          <t>2025 Actual</t>
        </is>
      </c>
    </row>
    <row r="63">
      <c r="C63" s="20" t="inlineStr">
        <is>
          <t>January</t>
        </is>
      </c>
      <c r="D63" s="20" t="inlineStr">
        <is>
          <t>February</t>
        </is>
      </c>
      <c r="E63" s="20" t="inlineStr">
        <is>
          <t>March</t>
        </is>
      </c>
      <c r="F63" s="20" t="inlineStr">
        <is>
          <t>April</t>
        </is>
      </c>
      <c r="G63" s="20" t="inlineStr">
        <is>
          <t>May</t>
        </is>
      </c>
      <c r="H63" s="20" t="inlineStr">
        <is>
          <t>June</t>
        </is>
      </c>
      <c r="I63" s="20" t="inlineStr">
        <is>
          <t>July</t>
        </is>
      </c>
      <c r="J63" s="20" t="inlineStr">
        <is>
          <t>August</t>
        </is>
      </c>
      <c r="K63" s="20" t="inlineStr">
        <is>
          <t>September</t>
        </is>
      </c>
      <c r="L63" s="20" t="inlineStr">
        <is>
          <t>October</t>
        </is>
      </c>
      <c r="M63" s="20" t="inlineStr">
        <is>
          <t>November</t>
        </is>
      </c>
      <c r="N63" s="20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6" t="n">
        <v>3500.5</v>
      </c>
      <c r="D64" s="6" t="n">
        <v>3375.8</v>
      </c>
      <c r="E64" s="6" t="n">
        <v>3639.8</v>
      </c>
      <c r="F64" s="6" t="n">
        <v>3863.5</v>
      </c>
      <c r="G64" s="6" t="n">
        <v>3546.4</v>
      </c>
      <c r="H64" s="6" t="n">
        <v>3680.5</v>
      </c>
      <c r="I64" s="6" t="n">
        <v>3768.6</v>
      </c>
      <c r="J64" s="6" t="n">
        <v>3602.5</v>
      </c>
      <c r="K64" s="6" t="n">
        <v>3608.9</v>
      </c>
      <c r="L64" s="6" t="n">
        <v>3889</v>
      </c>
      <c r="M64" s="6" t="n">
        <v>3526.2</v>
      </c>
      <c r="N64" s="6" t="n">
        <v>3678.3</v>
      </c>
      <c r="O64" s="6">
        <f>SUM(C64:N64)</f>
        <v>43680.0</v>
      </c>
    </row>
    <row r="65">
      <c r="B65" t="inlineStr">
        <is>
          <t>Gross Margin</t>
        </is>
      </c>
      <c r="C65" s="6" t="n">
        <v>1164</v>
      </c>
      <c r="D65" s="6" t="n">
        <v>1109</v>
      </c>
      <c r="E65" s="6" t="n">
        <v>1218.4</v>
      </c>
      <c r="F65" s="6" t="n">
        <v>1289.3</v>
      </c>
      <c r="G65" s="6" t="n">
        <v>1167.8</v>
      </c>
      <c r="H65" s="6" t="n">
        <v>1217.9</v>
      </c>
      <c r="I65" s="6" t="n">
        <v>1259.4</v>
      </c>
      <c r="J65" s="6" t="n">
        <v>1192.9</v>
      </c>
      <c r="K65" s="6" t="n">
        <v>1199.6</v>
      </c>
      <c r="L65" s="6" t="n">
        <v>1272.7</v>
      </c>
      <c r="M65" s="6" t="n">
        <v>1170.7</v>
      </c>
      <c r="N65" s="6" t="n">
        <v>1217</v>
      </c>
      <c r="O65" s="6">
        <f>SUM(C65:N65)</f>
        <v>14478.7</v>
      </c>
    </row>
    <row r="66">
      <c r="B66" t="inlineStr">
        <is>
          <t>Op Costs</t>
        </is>
      </c>
      <c r="C66" s="6" t="n">
        <v>-798.3</v>
      </c>
      <c r="D66" s="6" t="n">
        <v>-776.9</v>
      </c>
      <c r="E66" s="6" t="n">
        <v>-839.8</v>
      </c>
      <c r="F66" s="6" t="n">
        <v>-897.9</v>
      </c>
      <c r="G66" s="6" t="n">
        <v>-822.2</v>
      </c>
      <c r="H66" s="6" t="n">
        <v>-865</v>
      </c>
      <c r="I66" s="6" t="n">
        <v>-846.8</v>
      </c>
      <c r="J66" s="6" t="n">
        <v>-831.6</v>
      </c>
      <c r="K66" s="6" t="n">
        <v>-825.9</v>
      </c>
      <c r="L66" s="6" t="n">
        <v>-880.3</v>
      </c>
      <c r="M66" s="6" t="n">
        <v>-796.1</v>
      </c>
      <c r="N66" s="6" t="n">
        <v>-860.2</v>
      </c>
      <c r="O66" s="6">
        <f>SUM(C66:N66)</f>
        <v>-10041.000000000002</v>
      </c>
    </row>
    <row r="67">
      <c r="B67" t="inlineStr">
        <is>
          <t>PBITA</t>
        </is>
      </c>
      <c r="C67" s="6">
        <f>C65+C66</f>
        <v>365.70000000000005</v>
      </c>
      <c r="D67" s="6">
        <f>D65+D66</f>
        <v>332.1</v>
      </c>
      <c r="E67" s="6">
        <f>E65+E66</f>
        <v>378.60000000000014</v>
      </c>
      <c r="F67" s="6">
        <f>F65+F66</f>
        <v>391.4</v>
      </c>
      <c r="G67" s="6">
        <f>G65+G66</f>
        <v>345.5999999999999</v>
      </c>
      <c r="H67" s="6">
        <f>H65+H66</f>
        <v>352.9000000000001</v>
      </c>
      <c r="I67" s="6">
        <f>I65+I66</f>
        <v>412.60000000000014</v>
      </c>
      <c r="J67" s="6">
        <f>J65+J66</f>
        <v>361.30000000000007</v>
      </c>
      <c r="K67" s="6">
        <f>K65+K66</f>
        <v>373.69999999999993</v>
      </c>
      <c r="L67" s="6">
        <f>L65+L66</f>
        <v>392.4000000000001</v>
      </c>
      <c r="M67" s="6">
        <f>M65+M66</f>
        <v>374.6</v>
      </c>
      <c r="N67" s="6">
        <f>N65+N66</f>
        <v>356.79999999999995</v>
      </c>
      <c r="O67" s="6">
        <f>SUM(C67:N67)</f>
        <v>4437.700000000001</v>
      </c>
    </row>
    <row r="68">
      <c r="B68" t="inlineStr">
        <is>
          <t>Net Inventory</t>
        </is>
      </c>
      <c r="C68" s="6" t="n">
        <v>6571.8</v>
      </c>
      <c r="D68" s="6" t="n">
        <v>6315.1</v>
      </c>
      <c r="E68" s="6" t="n">
        <v>6891.4</v>
      </c>
      <c r="F68" s="6" t="n">
        <v>7202.2</v>
      </c>
      <c r="G68" s="6" t="n">
        <v>6556.7</v>
      </c>
      <c r="H68" s="6" t="n">
        <v>6981.8</v>
      </c>
      <c r="I68" s="6" t="n">
        <v>7071.3</v>
      </c>
      <c r="J68" s="6" t="n">
        <v>6620.2</v>
      </c>
      <c r="K68" s="6" t="n">
        <v>6848.3</v>
      </c>
      <c r="L68" s="6" t="n">
        <v>7456.4</v>
      </c>
      <c r="M68" s="6" t="n">
        <v>6510.5</v>
      </c>
      <c r="N68" s="6" t="n">
        <v>6860.4</v>
      </c>
      <c r="O68" s="6">
        <f>N68</f>
        <v>6860.4</v>
      </c>
    </row>
    <row r="69">
      <c r="B69" t="inlineStr">
        <is>
          <t>Trade Receivables</t>
        </is>
      </c>
      <c r="C69" s="6" t="n">
        <v>5367.4</v>
      </c>
      <c r="D69" s="6" t="n">
        <v>5176.2</v>
      </c>
      <c r="E69" s="6" t="n">
        <v>5581</v>
      </c>
      <c r="F69" s="6" t="n">
        <v>5924</v>
      </c>
      <c r="G69" s="6" t="n">
        <v>5437.8</v>
      </c>
      <c r="H69" s="6" t="n">
        <v>5643.4</v>
      </c>
      <c r="I69" s="6" t="n">
        <v>5778.5</v>
      </c>
      <c r="J69" s="6" t="n">
        <v>5523.8</v>
      </c>
      <c r="K69" s="6" t="n">
        <v>5533.6</v>
      </c>
      <c r="L69" s="6" t="n">
        <v>5963.1</v>
      </c>
      <c r="M69" s="6" t="n">
        <v>5406.8</v>
      </c>
      <c r="N69" s="6" t="n">
        <v>5640.1</v>
      </c>
      <c r="O69" s="6">
        <f>N69</f>
        <v>5640.1</v>
      </c>
    </row>
    <row r="70">
      <c r="B70" t="inlineStr">
        <is>
          <t>Other Receivables</t>
        </is>
      </c>
      <c r="C70" s="6" t="n">
        <v>52.5</v>
      </c>
      <c r="D70" s="6" t="n">
        <v>50.6</v>
      </c>
      <c r="E70" s="6" t="n">
        <v>54.6</v>
      </c>
      <c r="F70" s="6" t="n">
        <v>58</v>
      </c>
      <c r="G70" s="6" t="n">
        <v>53.2</v>
      </c>
      <c r="H70" s="6" t="n">
        <v>55.2</v>
      </c>
      <c r="I70" s="6" t="n">
        <v>56.5</v>
      </c>
      <c r="J70" s="6" t="n">
        <v>54</v>
      </c>
      <c r="K70" s="6" t="n">
        <v>54.1</v>
      </c>
      <c r="L70" s="6" t="n">
        <v>58.3</v>
      </c>
      <c r="M70" s="6" t="n">
        <v>52.9</v>
      </c>
      <c r="N70" s="6" t="n">
        <v>55.2</v>
      </c>
      <c r="O70" s="6">
        <f>N70</f>
        <v>55.2</v>
      </c>
    </row>
    <row r="71">
      <c r="B71" t="inlineStr">
        <is>
          <t>Trade Payables</t>
        </is>
      </c>
      <c r="C71" s="6" t="n">
        <v>-3193.2</v>
      </c>
      <c r="D71" s="6" t="n">
        <v>-3098</v>
      </c>
      <c r="E71" s="6" t="n">
        <v>-3309.2</v>
      </c>
      <c r="F71" s="6" t="n">
        <v>-3518.1</v>
      </c>
      <c r="G71" s="6" t="n">
        <v>-3250.8</v>
      </c>
      <c r="H71" s="6" t="n">
        <v>-3365.6</v>
      </c>
      <c r="I71" s="6" t="n">
        <v>-3429.2</v>
      </c>
      <c r="J71" s="6" t="n">
        <v>-3293.1</v>
      </c>
      <c r="K71" s="6" t="n">
        <v>-3292.7</v>
      </c>
      <c r="L71" s="6" t="n">
        <v>-3575.6</v>
      </c>
      <c r="M71" s="6" t="n">
        <v>-3219.2</v>
      </c>
      <c r="N71" s="6" t="n">
        <v>-3363.8</v>
      </c>
      <c r="O71" s="6">
        <f>N71</f>
        <v>-3363.8</v>
      </c>
    </row>
    <row r="72">
      <c r="B72" t="inlineStr">
        <is>
          <t>Other Payables</t>
        </is>
      </c>
      <c r="C72" s="6" t="n">
        <v>-105</v>
      </c>
      <c r="D72" s="6" t="n">
        <v>-101.3</v>
      </c>
      <c r="E72" s="6" t="n">
        <v>-109.2</v>
      </c>
      <c r="F72" s="6" t="n">
        <v>-115.9</v>
      </c>
      <c r="G72" s="6" t="n">
        <v>-106.4</v>
      </c>
      <c r="H72" s="6" t="n">
        <v>-110.4</v>
      </c>
      <c r="I72" s="6" t="n">
        <v>-113.1</v>
      </c>
      <c r="J72" s="6" t="n">
        <v>-108.1</v>
      </c>
      <c r="K72" s="6" t="n">
        <v>-108.3</v>
      </c>
      <c r="L72" s="6" t="n">
        <v>-116.7</v>
      </c>
      <c r="M72" s="6" t="n">
        <v>-105.8</v>
      </c>
      <c r="N72" s="6" t="n">
        <v>-110.3</v>
      </c>
      <c r="O72" s="6">
        <f>N72</f>
        <v>-110.3</v>
      </c>
    </row>
    <row r="73">
      <c r="B73" t="inlineStr">
        <is>
          <t>Total working capital</t>
        </is>
      </c>
      <c r="C73" s="6">
        <f>SUM(C68:C72)</f>
        <v>8693.5</v>
      </c>
      <c r="D73" s="6">
        <f>SUM(D68:D72)</f>
        <v>8342.6</v>
      </c>
      <c r="E73" s="6">
        <f>SUM(E68:E72)</f>
        <v>9108.599999999999</v>
      </c>
      <c r="F73" s="6">
        <f>SUM(F68:F72)</f>
        <v>9550.2</v>
      </c>
      <c r="G73" s="6">
        <f>SUM(G68:G72)</f>
        <v>8690.500000000002</v>
      </c>
      <c r="H73" s="6">
        <f>SUM(H68:H72)</f>
        <v>9204.400000000001</v>
      </c>
      <c r="I73" s="6">
        <f>SUM(I68:I72)</f>
        <v>9363.999999999998</v>
      </c>
      <c r="J73" s="6">
        <f>SUM(J68:J72)</f>
        <v>8796.8</v>
      </c>
      <c r="K73" s="6">
        <f>SUM(K68:K72)</f>
        <v>9035.000000000004</v>
      </c>
      <c r="L73" s="6">
        <f>SUM(L68:L72)</f>
        <v>9785.499999999998</v>
      </c>
      <c r="M73" s="6">
        <f>SUM(M68:M72)</f>
        <v>8645.2</v>
      </c>
      <c r="N73" s="6">
        <f>SUM(N68:N72)</f>
        <v>9081.600000000002</v>
      </c>
      <c r="O73" s="6">
        <f>N73</f>
        <v>9081.600000000002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Ember Workwear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2" t="inlineStr">
        <is>
          <t>Sales</t>
        </is>
      </c>
      <c r="C8" s="6">
        <f>'Ember'!BU28</f>
        <v>-260.0</v>
      </c>
      <c r="D8" s="6">
        <f>'Ember'!BV28</f>
        <v>-1538.300000000003</v>
      </c>
      <c r="E8" s="6">
        <f>'Ember'!BW28</f>
        <v>-177.00000000000728</v>
      </c>
      <c r="F8" s="6">
        <f>'Ember'!BY28</f>
        <v>-240.0</v>
      </c>
      <c r="G8" s="6">
        <f>'Ember'!BZ28</f>
        <v>-978.3999999999978</v>
      </c>
      <c r="H8" s="6">
        <f>'Ember'!CA28</f>
        <v>-640.2999999999993</v>
      </c>
      <c r="I8" s="6">
        <f>'Ember'!CC28</f>
        <v>-500.0</v>
      </c>
      <c r="J8" s="6">
        <f>'Ember'!CD28</f>
        <v>-2516.7000000000044</v>
      </c>
      <c r="K8" s="6">
        <f>'Ember'!CE28</f>
        <v>-817.3000000000102</v>
      </c>
    </row>
    <row r="10">
      <c r="B10" s="2" t="inlineStr">
        <is>
          <t>Gross Margin</t>
        </is>
      </c>
      <c r="C10" s="6">
        <f>'Ember'!BU29</f>
        <v>-83.0</v>
      </c>
      <c r="D10" s="6">
        <f>'Ember'!BV29</f>
        <v>-633.0</v>
      </c>
      <c r="E10" s="6">
        <f>'Ember'!BW29</f>
        <v>-140.50000000000182</v>
      </c>
      <c r="F10" s="6">
        <f>'Ember'!BY29</f>
        <v>-77.0</v>
      </c>
      <c r="G10" s="6">
        <f>'Ember'!BZ29</f>
        <v>-363.5</v>
      </c>
      <c r="H10" s="6">
        <f>'Ember'!CA29</f>
        <v>-238.0999999999999</v>
      </c>
      <c r="I10" s="6">
        <f>'Ember'!CC29</f>
        <v>-160.0</v>
      </c>
      <c r="J10" s="6">
        <f>'Ember'!CD29</f>
        <v>-996.5</v>
      </c>
      <c r="K10" s="6">
        <f>'Ember'!CE29</f>
        <v>-378.60000000000036</v>
      </c>
    </row>
    <row r="12">
      <c r="B12" s="2" t="inlineStr">
        <is>
          <t>Op Costs</t>
        </is>
      </c>
      <c r="C12" s="6">
        <f>'Ember'!BU30</f>
        <v>10.0</v>
      </c>
      <c r="D12" s="6">
        <f>'Ember'!BV30</f>
        <v>173.09999999999945</v>
      </c>
      <c r="E12" s="6">
        <f>'Ember'!BW30</f>
        <v>13.300000000000182</v>
      </c>
      <c r="F12" s="6">
        <f>'Ember'!BY30</f>
        <v>30.0</v>
      </c>
      <c r="G12" s="6">
        <f>'Ember'!BZ30</f>
        <v>105.30000000000018</v>
      </c>
      <c r="H12" s="6">
        <f>'Ember'!CA30</f>
        <v>48.0</v>
      </c>
      <c r="I12" s="6">
        <f>'Ember'!CC30</f>
        <v>40.0</v>
      </c>
      <c r="J12" s="6">
        <f>'Ember'!CD30</f>
        <v>278.39999999999964</v>
      </c>
      <c r="K12" s="6">
        <f>'Ember'!CE30</f>
        <v>61.30000000000109</v>
      </c>
    </row>
    <row r="14">
      <c r="B14" s="2" t="inlineStr">
        <is>
          <t>PBITA</t>
        </is>
      </c>
      <c r="C14" s="6">
        <f>'Ember'!BU31</f>
        <v>-73.0</v>
      </c>
      <c r="D14" s="6">
        <f>'Ember'!BV31</f>
        <v>-459.9000000000001</v>
      </c>
      <c r="E14" s="6">
        <f>'Ember'!BW31</f>
        <v>-127.19999999999982</v>
      </c>
      <c r="F14" s="6">
        <f>'Ember'!BY31</f>
        <v>-47.0</v>
      </c>
      <c r="G14" s="6">
        <f>'Ember'!BZ31</f>
        <v>-258.19999999999993</v>
      </c>
      <c r="H14" s="6">
        <f>'Ember'!CA31</f>
        <v>-190.10000000000002</v>
      </c>
      <c r="I14" s="6">
        <f>'Ember'!CC31</f>
        <v>-120.0</v>
      </c>
      <c r="J14" s="6">
        <f>'Ember'!CD31</f>
        <v>-718.0999999999999</v>
      </c>
      <c r="K14" s="6">
        <f>'Ember'!CE31</f>
        <v>-317.2999999999993</v>
      </c>
    </row>
    <row r="17">
      <c r="B17" s="8" t="inlineStr">
        <is>
          <t>Commentary (business controller):</t>
        </is>
      </c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8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4" t="inlineStr">
        <is>
          <t>January</t>
        </is>
      </c>
      <c r="D4" s="4" t="inlineStr">
        <is>
          <t>February</t>
        </is>
      </c>
      <c r="E4" s="4" t="inlineStr">
        <is>
          <t>March</t>
        </is>
      </c>
      <c r="F4" s="4" t="inlineStr">
        <is>
          <t>April</t>
        </is>
      </c>
      <c r="G4" s="4" t="inlineStr">
        <is>
          <t>May</t>
        </is>
      </c>
      <c r="H4" s="4" t="inlineStr">
        <is>
          <t>June</t>
        </is>
      </c>
      <c r="I4" s="4" t="inlineStr">
        <is>
          <t>July</t>
        </is>
      </c>
      <c r="J4" s="4" t="inlineStr">
        <is>
          <t>August</t>
        </is>
      </c>
      <c r="K4" s="4" t="inlineStr">
        <is>
          <t>September</t>
        </is>
      </c>
      <c r="L4" s="4" t="inlineStr">
        <is>
          <t>October</t>
        </is>
      </c>
      <c r="M4" s="4" t="inlineStr">
        <is>
          <t>November</t>
        </is>
      </c>
      <c r="N4" s="4" t="inlineStr">
        <is>
          <t>December</t>
        </is>
      </c>
      <c r="O4" s="4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Backorders - flame-resistant shirts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1" t="n">
        <v>-260</v>
      </c>
      <c r="L6" s="21" t="n">
        <v>-180</v>
      </c>
      <c r="M6" s="21" t="n">
        <v>-60</v>
      </c>
      <c r="N6" s="21" t="n">
        <v>0</v>
      </c>
      <c r="O6" s="6">
        <f>SUM(C6:N6)</f>
        <v>-500.0</v>
      </c>
    </row>
    <row r="7">
      <c r="B7" t="inlineStr">
        <is>
          <t>Insert Adj. 2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6">
        <f>SUM(C7:N7)</f>
        <v>0.0</v>
      </c>
    </row>
    <row r="8">
      <c r="B8" t="inlineStr">
        <is>
          <t>Insert Adj. 3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6">
        <f>SUM(C8:N8)</f>
        <v>0.0</v>
      </c>
    </row>
    <row r="9">
      <c r="B9" t="inlineStr">
        <is>
          <t>Insert Adj. 4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6">
        <f>SUM(C9:N9)</f>
        <v>0.0</v>
      </c>
    </row>
    <row r="10">
      <c r="B10" t="inlineStr">
        <is>
          <t>Insert Adj. 5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6">
        <f>SUM(C10:N10)</f>
        <v>0.0</v>
      </c>
    </row>
    <row r="11">
      <c r="B11" t="inlineStr">
        <is>
          <t>Insert Adj. 6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6">
        <f>SUM(C11:N11)</f>
        <v>0.0</v>
      </c>
    </row>
    <row r="12">
      <c r="B12" t="inlineStr">
        <is>
          <t>Insert Adj. 7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6">
        <f>SUM(C12:N12)</f>
        <v>0.0</v>
      </c>
    </row>
    <row r="13">
      <c r="B13" t="inlineStr">
        <is>
          <t>Insert Adj. 8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6">
        <f>SUM(C13:N13)</f>
        <v>0.0</v>
      </c>
    </row>
    <row r="14">
      <c r="B14" s="2" t="inlineStr">
        <is>
          <t>Total Sales</t>
        </is>
      </c>
      <c r="C14" s="9">
        <f>SUM(C6:C13)</f>
        <v>0.0</v>
      </c>
      <c r="D14" s="9">
        <f>SUM(D6:D13)</f>
        <v>0.0</v>
      </c>
      <c r="E14" s="9">
        <f>SUM(E6:E13)</f>
        <v>0.0</v>
      </c>
      <c r="F14" s="9">
        <f>SUM(F6:F13)</f>
        <v>0.0</v>
      </c>
      <c r="G14" s="9">
        <f>SUM(G6:G13)</f>
        <v>0.0</v>
      </c>
      <c r="H14" s="9">
        <f>SUM(H6:H13)</f>
        <v>0.0</v>
      </c>
      <c r="I14" s="9">
        <f>SUM(I6:I13)</f>
        <v>0.0</v>
      </c>
      <c r="J14" s="9">
        <f>SUM(J6:J13)</f>
        <v>0.0</v>
      </c>
      <c r="K14" s="9">
        <f>SUM(K6:K13)</f>
        <v>-260.0</v>
      </c>
      <c r="L14" s="9">
        <f>SUM(L6:L13)</f>
        <v>-180.0</v>
      </c>
      <c r="M14" s="9">
        <f>SUM(M6:M13)</f>
        <v>-60.0</v>
      </c>
      <c r="N14" s="9">
        <f>SUM(N6:N13)</f>
        <v>0.0</v>
      </c>
      <c r="O14" s="9">
        <f>SUM(O6:O13)</f>
        <v>-500.0</v>
      </c>
    </row>
    <row r="16">
      <c r="B16" s="2" t="inlineStr">
        <is>
          <t>Gross Margin (%)</t>
        </is>
      </c>
    </row>
    <row r="17">
      <c r="B17" t="str">
        <f>B6</f>
        <v>Backorders - flame-resistant shirts</v>
      </c>
      <c r="C17" s="12">
        <f>IFERROR(C28/C6,0)</f>
        <v>0.0</v>
      </c>
      <c r="D17" s="12">
        <f>IFERROR(D28/D6,0)</f>
        <v>0.0</v>
      </c>
      <c r="E17" s="12">
        <f>IFERROR(E28/E6,0)</f>
        <v>0.0</v>
      </c>
      <c r="F17" s="12">
        <f>IFERROR(F28/F6,0)</f>
        <v>0.0</v>
      </c>
      <c r="G17" s="12">
        <f>IFERROR(G28/G6,0)</f>
        <v>0.0</v>
      </c>
      <c r="H17" s="12">
        <f>IFERROR(H28/H6,0)</f>
        <v>0.0</v>
      </c>
      <c r="I17" s="12">
        <f>IFERROR(I28/I6,0)</f>
        <v>0.0</v>
      </c>
      <c r="J17" s="12">
        <f>IFERROR(J28/J6,0)</f>
        <v>0.0</v>
      </c>
      <c r="K17" s="12">
        <f>IFERROR(K28/K6,0)</f>
        <v>0.3192307692307692</v>
      </c>
      <c r="L17" s="12">
        <f>IFERROR(L28/L6,0)</f>
        <v>0.32222222222222224</v>
      </c>
      <c r="M17" s="12">
        <f>IFERROR(M28/M6,0)</f>
        <v>0.31666666666666665</v>
      </c>
      <c r="N17" s="12">
        <f>IFERROR(N28/N6,0)</f>
        <v>0.0</v>
      </c>
      <c r="O17" s="12">
        <f>IFERROR(O28/O6,0)</f>
        <v>0.32</v>
      </c>
    </row>
    <row r="18">
      <c r="B18" t="str">
        <f>B7</f>
        <v>Insert Adj. 2</v>
      </c>
      <c r="C18" s="12">
        <f>IFERROR(C29/C7,0)</f>
        <v>0.0</v>
      </c>
      <c r="D18" s="12">
        <f>IFERROR(D29/D7,0)</f>
        <v>0.0</v>
      </c>
      <c r="E18" s="12">
        <f>IFERROR(E29/E7,0)</f>
        <v>0.0</v>
      </c>
      <c r="F18" s="12">
        <f>IFERROR(F29/F7,0)</f>
        <v>0.0</v>
      </c>
      <c r="G18" s="12">
        <f>IFERROR(G29/G7,0)</f>
        <v>0.0</v>
      </c>
      <c r="H18" s="12">
        <f>IFERROR(H29/H7,0)</f>
        <v>0.0</v>
      </c>
      <c r="I18" s="12">
        <f>IFERROR(I29/I7,0)</f>
        <v>0.0</v>
      </c>
      <c r="J18" s="12">
        <f>IFERROR(J29/J7,0)</f>
        <v>0.0</v>
      </c>
      <c r="K18" s="12">
        <f>IFERROR(K29/K7,0)</f>
        <v>0.0</v>
      </c>
      <c r="L18" s="12">
        <f>IFERROR(L29/L7,0)</f>
        <v>0.0</v>
      </c>
      <c r="M18" s="12">
        <f>IFERROR(M29/M7,0)</f>
        <v>0.0</v>
      </c>
      <c r="N18" s="12">
        <f>IFERROR(N29/N7,0)</f>
        <v>0.0</v>
      </c>
      <c r="O18" s="12">
        <f>IFERROR(O29/O7,0)</f>
        <v>0.0</v>
      </c>
    </row>
    <row r="19">
      <c r="B19" t="str">
        <f>B8</f>
        <v>Insert Adj. 3</v>
      </c>
      <c r="C19" s="12">
        <f>IFERROR(C30/C8,0)</f>
        <v>0.0</v>
      </c>
      <c r="D19" s="12">
        <f>IFERROR(D30/D8,0)</f>
        <v>0.0</v>
      </c>
      <c r="E19" s="12">
        <f>IFERROR(E30/E8,0)</f>
        <v>0.0</v>
      </c>
      <c r="F19" s="12">
        <f>IFERROR(F30/F8,0)</f>
        <v>0.0</v>
      </c>
      <c r="G19" s="12">
        <f>IFERROR(G30/G8,0)</f>
        <v>0.0</v>
      </c>
      <c r="H19" s="12">
        <f>IFERROR(H30/H8,0)</f>
        <v>0.0</v>
      </c>
      <c r="I19" s="12">
        <f>IFERROR(I30/I8,0)</f>
        <v>0.0</v>
      </c>
      <c r="J19" s="12">
        <f>IFERROR(J30/J8,0)</f>
        <v>0.0</v>
      </c>
      <c r="K19" s="12">
        <f>IFERROR(K30/K8,0)</f>
        <v>0.0</v>
      </c>
      <c r="L19" s="12">
        <f>IFERROR(L30/L8,0)</f>
        <v>0.0</v>
      </c>
      <c r="M19" s="12">
        <f>IFERROR(M30/M8,0)</f>
        <v>0.0</v>
      </c>
      <c r="N19" s="12">
        <f>IFERROR(N30/N8,0)</f>
        <v>0.0</v>
      </c>
      <c r="O19" s="12">
        <f>IFERROR(O30/O8,0)</f>
        <v>0.0</v>
      </c>
    </row>
    <row r="20">
      <c r="B20" t="str">
        <f>B9</f>
        <v>Insert Adj. 4</v>
      </c>
      <c r="C20" s="12">
        <f>IFERROR(C31/C9,0)</f>
        <v>0.0</v>
      </c>
      <c r="D20" s="12">
        <f>IFERROR(D31/D9,0)</f>
        <v>0.0</v>
      </c>
      <c r="E20" s="12">
        <f>IFERROR(E31/E9,0)</f>
        <v>0.0</v>
      </c>
      <c r="F20" s="12">
        <f>IFERROR(F31/F9,0)</f>
        <v>0.0</v>
      </c>
      <c r="G20" s="12">
        <f>IFERROR(G31/G9,0)</f>
        <v>0.0</v>
      </c>
      <c r="H20" s="12">
        <f>IFERROR(H31/H9,0)</f>
        <v>0.0</v>
      </c>
      <c r="I20" s="12">
        <f>IFERROR(I31/I9,0)</f>
        <v>0.0</v>
      </c>
      <c r="J20" s="12">
        <f>IFERROR(J31/J9,0)</f>
        <v>0.0</v>
      </c>
      <c r="K20" s="12">
        <f>IFERROR(K31/K9,0)</f>
        <v>0.0</v>
      </c>
      <c r="L20" s="12">
        <f>IFERROR(L31/L9,0)</f>
        <v>0.0</v>
      </c>
      <c r="M20" s="12">
        <f>IFERROR(M31/M9,0)</f>
        <v>0.0</v>
      </c>
      <c r="N20" s="12">
        <f>IFERROR(N31/N9,0)</f>
        <v>0.0</v>
      </c>
      <c r="O20" s="12">
        <f>IFERROR(O31/O9,0)</f>
        <v>0.0</v>
      </c>
    </row>
    <row r="21">
      <c r="B21" t="str">
        <f>B10</f>
        <v>Insert Adj. 5</v>
      </c>
      <c r="C21" s="12">
        <f>IFERROR(C32/C10,0)</f>
        <v>0.0</v>
      </c>
      <c r="D21" s="12">
        <f>IFERROR(D32/D10,0)</f>
        <v>0.0</v>
      </c>
      <c r="E21" s="12">
        <f>IFERROR(E32/E10,0)</f>
        <v>0.0</v>
      </c>
      <c r="F21" s="12">
        <f>IFERROR(F32/F10,0)</f>
        <v>0.0</v>
      </c>
      <c r="G21" s="12">
        <f>IFERROR(G32/G10,0)</f>
        <v>0.0</v>
      </c>
      <c r="H21" s="12">
        <f>IFERROR(H32/H10,0)</f>
        <v>0.0</v>
      </c>
      <c r="I21" s="12">
        <f>IFERROR(I32/I10,0)</f>
        <v>0.0</v>
      </c>
      <c r="J21" s="12">
        <f>IFERROR(J32/J10,0)</f>
        <v>0.0</v>
      </c>
      <c r="K21" s="12">
        <f>IFERROR(K32/K10,0)</f>
        <v>0.0</v>
      </c>
      <c r="L21" s="12">
        <f>IFERROR(L32/L10,0)</f>
        <v>0.0</v>
      </c>
      <c r="M21" s="12">
        <f>IFERROR(M32/M10,0)</f>
        <v>0.0</v>
      </c>
      <c r="N21" s="12">
        <f>IFERROR(N32/N10,0)</f>
        <v>0.0</v>
      </c>
      <c r="O21" s="12">
        <f>IFERROR(O32/O10,0)</f>
        <v>0.0</v>
      </c>
    </row>
    <row r="22">
      <c r="B22" t="str">
        <f>B11</f>
        <v>Insert Adj. 6</v>
      </c>
      <c r="C22" s="12">
        <f>IFERROR(C33/C11,0)</f>
        <v>0.0</v>
      </c>
      <c r="D22" s="12">
        <f>IFERROR(D33/D11,0)</f>
        <v>0.0</v>
      </c>
      <c r="E22" s="12">
        <f>IFERROR(E33/E11,0)</f>
        <v>0.0</v>
      </c>
      <c r="F22" s="12">
        <f>IFERROR(F33/F11,0)</f>
        <v>0.0</v>
      </c>
      <c r="G22" s="12">
        <f>IFERROR(G33/G11,0)</f>
        <v>0.0</v>
      </c>
      <c r="H22" s="12">
        <f>IFERROR(H33/H11,0)</f>
        <v>0.0</v>
      </c>
      <c r="I22" s="12">
        <f>IFERROR(I33/I11,0)</f>
        <v>0.0</v>
      </c>
      <c r="J22" s="12">
        <f>IFERROR(J33/J11,0)</f>
        <v>0.0</v>
      </c>
      <c r="K22" s="12">
        <f>IFERROR(K33/K11,0)</f>
        <v>0.0</v>
      </c>
      <c r="L22" s="12">
        <f>IFERROR(L33/L11,0)</f>
        <v>0.0</v>
      </c>
      <c r="M22" s="12">
        <f>IFERROR(M33/M11,0)</f>
        <v>0.0</v>
      </c>
      <c r="N22" s="12">
        <f>IFERROR(N33/N11,0)</f>
        <v>0.0</v>
      </c>
      <c r="O22" s="12">
        <f>IFERROR(O33/O11,0)</f>
        <v>0.0</v>
      </c>
    </row>
    <row r="23">
      <c r="B23" t="str">
        <f>B12</f>
        <v>Insert Adj. 7</v>
      </c>
      <c r="C23" s="12">
        <f>IFERROR(C34/C12,0)</f>
        <v>0.0</v>
      </c>
      <c r="D23" s="12">
        <f>IFERROR(D34/D12,0)</f>
        <v>0.0</v>
      </c>
      <c r="E23" s="12">
        <f>IFERROR(E34/E12,0)</f>
        <v>0.0</v>
      </c>
      <c r="F23" s="12">
        <f>IFERROR(F34/F12,0)</f>
        <v>0.0</v>
      </c>
      <c r="G23" s="12">
        <f>IFERROR(G34/G12,0)</f>
        <v>0.0</v>
      </c>
      <c r="H23" s="12">
        <f>IFERROR(H34/H12,0)</f>
        <v>0.0</v>
      </c>
      <c r="I23" s="12">
        <f>IFERROR(I34/I12,0)</f>
        <v>0.0</v>
      </c>
      <c r="J23" s="12">
        <f>IFERROR(J34/J12,0)</f>
        <v>0.0</v>
      </c>
      <c r="K23" s="12">
        <f>IFERROR(K34/K12,0)</f>
        <v>0.0</v>
      </c>
      <c r="L23" s="12">
        <f>IFERROR(L34/L12,0)</f>
        <v>0.0</v>
      </c>
      <c r="M23" s="12">
        <f>IFERROR(M34/M12,0)</f>
        <v>0.0</v>
      </c>
      <c r="N23" s="12">
        <f>IFERROR(N34/N12,0)</f>
        <v>0.0</v>
      </c>
      <c r="O23" s="12">
        <f>IFERROR(O34/O12,0)</f>
        <v>0.0</v>
      </c>
    </row>
    <row r="24">
      <c r="B24" t="str">
        <f>B13</f>
        <v>Insert Adj. 8</v>
      </c>
      <c r="C24" s="12">
        <f>IFERROR(C35/C13,0)</f>
        <v>0.0</v>
      </c>
      <c r="D24" s="12">
        <f>IFERROR(D35/D13,0)</f>
        <v>0.0</v>
      </c>
      <c r="E24" s="12">
        <f>IFERROR(E35/E13,0)</f>
        <v>0.0</v>
      </c>
      <c r="F24" s="12">
        <f>IFERROR(F35/F13,0)</f>
        <v>0.0</v>
      </c>
      <c r="G24" s="12">
        <f>IFERROR(G35/G13,0)</f>
        <v>0.0</v>
      </c>
      <c r="H24" s="12">
        <f>IFERROR(H35/H13,0)</f>
        <v>0.0</v>
      </c>
      <c r="I24" s="12">
        <f>IFERROR(I35/I13,0)</f>
        <v>0.0</v>
      </c>
      <c r="J24" s="12">
        <f>IFERROR(J35/J13,0)</f>
        <v>0.0</v>
      </c>
      <c r="K24" s="12">
        <f>IFERROR(K35/K13,0)</f>
        <v>0.0</v>
      </c>
      <c r="L24" s="12">
        <f>IFERROR(L35/L13,0)</f>
        <v>0.0</v>
      </c>
      <c r="M24" s="12">
        <f>IFERROR(M35/M13,0)</f>
        <v>0.0</v>
      </c>
      <c r="N24" s="12">
        <f>IFERROR(N35/N13,0)</f>
        <v>0.0</v>
      </c>
      <c r="O24" s="12">
        <f>IFERROR(O35/O13,0)</f>
        <v>0.0</v>
      </c>
    </row>
    <row r="25">
      <c r="B25" s="2" t="inlineStr">
        <is>
          <t>Total Gross Margin (%)</t>
        </is>
      </c>
      <c r="C25" s="15">
        <f>IFERROR(C36/C14,0)</f>
        <v>0.0</v>
      </c>
      <c r="D25" s="15">
        <f>IFERROR(D36/D14,0)</f>
        <v>0.0</v>
      </c>
      <c r="E25" s="15">
        <f>IFERROR(E36/E14,0)</f>
        <v>0.0</v>
      </c>
      <c r="F25" s="15">
        <f>IFERROR(F36/F14,0)</f>
        <v>0.0</v>
      </c>
      <c r="G25" s="15">
        <f>IFERROR(G36/G14,0)</f>
        <v>0.0</v>
      </c>
      <c r="H25" s="15">
        <f>IFERROR(H36/H14,0)</f>
        <v>0.0</v>
      </c>
      <c r="I25" s="15">
        <f>IFERROR(I36/I14,0)</f>
        <v>0.0</v>
      </c>
      <c r="J25" s="15">
        <f>IFERROR(J36/J14,0)</f>
        <v>0.0</v>
      </c>
      <c r="K25" s="15">
        <f>IFERROR(K36/K14,0)</f>
        <v>0.3192307692307692</v>
      </c>
      <c r="L25" s="15">
        <f>IFERROR(L36/L14,0)</f>
        <v>0.32222222222222224</v>
      </c>
      <c r="M25" s="15">
        <f>IFERROR(M36/M14,0)</f>
        <v>0.31666666666666665</v>
      </c>
      <c r="N25" s="15">
        <f>IFERROR(N36/N14,0)</f>
        <v>0.0</v>
      </c>
      <c r="O25" s="15">
        <f>IFERROR(O36/O14,0)</f>
        <v>0.32</v>
      </c>
    </row>
    <row r="27">
      <c r="B27" s="2" t="inlineStr">
        <is>
          <t>Gross Margin ($)</t>
        </is>
      </c>
    </row>
    <row r="28">
      <c r="B28" t="inlineStr">
        <is>
          <t>Backorders - flame-resistant shirts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21" t="n">
        <v>-83</v>
      </c>
      <c r="L28" s="21" t="n">
        <v>-58</v>
      </c>
      <c r="M28" s="21" t="n">
        <v>-19</v>
      </c>
      <c r="N28" s="21" t="n">
        <v>0</v>
      </c>
      <c r="O28" s="6">
        <f>SUM(C28:N28)</f>
        <v>-160.0</v>
      </c>
    </row>
    <row r="29">
      <c r="B29" t="inlineStr">
        <is>
          <t>Insert Adj. 2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6">
        <f>SUM(C29:N29)</f>
        <v>0.0</v>
      </c>
    </row>
    <row r="30">
      <c r="B30" t="inlineStr">
        <is>
          <t>Insert Adj. 3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6">
        <f>SUM(C30:N30)</f>
        <v>0.0</v>
      </c>
    </row>
    <row r="31">
      <c r="B31" t="inlineStr">
        <is>
          <t>Insert Adj. 4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6">
        <f>SUM(C31:N31)</f>
        <v>0.0</v>
      </c>
    </row>
    <row r="32">
      <c r="B32" t="inlineStr">
        <is>
          <t>Insert Adj. 5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6">
        <f>SUM(C32:N32)</f>
        <v>0.0</v>
      </c>
    </row>
    <row r="33">
      <c r="B33" t="inlineStr">
        <is>
          <t>Insert Adj. 6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6">
        <f>SUM(C33:N33)</f>
        <v>0.0</v>
      </c>
    </row>
    <row r="34">
      <c r="B34" t="inlineStr">
        <is>
          <t>Insert Adj. 7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6">
        <f>SUM(C34:N34)</f>
        <v>0.0</v>
      </c>
    </row>
    <row r="35">
      <c r="B35" t="inlineStr">
        <is>
          <t>Insert Adj. 8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6">
        <f>SUM(C35:N35)</f>
        <v>0.0</v>
      </c>
    </row>
    <row r="36">
      <c r="B36" s="2" t="inlineStr">
        <is>
          <t>Total Gross Margin ($)</t>
        </is>
      </c>
      <c r="C36" s="9">
        <f>SUM(C28:C35)</f>
        <v>0.0</v>
      </c>
      <c r="D36" s="9">
        <f>SUM(D28:D35)</f>
        <v>0.0</v>
      </c>
      <c r="E36" s="9">
        <f>SUM(E28:E35)</f>
        <v>0.0</v>
      </c>
      <c r="F36" s="9">
        <f>SUM(F28:F35)</f>
        <v>0.0</v>
      </c>
      <c r="G36" s="9">
        <f>SUM(G28:G35)</f>
        <v>0.0</v>
      </c>
      <c r="H36" s="9">
        <f>SUM(H28:H35)</f>
        <v>0.0</v>
      </c>
      <c r="I36" s="9">
        <f>SUM(I28:I35)</f>
        <v>0.0</v>
      </c>
      <c r="J36" s="9">
        <f>SUM(J28:J35)</f>
        <v>0.0</v>
      </c>
      <c r="K36" s="9">
        <f>SUM(K28:K35)</f>
        <v>-83.0</v>
      </c>
      <c r="L36" s="9">
        <f>SUM(L28:L35)</f>
        <v>-58.0</v>
      </c>
      <c r="M36" s="9">
        <f>SUM(M28:M35)</f>
        <v>-19.0</v>
      </c>
      <c r="N36" s="9">
        <f>SUM(N28:N35)</f>
        <v>0.0</v>
      </c>
      <c r="O36" s="9">
        <f>SUM(O28:O35)</f>
        <v>-160.0</v>
      </c>
    </row>
    <row r="38">
      <c r="B38" s="2" t="inlineStr">
        <is>
          <t>Op Costs (%)</t>
        </is>
      </c>
    </row>
    <row r="39">
      <c r="B39" t="str">
        <f>B6</f>
        <v>Backorders - flame-resistant shirts</v>
      </c>
      <c r="C39" s="12">
        <f>IFERROR(C50/C6,0)</f>
        <v>0.0</v>
      </c>
      <c r="D39" s="12">
        <f>IFERROR(D50/D6,0)</f>
        <v>0.0</v>
      </c>
      <c r="E39" s="12">
        <f>IFERROR(E50/E6,0)</f>
        <v>0.0</v>
      </c>
      <c r="F39" s="12">
        <f>IFERROR(F50/F6,0)</f>
        <v>0.0</v>
      </c>
      <c r="G39" s="12">
        <f>IFERROR(G50/G6,0)</f>
        <v>0.0</v>
      </c>
      <c r="H39" s="12">
        <f>IFERROR(H50/H6,0)</f>
        <v>0.0</v>
      </c>
      <c r="I39" s="12">
        <f>IFERROR(I50/I6,0)</f>
        <v>0.0</v>
      </c>
      <c r="J39" s="12">
        <f>IFERROR(J50/J6,0)</f>
        <v>0.0</v>
      </c>
      <c r="K39" s="12">
        <f>IFERROR(K50/K6,0)</f>
        <v>0.038461538461538464</v>
      </c>
      <c r="L39" s="12">
        <f>IFERROR(L50/L6,0)</f>
        <v>0.05555555555555555</v>
      </c>
      <c r="M39" s="12">
        <f>IFERROR(M50/M6,0)</f>
        <v>0.16666666666666666</v>
      </c>
      <c r="N39" s="12">
        <f>IFERROR(N50/N6,0)</f>
        <v>0.0</v>
      </c>
      <c r="O39" s="12">
        <f>IFERROR(O50/O6,0)</f>
        <v>0.08</v>
      </c>
    </row>
    <row r="40">
      <c r="B40" t="str">
        <f>B7</f>
        <v>Insert Adj. 2</v>
      </c>
      <c r="C40" s="12">
        <f>IFERROR(C51/C7,0)</f>
        <v>0.0</v>
      </c>
      <c r="D40" s="12">
        <f>IFERROR(D51/D7,0)</f>
        <v>0.0</v>
      </c>
      <c r="E40" s="12">
        <f>IFERROR(E51/E7,0)</f>
        <v>0.0</v>
      </c>
      <c r="F40" s="12">
        <f>IFERROR(F51/F7,0)</f>
        <v>0.0</v>
      </c>
      <c r="G40" s="12">
        <f>IFERROR(G51/G7,0)</f>
        <v>0.0</v>
      </c>
      <c r="H40" s="12">
        <f>IFERROR(H51/H7,0)</f>
        <v>0.0</v>
      </c>
      <c r="I40" s="12">
        <f>IFERROR(I51/I7,0)</f>
        <v>0.0</v>
      </c>
      <c r="J40" s="12">
        <f>IFERROR(J51/J7,0)</f>
        <v>0.0</v>
      </c>
      <c r="K40" s="12">
        <f>IFERROR(K51/K7,0)</f>
        <v>0.0</v>
      </c>
      <c r="L40" s="12">
        <f>IFERROR(L51/L7,0)</f>
        <v>0.0</v>
      </c>
      <c r="M40" s="12">
        <f>IFERROR(M51/M7,0)</f>
        <v>0.0</v>
      </c>
      <c r="N40" s="12">
        <f>IFERROR(N51/N7,0)</f>
        <v>0.0</v>
      </c>
      <c r="O40" s="12">
        <f>IFERROR(O51/O7,0)</f>
        <v>0.0</v>
      </c>
    </row>
    <row r="41">
      <c r="B41" t="str">
        <f>B8</f>
        <v>Insert Adj. 3</v>
      </c>
      <c r="C41" s="12">
        <f>IFERROR(C52/C8,0)</f>
        <v>0.0</v>
      </c>
      <c r="D41" s="12">
        <f>IFERROR(D52/D8,0)</f>
        <v>0.0</v>
      </c>
      <c r="E41" s="12">
        <f>IFERROR(E52/E8,0)</f>
        <v>0.0</v>
      </c>
      <c r="F41" s="12">
        <f>IFERROR(F52/F8,0)</f>
        <v>0.0</v>
      </c>
      <c r="G41" s="12">
        <f>IFERROR(G52/G8,0)</f>
        <v>0.0</v>
      </c>
      <c r="H41" s="12">
        <f>IFERROR(H52/H8,0)</f>
        <v>0.0</v>
      </c>
      <c r="I41" s="12">
        <f>IFERROR(I52/I8,0)</f>
        <v>0.0</v>
      </c>
      <c r="J41" s="12">
        <f>IFERROR(J52/J8,0)</f>
        <v>0.0</v>
      </c>
      <c r="K41" s="12">
        <f>IFERROR(K52/K8,0)</f>
        <v>0.0</v>
      </c>
      <c r="L41" s="12">
        <f>IFERROR(L52/L8,0)</f>
        <v>0.0</v>
      </c>
      <c r="M41" s="12">
        <f>IFERROR(M52/M8,0)</f>
        <v>0.0</v>
      </c>
      <c r="N41" s="12">
        <f>IFERROR(N52/N8,0)</f>
        <v>0.0</v>
      </c>
      <c r="O41" s="12">
        <f>IFERROR(O52/O8,0)</f>
        <v>0.0</v>
      </c>
    </row>
    <row r="42">
      <c r="B42" t="str">
        <f>B9</f>
        <v>Insert Adj. 4</v>
      </c>
      <c r="C42" s="12">
        <f>IFERROR(C53/C9,0)</f>
        <v>0.0</v>
      </c>
      <c r="D42" s="12">
        <f>IFERROR(D53/D9,0)</f>
        <v>0.0</v>
      </c>
      <c r="E42" s="12">
        <f>IFERROR(E53/E9,0)</f>
        <v>0.0</v>
      </c>
      <c r="F42" s="12">
        <f>IFERROR(F53/F9,0)</f>
        <v>0.0</v>
      </c>
      <c r="G42" s="12">
        <f>IFERROR(G53/G9,0)</f>
        <v>0.0</v>
      </c>
      <c r="H42" s="12">
        <f>IFERROR(H53/H9,0)</f>
        <v>0.0</v>
      </c>
      <c r="I42" s="12">
        <f>IFERROR(I53/I9,0)</f>
        <v>0.0</v>
      </c>
      <c r="J42" s="12">
        <f>IFERROR(J53/J9,0)</f>
        <v>0.0</v>
      </c>
      <c r="K42" s="12">
        <f>IFERROR(K53/K9,0)</f>
        <v>0.0</v>
      </c>
      <c r="L42" s="12">
        <f>IFERROR(L53/L9,0)</f>
        <v>0.0</v>
      </c>
      <c r="M42" s="12">
        <f>IFERROR(M53/M9,0)</f>
        <v>0.0</v>
      </c>
      <c r="N42" s="12">
        <f>IFERROR(N53/N9,0)</f>
        <v>0.0</v>
      </c>
      <c r="O42" s="12">
        <f>IFERROR(O53/O9,0)</f>
        <v>0.0</v>
      </c>
    </row>
    <row r="43">
      <c r="B43" t="str">
        <f>B10</f>
        <v>Insert Adj. 5</v>
      </c>
      <c r="C43" s="12">
        <f>IFERROR(C54/C10,0)</f>
        <v>0.0</v>
      </c>
      <c r="D43" s="12">
        <f>IFERROR(D54/D10,0)</f>
        <v>0.0</v>
      </c>
      <c r="E43" s="12">
        <f>IFERROR(E54/E10,0)</f>
        <v>0.0</v>
      </c>
      <c r="F43" s="12">
        <f>IFERROR(F54/F10,0)</f>
        <v>0.0</v>
      </c>
      <c r="G43" s="12">
        <f>IFERROR(G54/G10,0)</f>
        <v>0.0</v>
      </c>
      <c r="H43" s="12">
        <f>IFERROR(H54/H10,0)</f>
        <v>0.0</v>
      </c>
      <c r="I43" s="12">
        <f>IFERROR(I54/I10,0)</f>
        <v>0.0</v>
      </c>
      <c r="J43" s="12">
        <f>IFERROR(J54/J10,0)</f>
        <v>0.0</v>
      </c>
      <c r="K43" s="12">
        <f>IFERROR(K54/K10,0)</f>
        <v>0.0</v>
      </c>
      <c r="L43" s="12">
        <f>IFERROR(L54/L10,0)</f>
        <v>0.0</v>
      </c>
      <c r="M43" s="12">
        <f>IFERROR(M54/M10,0)</f>
        <v>0.0</v>
      </c>
      <c r="N43" s="12">
        <f>IFERROR(N54/N10,0)</f>
        <v>0.0</v>
      </c>
      <c r="O43" s="12">
        <f>IFERROR(O54/O10,0)</f>
        <v>0.0</v>
      </c>
    </row>
    <row r="44">
      <c r="B44" t="str">
        <f>B11</f>
        <v>Insert Adj. 6</v>
      </c>
      <c r="C44" s="12">
        <f>IFERROR(C55/C11,0)</f>
        <v>0.0</v>
      </c>
      <c r="D44" s="12">
        <f>IFERROR(D55/D11,0)</f>
        <v>0.0</v>
      </c>
      <c r="E44" s="12">
        <f>IFERROR(E55/E11,0)</f>
        <v>0.0</v>
      </c>
      <c r="F44" s="12">
        <f>IFERROR(F55/F11,0)</f>
        <v>0.0</v>
      </c>
      <c r="G44" s="12">
        <f>IFERROR(G55/G11,0)</f>
        <v>0.0</v>
      </c>
      <c r="H44" s="12">
        <f>IFERROR(H55/H11,0)</f>
        <v>0.0</v>
      </c>
      <c r="I44" s="12">
        <f>IFERROR(I55/I11,0)</f>
        <v>0.0</v>
      </c>
      <c r="J44" s="12">
        <f>IFERROR(J55/J11,0)</f>
        <v>0.0</v>
      </c>
      <c r="K44" s="12">
        <f>IFERROR(K55/K11,0)</f>
        <v>0.0</v>
      </c>
      <c r="L44" s="12">
        <f>IFERROR(L55/L11,0)</f>
        <v>0.0</v>
      </c>
      <c r="M44" s="12">
        <f>IFERROR(M55/M11,0)</f>
        <v>0.0</v>
      </c>
      <c r="N44" s="12">
        <f>IFERROR(N55/N11,0)</f>
        <v>0.0</v>
      </c>
      <c r="O44" s="12">
        <f>IFERROR(O55/O11,0)</f>
        <v>0.0</v>
      </c>
    </row>
    <row r="45">
      <c r="B45" t="str">
        <f>B12</f>
        <v>Insert Adj. 7</v>
      </c>
      <c r="C45" s="12">
        <f>IFERROR(C56/C12,0)</f>
        <v>0.0</v>
      </c>
      <c r="D45" s="12">
        <f>IFERROR(D56/D12,0)</f>
        <v>0.0</v>
      </c>
      <c r="E45" s="12">
        <f>IFERROR(E56/E12,0)</f>
        <v>0.0</v>
      </c>
      <c r="F45" s="12">
        <f>IFERROR(F56/F12,0)</f>
        <v>0.0</v>
      </c>
      <c r="G45" s="12">
        <f>IFERROR(G56/G12,0)</f>
        <v>0.0</v>
      </c>
      <c r="H45" s="12">
        <f>IFERROR(H56/H12,0)</f>
        <v>0.0</v>
      </c>
      <c r="I45" s="12">
        <f>IFERROR(I56/I12,0)</f>
        <v>0.0</v>
      </c>
      <c r="J45" s="12">
        <f>IFERROR(J56/J12,0)</f>
        <v>0.0</v>
      </c>
      <c r="K45" s="12">
        <f>IFERROR(K56/K12,0)</f>
        <v>0.0</v>
      </c>
      <c r="L45" s="12">
        <f>IFERROR(L56/L12,0)</f>
        <v>0.0</v>
      </c>
      <c r="M45" s="12">
        <f>IFERROR(M56/M12,0)</f>
        <v>0.0</v>
      </c>
      <c r="N45" s="12">
        <f>IFERROR(N56/N12,0)</f>
        <v>0.0</v>
      </c>
      <c r="O45" s="12">
        <f>IFERROR(O56/O12,0)</f>
        <v>0.0</v>
      </c>
    </row>
    <row r="46">
      <c r="B46" t="str">
        <f>B13</f>
        <v>Insert Adj. 8</v>
      </c>
      <c r="C46" s="12">
        <f>IFERROR(C57/C13,0)</f>
        <v>0.0</v>
      </c>
      <c r="D46" s="12">
        <f>IFERROR(D57/D13,0)</f>
        <v>0.0</v>
      </c>
      <c r="E46" s="12">
        <f>IFERROR(E57/E13,0)</f>
        <v>0.0</v>
      </c>
      <c r="F46" s="12">
        <f>IFERROR(F57/F13,0)</f>
        <v>0.0</v>
      </c>
      <c r="G46" s="12">
        <f>IFERROR(G57/G13,0)</f>
        <v>0.0</v>
      </c>
      <c r="H46" s="12">
        <f>IFERROR(H57/H13,0)</f>
        <v>0.0</v>
      </c>
      <c r="I46" s="12">
        <f>IFERROR(I57/I13,0)</f>
        <v>0.0</v>
      </c>
      <c r="J46" s="12">
        <f>IFERROR(J57/J13,0)</f>
        <v>0.0</v>
      </c>
      <c r="K46" s="12">
        <f>IFERROR(K57/K13,0)</f>
        <v>0.0</v>
      </c>
      <c r="L46" s="12">
        <f>IFERROR(L57/L13,0)</f>
        <v>0.0</v>
      </c>
      <c r="M46" s="12">
        <f>IFERROR(M57/M13,0)</f>
        <v>0.0</v>
      </c>
      <c r="N46" s="12">
        <f>IFERROR(N57/N13,0)</f>
        <v>0.0</v>
      </c>
      <c r="O46" s="12">
        <f>IFERROR(O57/O13,0)</f>
        <v>0.0</v>
      </c>
    </row>
    <row r="47">
      <c r="B47" s="2" t="inlineStr">
        <is>
          <t>Total Op Costs (%)</t>
        </is>
      </c>
      <c r="C47" s="15">
        <f>IFERROR(C58/C14,0)</f>
        <v>0.0</v>
      </c>
      <c r="D47" s="15">
        <f>IFERROR(D58/D14,0)</f>
        <v>0.0</v>
      </c>
      <c r="E47" s="15">
        <f>IFERROR(E58/E14,0)</f>
        <v>0.0</v>
      </c>
      <c r="F47" s="15">
        <f>IFERROR(F58/F14,0)</f>
        <v>0.0</v>
      </c>
      <c r="G47" s="15">
        <f>IFERROR(G58/G14,0)</f>
        <v>0.0</v>
      </c>
      <c r="H47" s="15">
        <f>IFERROR(H58/H14,0)</f>
        <v>0.0</v>
      </c>
      <c r="I47" s="15">
        <f>IFERROR(I58/I14,0)</f>
        <v>0.0</v>
      </c>
      <c r="J47" s="15">
        <f>IFERROR(J58/J14,0)</f>
        <v>0.0</v>
      </c>
      <c r="K47" s="15">
        <f>IFERROR(K58/K14,0)</f>
        <v>0.038461538461538464</v>
      </c>
      <c r="L47" s="15">
        <f>IFERROR(L58/L14,0)</f>
        <v>0.05555555555555555</v>
      </c>
      <c r="M47" s="15">
        <f>IFERROR(M58/M14,0)</f>
        <v>0.16666666666666666</v>
      </c>
      <c r="N47" s="15">
        <f>IFERROR(N58/N14,0)</f>
        <v>0.0</v>
      </c>
      <c r="O47" s="15">
        <f>IFERROR(O58/O14,0)</f>
        <v>0.08</v>
      </c>
    </row>
    <row r="49">
      <c r="B49" s="2" t="inlineStr">
        <is>
          <t>Op Costs ($)</t>
        </is>
      </c>
    </row>
    <row r="50">
      <c r="B50" t="inlineStr">
        <is>
          <t>Open positions &amp; variable costs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21" t="n">
        <v>-10</v>
      </c>
      <c r="L50" s="21" t="n">
        <v>-10</v>
      </c>
      <c r="M50" s="21" t="n">
        <v>-10</v>
      </c>
      <c r="N50" s="21" t="n">
        <v>-10</v>
      </c>
      <c r="O50" s="6">
        <f>SUM(C50:N50)</f>
        <v>-40.0</v>
      </c>
    </row>
    <row r="51">
      <c r="B51" t="inlineStr">
        <is>
          <t>Insert Adj. 2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6">
        <f>SUM(C51:N51)</f>
        <v>0.0</v>
      </c>
    </row>
    <row r="52">
      <c r="B52" t="inlineStr">
        <is>
          <t>Insert Adj. 3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6">
        <f>SUM(C52:N52)</f>
        <v>0.0</v>
      </c>
    </row>
    <row r="53">
      <c r="B53" t="inlineStr">
        <is>
          <t>Insert Adj. 4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6">
        <f>SUM(C53:N53)</f>
        <v>0.0</v>
      </c>
    </row>
    <row r="54">
      <c r="B54" t="inlineStr">
        <is>
          <t>Insert Adj. 5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6">
        <f>SUM(C54:N54)</f>
        <v>0.0</v>
      </c>
    </row>
    <row r="55">
      <c r="B55" t="inlineStr">
        <is>
          <t>Insert Adj. 6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6">
        <f>SUM(C55:N55)</f>
        <v>0.0</v>
      </c>
    </row>
    <row r="56">
      <c r="B56" t="inlineStr">
        <is>
          <t>Insert Adj. 7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6">
        <f>SUM(C56:N56)</f>
        <v>0.0</v>
      </c>
    </row>
    <row r="57">
      <c r="B57" t="inlineStr">
        <is>
          <t>Insert Adj. 8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6">
        <f>SUM(C57:N57)</f>
        <v>0.0</v>
      </c>
    </row>
    <row r="58">
      <c r="B58" s="2" t="inlineStr">
        <is>
          <t>Total Op Costs ($)</t>
        </is>
      </c>
      <c r="C58" s="9">
        <f>SUM(C50:C57)</f>
        <v>0.0</v>
      </c>
      <c r="D58" s="9">
        <f>SUM(D50:D57)</f>
        <v>0.0</v>
      </c>
      <c r="E58" s="9">
        <f>SUM(E50:E57)</f>
        <v>0.0</v>
      </c>
      <c r="F58" s="9">
        <f>SUM(F50:F57)</f>
        <v>0.0</v>
      </c>
      <c r="G58" s="9">
        <f>SUM(G50:G57)</f>
        <v>0.0</v>
      </c>
      <c r="H58" s="9">
        <f>SUM(H50:H57)</f>
        <v>0.0</v>
      </c>
      <c r="I58" s="9">
        <f>SUM(I50:I57)</f>
        <v>0.0</v>
      </c>
      <c r="J58" s="9">
        <f>SUM(J50:J57)</f>
        <v>0.0</v>
      </c>
      <c r="K58" s="9">
        <f>SUM(K50:K57)</f>
        <v>-10.0</v>
      </c>
      <c r="L58" s="9">
        <f>SUM(L50:L57)</f>
        <v>-10.0</v>
      </c>
      <c r="M58" s="9">
        <f>SUM(M50:M57)</f>
        <v>-10.0</v>
      </c>
      <c r="N58" s="9">
        <f>SUM(N50:N57)</f>
        <v>-10.0</v>
      </c>
      <c r="O58" s="9">
        <f>SUM(O50:O57)</f>
        <v>-40.0</v>
      </c>
    </row>
    <row r="60">
      <c r="B60" s="2" t="inlineStr">
        <is>
          <t>PBITA</t>
        </is>
      </c>
    </row>
    <row r="61">
      <c r="B61" t="str">
        <f>B6</f>
        <v>Backorders - flame-resistant shirts</v>
      </c>
      <c r="C61" s="6">
        <f>C28-C50</f>
        <v>0.0</v>
      </c>
      <c r="D61" s="6">
        <f>D28-D50</f>
        <v>0.0</v>
      </c>
      <c r="E61" s="6">
        <f>E28-E50</f>
        <v>0.0</v>
      </c>
      <c r="F61" s="6">
        <f>F28-F50</f>
        <v>0.0</v>
      </c>
      <c r="G61" s="6">
        <f>G28-G50</f>
        <v>0.0</v>
      </c>
      <c r="H61" s="6">
        <f>H28-H50</f>
        <v>0.0</v>
      </c>
      <c r="I61" s="6">
        <f>I28-I50</f>
        <v>0.0</v>
      </c>
      <c r="J61" s="6">
        <f>J28-J50</f>
        <v>0.0</v>
      </c>
      <c r="K61" s="6">
        <f>K28-K50</f>
        <v>-73.0</v>
      </c>
      <c r="L61" s="6">
        <f>L28-L50</f>
        <v>-48.0</v>
      </c>
      <c r="M61" s="6">
        <f>M28-M50</f>
        <v>-9.0</v>
      </c>
      <c r="N61" s="6">
        <f>N28-N50</f>
        <v>10.0</v>
      </c>
      <c r="O61" s="6">
        <f>SUM(C61:N61)</f>
        <v>-120.0</v>
      </c>
    </row>
    <row r="62">
      <c r="B62" t="str">
        <f>B7</f>
        <v>Insert Adj. 2</v>
      </c>
      <c r="C62" s="6">
        <f>C29-C51</f>
        <v>0.0</v>
      </c>
      <c r="D62" s="6">
        <f>D29-D51</f>
        <v>0.0</v>
      </c>
      <c r="E62" s="6">
        <f>E29-E51</f>
        <v>0.0</v>
      </c>
      <c r="F62" s="6">
        <f>F29-F51</f>
        <v>0.0</v>
      </c>
      <c r="G62" s="6">
        <f>G29-G51</f>
        <v>0.0</v>
      </c>
      <c r="H62" s="6">
        <f>H29-H51</f>
        <v>0.0</v>
      </c>
      <c r="I62" s="6">
        <f>I29-I51</f>
        <v>0.0</v>
      </c>
      <c r="J62" s="6">
        <f>J29-J51</f>
        <v>0.0</v>
      </c>
      <c r="K62" s="6">
        <f>K29-K51</f>
        <v>0.0</v>
      </c>
      <c r="L62" s="6">
        <f>L29-L51</f>
        <v>0.0</v>
      </c>
      <c r="M62" s="6">
        <f>M29-M51</f>
        <v>0.0</v>
      </c>
      <c r="N62" s="6">
        <f>N29-N51</f>
        <v>0.0</v>
      </c>
      <c r="O62" s="6">
        <f>SUM(C62:N62)</f>
        <v>0.0</v>
      </c>
    </row>
    <row r="63">
      <c r="B63" t="str">
        <f>B8</f>
        <v>Insert Adj. 3</v>
      </c>
      <c r="C63" s="6">
        <f>C30-C52</f>
        <v>0.0</v>
      </c>
      <c r="D63" s="6">
        <f>D30-D52</f>
        <v>0.0</v>
      </c>
      <c r="E63" s="6">
        <f>E30-E52</f>
        <v>0.0</v>
      </c>
      <c r="F63" s="6">
        <f>F30-F52</f>
        <v>0.0</v>
      </c>
      <c r="G63" s="6">
        <f>G30-G52</f>
        <v>0.0</v>
      </c>
      <c r="H63" s="6">
        <f>H30-H52</f>
        <v>0.0</v>
      </c>
      <c r="I63" s="6">
        <f>I30-I52</f>
        <v>0.0</v>
      </c>
      <c r="J63" s="6">
        <f>J30-J52</f>
        <v>0.0</v>
      </c>
      <c r="K63" s="6">
        <f>K30-K52</f>
        <v>0.0</v>
      </c>
      <c r="L63" s="6">
        <f>L30-L52</f>
        <v>0.0</v>
      </c>
      <c r="M63" s="6">
        <f>M30-M52</f>
        <v>0.0</v>
      </c>
      <c r="N63" s="6">
        <f>N30-N52</f>
        <v>0.0</v>
      </c>
      <c r="O63" s="6">
        <f>SUM(C63:N63)</f>
        <v>0.0</v>
      </c>
    </row>
    <row r="64">
      <c r="B64" t="str">
        <f>B9</f>
        <v>Insert Adj. 4</v>
      </c>
      <c r="C64" s="6">
        <f>C31-C53</f>
        <v>0.0</v>
      </c>
      <c r="D64" s="6">
        <f>D31-D53</f>
        <v>0.0</v>
      </c>
      <c r="E64" s="6">
        <f>E31-E53</f>
        <v>0.0</v>
      </c>
      <c r="F64" s="6">
        <f>F31-F53</f>
        <v>0.0</v>
      </c>
      <c r="G64" s="6">
        <f>G31-G53</f>
        <v>0.0</v>
      </c>
      <c r="H64" s="6">
        <f>H31-H53</f>
        <v>0.0</v>
      </c>
      <c r="I64" s="6">
        <f>I31-I53</f>
        <v>0.0</v>
      </c>
      <c r="J64" s="6">
        <f>J31-J53</f>
        <v>0.0</v>
      </c>
      <c r="K64" s="6">
        <f>K31-K53</f>
        <v>0.0</v>
      </c>
      <c r="L64" s="6">
        <f>L31-L53</f>
        <v>0.0</v>
      </c>
      <c r="M64" s="6">
        <f>M31-M53</f>
        <v>0.0</v>
      </c>
      <c r="N64" s="6">
        <f>N31-N53</f>
        <v>0.0</v>
      </c>
      <c r="O64" s="6">
        <f>SUM(C64:N64)</f>
        <v>0.0</v>
      </c>
    </row>
    <row r="65">
      <c r="B65" t="str">
        <f>B10</f>
        <v>Insert Adj. 5</v>
      </c>
      <c r="C65" s="6">
        <f>C32-C54</f>
        <v>0.0</v>
      </c>
      <c r="D65" s="6">
        <f>D32-D54</f>
        <v>0.0</v>
      </c>
      <c r="E65" s="6">
        <f>E32-E54</f>
        <v>0.0</v>
      </c>
      <c r="F65" s="6">
        <f>F32-F54</f>
        <v>0.0</v>
      </c>
      <c r="G65" s="6">
        <f>G32-G54</f>
        <v>0.0</v>
      </c>
      <c r="H65" s="6">
        <f>H32-H54</f>
        <v>0.0</v>
      </c>
      <c r="I65" s="6">
        <f>I32-I54</f>
        <v>0.0</v>
      </c>
      <c r="J65" s="6">
        <f>J32-J54</f>
        <v>0.0</v>
      </c>
      <c r="K65" s="6">
        <f>K32-K54</f>
        <v>0.0</v>
      </c>
      <c r="L65" s="6">
        <f>L32-L54</f>
        <v>0.0</v>
      </c>
      <c r="M65" s="6">
        <f>M32-M54</f>
        <v>0.0</v>
      </c>
      <c r="N65" s="6">
        <f>N32-N54</f>
        <v>0.0</v>
      </c>
      <c r="O65" s="6">
        <f>SUM(C65:N65)</f>
        <v>0.0</v>
      </c>
    </row>
    <row r="66">
      <c r="B66" t="str">
        <f>B11</f>
        <v>Insert Adj. 6</v>
      </c>
      <c r="C66" s="6">
        <f>C33-C55</f>
        <v>0.0</v>
      </c>
      <c r="D66" s="6">
        <f>D33-D55</f>
        <v>0.0</v>
      </c>
      <c r="E66" s="6">
        <f>E33-E55</f>
        <v>0.0</v>
      </c>
      <c r="F66" s="6">
        <f>F33-F55</f>
        <v>0.0</v>
      </c>
      <c r="G66" s="6">
        <f>G33-G55</f>
        <v>0.0</v>
      </c>
      <c r="H66" s="6">
        <f>H33-H55</f>
        <v>0.0</v>
      </c>
      <c r="I66" s="6">
        <f>I33-I55</f>
        <v>0.0</v>
      </c>
      <c r="J66" s="6">
        <f>J33-J55</f>
        <v>0.0</v>
      </c>
      <c r="K66" s="6">
        <f>K33-K55</f>
        <v>0.0</v>
      </c>
      <c r="L66" s="6">
        <f>L33-L55</f>
        <v>0.0</v>
      </c>
      <c r="M66" s="6">
        <f>M33-M55</f>
        <v>0.0</v>
      </c>
      <c r="N66" s="6">
        <f>N33-N55</f>
        <v>0.0</v>
      </c>
      <c r="O66" s="6">
        <f>SUM(C66:N66)</f>
        <v>0.0</v>
      </c>
    </row>
    <row r="67">
      <c r="B67" t="str">
        <f>B12</f>
        <v>Insert Adj. 7</v>
      </c>
      <c r="C67" s="6">
        <f>C34-C56</f>
        <v>0.0</v>
      </c>
      <c r="D67" s="6">
        <f>D34-D56</f>
        <v>0.0</v>
      </c>
      <c r="E67" s="6">
        <f>E34-E56</f>
        <v>0.0</v>
      </c>
      <c r="F67" s="6">
        <f>F34-F56</f>
        <v>0.0</v>
      </c>
      <c r="G67" s="6">
        <f>G34-G56</f>
        <v>0.0</v>
      </c>
      <c r="H67" s="6">
        <f>H34-H56</f>
        <v>0.0</v>
      </c>
      <c r="I67" s="6">
        <f>I34-I56</f>
        <v>0.0</v>
      </c>
      <c r="J67" s="6">
        <f>J34-J56</f>
        <v>0.0</v>
      </c>
      <c r="K67" s="6">
        <f>K34-K56</f>
        <v>0.0</v>
      </c>
      <c r="L67" s="6">
        <f>L34-L56</f>
        <v>0.0</v>
      </c>
      <c r="M67" s="6">
        <f>M34-M56</f>
        <v>0.0</v>
      </c>
      <c r="N67" s="6">
        <f>N34-N56</f>
        <v>0.0</v>
      </c>
      <c r="O67" s="6">
        <f>SUM(C67:N67)</f>
        <v>0.0</v>
      </c>
    </row>
    <row r="68">
      <c r="B68" t="str">
        <f>B13</f>
        <v>Insert Adj. 8</v>
      </c>
      <c r="C68" s="6">
        <f>C35-C57</f>
        <v>0.0</v>
      </c>
      <c r="D68" s="6">
        <f>D35-D57</f>
        <v>0.0</v>
      </c>
      <c r="E68" s="6">
        <f>E35-E57</f>
        <v>0.0</v>
      </c>
      <c r="F68" s="6">
        <f>F35-F57</f>
        <v>0.0</v>
      </c>
      <c r="G68" s="6">
        <f>G35-G57</f>
        <v>0.0</v>
      </c>
      <c r="H68" s="6">
        <f>H35-H57</f>
        <v>0.0</v>
      </c>
      <c r="I68" s="6">
        <f>I35-I57</f>
        <v>0.0</v>
      </c>
      <c r="J68" s="6">
        <f>J35-J57</f>
        <v>0.0</v>
      </c>
      <c r="K68" s="6">
        <f>K35-K57</f>
        <v>0.0</v>
      </c>
      <c r="L68" s="6">
        <f>L35-L57</f>
        <v>0.0</v>
      </c>
      <c r="M68" s="6">
        <f>M35-M57</f>
        <v>0.0</v>
      </c>
      <c r="N68" s="6">
        <f>N35-N57</f>
        <v>0.0</v>
      </c>
      <c r="O68" s="6">
        <f>SUM(C68:N68)</f>
        <v>0.0</v>
      </c>
    </row>
    <row r="69">
      <c r="B69" s="2" t="inlineStr">
        <is>
          <t>Total PBITA</t>
        </is>
      </c>
      <c r="C69" s="9">
        <f>SUM(C61:C68)</f>
        <v>0.0</v>
      </c>
      <c r="D69" s="9">
        <f>SUM(D61:D68)</f>
        <v>0.0</v>
      </c>
      <c r="E69" s="9">
        <f>SUM(E61:E68)</f>
        <v>0.0</v>
      </c>
      <c r="F69" s="9">
        <f>SUM(F61:F68)</f>
        <v>0.0</v>
      </c>
      <c r="G69" s="9">
        <f>SUM(G61:G68)</f>
        <v>0.0</v>
      </c>
      <c r="H69" s="9">
        <f>SUM(H61:H68)</f>
        <v>0.0</v>
      </c>
      <c r="I69" s="9">
        <f>SUM(I61:I68)</f>
        <v>0.0</v>
      </c>
      <c r="J69" s="9">
        <f>SUM(J61:J68)</f>
        <v>0.0</v>
      </c>
      <c r="K69" s="9">
        <f>SUM(K61:K68)</f>
        <v>-73.0</v>
      </c>
      <c r="L69" s="9">
        <f>SUM(L61:L68)</f>
        <v>-48.0</v>
      </c>
      <c r="M69" s="9">
        <f>SUM(M61:M68)</f>
        <v>-9.0</v>
      </c>
      <c r="N69" s="9">
        <f>SUM(N61:N68)</f>
        <v>10.0</v>
      </c>
      <c r="O69" s="9">
        <f>SUM(O61:O68)</f>
        <v>-120.0</v>
      </c>
    </row>
    <row r="71">
      <c r="B71" s="8" t="inlineStr">
        <is>
          <t>Section 2: General adjustments in Gross Margin or Opex % of Sales that are not tied to individual events (i.e., employee turnover):</t>
        </is>
      </c>
    </row>
    <row r="73">
      <c r="C73" s="4" t="inlineStr">
        <is>
          <t>January</t>
        </is>
      </c>
      <c r="D73" s="4" t="inlineStr">
        <is>
          <t>February</t>
        </is>
      </c>
      <c r="E73" s="4" t="inlineStr">
        <is>
          <t>March</t>
        </is>
      </c>
      <c r="F73" s="4" t="inlineStr">
        <is>
          <t>April</t>
        </is>
      </c>
      <c r="G73" s="4" t="inlineStr">
        <is>
          <t>May</t>
        </is>
      </c>
      <c r="H73" s="4" t="inlineStr">
        <is>
          <t>June</t>
        </is>
      </c>
      <c r="I73" s="4" t="inlineStr">
        <is>
          <t>July</t>
        </is>
      </c>
      <c r="J73" s="4" t="inlineStr">
        <is>
          <t>August</t>
        </is>
      </c>
      <c r="K73" s="4" t="inlineStr">
        <is>
          <t>September</t>
        </is>
      </c>
      <c r="L73" s="4" t="inlineStr">
        <is>
          <t>October</t>
        </is>
      </c>
      <c r="M73" s="4" t="inlineStr">
        <is>
          <t>November</t>
        </is>
      </c>
      <c r="N73" s="4" t="inlineStr">
        <is>
          <t>December</t>
        </is>
      </c>
      <c r="O73" s="4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2">
        <f>'Ember'!C35</f>
        <v>0.31540888772022085</v>
      </c>
      <c r="D75" s="12">
        <f>'Ember'!D35</f>
        <v>0.31374592395871853</v>
      </c>
      <c r="E75" s="12">
        <f>'Ember'!E35</f>
        <v>0.31513693560325684</v>
      </c>
      <c r="F75" s="12">
        <f>'Ember'!F35</f>
        <v>0.3152972611890447</v>
      </c>
      <c r="G75" s="12">
        <f>'Ember'!G35</f>
        <v>0.3142495650798672</v>
      </c>
      <c r="H75" s="12">
        <f>'Ember'!H35</f>
        <v>0.31391830559757944</v>
      </c>
      <c r="I75" s="12">
        <f>'Ember'!I35</f>
        <v>0.3161373232972279</v>
      </c>
      <c r="J75" s="12">
        <f>'Ember'!J35</f>
        <v>0.31647514484171446</v>
      </c>
      <c r="K75" s="12">
        <f>'Ember'!K35</f>
        <v>0.31526143790849676</v>
      </c>
      <c r="L75" s="12">
        <f>'Ember'!L35</f>
        <v>0.31487730061349695</v>
      </c>
      <c r="M75" s="12">
        <f>'Ember'!M35</f>
        <v>0.31496306476550423</v>
      </c>
      <c r="N75" s="12">
        <f>'Ember'!N35</f>
        <v>0.31400633089917573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6">
        <f>IF(C76="None",0,((('Ember'!C28*(C75+C76))-'Ember'!C29)))</f>
        <v>0.0</v>
      </c>
      <c r="D77" s="6">
        <f>IF(D76="None",0,((('Ember'!D28*(D75+D76))-'Ember'!D29)))</f>
        <v>0.0</v>
      </c>
      <c r="E77" s="6">
        <f>IF(E76="None",0,((('Ember'!E28*(E75+E76))-'Ember'!E29)))</f>
        <v>0.0</v>
      </c>
      <c r="F77" s="6">
        <f>IF(F76="None",0,((('Ember'!F28*(F75+F76))-'Ember'!F29)))</f>
        <v>0.0</v>
      </c>
      <c r="G77" s="6">
        <f>IF(G76="None",0,((('Ember'!G28*(G75+G76))-'Ember'!G29)))</f>
        <v>0.0</v>
      </c>
      <c r="H77" s="6">
        <f>IF(H76="None",0,((('Ember'!H28*(H75+H76))-'Ember'!H29)))</f>
        <v>0.0</v>
      </c>
      <c r="I77" s="6">
        <f>IF(I76="None",0,((('Ember'!I28*(I75+I76))-'Ember'!I29)))</f>
        <v>0.0</v>
      </c>
      <c r="J77" s="6">
        <f>IF(J76="None",0,((('Ember'!J28*(J75+J76))-'Ember'!J29)))</f>
        <v>0.0</v>
      </c>
      <c r="K77" s="6">
        <f>IF(K76="None",0,((('Ember'!K28*(K75+K76))-'Ember'!K29)))</f>
        <v>0.0</v>
      </c>
      <c r="L77" s="6">
        <f>IF(L76="None",0,((('Ember'!L28*(L75+L76))-'Ember'!L29)))</f>
        <v>0.0</v>
      </c>
      <c r="M77" s="6">
        <f>IF(M76="None",0,((('Ember'!M28*(M75+M76))-'Ember'!M29)))</f>
        <v>0.0</v>
      </c>
      <c r="N77" s="6">
        <f>IF(N76="None",0,((('Ember'!N28*(N75+N76))-'Ember'!N29)))</f>
        <v>0.0</v>
      </c>
      <c r="O77" s="6">
        <f>SUM(C77:N77)</f>
        <v>0.0</v>
      </c>
    </row>
    <row r="78">
      <c r="B78" t="inlineStr">
        <is>
          <t>Gross Margin - Current FCAST</t>
        </is>
      </c>
      <c r="C78" s="12">
        <f>SUM(C75:C76)</f>
        <v>0.31540888772022085</v>
      </c>
      <c r="D78" s="12">
        <f>SUM(D75:D76)</f>
        <v>0.31374592395871853</v>
      </c>
      <c r="E78" s="12">
        <f>SUM(E75:E76)</f>
        <v>0.31513693560325684</v>
      </c>
      <c r="F78" s="12">
        <f>SUM(F75:F76)</f>
        <v>0.3152972611890447</v>
      </c>
      <c r="G78" s="12">
        <f>SUM(G75:G76)</f>
        <v>0.3142495650798672</v>
      </c>
      <c r="H78" s="12">
        <f>SUM(H75:H76)</f>
        <v>0.31391830559757944</v>
      </c>
      <c r="I78" s="12">
        <f>SUM(I75:I76)</f>
        <v>0.3161373232972279</v>
      </c>
      <c r="J78" s="12">
        <f>SUM(J75:J76)</f>
        <v>0.31647514484171446</v>
      </c>
      <c r="K78" s="12">
        <f>SUM(K75:K76)</f>
        <v>0.31526143790849676</v>
      </c>
      <c r="L78" s="12">
        <f>SUM(L75:L76)</f>
        <v>0.31487730061349695</v>
      </c>
      <c r="M78" s="12">
        <f>SUM(M75:M76)</f>
        <v>0.31496306476550423</v>
      </c>
      <c r="N78" s="12">
        <f>SUM(N75:N76)</f>
        <v>0.31400633089917573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2">
        <f>'Ember'!C36</f>
        <v>-0.23882461214830397</v>
      </c>
      <c r="D82" s="12">
        <f>'Ember'!D36</f>
        <v>-0.23807442767337886</v>
      </c>
      <c r="E82" s="12">
        <f>'Ember'!E36</f>
        <v>-0.2365531704909943</v>
      </c>
      <c r="F82" s="12">
        <f>'Ember'!F36</f>
        <v>-0.24077139786820018</v>
      </c>
      <c r="G82" s="12">
        <f>'Ember'!G36</f>
        <v>-0.23574252728135378</v>
      </c>
      <c r="H82" s="12">
        <f>'Ember'!H36</f>
        <v>-0.23830559757942513</v>
      </c>
      <c r="I82" s="12">
        <f>'Ember'!I36</f>
        <v>-0.2400097913224405</v>
      </c>
      <c r="J82" s="12">
        <f>'Ember'!J36</f>
        <v>-0.2399090938190199</v>
      </c>
      <c r="K82" s="12">
        <f>'Ember'!K36</f>
        <v>-0.24068627450980393</v>
      </c>
      <c r="L82" s="12">
        <f>'Ember'!L36</f>
        <v>-0.24453987730061352</v>
      </c>
      <c r="M82" s="12">
        <f>'Ember'!M36</f>
        <v>-0.24555918227108745</v>
      </c>
      <c r="N82" s="12">
        <f>'Ember'!N36</f>
        <v>-0.24323816090513056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6">
        <f>-IF(C83="None",0,((('Ember'!C28*-(C82+C83))-'Ember'!C30)))</f>
        <v>0.0</v>
      </c>
      <c r="D84" s="6">
        <f>-IF(D83="None",0,((('Ember'!D28*-(D82+D83))-'Ember'!D30)))</f>
        <v>0.0</v>
      </c>
      <c r="E84" s="6">
        <f>-IF(E83="None",0,((('Ember'!E28*-(E82+E83))-'Ember'!E30)))</f>
        <v>0.0</v>
      </c>
      <c r="F84" s="6">
        <f>-IF(F83="None",0,((('Ember'!F28*-(F82+F83))-'Ember'!F30)))</f>
        <v>0.0</v>
      </c>
      <c r="G84" s="6">
        <f>-IF(G83="None",0,((('Ember'!G28*-(G82+G83))-'Ember'!G30)))</f>
        <v>0.0</v>
      </c>
      <c r="H84" s="6">
        <f>-IF(H83="None",0,((('Ember'!H28*-(H82+H83))-'Ember'!H30)))</f>
        <v>0.0</v>
      </c>
      <c r="I84" s="6">
        <f>-IF(I83="None",0,((('Ember'!I28*-(I82+I83))-'Ember'!I30)))</f>
        <v>0.0</v>
      </c>
      <c r="J84" s="6">
        <f>-IF(J83="None",0,((('Ember'!J28*-(J82+J83))-'Ember'!J30)))</f>
        <v>0.0</v>
      </c>
      <c r="K84" s="6">
        <f>-IF(K83="None",0,((('Ember'!K28*-(K82+K83))-'Ember'!K30)))</f>
        <v>0.0</v>
      </c>
      <c r="L84" s="6">
        <f>-IF(L83="None",0,((('Ember'!L28*-(L82+L83))-'Ember'!L30)))</f>
        <v>0.0</v>
      </c>
      <c r="M84" s="6">
        <f>-IF(M83="None",0,((('Ember'!M28*-(M82+M83))-'Ember'!M30)))</f>
        <v>0.0</v>
      </c>
      <c r="N84" s="6">
        <f>-IF(N83="None",0,((('Ember'!N28*-(N82+N83))-'Ember'!N30)))</f>
        <v>0.0</v>
      </c>
      <c r="O84" s="6">
        <f>SUM(C84:N84)</f>
        <v>0.0</v>
      </c>
    </row>
    <row r="85">
      <c r="B85" t="inlineStr">
        <is>
          <t>Op Costs - Current FCAST</t>
        </is>
      </c>
      <c r="C85" s="12">
        <f>SUM(C82:C83)</f>
        <v>-0.23882461214830397</v>
      </c>
      <c r="D85" s="12">
        <f>SUM(D82:D83)</f>
        <v>-0.23807442767337886</v>
      </c>
      <c r="E85" s="12">
        <f>SUM(E82:E83)</f>
        <v>-0.2365531704909943</v>
      </c>
      <c r="F85" s="12">
        <f>SUM(F82:F83)</f>
        <v>-0.24077139786820018</v>
      </c>
      <c r="G85" s="12">
        <f>SUM(G82:G83)</f>
        <v>-0.23574252728135378</v>
      </c>
      <c r="H85" s="12">
        <f>SUM(H82:H83)</f>
        <v>-0.23830559757942513</v>
      </c>
      <c r="I85" s="12">
        <f>SUM(I82:I83)</f>
        <v>-0.2400097913224405</v>
      </c>
      <c r="J85" s="12">
        <f>SUM(J82:J83)</f>
        <v>-0.2399090938190199</v>
      </c>
      <c r="K85" s="12">
        <f>SUM(K82:K83)</f>
        <v>-0.24068627450980393</v>
      </c>
      <c r="L85" s="12">
        <f>SUM(L82:L83)</f>
        <v>-0.24453987730061352</v>
      </c>
      <c r="M85" s="12">
        <f>SUM(M82:M83)</f>
        <v>-0.24555918227108745</v>
      </c>
      <c r="N85" s="12">
        <f>SUM(N82:N83)</f>
        <v>-0.24323816090513056</v>
      </c>
      <c r="O85" t="inlineStr">
        <is>
          <t>N/A</t>
        </is>
      </c>
    </row>
    <row r="87">
      <c r="B87" s="8" t="inlineStr">
        <is>
          <t>Section 3: Working Capital Adjustments</t>
        </is>
      </c>
    </row>
    <row r="89">
      <c r="C89" s="4" t="inlineStr">
        <is>
          <t>January</t>
        </is>
      </c>
      <c r="D89" s="4" t="inlineStr">
        <is>
          <t>February</t>
        </is>
      </c>
      <c r="E89" s="4" t="inlineStr">
        <is>
          <t>March</t>
        </is>
      </c>
      <c r="F89" s="4" t="inlineStr">
        <is>
          <t>April</t>
        </is>
      </c>
      <c r="G89" s="4" t="inlineStr">
        <is>
          <t>May</t>
        </is>
      </c>
      <c r="H89" s="4" t="inlineStr">
        <is>
          <t>June</t>
        </is>
      </c>
      <c r="I89" s="4" t="inlineStr">
        <is>
          <t>July</t>
        </is>
      </c>
      <c r="J89" s="4" t="inlineStr">
        <is>
          <t>August</t>
        </is>
      </c>
      <c r="K89" s="4" t="inlineStr">
        <is>
          <t>September</t>
        </is>
      </c>
      <c r="L89" s="4" t="inlineStr">
        <is>
          <t>October</t>
        </is>
      </c>
      <c r="M89" s="4" t="inlineStr">
        <is>
          <t>November</t>
        </is>
      </c>
      <c r="N89" s="4" t="inlineStr">
        <is>
          <t>December</t>
        </is>
      </c>
      <c r="O89" s="4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21" t="n">
        <v>0</v>
      </c>
      <c r="L90" s="21" t="n">
        <v>0</v>
      </c>
      <c r="M90" s="21" t="n">
        <v>0</v>
      </c>
      <c r="N90" s="21" t="n">
        <v>0</v>
      </c>
    </row>
    <row r="91">
      <c r="A91" t="n">
        <v>2135</v>
      </c>
      <c r="B91" t="inlineStr">
        <is>
          <t>Trade Receivables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21" t="n">
        <v>0</v>
      </c>
      <c r="L91" s="21" t="n">
        <v>0</v>
      </c>
      <c r="M91" s="21" t="n">
        <v>0</v>
      </c>
      <c r="N91" s="21" t="n">
        <v>0</v>
      </c>
    </row>
    <row r="92">
      <c r="A92" t="n">
        <v>2175</v>
      </c>
      <c r="B92" t="inlineStr">
        <is>
          <t>Other Receivables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21" t="n">
        <v>0</v>
      </c>
      <c r="L92" s="21" t="n">
        <v>0</v>
      </c>
      <c r="M92" s="21" t="n">
        <v>0</v>
      </c>
      <c r="N92" s="21" t="n">
        <v>0</v>
      </c>
    </row>
    <row r="93">
      <c r="A93" t="n">
        <v>2140</v>
      </c>
      <c r="B93" t="inlineStr">
        <is>
          <t>Trade Payables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21" t="n">
        <v>0</v>
      </c>
      <c r="L93" s="21" t="n">
        <v>0</v>
      </c>
      <c r="M93" s="21" t="n">
        <v>0</v>
      </c>
      <c r="N93" s="21" t="n">
        <v>0</v>
      </c>
    </row>
    <row r="94">
      <c r="A94" t="n">
        <v>2180</v>
      </c>
      <c r="B94" t="inlineStr">
        <is>
          <t>Other Payables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21" t="n">
        <v>0</v>
      </c>
      <c r="L94" s="21" t="n">
        <v>0</v>
      </c>
      <c r="M94" s="21" t="n">
        <v>0</v>
      </c>
      <c r="N94" s="21" t="n">
        <v>0</v>
      </c>
    </row>
    <row r="95">
      <c r="A95" t="n">
        <v>2185</v>
      </c>
      <c r="B95" s="2" t="inlineStr">
        <is>
          <t>Total Working Capital</t>
        </is>
      </c>
      <c r="C95" s="6">
        <f>SUM(C90:C94)</f>
        <v>0.0</v>
      </c>
      <c r="D95" s="6">
        <f>SUM(D90:D94)</f>
        <v>0.0</v>
      </c>
      <c r="E95" s="6">
        <f>SUM(E90:E94)</f>
        <v>0.0</v>
      </c>
      <c r="F95" s="6">
        <f>SUM(F90:F94)</f>
        <v>0.0</v>
      </c>
      <c r="G95" s="6">
        <f>SUM(G90:G94)</f>
        <v>0.0</v>
      </c>
      <c r="H95" s="6">
        <f>SUM(H90:H94)</f>
        <v>0.0</v>
      </c>
      <c r="I95" s="6">
        <f>SUM(I90:I94)</f>
        <v>0.0</v>
      </c>
      <c r="J95" s="6">
        <f>SUM(J90:J94)</f>
        <v>0.0</v>
      </c>
      <c r="K95" s="6">
        <f>SUM(K90:K94)</f>
        <v>0.0</v>
      </c>
      <c r="L95" s="6">
        <f>SUM(L90:L94)</f>
        <v>0.0</v>
      </c>
      <c r="M95" s="6">
        <f>SUM(M90:M94)</f>
        <v>0.0</v>
      </c>
      <c r="N95" s="6">
        <f>SUM(N90:N94)</f>
        <v>0.0</v>
      </c>
    </row>
    <row r="97">
      <c r="B97" s="22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EMBER_DISP</t>
        </is>
      </c>
    </row>
    <row r="23">
      <c r="B23" s="3" t="inlineStr">
        <is>
          <t>Ember Workwear</t>
        </is>
      </c>
      <c r="BU23" s="8" t="inlineStr">
        <is>
          <t>FCAST10 - Variance ($) - Favorable / (Unfavorable)</t>
        </is>
      </c>
    </row>
    <row r="24">
      <c r="C24" s="8" t="inlineStr">
        <is>
          <t>FCAST09 as Reported</t>
        </is>
      </c>
      <c r="Q24" s="8" t="inlineStr">
        <is>
          <t>FCAST09 at New Fx Rates</t>
        </is>
      </c>
      <c r="AE24" s="8" t="inlineStr">
        <is>
          <t>Fx Changes</t>
        </is>
      </c>
      <c r="AS24" s="8" t="inlineStr">
        <is>
          <t>Operational Adjustments</t>
        </is>
      </c>
      <c r="BG24" s="8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6" t="n">
        <v>3042.4</v>
      </c>
      <c r="D28" s="6" t="n">
        <v>2974.7</v>
      </c>
      <c r="E28" s="6" t="n">
        <v>3242.4</v>
      </c>
      <c r="F28" s="6" t="n">
        <v>3443.1</v>
      </c>
      <c r="G28" s="6" t="n">
        <v>3161.5</v>
      </c>
      <c r="H28" s="6" t="n">
        <v>3305</v>
      </c>
      <c r="I28" s="6" t="n">
        <v>3268.2</v>
      </c>
      <c r="J28" s="6" t="n">
        <v>3124.1</v>
      </c>
      <c r="K28" s="6" t="n">
        <v>3060</v>
      </c>
      <c r="L28" s="6" t="n">
        <v>3260</v>
      </c>
      <c r="M28" s="6" t="n">
        <v>2910.5</v>
      </c>
      <c r="N28" s="6" t="n">
        <v>3190.7</v>
      </c>
      <c r="O28" s="19">
        <f>SUM(C28:N28)</f>
        <v>37982.59999999999</v>
      </c>
      <c r="Q28" s="6" t="n">
        <v>3042.4</v>
      </c>
      <c r="R28" s="6" t="n">
        <v>2974.7</v>
      </c>
      <c r="S28" s="6" t="n">
        <v>3242.4</v>
      </c>
      <c r="T28" s="6" t="n">
        <v>3443.1</v>
      </c>
      <c r="U28" s="6" t="n">
        <v>3161.5</v>
      </c>
      <c r="V28" s="6" t="n">
        <v>3305</v>
      </c>
      <c r="W28" s="6" t="n">
        <v>3268.2</v>
      </c>
      <c r="X28" s="6" t="n">
        <v>3124.1</v>
      </c>
      <c r="Y28" s="6" t="n">
        <v>3060</v>
      </c>
      <c r="Z28" s="6" t="n">
        <v>3260</v>
      </c>
      <c r="AA28" s="6" t="n">
        <v>2910.5</v>
      </c>
      <c r="AB28" s="6" t="n">
        <v>3190.7</v>
      </c>
      <c r="AC28" s="19">
        <f>SUM(Q28:AB28)</f>
        <v>37982.59999999999</v>
      </c>
      <c r="AE28" s="6">
        <f>Q28-C28</f>
        <v>0.0</v>
      </c>
      <c r="AF28" s="6">
        <f>R28-D28</f>
        <v>0.0</v>
      </c>
      <c r="AG28" s="6">
        <f>S28-E28</f>
        <v>0.0</v>
      </c>
      <c r="AH28" s="6">
        <f>T28-F28</f>
        <v>0.0</v>
      </c>
      <c r="AI28" s="6">
        <f>U28-G28</f>
        <v>0.0</v>
      </c>
      <c r="AJ28" s="6">
        <f>V28-H28</f>
        <v>0.0</v>
      </c>
      <c r="AK28" s="6">
        <f>W28-I28</f>
        <v>0.0</v>
      </c>
      <c r="AL28" s="6">
        <f>X28-J28</f>
        <v>0.0</v>
      </c>
      <c r="AM28" s="6">
        <f>Y28-K28</f>
        <v>0.0</v>
      </c>
      <c r="AN28" s="6">
        <f>Z28-L28</f>
        <v>0.0</v>
      </c>
      <c r="AO28" s="6">
        <f>AA28-M28</f>
        <v>0.0</v>
      </c>
      <c r="AP28" s="6">
        <f>AB28-N28</f>
        <v>0.0</v>
      </c>
      <c r="AQ28" s="19">
        <f>SUM(AE28:AP28)</f>
        <v>0.0</v>
      </c>
      <c r="AS28" s="6">
        <f>'Ember-Adj'!C14</f>
        <v>0.0</v>
      </c>
      <c r="AT28" s="6">
        <f>'Ember-Adj'!D14</f>
        <v>0.0</v>
      </c>
      <c r="AU28" s="6">
        <f>'Ember-Adj'!E14</f>
        <v>0.0</v>
      </c>
      <c r="AV28" s="6">
        <f>'Ember-Adj'!F14</f>
        <v>0.0</v>
      </c>
      <c r="AW28" s="6">
        <f>'Ember-Adj'!G14</f>
        <v>0.0</v>
      </c>
      <c r="AX28" s="6">
        <f>'Ember-Adj'!H14</f>
        <v>0.0</v>
      </c>
      <c r="AY28" s="6">
        <f>'Ember-Adj'!I14</f>
        <v>0.0</v>
      </c>
      <c r="AZ28" s="6">
        <f>'Ember-Adj'!J14</f>
        <v>0.0</v>
      </c>
      <c r="BA28" s="6">
        <f>'Ember-Adj'!K14</f>
        <v>-260.0</v>
      </c>
      <c r="BB28" s="6">
        <f>'Ember-Adj'!L14</f>
        <v>-180.0</v>
      </c>
      <c r="BC28" s="6">
        <f>'Ember-Adj'!M14</f>
        <v>-60.0</v>
      </c>
      <c r="BD28" s="6">
        <f>'Ember-Adj'!N14</f>
        <v>0.0</v>
      </c>
      <c r="BE28" s="19">
        <f>SUM(AS28:BD28)</f>
        <v>-500.0</v>
      </c>
      <c r="BG28" s="6">
        <f>C28+AE28+AS28</f>
        <v>3042.4</v>
      </c>
      <c r="BH28" s="6">
        <f>D28+AF28+AT28</f>
        <v>2974.7</v>
      </c>
      <c r="BI28" s="6">
        <f>E28+AG28+AU28</f>
        <v>3242.4</v>
      </c>
      <c r="BJ28" s="6">
        <f>F28+AH28+AV28</f>
        <v>3443.1</v>
      </c>
      <c r="BK28" s="6">
        <f>G28+AI28+AW28</f>
        <v>3161.5</v>
      </c>
      <c r="BL28" s="6">
        <f>H28+AJ28+AX28</f>
        <v>3305.0</v>
      </c>
      <c r="BM28" s="6">
        <f>I28+AK28+AY28</f>
        <v>3268.2</v>
      </c>
      <c r="BN28" s="6">
        <f>J28+AL28+AZ28</f>
        <v>3124.1</v>
      </c>
      <c r="BO28" s="6">
        <f>K28+AM28+BA28</f>
        <v>2800.0</v>
      </c>
      <c r="BP28" s="6">
        <f>L28+AN28+BB28</f>
        <v>3080.0</v>
      </c>
      <c r="BQ28" s="6">
        <f>M28+AO28+BC28</f>
        <v>2850.5</v>
      </c>
      <c r="BR28" s="6">
        <f>N28+AP28+BD28</f>
        <v>3190.7</v>
      </c>
      <c r="BS28" s="19">
        <f>SUM(BG28:BR28)</f>
        <v>37482.59999999999</v>
      </c>
      <c r="BU28" s="6">
        <f>SUM(BG28:BO28)-SUM(C28:K28)</f>
        <v>-260.0</v>
      </c>
      <c r="BV28" s="6">
        <f>SUM(BG28:BO28)-SUM(C51:K51)</f>
        <v>-1538.300000000003</v>
      </c>
      <c r="BW28" s="6">
        <f>SUM(BG28:BO28)-SUM(C64:K64)</f>
        <v>-177.00000000000728</v>
      </c>
      <c r="BY28" s="6">
        <f>SUM(BP28:BR28)-SUM(L28:N28)</f>
        <v>-240.0</v>
      </c>
      <c r="BZ28" s="6">
        <f>SUM(BP28:BR28)-SUM(L51:N51)</f>
        <v>-978.3999999999978</v>
      </c>
      <c r="CA28" s="6">
        <f>SUM(BP28:BR28)-SUM(L64:N64)</f>
        <v>-640.2999999999993</v>
      </c>
      <c r="CC28" s="6">
        <f>BS28-O28</f>
        <v>-500.0</v>
      </c>
      <c r="CD28" s="6">
        <f>BS28-O51</f>
        <v>-2516.7000000000044</v>
      </c>
      <c r="CE28" s="6">
        <f>BS28-O64</f>
        <v>-817.3000000000102</v>
      </c>
    </row>
    <row r="29">
      <c r="B29" s="5" t="inlineStr">
        <is>
          <t>Gross Margin</t>
        </is>
      </c>
      <c r="C29" s="6" t="n">
        <v>959.6</v>
      </c>
      <c r="D29" s="6" t="n">
        <v>933.3</v>
      </c>
      <c r="E29" s="6" t="n">
        <v>1021.8</v>
      </c>
      <c r="F29" s="6" t="n">
        <v>1085.6</v>
      </c>
      <c r="G29" s="6" t="n">
        <v>993.5</v>
      </c>
      <c r="H29" s="6" t="n">
        <v>1037.5</v>
      </c>
      <c r="I29" s="6" t="n">
        <v>1033.2</v>
      </c>
      <c r="J29" s="6" t="n">
        <v>988.7</v>
      </c>
      <c r="K29" s="6" t="n">
        <v>964.7</v>
      </c>
      <c r="L29" s="6" t="n">
        <v>1026.5</v>
      </c>
      <c r="M29" s="6" t="n">
        <v>916.7</v>
      </c>
      <c r="N29" s="6" t="n">
        <v>1001.9</v>
      </c>
      <c r="O29" s="19">
        <f>SUM(C29:N29)</f>
        <v>11963.0</v>
      </c>
      <c r="Q29" s="6" t="n">
        <v>959.6</v>
      </c>
      <c r="R29" s="6" t="n">
        <v>933.3</v>
      </c>
      <c r="S29" s="6" t="n">
        <v>1021.8</v>
      </c>
      <c r="T29" s="6" t="n">
        <v>1085.6</v>
      </c>
      <c r="U29" s="6" t="n">
        <v>993.5</v>
      </c>
      <c r="V29" s="6" t="n">
        <v>1037.5</v>
      </c>
      <c r="W29" s="6" t="n">
        <v>1033.2</v>
      </c>
      <c r="X29" s="6" t="n">
        <v>988.7</v>
      </c>
      <c r="Y29" s="6" t="n">
        <v>964.7</v>
      </c>
      <c r="Z29" s="6" t="n">
        <v>1026.5</v>
      </c>
      <c r="AA29" s="6" t="n">
        <v>916.7</v>
      </c>
      <c r="AB29" s="6" t="n">
        <v>1001.9</v>
      </c>
      <c r="AC29" s="19">
        <f>SUM(Q29:AB29)</f>
        <v>11963.0</v>
      </c>
      <c r="AE29" s="6">
        <f>Q29-C29</f>
        <v>0.0</v>
      </c>
      <c r="AF29" s="6">
        <f>R29-D29</f>
        <v>0.0</v>
      </c>
      <c r="AG29" s="6">
        <f>S29-E29</f>
        <v>0.0</v>
      </c>
      <c r="AH29" s="6">
        <f>T29-F29</f>
        <v>0.0</v>
      </c>
      <c r="AI29" s="6">
        <f>U29-G29</f>
        <v>0.0</v>
      </c>
      <c r="AJ29" s="6">
        <f>V29-H29</f>
        <v>0.0</v>
      </c>
      <c r="AK29" s="6">
        <f>W29-I29</f>
        <v>0.0</v>
      </c>
      <c r="AL29" s="6">
        <f>X29-J29</f>
        <v>0.0</v>
      </c>
      <c r="AM29" s="6">
        <f>Y29-K29</f>
        <v>0.0</v>
      </c>
      <c r="AN29" s="6">
        <f>Z29-L29</f>
        <v>0.0</v>
      </c>
      <c r="AO29" s="6">
        <f>AA29-M29</f>
        <v>0.0</v>
      </c>
      <c r="AP29" s="6">
        <f>AB29-N29</f>
        <v>0.0</v>
      </c>
      <c r="AQ29" s="19">
        <f>SUM(AE29:AP29)</f>
        <v>0.0</v>
      </c>
      <c r="AS29" s="6">
        <f>'Ember-Adj'!C36+'Ember-Adj'!C77</f>
        <v>0.0</v>
      </c>
      <c r="AT29" s="6">
        <f>'Ember-Adj'!D36+'Ember-Adj'!D77</f>
        <v>0.0</v>
      </c>
      <c r="AU29" s="6">
        <f>'Ember-Adj'!E36+'Ember-Adj'!E77</f>
        <v>0.0</v>
      </c>
      <c r="AV29" s="6">
        <f>'Ember-Adj'!F36+'Ember-Adj'!F77</f>
        <v>0.0</v>
      </c>
      <c r="AW29" s="6">
        <f>'Ember-Adj'!G36+'Ember-Adj'!G77</f>
        <v>0.0</v>
      </c>
      <c r="AX29" s="6">
        <f>'Ember-Adj'!H36+'Ember-Adj'!H77</f>
        <v>0.0</v>
      </c>
      <c r="AY29" s="6">
        <f>'Ember-Adj'!I36+'Ember-Adj'!I77</f>
        <v>0.0</v>
      </c>
      <c r="AZ29" s="6">
        <f>'Ember-Adj'!J36+'Ember-Adj'!J77</f>
        <v>0.0</v>
      </c>
      <c r="BA29" s="6">
        <f>'Ember-Adj'!K36+'Ember-Adj'!K77</f>
        <v>-83.0</v>
      </c>
      <c r="BB29" s="6">
        <f>'Ember-Adj'!L36+'Ember-Adj'!L77</f>
        <v>-58.0</v>
      </c>
      <c r="BC29" s="6">
        <f>'Ember-Adj'!M36+'Ember-Adj'!M77</f>
        <v>-19.0</v>
      </c>
      <c r="BD29" s="6">
        <f>'Ember-Adj'!N36+'Ember-Adj'!N77</f>
        <v>0.0</v>
      </c>
      <c r="BE29" s="19">
        <f>SUM(AS29:BD29)</f>
        <v>-160.0</v>
      </c>
      <c r="BG29" s="6">
        <f>C29+AE29+AS29</f>
        <v>959.6</v>
      </c>
      <c r="BH29" s="6">
        <f>D29+AF29+AT29</f>
        <v>933.3</v>
      </c>
      <c r="BI29" s="6">
        <f>E29+AG29+AU29</f>
        <v>1021.8</v>
      </c>
      <c r="BJ29" s="6">
        <f>F29+AH29+AV29</f>
        <v>1085.6</v>
      </c>
      <c r="BK29" s="6">
        <f>G29+AI29+AW29</f>
        <v>993.5</v>
      </c>
      <c r="BL29" s="6">
        <f>H29+AJ29+AX29</f>
        <v>1037.5</v>
      </c>
      <c r="BM29" s="6">
        <f>I29+AK29+AY29</f>
        <v>1033.2</v>
      </c>
      <c r="BN29" s="6">
        <f>J29+AL29+AZ29</f>
        <v>988.7</v>
      </c>
      <c r="BO29" s="6">
        <f>K29+AM29+BA29</f>
        <v>881.7</v>
      </c>
      <c r="BP29" s="6">
        <f>L29+AN29+BB29</f>
        <v>968.5</v>
      </c>
      <c r="BQ29" s="6">
        <f>M29+AO29+BC29</f>
        <v>897.7</v>
      </c>
      <c r="BR29" s="6">
        <f>N29+AP29+BD29</f>
        <v>1001.9</v>
      </c>
      <c r="BS29" s="19">
        <f>SUM(BG29:BR29)</f>
        <v>11803.0</v>
      </c>
      <c r="BU29" s="6">
        <f>SUM(BG29:BO29)-SUM(C29:K29)</f>
        <v>-83.0</v>
      </c>
      <c r="BV29" s="6">
        <f>SUM(BG29:BO29)-SUM(C52:K52)</f>
        <v>-633.0</v>
      </c>
      <c r="BW29" s="6">
        <f>SUM(BG29:BO29)-SUM(C65:K65)</f>
        <v>-140.50000000000182</v>
      </c>
      <c r="BY29" s="6">
        <f>SUM(BP29:BR29)-SUM(L29:N29)</f>
        <v>-77.0</v>
      </c>
      <c r="BZ29" s="6">
        <f>SUM(BP29:BR29)-SUM(L52:N52)</f>
        <v>-363.5</v>
      </c>
      <c r="CA29" s="6">
        <f>SUM(BP29:BR29)-SUM(L65:N65)</f>
        <v>-238.0999999999999</v>
      </c>
      <c r="CC29" s="6">
        <f>BS29-O29</f>
        <v>-160.0</v>
      </c>
      <c r="CD29" s="6">
        <f>BS29-O52</f>
        <v>-996.5</v>
      </c>
      <c r="CE29" s="6">
        <f>BS29-O65</f>
        <v>-378.60000000000036</v>
      </c>
    </row>
    <row r="30">
      <c r="B30" s="5" t="inlineStr">
        <is>
          <t>Op Costs</t>
        </is>
      </c>
      <c r="C30" s="6" t="n">
        <v>-726.6</v>
      </c>
      <c r="D30" s="6" t="n">
        <v>-708.2</v>
      </c>
      <c r="E30" s="6" t="n">
        <v>-767</v>
      </c>
      <c r="F30" s="6" t="n">
        <v>-829</v>
      </c>
      <c r="G30" s="6" t="n">
        <v>-745.3</v>
      </c>
      <c r="H30" s="6" t="n">
        <v>-787.6</v>
      </c>
      <c r="I30" s="6" t="n">
        <v>-784.4</v>
      </c>
      <c r="J30" s="6" t="n">
        <v>-749.5</v>
      </c>
      <c r="K30" s="6" t="n">
        <v>-736.5</v>
      </c>
      <c r="L30" s="6" t="n">
        <v>-797.2</v>
      </c>
      <c r="M30" s="6" t="n">
        <v>-714.7</v>
      </c>
      <c r="N30" s="6" t="n">
        <v>-776.1</v>
      </c>
      <c r="O30" s="19">
        <f>SUM(C30:N30)</f>
        <v>-9122.1</v>
      </c>
      <c r="Q30" s="6" t="n">
        <v>-726.6</v>
      </c>
      <c r="R30" s="6" t="n">
        <v>-708.2</v>
      </c>
      <c r="S30" s="6" t="n">
        <v>-767</v>
      </c>
      <c r="T30" s="6" t="n">
        <v>-829</v>
      </c>
      <c r="U30" s="6" t="n">
        <v>-745.3</v>
      </c>
      <c r="V30" s="6" t="n">
        <v>-787.6</v>
      </c>
      <c r="W30" s="6" t="n">
        <v>-784.4</v>
      </c>
      <c r="X30" s="6" t="n">
        <v>-749.5</v>
      </c>
      <c r="Y30" s="6" t="n">
        <v>-736.5</v>
      </c>
      <c r="Z30" s="6" t="n">
        <v>-797.2</v>
      </c>
      <c r="AA30" s="6" t="n">
        <v>-714.7</v>
      </c>
      <c r="AB30" s="6" t="n">
        <v>-776.1</v>
      </c>
      <c r="AC30" s="19">
        <f>SUM(Q30:AB30)</f>
        <v>-9122.1</v>
      </c>
      <c r="AE30" s="6">
        <f>Q30-C30</f>
        <v>0.0</v>
      </c>
      <c r="AF30" s="6">
        <f>R30-D30</f>
        <v>0.0</v>
      </c>
      <c r="AG30" s="6">
        <f>S30-E30</f>
        <v>0.0</v>
      </c>
      <c r="AH30" s="6">
        <f>T30-F30</f>
        <v>0.0</v>
      </c>
      <c r="AI30" s="6">
        <f>U30-G30</f>
        <v>0.0</v>
      </c>
      <c r="AJ30" s="6">
        <f>V30-H30</f>
        <v>0.0</v>
      </c>
      <c r="AK30" s="6">
        <f>W30-I30</f>
        <v>0.0</v>
      </c>
      <c r="AL30" s="6">
        <f>X30-J30</f>
        <v>0.0</v>
      </c>
      <c r="AM30" s="6">
        <f>Y30-K30</f>
        <v>0.0</v>
      </c>
      <c r="AN30" s="6">
        <f>Z30-L30</f>
        <v>0.0</v>
      </c>
      <c r="AO30" s="6">
        <f>AA30-M30</f>
        <v>0.0</v>
      </c>
      <c r="AP30" s="6">
        <f>AB30-N30</f>
        <v>0.0</v>
      </c>
      <c r="AQ30" s="19">
        <f>SUM(AE30:AP30)</f>
        <v>0.0</v>
      </c>
      <c r="AS30" s="6">
        <f>-'Ember-Adj'!C58-'Ember-Adj'!C84</f>
        <v>0.0</v>
      </c>
      <c r="AT30" s="6">
        <f>-'Ember-Adj'!D58-'Ember-Adj'!D84</f>
        <v>0.0</v>
      </c>
      <c r="AU30" s="6">
        <f>-'Ember-Adj'!E58-'Ember-Adj'!E84</f>
        <v>0.0</v>
      </c>
      <c r="AV30" s="6">
        <f>-'Ember-Adj'!F58-'Ember-Adj'!F84</f>
        <v>0.0</v>
      </c>
      <c r="AW30" s="6">
        <f>-'Ember-Adj'!G58-'Ember-Adj'!G84</f>
        <v>0.0</v>
      </c>
      <c r="AX30" s="6">
        <f>-'Ember-Adj'!H58-'Ember-Adj'!H84</f>
        <v>0.0</v>
      </c>
      <c r="AY30" s="6">
        <f>-'Ember-Adj'!I58-'Ember-Adj'!I84</f>
        <v>0.0</v>
      </c>
      <c r="AZ30" s="6">
        <f>-'Ember-Adj'!J58-'Ember-Adj'!J84</f>
        <v>0.0</v>
      </c>
      <c r="BA30" s="6">
        <f>-'Ember-Adj'!K58-'Ember-Adj'!K84</f>
        <v>10.0</v>
      </c>
      <c r="BB30" s="6">
        <f>-'Ember-Adj'!L58-'Ember-Adj'!L84</f>
        <v>10.0</v>
      </c>
      <c r="BC30" s="6">
        <f>-'Ember-Adj'!M58-'Ember-Adj'!M84</f>
        <v>10.0</v>
      </c>
      <c r="BD30" s="6">
        <f>-'Ember-Adj'!N58-'Ember-Adj'!N84</f>
        <v>10.0</v>
      </c>
      <c r="BE30" s="19">
        <f>SUM(AS30:BD30)</f>
        <v>40.0</v>
      </c>
      <c r="BG30" s="6">
        <f>C30+AE30+AS30</f>
        <v>-726.6</v>
      </c>
      <c r="BH30" s="6">
        <f>D30+AF30+AT30</f>
        <v>-708.2</v>
      </c>
      <c r="BI30" s="6">
        <f>E30+AG30+AU30</f>
        <v>-767.0</v>
      </c>
      <c r="BJ30" s="6">
        <f>F30+AH30+AV30</f>
        <v>-829.0</v>
      </c>
      <c r="BK30" s="6">
        <f>G30+AI30+AW30</f>
        <v>-745.3</v>
      </c>
      <c r="BL30" s="6">
        <f>H30+AJ30+AX30</f>
        <v>-787.6</v>
      </c>
      <c r="BM30" s="6">
        <f>I30+AK30+AY30</f>
        <v>-784.4</v>
      </c>
      <c r="BN30" s="6">
        <f>J30+AL30+AZ30</f>
        <v>-749.5</v>
      </c>
      <c r="BO30" s="6">
        <f>K30+AM30+BA30</f>
        <v>-726.5</v>
      </c>
      <c r="BP30" s="6">
        <f>L30+AN30+BB30</f>
        <v>-787.2</v>
      </c>
      <c r="BQ30" s="6">
        <f>M30+AO30+BC30</f>
        <v>-704.7</v>
      </c>
      <c r="BR30" s="6">
        <f>N30+AP30+BD30</f>
        <v>-766.1</v>
      </c>
      <c r="BS30" s="19">
        <f>SUM(BG30:BR30)</f>
        <v>-9082.1</v>
      </c>
      <c r="BU30" s="6">
        <f>SUM(BG30:BO30)-SUM(C30:K30)</f>
        <v>10.0</v>
      </c>
      <c r="BV30" s="6">
        <f>SUM(BG30:BO30)-SUM(C53:K53)</f>
        <v>173.09999999999945</v>
      </c>
      <c r="BW30" s="6">
        <f>SUM(BG30:BO30)-SUM(C66:K66)</f>
        <v>13.300000000000182</v>
      </c>
      <c r="BY30" s="6">
        <f>SUM(BP30:BR30)-SUM(L30:N30)</f>
        <v>30.0</v>
      </c>
      <c r="BZ30" s="6">
        <f>SUM(BP30:BR30)-SUM(L53:N53)</f>
        <v>105.30000000000018</v>
      </c>
      <c r="CA30" s="6">
        <f>SUM(BP30:BR30)-SUM(L66:N66)</f>
        <v>48.0</v>
      </c>
      <c r="CC30" s="6">
        <f>BS30-O30</f>
        <v>40.0</v>
      </c>
      <c r="CD30" s="6">
        <f>BS30-O53</f>
        <v>278.39999999999964</v>
      </c>
      <c r="CE30" s="6">
        <f>BS30-O66</f>
        <v>61.30000000000109</v>
      </c>
    </row>
    <row r="31">
      <c r="B31" s="2" t="inlineStr">
        <is>
          <t>PBITA</t>
        </is>
      </c>
      <c r="C31" s="6">
        <f>C29+C30</f>
        <v>233.0</v>
      </c>
      <c r="D31" s="6">
        <f>D29+D30</f>
        <v>225.0999999999999</v>
      </c>
      <c r="E31" s="6">
        <f>E29+E30</f>
        <v>254.79999999999995</v>
      </c>
      <c r="F31" s="6">
        <f>F29+F30</f>
        <v>256.5999999999999</v>
      </c>
      <c r="G31" s="6">
        <f>G29+G30</f>
        <v>248.20000000000005</v>
      </c>
      <c r="H31" s="6">
        <f>H29+H30</f>
        <v>249.89999999999998</v>
      </c>
      <c r="I31" s="6">
        <f>I29+I30</f>
        <v>248.80000000000007</v>
      </c>
      <c r="J31" s="6">
        <f>J29+J30</f>
        <v>239.20000000000005</v>
      </c>
      <c r="K31" s="6">
        <f>K29+K30</f>
        <v>228.20000000000005</v>
      </c>
      <c r="L31" s="6">
        <f>L29+L30</f>
        <v>229.29999999999995</v>
      </c>
      <c r="M31" s="6">
        <f>M29+M30</f>
        <v>202.0</v>
      </c>
      <c r="N31" s="6">
        <f>N29+N30</f>
        <v>225.79999999999995</v>
      </c>
      <c r="O31" s="19">
        <f>SUM(C31:N31)</f>
        <v>2840.9000000000005</v>
      </c>
      <c r="Q31" s="6">
        <f>Q29+Q30</f>
        <v>233.0</v>
      </c>
      <c r="R31" s="6">
        <f>R29+R30</f>
        <v>225.0999999999999</v>
      </c>
      <c r="S31" s="6">
        <f>S29+S30</f>
        <v>254.79999999999995</v>
      </c>
      <c r="T31" s="6">
        <f>T29+T30</f>
        <v>256.5999999999999</v>
      </c>
      <c r="U31" s="6">
        <f>U29+U30</f>
        <v>248.20000000000005</v>
      </c>
      <c r="V31" s="6">
        <f>V29+V30</f>
        <v>249.89999999999998</v>
      </c>
      <c r="W31" s="6">
        <f>W29+W30</f>
        <v>248.80000000000007</v>
      </c>
      <c r="X31" s="6">
        <f>X29+X30</f>
        <v>239.20000000000005</v>
      </c>
      <c r="Y31" s="6">
        <f>Y29+Y30</f>
        <v>228.20000000000005</v>
      </c>
      <c r="Z31" s="6">
        <f>Z29+Z30</f>
        <v>229.29999999999995</v>
      </c>
      <c r="AA31" s="6">
        <f>AA29+AA30</f>
        <v>202.0</v>
      </c>
      <c r="AB31" s="6">
        <f>AB29+AB30</f>
        <v>225.79999999999995</v>
      </c>
      <c r="AC31" s="19">
        <f>SUM(Q31:AB31)</f>
        <v>2840.9000000000005</v>
      </c>
      <c r="AE31" s="6">
        <f>AE29+AE30</f>
        <v>0.0</v>
      </c>
      <c r="AF31" s="6">
        <f>AF29+AF30</f>
        <v>0.0</v>
      </c>
      <c r="AG31" s="6">
        <f>AG29+AG30</f>
        <v>0.0</v>
      </c>
      <c r="AH31" s="6">
        <f>AH29+AH30</f>
        <v>0.0</v>
      </c>
      <c r="AI31" s="6">
        <f>AI29+AI30</f>
        <v>0.0</v>
      </c>
      <c r="AJ31" s="6">
        <f>AJ29+AJ30</f>
        <v>0.0</v>
      </c>
      <c r="AK31" s="6">
        <f>AK29+AK30</f>
        <v>0.0</v>
      </c>
      <c r="AL31" s="6">
        <f>AL29+AL30</f>
        <v>0.0</v>
      </c>
      <c r="AM31" s="6">
        <f>AM29+AM30</f>
        <v>0.0</v>
      </c>
      <c r="AN31" s="6">
        <f>AN29+AN30</f>
        <v>0.0</v>
      </c>
      <c r="AO31" s="6">
        <f>AO29+AO30</f>
        <v>0.0</v>
      </c>
      <c r="AP31" s="6">
        <f>AP29+AP30</f>
        <v>0.0</v>
      </c>
      <c r="AQ31" s="19">
        <f>SUM(AE31:AP31)</f>
        <v>0.0</v>
      </c>
      <c r="AS31" s="6">
        <f>AS29+AS30</f>
        <v>0.0</v>
      </c>
      <c r="AT31" s="6">
        <f>AT29+AT30</f>
        <v>0.0</v>
      </c>
      <c r="AU31" s="6">
        <f>AU29+AU30</f>
        <v>0.0</v>
      </c>
      <c r="AV31" s="6">
        <f>AV29+AV30</f>
        <v>0.0</v>
      </c>
      <c r="AW31" s="6">
        <f>AW29+AW30</f>
        <v>0.0</v>
      </c>
      <c r="AX31" s="6">
        <f>AX29+AX30</f>
        <v>0.0</v>
      </c>
      <c r="AY31" s="6">
        <f>AY29+AY30</f>
        <v>0.0</v>
      </c>
      <c r="AZ31" s="6">
        <f>AZ29+AZ30</f>
        <v>0.0</v>
      </c>
      <c r="BA31" s="6">
        <f>BA29+BA30</f>
        <v>-73.0</v>
      </c>
      <c r="BB31" s="6">
        <f>BB29+BB30</f>
        <v>-48.0</v>
      </c>
      <c r="BC31" s="6">
        <f>BC29+BC30</f>
        <v>-9.0</v>
      </c>
      <c r="BD31" s="6">
        <f>BD29+BD30</f>
        <v>10.0</v>
      </c>
      <c r="BE31" s="19">
        <f>SUM(AS31:BD31)</f>
        <v>-120.0</v>
      </c>
      <c r="BG31" s="6">
        <f>BG29+BG30</f>
        <v>233.0</v>
      </c>
      <c r="BH31" s="6">
        <f>BH29+BH30</f>
        <v>225.0999999999999</v>
      </c>
      <c r="BI31" s="6">
        <f>BI29+BI30</f>
        <v>254.79999999999995</v>
      </c>
      <c r="BJ31" s="6">
        <f>BJ29+BJ30</f>
        <v>256.5999999999999</v>
      </c>
      <c r="BK31" s="6">
        <f>BK29+BK30</f>
        <v>248.20000000000005</v>
      </c>
      <c r="BL31" s="6">
        <f>BL29+BL30</f>
        <v>249.89999999999998</v>
      </c>
      <c r="BM31" s="6">
        <f>BM29+BM30</f>
        <v>248.80000000000007</v>
      </c>
      <c r="BN31" s="6">
        <f>BN29+BN30</f>
        <v>239.20000000000005</v>
      </c>
      <c r="BO31" s="6">
        <f>BO29+BO30</f>
        <v>155.20000000000005</v>
      </c>
      <c r="BP31" s="6">
        <f>BP29+BP30</f>
        <v>181.29999999999995</v>
      </c>
      <c r="BQ31" s="6">
        <f>BQ29+BQ30</f>
        <v>193.0</v>
      </c>
      <c r="BR31" s="6">
        <f>BR29+BR30</f>
        <v>235.79999999999995</v>
      </c>
      <c r="BS31" s="19">
        <f>SUM(BG31:BR31)</f>
        <v>2720.9000000000005</v>
      </c>
      <c r="BU31" s="6">
        <f>SUM(BG31:BO31)-SUM(C31:K31)</f>
        <v>-73.0</v>
      </c>
      <c r="BV31" s="6">
        <f>SUM(BG31:BO31)-SUM(C54:K54)</f>
        <v>-459.9000000000001</v>
      </c>
      <c r="BW31" s="6">
        <f>SUM(BG31:BO31)-SUM(C67:K67)</f>
        <v>-127.19999999999982</v>
      </c>
      <c r="BY31" s="6">
        <f>SUM(BP31:BR31)-SUM(L31:N31)</f>
        <v>-47.0</v>
      </c>
      <c r="BZ31" s="6">
        <f>SUM(BP31:BR31)-SUM(L54:N54)</f>
        <v>-258.19999999999993</v>
      </c>
      <c r="CA31" s="6">
        <f>SUM(BP31:BR31)-SUM(L67:N67)</f>
        <v>-190.10000000000002</v>
      </c>
      <c r="CC31" s="6">
        <f>BS31-O31</f>
        <v>-120.0</v>
      </c>
      <c r="CD31" s="6">
        <f>BS31-O54</f>
        <v>-718.0999999999999</v>
      </c>
      <c r="CE31" s="6">
        <f>BS31-O67</f>
        <v>-317.2999999999993</v>
      </c>
    </row>
    <row r="35">
      <c r="B35" s="5" t="inlineStr">
        <is>
          <t>GM %</t>
        </is>
      </c>
      <c r="C35" s="12">
        <f>IFERROR(C29/C28,0)</f>
        <v>0.31540888772022085</v>
      </c>
      <c r="D35" s="12">
        <f>IFERROR(D29/D28,0)</f>
        <v>0.31374592395871853</v>
      </c>
      <c r="E35" s="12">
        <f>IFERROR(E29/E28,0)</f>
        <v>0.31513693560325684</v>
      </c>
      <c r="F35" s="12">
        <f>IFERROR(F29/F28,0)</f>
        <v>0.3152972611890447</v>
      </c>
      <c r="G35" s="12">
        <f>IFERROR(G29/G28,0)</f>
        <v>0.3142495650798672</v>
      </c>
      <c r="H35" s="12">
        <f>IFERROR(H29/H28,0)</f>
        <v>0.31391830559757944</v>
      </c>
      <c r="I35" s="12">
        <f>IFERROR(I29/I28,0)</f>
        <v>0.3161373232972279</v>
      </c>
      <c r="J35" s="12">
        <f>IFERROR(J29/J28,0)</f>
        <v>0.31647514484171446</v>
      </c>
      <c r="K35" s="12">
        <f>IFERROR(K29/K28,0)</f>
        <v>0.31526143790849676</v>
      </c>
      <c r="L35" s="12">
        <f>IFERROR(L29/L28,0)</f>
        <v>0.31487730061349695</v>
      </c>
      <c r="M35" s="12">
        <f>IFERROR(M29/M28,0)</f>
        <v>0.31496306476550423</v>
      </c>
      <c r="N35" s="12">
        <f>IFERROR(N29/N28,0)</f>
        <v>0.31400633089917573</v>
      </c>
      <c r="O35" s="12">
        <f>IFERROR(O29/O28,0)</f>
        <v>0.3149600080036649</v>
      </c>
      <c r="Q35" s="12">
        <f>IFERROR(Q29/Q28,0)</f>
        <v>0.31540888772022085</v>
      </c>
      <c r="R35" s="12">
        <f>IFERROR(R29/R28,0)</f>
        <v>0.31374592395871853</v>
      </c>
      <c r="S35" s="12">
        <f>IFERROR(S29/S28,0)</f>
        <v>0.31513693560325684</v>
      </c>
      <c r="T35" s="12">
        <f>IFERROR(T29/T28,0)</f>
        <v>0.3152972611890447</v>
      </c>
      <c r="U35" s="12">
        <f>IFERROR(U29/U28,0)</f>
        <v>0.3142495650798672</v>
      </c>
      <c r="V35" s="12">
        <f>IFERROR(V29/V28,0)</f>
        <v>0.31391830559757944</v>
      </c>
      <c r="W35" s="12">
        <f>IFERROR(W29/W28,0)</f>
        <v>0.3161373232972279</v>
      </c>
      <c r="X35" s="12">
        <f>IFERROR(X29/X28,0)</f>
        <v>0.31647514484171446</v>
      </c>
      <c r="Y35" s="12">
        <f>IFERROR(Y29/Y28,0)</f>
        <v>0.31526143790849676</v>
      </c>
      <c r="Z35" s="12">
        <f>IFERROR(Z29/Z28,0)</f>
        <v>0.31487730061349695</v>
      </c>
      <c r="AA35" s="12">
        <f>IFERROR(AA29/AA28,0)</f>
        <v>0.31496306476550423</v>
      </c>
      <c r="AB35" s="12">
        <f>IFERROR(AB29/AB28,0)</f>
        <v>0.31400633089917573</v>
      </c>
      <c r="AC35" s="12">
        <f>IFERROR(AC29/AC28,0)</f>
        <v>0.3149600080036649</v>
      </c>
      <c r="AE35" s="12">
        <f>IFERROR(AE29/AE28,0)</f>
        <v>0.0</v>
      </c>
      <c r="AF35" s="12">
        <f>IFERROR(AF29/AF28,0)</f>
        <v>0.0</v>
      </c>
      <c r="AG35" s="12">
        <f>IFERROR(AG29/AG28,0)</f>
        <v>0.0</v>
      </c>
      <c r="AH35" s="12">
        <f>IFERROR(AH29/AH28,0)</f>
        <v>0.0</v>
      </c>
      <c r="AI35" s="12">
        <f>IFERROR(AI29/AI28,0)</f>
        <v>0.0</v>
      </c>
      <c r="AJ35" s="12">
        <f>IFERROR(AJ29/AJ28,0)</f>
        <v>0.0</v>
      </c>
      <c r="AK35" s="12">
        <f>IFERROR(AK29/AK28,0)</f>
        <v>0.0</v>
      </c>
      <c r="AL35" s="12">
        <f>IFERROR(AL29/AL28,0)</f>
        <v>0.0</v>
      </c>
      <c r="AM35" s="12">
        <f>IFERROR(AM29/AM28,0)</f>
        <v>0.0</v>
      </c>
      <c r="AN35" s="12">
        <f>IFERROR(AN29/AN28,0)</f>
        <v>0.0</v>
      </c>
      <c r="AO35" s="12">
        <f>IFERROR(AO29/AO28,0)</f>
        <v>0.0</v>
      </c>
      <c r="AP35" s="12">
        <f>IFERROR(AP29/AP28,0)</f>
        <v>0.0</v>
      </c>
      <c r="AQ35" s="12">
        <f>IFERROR(AQ29/AQ28,0)</f>
        <v>0.0</v>
      </c>
      <c r="AS35" s="12">
        <f>IFERROR(AS29/AS28,0)</f>
        <v>0.0</v>
      </c>
      <c r="AT35" s="12">
        <f>IFERROR(AT29/AT28,0)</f>
        <v>0.0</v>
      </c>
      <c r="AU35" s="12">
        <f>IFERROR(AU29/AU28,0)</f>
        <v>0.0</v>
      </c>
      <c r="AV35" s="12">
        <f>IFERROR(AV29/AV28,0)</f>
        <v>0.0</v>
      </c>
      <c r="AW35" s="12">
        <f>IFERROR(AW29/AW28,0)</f>
        <v>0.0</v>
      </c>
      <c r="AX35" s="12">
        <f>IFERROR(AX29/AX28,0)</f>
        <v>0.0</v>
      </c>
      <c r="AY35" s="12">
        <f>IFERROR(AY29/AY28,0)</f>
        <v>0.0</v>
      </c>
      <c r="AZ35" s="12">
        <f>IFERROR(AZ29/AZ28,0)</f>
        <v>0.0</v>
      </c>
      <c r="BA35" s="12">
        <f>IFERROR(BA29/BA28,0)</f>
        <v>0.3192307692307692</v>
      </c>
      <c r="BB35" s="12">
        <f>IFERROR(BB29/BB28,0)</f>
        <v>0.32222222222222224</v>
      </c>
      <c r="BC35" s="12">
        <f>IFERROR(BC29/BC28,0)</f>
        <v>0.31666666666666665</v>
      </c>
      <c r="BD35" s="12">
        <f>IFERROR(BD29/BD28,0)</f>
        <v>0.0</v>
      </c>
      <c r="BE35" s="12">
        <f>IFERROR(BE29/BE28,0)</f>
        <v>0.32</v>
      </c>
      <c r="BG35" s="12">
        <f>IFERROR(BG29/BG28,0)</f>
        <v>0.31540888772022085</v>
      </c>
      <c r="BH35" s="12">
        <f>IFERROR(BH29/BH28,0)</f>
        <v>0.31374592395871853</v>
      </c>
      <c r="BI35" s="12">
        <f>IFERROR(BI29/BI28,0)</f>
        <v>0.31513693560325684</v>
      </c>
      <c r="BJ35" s="12">
        <f>IFERROR(BJ29/BJ28,0)</f>
        <v>0.3152972611890447</v>
      </c>
      <c r="BK35" s="12">
        <f>IFERROR(BK29/BK28,0)</f>
        <v>0.3142495650798672</v>
      </c>
      <c r="BL35" s="12">
        <f>IFERROR(BL29/BL28,0)</f>
        <v>0.31391830559757944</v>
      </c>
      <c r="BM35" s="12">
        <f>IFERROR(BM29/BM28,0)</f>
        <v>0.3161373232972279</v>
      </c>
      <c r="BN35" s="12">
        <f>IFERROR(BN29/BN28,0)</f>
        <v>0.31647514484171446</v>
      </c>
      <c r="BO35" s="12">
        <f>IFERROR(BO29/BO28,0)</f>
        <v>0.31489285714285714</v>
      </c>
      <c r="BP35" s="12">
        <f>IFERROR(BP29/BP28,0)</f>
        <v>0.3144480519480519</v>
      </c>
      <c r="BQ35" s="12">
        <f>IFERROR(BQ29/BQ28,0)</f>
        <v>0.3149272057533766</v>
      </c>
      <c r="BR35" s="12">
        <f>IFERROR(BR29/BR28,0)</f>
        <v>0.31400633089917573</v>
      </c>
      <c r="BS35" s="12">
        <f>IFERROR(BS29/BS28,0)</f>
        <v>0.3148927769151554</v>
      </c>
    </row>
    <row r="36">
      <c r="B36" s="5" t="inlineStr">
        <is>
          <t>Op Cost %</t>
        </is>
      </c>
      <c r="C36" s="12">
        <f>IFERROR(C30/C28,0)</f>
        <v>-0.23882461214830397</v>
      </c>
      <c r="D36" s="12">
        <f>IFERROR(D30/D28,0)</f>
        <v>-0.23807442767337886</v>
      </c>
      <c r="E36" s="12">
        <f>IFERROR(E30/E28,0)</f>
        <v>-0.2365531704909943</v>
      </c>
      <c r="F36" s="12">
        <f>IFERROR(F30/F28,0)</f>
        <v>-0.24077139786820018</v>
      </c>
      <c r="G36" s="12">
        <f>IFERROR(G30/G28,0)</f>
        <v>-0.23574252728135378</v>
      </c>
      <c r="H36" s="12">
        <f>IFERROR(H30/H28,0)</f>
        <v>-0.23830559757942513</v>
      </c>
      <c r="I36" s="12">
        <f>IFERROR(I30/I28,0)</f>
        <v>-0.2400097913224405</v>
      </c>
      <c r="J36" s="12">
        <f>IFERROR(J30/J28,0)</f>
        <v>-0.2399090938190199</v>
      </c>
      <c r="K36" s="12">
        <f>IFERROR(K30/K28,0)</f>
        <v>-0.24068627450980393</v>
      </c>
      <c r="L36" s="12">
        <f>IFERROR(L30/L28,0)</f>
        <v>-0.24453987730061352</v>
      </c>
      <c r="M36" s="12">
        <f>IFERROR(M30/M28,0)</f>
        <v>-0.24555918227108745</v>
      </c>
      <c r="N36" s="12">
        <f>IFERROR(N30/N28,0)</f>
        <v>-0.24323816090513056</v>
      </c>
      <c r="O36" s="12">
        <f>IFERROR(O30/O28,0)</f>
        <v>-0.24016523355431177</v>
      </c>
      <c r="Q36" s="12">
        <f>IFERROR(Q30/Q28,0)</f>
        <v>-0.23882461214830397</v>
      </c>
      <c r="R36" s="12">
        <f>IFERROR(R30/R28,0)</f>
        <v>-0.23807442767337886</v>
      </c>
      <c r="S36" s="12">
        <f>IFERROR(S30/S28,0)</f>
        <v>-0.2365531704909943</v>
      </c>
      <c r="T36" s="12">
        <f>IFERROR(T30/T28,0)</f>
        <v>-0.24077139786820018</v>
      </c>
      <c r="U36" s="12">
        <f>IFERROR(U30/U28,0)</f>
        <v>-0.23574252728135378</v>
      </c>
      <c r="V36" s="12">
        <f>IFERROR(V30/V28,0)</f>
        <v>-0.23830559757942513</v>
      </c>
      <c r="W36" s="12">
        <f>IFERROR(W30/W28,0)</f>
        <v>-0.2400097913224405</v>
      </c>
      <c r="X36" s="12">
        <f>IFERROR(X30/X28,0)</f>
        <v>-0.2399090938190199</v>
      </c>
      <c r="Y36" s="12">
        <f>IFERROR(Y30/Y28,0)</f>
        <v>-0.24068627450980393</v>
      </c>
      <c r="Z36" s="12">
        <f>IFERROR(Z30/Z28,0)</f>
        <v>-0.24453987730061352</v>
      </c>
      <c r="AA36" s="12">
        <f>IFERROR(AA30/AA28,0)</f>
        <v>-0.24555918227108745</v>
      </c>
      <c r="AB36" s="12">
        <f>IFERROR(AB30/AB28,0)</f>
        <v>-0.24323816090513056</v>
      </c>
      <c r="AC36" s="12">
        <f>IFERROR(AC30/AC28,0)</f>
        <v>-0.24016523355431177</v>
      </c>
      <c r="AE36" s="12">
        <f>IFERROR(AE30/AE28,0)</f>
        <v>0.0</v>
      </c>
      <c r="AF36" s="12">
        <f>IFERROR(AF30/AF28,0)</f>
        <v>0.0</v>
      </c>
      <c r="AG36" s="12">
        <f>IFERROR(AG30/AG28,0)</f>
        <v>0.0</v>
      </c>
      <c r="AH36" s="12">
        <f>IFERROR(AH30/AH28,0)</f>
        <v>0.0</v>
      </c>
      <c r="AI36" s="12">
        <f>IFERROR(AI30/AI28,0)</f>
        <v>0.0</v>
      </c>
      <c r="AJ36" s="12">
        <f>IFERROR(AJ30/AJ28,0)</f>
        <v>0.0</v>
      </c>
      <c r="AK36" s="12">
        <f>IFERROR(AK30/AK28,0)</f>
        <v>0.0</v>
      </c>
      <c r="AL36" s="12">
        <f>IFERROR(AL30/AL28,0)</f>
        <v>0.0</v>
      </c>
      <c r="AM36" s="12">
        <f>IFERROR(AM30/AM28,0)</f>
        <v>0.0</v>
      </c>
      <c r="AN36" s="12">
        <f>IFERROR(AN30/AN28,0)</f>
        <v>0.0</v>
      </c>
      <c r="AO36" s="12">
        <f>IFERROR(AO30/AO28,0)</f>
        <v>0.0</v>
      </c>
      <c r="AP36" s="12">
        <f>IFERROR(AP30/AP28,0)</f>
        <v>0.0</v>
      </c>
      <c r="AQ36" s="12">
        <f>IFERROR(AQ30/AQ28,0)</f>
        <v>0.0</v>
      </c>
      <c r="AS36" s="12">
        <f>IFERROR(AS30/AS28,0)</f>
        <v>0.0</v>
      </c>
      <c r="AT36" s="12">
        <f>IFERROR(AT30/AT28,0)</f>
        <v>0.0</v>
      </c>
      <c r="AU36" s="12">
        <f>IFERROR(AU30/AU28,0)</f>
        <v>0.0</v>
      </c>
      <c r="AV36" s="12">
        <f>IFERROR(AV30/AV28,0)</f>
        <v>0.0</v>
      </c>
      <c r="AW36" s="12">
        <f>IFERROR(AW30/AW28,0)</f>
        <v>0.0</v>
      </c>
      <c r="AX36" s="12">
        <f>IFERROR(AX30/AX28,0)</f>
        <v>0.0</v>
      </c>
      <c r="AY36" s="12">
        <f>IFERROR(AY30/AY28,0)</f>
        <v>0.0</v>
      </c>
      <c r="AZ36" s="12">
        <f>IFERROR(AZ30/AZ28,0)</f>
        <v>0.0</v>
      </c>
      <c r="BA36" s="12">
        <f>IFERROR(BA30/BA28,0)</f>
        <v>-0.038461538461538464</v>
      </c>
      <c r="BB36" s="12">
        <f>IFERROR(BB30/BB28,0)</f>
        <v>-0.05555555555555555</v>
      </c>
      <c r="BC36" s="12">
        <f>IFERROR(BC30/BC28,0)</f>
        <v>-0.16666666666666666</v>
      </c>
      <c r="BD36" s="12">
        <f>IFERROR(BD30/BD28,0)</f>
        <v>0.0</v>
      </c>
      <c r="BE36" s="12">
        <f>IFERROR(BE30/BE28,0)</f>
        <v>-0.08</v>
      </c>
      <c r="BG36" s="12">
        <f>IFERROR(BG30/BG28,0)</f>
        <v>-0.23882461214830397</v>
      </c>
      <c r="BH36" s="12">
        <f>IFERROR(BH30/BH28,0)</f>
        <v>-0.23807442767337886</v>
      </c>
      <c r="BI36" s="12">
        <f>IFERROR(BI30/BI28,0)</f>
        <v>-0.2365531704909943</v>
      </c>
      <c r="BJ36" s="12">
        <f>IFERROR(BJ30/BJ28,0)</f>
        <v>-0.24077139786820018</v>
      </c>
      <c r="BK36" s="12">
        <f>IFERROR(BK30/BK28,0)</f>
        <v>-0.23574252728135378</v>
      </c>
      <c r="BL36" s="12">
        <f>IFERROR(BL30/BL28,0)</f>
        <v>-0.23830559757942513</v>
      </c>
      <c r="BM36" s="12">
        <f>IFERROR(BM30/BM28,0)</f>
        <v>-0.2400097913224405</v>
      </c>
      <c r="BN36" s="12">
        <f>IFERROR(BN30/BN28,0)</f>
        <v>-0.2399090938190199</v>
      </c>
      <c r="BO36" s="12">
        <f>IFERROR(BO30/BO28,0)</f>
        <v>-0.2594642857142857</v>
      </c>
      <c r="BP36" s="12">
        <f>IFERROR(BP30/BP28,0)</f>
        <v>-0.2555844155844156</v>
      </c>
      <c r="BQ36" s="12">
        <f>IFERROR(BQ30/BQ28,0)</f>
        <v>-0.24721978600245573</v>
      </c>
      <c r="BR36" s="12">
        <f>IFERROR(BR30/BR28,0)</f>
        <v>-0.24010405240229418</v>
      </c>
      <c r="BS36" s="12">
        <f>IFERROR(BS30/BS28,0)</f>
        <v>-0.24230176135060008</v>
      </c>
    </row>
    <row r="37">
      <c r="B37" s="5" t="inlineStr">
        <is>
          <t>PBITA %</t>
        </is>
      </c>
      <c r="C37" s="12">
        <f>IFERROR(C31/C28,0)</f>
        <v>0.07658427557191691</v>
      </c>
      <c r="D37" s="12">
        <f>IFERROR(D31/D28,0)</f>
        <v>0.07567149628533967</v>
      </c>
      <c r="E37" s="12">
        <f>IFERROR(E31/E28,0)</f>
        <v>0.0785837651122625</v>
      </c>
      <c r="F37" s="12">
        <f>IFERROR(F31/F28,0)</f>
        <v>0.07452586332084456</v>
      </c>
      <c r="G37" s="12">
        <f>IFERROR(G31/G28,0)</f>
        <v>0.07850703779851338</v>
      </c>
      <c r="H37" s="12">
        <f>IFERROR(H31/H28,0)</f>
        <v>0.0756127080181543</v>
      </c>
      <c r="I37" s="12">
        <f>IFERROR(I31/I28,0)</f>
        <v>0.07612753197478737</v>
      </c>
      <c r="J37" s="12">
        <f>IFERROR(J31/J28,0)</f>
        <v>0.07656605102269455</v>
      </c>
      <c r="K37" s="12">
        <f>IFERROR(K31/K28,0)</f>
        <v>0.07457516339869283</v>
      </c>
      <c r="L37" s="12">
        <f>IFERROR(L31/L28,0)</f>
        <v>0.07033742331288342</v>
      </c>
      <c r="M37" s="12">
        <f>IFERROR(M31/M28,0)</f>
        <v>0.06940388249441677</v>
      </c>
      <c r="N37" s="12">
        <f>IFERROR(N31/N28,0)</f>
        <v>0.07076816999404519</v>
      </c>
      <c r="O37" s="12">
        <f>IFERROR(O31/O28,0)</f>
        <v>0.07479477444935316</v>
      </c>
      <c r="Q37" s="12">
        <f>IFERROR(Q31/Q28,0)</f>
        <v>0.07658427557191691</v>
      </c>
      <c r="R37" s="12">
        <f>IFERROR(R31/R28,0)</f>
        <v>0.07567149628533967</v>
      </c>
      <c r="S37" s="12">
        <f>IFERROR(S31/S28,0)</f>
        <v>0.0785837651122625</v>
      </c>
      <c r="T37" s="12">
        <f>IFERROR(T31/T28,0)</f>
        <v>0.07452586332084456</v>
      </c>
      <c r="U37" s="12">
        <f>IFERROR(U31/U28,0)</f>
        <v>0.07850703779851338</v>
      </c>
      <c r="V37" s="12">
        <f>IFERROR(V31/V28,0)</f>
        <v>0.0756127080181543</v>
      </c>
      <c r="W37" s="12">
        <f>IFERROR(W31/W28,0)</f>
        <v>0.07612753197478737</v>
      </c>
      <c r="X37" s="12">
        <f>IFERROR(X31/X28,0)</f>
        <v>0.07656605102269455</v>
      </c>
      <c r="Y37" s="12">
        <f>IFERROR(Y31/Y28,0)</f>
        <v>0.07457516339869283</v>
      </c>
      <c r="Z37" s="12">
        <f>IFERROR(Z31/Z28,0)</f>
        <v>0.07033742331288342</v>
      </c>
      <c r="AA37" s="12">
        <f>IFERROR(AA31/AA28,0)</f>
        <v>0.06940388249441677</v>
      </c>
      <c r="AB37" s="12">
        <f>IFERROR(AB31/AB28,0)</f>
        <v>0.07076816999404519</v>
      </c>
      <c r="AC37" s="12">
        <f>IFERROR(AC31/AC28,0)</f>
        <v>0.07479477444935316</v>
      </c>
      <c r="AE37" s="12">
        <f>IFERROR(AE31/AE28,0)</f>
        <v>0.0</v>
      </c>
      <c r="AF37" s="12">
        <f>IFERROR(AF31/AF28,0)</f>
        <v>0.0</v>
      </c>
      <c r="AG37" s="12">
        <f>IFERROR(AG31/AG28,0)</f>
        <v>0.0</v>
      </c>
      <c r="AH37" s="12">
        <f>IFERROR(AH31/AH28,0)</f>
        <v>0.0</v>
      </c>
      <c r="AI37" s="12">
        <f>IFERROR(AI31/AI28,0)</f>
        <v>0.0</v>
      </c>
      <c r="AJ37" s="12">
        <f>IFERROR(AJ31/AJ28,0)</f>
        <v>0.0</v>
      </c>
      <c r="AK37" s="12">
        <f>IFERROR(AK31/AK28,0)</f>
        <v>0.0</v>
      </c>
      <c r="AL37" s="12">
        <f>IFERROR(AL31/AL28,0)</f>
        <v>0.0</v>
      </c>
      <c r="AM37" s="12">
        <f>IFERROR(AM31/AM28,0)</f>
        <v>0.0</v>
      </c>
      <c r="AN37" s="12">
        <f>IFERROR(AN31/AN28,0)</f>
        <v>0.0</v>
      </c>
      <c r="AO37" s="12">
        <f>IFERROR(AO31/AO28,0)</f>
        <v>0.0</v>
      </c>
      <c r="AP37" s="12">
        <f>IFERROR(AP31/AP28,0)</f>
        <v>0.0</v>
      </c>
      <c r="AQ37" s="12">
        <f>IFERROR(AQ31/AQ28,0)</f>
        <v>0.0</v>
      </c>
      <c r="AS37" s="12">
        <f>IFERROR(AS31/AS28,0)</f>
        <v>0.0</v>
      </c>
      <c r="AT37" s="12">
        <f>IFERROR(AT31/AT28,0)</f>
        <v>0.0</v>
      </c>
      <c r="AU37" s="12">
        <f>IFERROR(AU31/AU28,0)</f>
        <v>0.0</v>
      </c>
      <c r="AV37" s="12">
        <f>IFERROR(AV31/AV28,0)</f>
        <v>0.0</v>
      </c>
      <c r="AW37" s="12">
        <f>IFERROR(AW31/AW28,0)</f>
        <v>0.0</v>
      </c>
      <c r="AX37" s="12">
        <f>IFERROR(AX31/AX28,0)</f>
        <v>0.0</v>
      </c>
      <c r="AY37" s="12">
        <f>IFERROR(AY31/AY28,0)</f>
        <v>0.0</v>
      </c>
      <c r="AZ37" s="12">
        <f>IFERROR(AZ31/AZ28,0)</f>
        <v>0.0</v>
      </c>
      <c r="BA37" s="12">
        <f>IFERROR(BA31/BA28,0)</f>
        <v>0.28076923076923077</v>
      </c>
      <c r="BB37" s="12">
        <f>IFERROR(BB31/BB28,0)</f>
        <v>0.26666666666666666</v>
      </c>
      <c r="BC37" s="12">
        <f>IFERROR(BC31/BC28,0)</f>
        <v>0.15</v>
      </c>
      <c r="BD37" s="12">
        <f>IFERROR(BD31/BD28,0)</f>
        <v>0.0</v>
      </c>
      <c r="BE37" s="12">
        <f>IFERROR(BE31/BE28,0)</f>
        <v>0.24</v>
      </c>
      <c r="BG37" s="12">
        <f>IFERROR(BG31/BG28,0)</f>
        <v>0.07658427557191691</v>
      </c>
      <c r="BH37" s="12">
        <f>IFERROR(BH31/BH28,0)</f>
        <v>0.07567149628533967</v>
      </c>
      <c r="BI37" s="12">
        <f>IFERROR(BI31/BI28,0)</f>
        <v>0.0785837651122625</v>
      </c>
      <c r="BJ37" s="12">
        <f>IFERROR(BJ31/BJ28,0)</f>
        <v>0.07452586332084456</v>
      </c>
      <c r="BK37" s="12">
        <f>IFERROR(BK31/BK28,0)</f>
        <v>0.07850703779851338</v>
      </c>
      <c r="BL37" s="12">
        <f>IFERROR(BL31/BL28,0)</f>
        <v>0.0756127080181543</v>
      </c>
      <c r="BM37" s="12">
        <f>IFERROR(BM31/BM28,0)</f>
        <v>0.07612753197478737</v>
      </c>
      <c r="BN37" s="12">
        <f>IFERROR(BN31/BN28,0)</f>
        <v>0.07656605102269455</v>
      </c>
      <c r="BO37" s="12">
        <f>IFERROR(BO31/BO28,0)</f>
        <v>0.055428571428571445</v>
      </c>
      <c r="BP37" s="12">
        <f>IFERROR(BP31/BP28,0)</f>
        <v>0.05886363636363635</v>
      </c>
      <c r="BQ37" s="12">
        <f>IFERROR(BQ31/BQ28,0)</f>
        <v>0.06770741975092089</v>
      </c>
      <c r="BR37" s="12">
        <f>IFERROR(BR31/BR28,0)</f>
        <v>0.07390227849688155</v>
      </c>
      <c r="BS37" s="12">
        <f>IFERROR(BS31/BS28,0)</f>
        <v>0.07259101556455531</v>
      </c>
    </row>
    <row r="38">
      <c r="B38" s="5" t="inlineStr">
        <is>
          <t>Sales/Day</t>
        </is>
      </c>
      <c r="C38" s="6">
        <f>IFERROR(C28/21,0)</f>
        <v>144.8761904761905</v>
      </c>
      <c r="D38" s="6">
        <f>IFERROR(D28/20,0)</f>
        <v>148.73499999999999</v>
      </c>
      <c r="E38" s="6">
        <f>IFERROR(E28/22,0)</f>
        <v>147.38181818181818</v>
      </c>
      <c r="F38" s="6">
        <f>IFERROR(F28/22,0)</f>
        <v>156.50454545454545</v>
      </c>
      <c r="G38" s="6">
        <f>IFERROR(G28/20,0)</f>
        <v>158.075</v>
      </c>
      <c r="H38" s="6">
        <f>IFERROR(H28/22,0)</f>
        <v>150.22727272727272</v>
      </c>
      <c r="I38" s="6">
        <f>IFERROR(I28/22,0)</f>
        <v>148.55454545454543</v>
      </c>
      <c r="J38" s="6">
        <f>IFERROR(J28/21,0)</f>
        <v>148.76666666666665</v>
      </c>
      <c r="K38" s="6">
        <f>IFERROR(K28/21,0)</f>
        <v>145.71428571428572</v>
      </c>
      <c r="L38" s="6">
        <f>IFERROR(L28/22,0)</f>
        <v>148.1818181818182</v>
      </c>
      <c r="M38" s="6">
        <f>IFERROR(M28/19,0)</f>
        <v>153.18421052631578</v>
      </c>
      <c r="N38" s="6">
        <f>IFERROR(N28/22,0)</f>
        <v>145.03181818181818</v>
      </c>
      <c r="O38" s="6">
        <f>IFERROR(O28/254,0)</f>
        <v>149.53779527559053</v>
      </c>
      <c r="Q38" s="6">
        <f>IFERROR(Q28/21,0)</f>
        <v>144.8761904761905</v>
      </c>
      <c r="R38" s="6">
        <f>IFERROR(R28/20,0)</f>
        <v>148.73499999999999</v>
      </c>
      <c r="S38" s="6">
        <f>IFERROR(S28/22,0)</f>
        <v>147.38181818181818</v>
      </c>
      <c r="T38" s="6">
        <f>IFERROR(T28/22,0)</f>
        <v>156.50454545454545</v>
      </c>
      <c r="U38" s="6">
        <f>IFERROR(U28/20,0)</f>
        <v>158.075</v>
      </c>
      <c r="V38" s="6">
        <f>IFERROR(V28/22,0)</f>
        <v>150.22727272727272</v>
      </c>
      <c r="W38" s="6">
        <f>IFERROR(W28/22,0)</f>
        <v>148.55454545454543</v>
      </c>
      <c r="X38" s="6">
        <f>IFERROR(X28/21,0)</f>
        <v>148.76666666666665</v>
      </c>
      <c r="Y38" s="6">
        <f>IFERROR(Y28/21,0)</f>
        <v>145.71428571428572</v>
      </c>
      <c r="Z38" s="6">
        <f>IFERROR(Z28/22,0)</f>
        <v>148.1818181818182</v>
      </c>
      <c r="AA38" s="6">
        <f>IFERROR(AA28/19,0)</f>
        <v>153.18421052631578</v>
      </c>
      <c r="AB38" s="6">
        <f>IFERROR(AB28/22,0)</f>
        <v>145.03181818181818</v>
      </c>
      <c r="AC38" s="6">
        <f>IFERROR(AC28/254,0)</f>
        <v>149.53779527559053</v>
      </c>
      <c r="AE38" s="6">
        <f>IFERROR(AE28/21,0)</f>
        <v>0.0</v>
      </c>
      <c r="AF38" s="6">
        <f>IFERROR(AF28/20,0)</f>
        <v>0.0</v>
      </c>
      <c r="AG38" s="6">
        <f>IFERROR(AG28/22,0)</f>
        <v>0.0</v>
      </c>
      <c r="AH38" s="6">
        <f>IFERROR(AH28/22,0)</f>
        <v>0.0</v>
      </c>
      <c r="AI38" s="6">
        <f>IFERROR(AI28/20,0)</f>
        <v>0.0</v>
      </c>
      <c r="AJ38" s="6">
        <f>IFERROR(AJ28/22,0)</f>
        <v>0.0</v>
      </c>
      <c r="AK38" s="6">
        <f>IFERROR(AK28/22,0)</f>
        <v>0.0</v>
      </c>
      <c r="AL38" s="6">
        <f>IFERROR(AL28/21,0)</f>
        <v>0.0</v>
      </c>
      <c r="AM38" s="6">
        <f>IFERROR(AM28/21,0)</f>
        <v>0.0</v>
      </c>
      <c r="AN38" s="6">
        <f>IFERROR(AN28/22,0)</f>
        <v>0.0</v>
      </c>
      <c r="AO38" s="6">
        <f>IFERROR(AO28/19,0)</f>
        <v>0.0</v>
      </c>
      <c r="AP38" s="6">
        <f>IFERROR(AP28/22,0)</f>
        <v>0.0</v>
      </c>
      <c r="AQ38" s="6">
        <f>IFERROR(AQ28/254,0)</f>
        <v>0.0</v>
      </c>
      <c r="AS38" s="6">
        <f>IFERROR(AS28/21,0)</f>
        <v>0.0</v>
      </c>
      <c r="AT38" s="6">
        <f>IFERROR(AT28/20,0)</f>
        <v>0.0</v>
      </c>
      <c r="AU38" s="6">
        <f>IFERROR(AU28/22,0)</f>
        <v>0.0</v>
      </c>
      <c r="AV38" s="6">
        <f>IFERROR(AV28/22,0)</f>
        <v>0.0</v>
      </c>
      <c r="AW38" s="6">
        <f>IFERROR(AW28/20,0)</f>
        <v>0.0</v>
      </c>
      <c r="AX38" s="6">
        <f>IFERROR(AX28/22,0)</f>
        <v>0.0</v>
      </c>
      <c r="AY38" s="6">
        <f>IFERROR(AY28/22,0)</f>
        <v>0.0</v>
      </c>
      <c r="AZ38" s="6">
        <f>IFERROR(AZ28/21,0)</f>
        <v>0.0</v>
      </c>
      <c r="BA38" s="6">
        <f>IFERROR(BA28/21,0)</f>
        <v>-12.380952380952381</v>
      </c>
      <c r="BB38" s="6">
        <f>IFERROR(BB28/22,0)</f>
        <v>-8.181818181818182</v>
      </c>
      <c r="BC38" s="6">
        <f>IFERROR(BC28/19,0)</f>
        <v>-3.1578947368421053</v>
      </c>
      <c r="BD38" s="6">
        <f>IFERROR(BD28/22,0)</f>
        <v>0.0</v>
      </c>
      <c r="BE38" s="6">
        <f>IFERROR(BE28/254,0)</f>
        <v>-1.968503937007874</v>
      </c>
      <c r="BG38" s="6">
        <f>IFERROR(BG28/21,0)</f>
        <v>144.8761904761905</v>
      </c>
      <c r="BH38" s="6">
        <f>IFERROR(BH28/20,0)</f>
        <v>148.73499999999999</v>
      </c>
      <c r="BI38" s="6">
        <f>IFERROR(BI28/22,0)</f>
        <v>147.38181818181818</v>
      </c>
      <c r="BJ38" s="6">
        <f>IFERROR(BJ28/22,0)</f>
        <v>156.50454545454545</v>
      </c>
      <c r="BK38" s="6">
        <f>IFERROR(BK28/20,0)</f>
        <v>158.075</v>
      </c>
      <c r="BL38" s="6">
        <f>IFERROR(BL28/22,0)</f>
        <v>150.22727272727272</v>
      </c>
      <c r="BM38" s="6">
        <f>IFERROR(BM28/22,0)</f>
        <v>148.55454545454543</v>
      </c>
      <c r="BN38" s="6">
        <f>IFERROR(BN28/21,0)</f>
        <v>148.76666666666665</v>
      </c>
      <c r="BO38" s="6">
        <f>IFERROR(BO28/21,0)</f>
        <v>133.33333333333334</v>
      </c>
      <c r="BP38" s="6">
        <f>IFERROR(BP28/22,0)</f>
        <v>140.0</v>
      </c>
      <c r="BQ38" s="6">
        <f>IFERROR(BQ28/19,0)</f>
        <v>150.02631578947367</v>
      </c>
      <c r="BR38" s="6">
        <f>IFERROR(BR28/22,0)</f>
        <v>145.03181818181818</v>
      </c>
      <c r="BS38" s="6">
        <f>IFERROR(BS28/254,0)</f>
        <v>147.56929133858264</v>
      </c>
    </row>
    <row r="40">
      <c r="B40" s="5" t="inlineStr">
        <is>
          <t>Net Inventory</t>
        </is>
      </c>
      <c r="C40" s="6" t="n">
        <v>5288.3</v>
      </c>
      <c r="D40" s="6" t="n">
        <v>5244.1</v>
      </c>
      <c r="E40" s="6" t="n">
        <v>5639</v>
      </c>
      <c r="F40" s="6" t="n">
        <v>5982.4</v>
      </c>
      <c r="G40" s="6" t="n">
        <v>5312.3</v>
      </c>
      <c r="H40" s="6" t="n">
        <v>5501.8</v>
      </c>
      <c r="I40" s="6" t="n">
        <v>5186.8</v>
      </c>
      <c r="J40" s="6" t="n">
        <v>4790.5</v>
      </c>
      <c r="K40" s="6" t="n">
        <v>4195.4</v>
      </c>
      <c r="L40" s="6" t="n">
        <v>4698.7</v>
      </c>
      <c r="M40" s="6" t="n">
        <v>4329.1</v>
      </c>
      <c r="N40" s="6" t="n">
        <v>4904.2</v>
      </c>
      <c r="O40" s="6">
        <f>N40</f>
        <v>4904.2</v>
      </c>
      <c r="Q40" s="6" t="n">
        <v>5288.3</v>
      </c>
      <c r="R40" s="6" t="n">
        <v>5244.1</v>
      </c>
      <c r="S40" s="6" t="n">
        <v>5639</v>
      </c>
      <c r="T40" s="6" t="n">
        <v>5982.4</v>
      </c>
      <c r="U40" s="6" t="n">
        <v>5312.3</v>
      </c>
      <c r="V40" s="6" t="n">
        <v>5501.8</v>
      </c>
      <c r="W40" s="6" t="n">
        <v>5186.8</v>
      </c>
      <c r="X40" s="6" t="n">
        <v>4790.5</v>
      </c>
      <c r="Y40" s="6" t="n">
        <v>4195.4</v>
      </c>
      <c r="Z40" s="6" t="n">
        <v>4698.7</v>
      </c>
      <c r="AA40" s="6" t="n">
        <v>4329.1</v>
      </c>
      <c r="AB40" s="6" t="n">
        <v>4904.2</v>
      </c>
      <c r="AC40" s="6">
        <f>AB40</f>
        <v>4904.2</v>
      </c>
      <c r="AE40" s="6">
        <f>Q40-C40</f>
        <v>0.0</v>
      </c>
      <c r="AF40" s="6">
        <f>R40-D40</f>
        <v>0.0</v>
      </c>
      <c r="AG40" s="6">
        <f>S40-E40</f>
        <v>0.0</v>
      </c>
      <c r="AH40" s="6">
        <f>T40-F40</f>
        <v>0.0</v>
      </c>
      <c r="AI40" s="6">
        <f>U40-G40</f>
        <v>0.0</v>
      </c>
      <c r="AJ40" s="6">
        <f>V40-H40</f>
        <v>0.0</v>
      </c>
      <c r="AK40" s="6">
        <f>W40-I40</f>
        <v>0.0</v>
      </c>
      <c r="AL40" s="6">
        <f>X40-J40</f>
        <v>0.0</v>
      </c>
      <c r="AM40" s="6">
        <f>Y40-K40</f>
        <v>0.0</v>
      </c>
      <c r="AN40" s="6">
        <f>Z40-L40</f>
        <v>0.0</v>
      </c>
      <c r="AO40" s="6">
        <f>AA40-M40</f>
        <v>0.0</v>
      </c>
      <c r="AP40" s="6">
        <f>AB40-N40</f>
        <v>0.0</v>
      </c>
      <c r="AQ40" s="6">
        <f>AP40</f>
        <v>0.0</v>
      </c>
      <c r="AS40" s="6">
        <f>'Ember-Adj'!C90</f>
        <v>0.0</v>
      </c>
      <c r="AT40" s="6">
        <f>'Ember-Adj'!D90</f>
        <v>0.0</v>
      </c>
      <c r="AU40" s="6">
        <f>'Ember-Adj'!E90</f>
        <v>0.0</v>
      </c>
      <c r="AV40" s="6">
        <f>'Ember-Adj'!F90</f>
        <v>0.0</v>
      </c>
      <c r="AW40" s="6">
        <f>'Ember-Adj'!G90</f>
        <v>0.0</v>
      </c>
      <c r="AX40" s="6">
        <f>'Ember-Adj'!H90</f>
        <v>0.0</v>
      </c>
      <c r="AY40" s="6">
        <f>'Ember-Adj'!I90</f>
        <v>0.0</v>
      </c>
      <c r="AZ40" s="6">
        <f>'Ember-Adj'!J90</f>
        <v>0.0</v>
      </c>
      <c r="BA40" s="6">
        <f>'Ember-Adj'!K90</f>
        <v>0.0</v>
      </c>
      <c r="BB40" s="6">
        <f>'Ember-Adj'!L90</f>
        <v>0.0</v>
      </c>
      <c r="BC40" s="6">
        <f>'Ember-Adj'!M90</f>
        <v>0.0</v>
      </c>
      <c r="BD40" s="6">
        <f>'Ember-Adj'!N90</f>
        <v>0.0</v>
      </c>
      <c r="BE40" s="6">
        <f>BD40</f>
        <v>0.0</v>
      </c>
      <c r="BG40" s="6">
        <f>C40+AE40+AS40</f>
        <v>5288.3</v>
      </c>
      <c r="BH40" s="6">
        <f>D40+AF40+AT40</f>
        <v>5244.1</v>
      </c>
      <c r="BI40" s="6">
        <f>E40+AG40+AU40</f>
        <v>5639.0</v>
      </c>
      <c r="BJ40" s="6">
        <f>F40+AH40+AV40</f>
        <v>5982.4</v>
      </c>
      <c r="BK40" s="6">
        <f>G40+AI40+AW40</f>
        <v>5312.3</v>
      </c>
      <c r="BL40" s="6">
        <f>H40+AJ40+AX40</f>
        <v>5501.8</v>
      </c>
      <c r="BM40" s="6">
        <f>I40+AK40+AY40</f>
        <v>5186.8</v>
      </c>
      <c r="BN40" s="6">
        <f>J40+AL40+AZ40</f>
        <v>4790.5</v>
      </c>
      <c r="BO40" s="6">
        <f>K40+AM40+BA40</f>
        <v>4195.4</v>
      </c>
      <c r="BP40" s="6">
        <f>L40+AN40+BB40</f>
        <v>4698.7</v>
      </c>
      <c r="BQ40" s="6">
        <f>M40+AO40+BC40</f>
        <v>4329.1</v>
      </c>
      <c r="BR40" s="6">
        <f>N40+AP40+BD40</f>
        <v>4904.2</v>
      </c>
      <c r="BS40" s="6">
        <f>BR40</f>
        <v>4904.2</v>
      </c>
    </row>
    <row r="41">
      <c r="B41" s="5" t="inlineStr">
        <is>
          <t>Trade Receivables</t>
        </is>
      </c>
      <c r="C41" s="6" t="n">
        <v>4614.3</v>
      </c>
      <c r="D41" s="6" t="n">
        <v>4511.6</v>
      </c>
      <c r="E41" s="6" t="n">
        <v>4917.6</v>
      </c>
      <c r="F41" s="6" t="n">
        <v>5222</v>
      </c>
      <c r="G41" s="6" t="n">
        <v>4794.9</v>
      </c>
      <c r="H41" s="6" t="n">
        <v>5012.6</v>
      </c>
      <c r="I41" s="6" t="n">
        <v>4956.8</v>
      </c>
      <c r="J41" s="6" t="n">
        <v>4738.2</v>
      </c>
      <c r="K41" s="6" t="n">
        <v>4246.7</v>
      </c>
      <c r="L41" s="6" t="n">
        <v>4671.3</v>
      </c>
      <c r="M41" s="6" t="n">
        <v>4323.3</v>
      </c>
      <c r="N41" s="6" t="n">
        <v>4839.2</v>
      </c>
      <c r="O41" s="6">
        <f>N41</f>
        <v>4839.2</v>
      </c>
      <c r="Q41" s="6" t="n">
        <v>4614.3</v>
      </c>
      <c r="R41" s="6" t="n">
        <v>4511.6</v>
      </c>
      <c r="S41" s="6" t="n">
        <v>4917.6</v>
      </c>
      <c r="T41" s="6" t="n">
        <v>5222</v>
      </c>
      <c r="U41" s="6" t="n">
        <v>4794.9</v>
      </c>
      <c r="V41" s="6" t="n">
        <v>5012.6</v>
      </c>
      <c r="W41" s="6" t="n">
        <v>4956.8</v>
      </c>
      <c r="X41" s="6" t="n">
        <v>4738.2</v>
      </c>
      <c r="Y41" s="6" t="n">
        <v>4246.7</v>
      </c>
      <c r="Z41" s="6" t="n">
        <v>4671.3</v>
      </c>
      <c r="AA41" s="6" t="n">
        <v>4323.3</v>
      </c>
      <c r="AB41" s="6" t="n">
        <v>4839.2</v>
      </c>
      <c r="AC41" s="6">
        <f>AB41</f>
        <v>4839.2</v>
      </c>
      <c r="AE41" s="6">
        <f>Q41-C41</f>
        <v>0.0</v>
      </c>
      <c r="AF41" s="6">
        <f>R41-D41</f>
        <v>0.0</v>
      </c>
      <c r="AG41" s="6">
        <f>S41-E41</f>
        <v>0.0</v>
      </c>
      <c r="AH41" s="6">
        <f>T41-F41</f>
        <v>0.0</v>
      </c>
      <c r="AI41" s="6">
        <f>U41-G41</f>
        <v>0.0</v>
      </c>
      <c r="AJ41" s="6">
        <f>V41-H41</f>
        <v>0.0</v>
      </c>
      <c r="AK41" s="6">
        <f>W41-I41</f>
        <v>0.0</v>
      </c>
      <c r="AL41" s="6">
        <f>X41-J41</f>
        <v>0.0</v>
      </c>
      <c r="AM41" s="6">
        <f>Y41-K41</f>
        <v>0.0</v>
      </c>
      <c r="AN41" s="6">
        <f>Z41-L41</f>
        <v>0.0</v>
      </c>
      <c r="AO41" s="6">
        <f>AA41-M41</f>
        <v>0.0</v>
      </c>
      <c r="AP41" s="6">
        <f>AB41-N41</f>
        <v>0.0</v>
      </c>
      <c r="AQ41" s="6">
        <f>AP41</f>
        <v>0.0</v>
      </c>
      <c r="AS41" s="6">
        <f>'Ember-Adj'!C91</f>
        <v>0.0</v>
      </c>
      <c r="AT41" s="6">
        <f>'Ember-Adj'!D91</f>
        <v>0.0</v>
      </c>
      <c r="AU41" s="6">
        <f>'Ember-Adj'!E91</f>
        <v>0.0</v>
      </c>
      <c r="AV41" s="6">
        <f>'Ember-Adj'!F91</f>
        <v>0.0</v>
      </c>
      <c r="AW41" s="6">
        <f>'Ember-Adj'!G91</f>
        <v>0.0</v>
      </c>
      <c r="AX41" s="6">
        <f>'Ember-Adj'!H91</f>
        <v>0.0</v>
      </c>
      <c r="AY41" s="6">
        <f>'Ember-Adj'!I91</f>
        <v>0.0</v>
      </c>
      <c r="AZ41" s="6">
        <f>'Ember-Adj'!J91</f>
        <v>0.0</v>
      </c>
      <c r="BA41" s="6">
        <f>'Ember-Adj'!K91</f>
        <v>0.0</v>
      </c>
      <c r="BB41" s="6">
        <f>'Ember-Adj'!L91</f>
        <v>0.0</v>
      </c>
      <c r="BC41" s="6">
        <f>'Ember-Adj'!M91</f>
        <v>0.0</v>
      </c>
      <c r="BD41" s="6">
        <f>'Ember-Adj'!N91</f>
        <v>0.0</v>
      </c>
      <c r="BE41" s="6">
        <f>BD41</f>
        <v>0.0</v>
      </c>
      <c r="BG41" s="6">
        <f>C41+AE41+AS41</f>
        <v>4614.3</v>
      </c>
      <c r="BH41" s="6">
        <f>D41+AF41+AT41</f>
        <v>4511.6</v>
      </c>
      <c r="BI41" s="6">
        <f>E41+AG41+AU41</f>
        <v>4917.6</v>
      </c>
      <c r="BJ41" s="6">
        <f>F41+AH41+AV41</f>
        <v>5222.0</v>
      </c>
      <c r="BK41" s="6">
        <f>G41+AI41+AW41</f>
        <v>4794.9</v>
      </c>
      <c r="BL41" s="6">
        <f>H41+AJ41+AX41</f>
        <v>5012.6</v>
      </c>
      <c r="BM41" s="6">
        <f>I41+AK41+AY41</f>
        <v>4956.8</v>
      </c>
      <c r="BN41" s="6">
        <f>J41+AL41+AZ41</f>
        <v>4738.2</v>
      </c>
      <c r="BO41" s="6">
        <f>K41+AM41+BA41</f>
        <v>4246.7</v>
      </c>
      <c r="BP41" s="6">
        <f>L41+AN41+BB41</f>
        <v>4671.3</v>
      </c>
      <c r="BQ41" s="6">
        <f>M41+AO41+BC41</f>
        <v>4323.3</v>
      </c>
      <c r="BR41" s="6">
        <f>N41+AP41+BD41</f>
        <v>4839.2</v>
      </c>
      <c r="BS41" s="6">
        <f>BR41</f>
        <v>4839.2</v>
      </c>
    </row>
    <row r="42">
      <c r="B42" s="5" t="inlineStr">
        <is>
          <t>Other Receivables</t>
        </is>
      </c>
      <c r="C42" s="6" t="n">
        <v>45.6</v>
      </c>
      <c r="D42" s="6" t="n">
        <v>44.6</v>
      </c>
      <c r="E42" s="6" t="n">
        <v>48.6</v>
      </c>
      <c r="F42" s="6" t="n">
        <v>51.6</v>
      </c>
      <c r="G42" s="6" t="n">
        <v>47.4</v>
      </c>
      <c r="H42" s="6" t="n">
        <v>49.6</v>
      </c>
      <c r="I42" s="6" t="n">
        <v>49</v>
      </c>
      <c r="J42" s="6" t="n">
        <v>46.9</v>
      </c>
      <c r="K42" s="6" t="n">
        <v>42</v>
      </c>
      <c r="L42" s="6" t="n">
        <v>46.2</v>
      </c>
      <c r="M42" s="6" t="n">
        <v>42.8</v>
      </c>
      <c r="N42" s="6" t="n">
        <v>47.9</v>
      </c>
      <c r="O42" s="6">
        <f>N42</f>
        <v>47.9</v>
      </c>
      <c r="Q42" s="6" t="n">
        <v>45.6</v>
      </c>
      <c r="R42" s="6" t="n">
        <v>44.6</v>
      </c>
      <c r="S42" s="6" t="n">
        <v>48.6</v>
      </c>
      <c r="T42" s="6" t="n">
        <v>51.6</v>
      </c>
      <c r="U42" s="6" t="n">
        <v>47.4</v>
      </c>
      <c r="V42" s="6" t="n">
        <v>49.6</v>
      </c>
      <c r="W42" s="6" t="n">
        <v>49</v>
      </c>
      <c r="X42" s="6" t="n">
        <v>46.9</v>
      </c>
      <c r="Y42" s="6" t="n">
        <v>42</v>
      </c>
      <c r="Z42" s="6" t="n">
        <v>46.2</v>
      </c>
      <c r="AA42" s="6" t="n">
        <v>42.8</v>
      </c>
      <c r="AB42" s="6" t="n">
        <v>47.9</v>
      </c>
      <c r="AC42" s="6">
        <f>AB42</f>
        <v>47.9</v>
      </c>
      <c r="AE42" s="6">
        <f>Q42-C42</f>
        <v>0.0</v>
      </c>
      <c r="AF42" s="6">
        <f>R42-D42</f>
        <v>0.0</v>
      </c>
      <c r="AG42" s="6">
        <f>S42-E42</f>
        <v>0.0</v>
      </c>
      <c r="AH42" s="6">
        <f>T42-F42</f>
        <v>0.0</v>
      </c>
      <c r="AI42" s="6">
        <f>U42-G42</f>
        <v>0.0</v>
      </c>
      <c r="AJ42" s="6">
        <f>V42-H42</f>
        <v>0.0</v>
      </c>
      <c r="AK42" s="6">
        <f>W42-I42</f>
        <v>0.0</v>
      </c>
      <c r="AL42" s="6">
        <f>X42-J42</f>
        <v>0.0</v>
      </c>
      <c r="AM42" s="6">
        <f>Y42-K42</f>
        <v>0.0</v>
      </c>
      <c r="AN42" s="6">
        <f>Z42-L42</f>
        <v>0.0</v>
      </c>
      <c r="AO42" s="6">
        <f>AA42-M42</f>
        <v>0.0</v>
      </c>
      <c r="AP42" s="6">
        <f>AB42-N42</f>
        <v>0.0</v>
      </c>
      <c r="AQ42" s="6">
        <f>AP42</f>
        <v>0.0</v>
      </c>
      <c r="AS42" s="6">
        <f>'Ember-Adj'!C92</f>
        <v>0.0</v>
      </c>
      <c r="AT42" s="6">
        <f>'Ember-Adj'!D92</f>
        <v>0.0</v>
      </c>
      <c r="AU42" s="6">
        <f>'Ember-Adj'!E92</f>
        <v>0.0</v>
      </c>
      <c r="AV42" s="6">
        <f>'Ember-Adj'!F92</f>
        <v>0.0</v>
      </c>
      <c r="AW42" s="6">
        <f>'Ember-Adj'!G92</f>
        <v>0.0</v>
      </c>
      <c r="AX42" s="6">
        <f>'Ember-Adj'!H92</f>
        <v>0.0</v>
      </c>
      <c r="AY42" s="6">
        <f>'Ember-Adj'!I92</f>
        <v>0.0</v>
      </c>
      <c r="AZ42" s="6">
        <f>'Ember-Adj'!J92</f>
        <v>0.0</v>
      </c>
      <c r="BA42" s="6">
        <f>'Ember-Adj'!K92</f>
        <v>0.0</v>
      </c>
      <c r="BB42" s="6">
        <f>'Ember-Adj'!L92</f>
        <v>0.0</v>
      </c>
      <c r="BC42" s="6">
        <f>'Ember-Adj'!M92</f>
        <v>0.0</v>
      </c>
      <c r="BD42" s="6">
        <f>'Ember-Adj'!N92</f>
        <v>0.0</v>
      </c>
      <c r="BE42" s="6">
        <f>BD42</f>
        <v>0.0</v>
      </c>
      <c r="BG42" s="6">
        <f>C42+AE42+AS42</f>
        <v>45.6</v>
      </c>
      <c r="BH42" s="6">
        <f>D42+AF42+AT42</f>
        <v>44.6</v>
      </c>
      <c r="BI42" s="6">
        <f>E42+AG42+AU42</f>
        <v>48.6</v>
      </c>
      <c r="BJ42" s="6">
        <f>F42+AH42+AV42</f>
        <v>51.6</v>
      </c>
      <c r="BK42" s="6">
        <f>G42+AI42+AW42</f>
        <v>47.4</v>
      </c>
      <c r="BL42" s="6">
        <f>H42+AJ42+AX42</f>
        <v>49.6</v>
      </c>
      <c r="BM42" s="6">
        <f>I42+AK42+AY42</f>
        <v>49.0</v>
      </c>
      <c r="BN42" s="6">
        <f>J42+AL42+AZ42</f>
        <v>46.9</v>
      </c>
      <c r="BO42" s="6">
        <f>K42+AM42+BA42</f>
        <v>42.0</v>
      </c>
      <c r="BP42" s="6">
        <f>L42+AN42+BB42</f>
        <v>46.2</v>
      </c>
      <c r="BQ42" s="6">
        <f>M42+AO42+BC42</f>
        <v>42.8</v>
      </c>
      <c r="BR42" s="6">
        <f>N42+AP42+BD42</f>
        <v>47.9</v>
      </c>
      <c r="BS42" s="6">
        <f>BR42</f>
        <v>47.9</v>
      </c>
    </row>
    <row r="43">
      <c r="B43" s="5" t="inlineStr">
        <is>
          <t>Trade Payables</t>
        </is>
      </c>
      <c r="C43" s="6" t="n">
        <v>-2985.3</v>
      </c>
      <c r="D43" s="6" t="n">
        <v>-2926</v>
      </c>
      <c r="E43" s="6" t="n">
        <v>-3182.9</v>
      </c>
      <c r="F43" s="6" t="n">
        <v>-3379.1</v>
      </c>
      <c r="G43" s="6" t="n">
        <v>-3107.5</v>
      </c>
      <c r="H43" s="6" t="n">
        <v>-3250.1</v>
      </c>
      <c r="I43" s="6" t="n">
        <v>-3203.5</v>
      </c>
      <c r="J43" s="6" t="n">
        <v>-3060.7</v>
      </c>
      <c r="K43" s="6" t="n">
        <v>-2749.6</v>
      </c>
      <c r="L43" s="6" t="n">
        <v>-3026.5</v>
      </c>
      <c r="M43" s="6" t="n">
        <v>-2799</v>
      </c>
      <c r="N43" s="6" t="n">
        <v>-3137.3</v>
      </c>
      <c r="O43" s="6">
        <f>N43</f>
        <v>-3137.3</v>
      </c>
      <c r="Q43" s="6" t="n">
        <v>-2985.3</v>
      </c>
      <c r="R43" s="6" t="n">
        <v>-2926</v>
      </c>
      <c r="S43" s="6" t="n">
        <v>-3182.9</v>
      </c>
      <c r="T43" s="6" t="n">
        <v>-3379.1</v>
      </c>
      <c r="U43" s="6" t="n">
        <v>-3107.5</v>
      </c>
      <c r="V43" s="6" t="n">
        <v>-3250.1</v>
      </c>
      <c r="W43" s="6" t="n">
        <v>-3203.5</v>
      </c>
      <c r="X43" s="6" t="n">
        <v>-3060.7</v>
      </c>
      <c r="Y43" s="6" t="n">
        <v>-2749.6</v>
      </c>
      <c r="Z43" s="6" t="n">
        <v>-3026.5</v>
      </c>
      <c r="AA43" s="6" t="n">
        <v>-2799</v>
      </c>
      <c r="AB43" s="6" t="n">
        <v>-3137.3</v>
      </c>
      <c r="AC43" s="6">
        <f>AB43</f>
        <v>-3137.3</v>
      </c>
      <c r="AE43" s="6">
        <f>Q43-C43</f>
        <v>0.0</v>
      </c>
      <c r="AF43" s="6">
        <f>R43-D43</f>
        <v>0.0</v>
      </c>
      <c r="AG43" s="6">
        <f>S43-E43</f>
        <v>0.0</v>
      </c>
      <c r="AH43" s="6">
        <f>T43-F43</f>
        <v>0.0</v>
      </c>
      <c r="AI43" s="6">
        <f>U43-G43</f>
        <v>0.0</v>
      </c>
      <c r="AJ43" s="6">
        <f>V43-H43</f>
        <v>0.0</v>
      </c>
      <c r="AK43" s="6">
        <f>W43-I43</f>
        <v>0.0</v>
      </c>
      <c r="AL43" s="6">
        <f>X43-J43</f>
        <v>0.0</v>
      </c>
      <c r="AM43" s="6">
        <f>Y43-K43</f>
        <v>0.0</v>
      </c>
      <c r="AN43" s="6">
        <f>Z43-L43</f>
        <v>0.0</v>
      </c>
      <c r="AO43" s="6">
        <f>AA43-M43</f>
        <v>0.0</v>
      </c>
      <c r="AP43" s="6">
        <f>AB43-N43</f>
        <v>0.0</v>
      </c>
      <c r="AQ43" s="6">
        <f>AP43</f>
        <v>0.0</v>
      </c>
      <c r="AS43" s="6">
        <f>'Ember-Adj'!C93</f>
        <v>0.0</v>
      </c>
      <c r="AT43" s="6">
        <f>'Ember-Adj'!D93</f>
        <v>0.0</v>
      </c>
      <c r="AU43" s="6">
        <f>'Ember-Adj'!E93</f>
        <v>0.0</v>
      </c>
      <c r="AV43" s="6">
        <f>'Ember-Adj'!F93</f>
        <v>0.0</v>
      </c>
      <c r="AW43" s="6">
        <f>'Ember-Adj'!G93</f>
        <v>0.0</v>
      </c>
      <c r="AX43" s="6">
        <f>'Ember-Adj'!H93</f>
        <v>0.0</v>
      </c>
      <c r="AY43" s="6">
        <f>'Ember-Adj'!I93</f>
        <v>0.0</v>
      </c>
      <c r="AZ43" s="6">
        <f>'Ember-Adj'!J93</f>
        <v>0.0</v>
      </c>
      <c r="BA43" s="6">
        <f>'Ember-Adj'!K93</f>
        <v>0.0</v>
      </c>
      <c r="BB43" s="6">
        <f>'Ember-Adj'!L93</f>
        <v>0.0</v>
      </c>
      <c r="BC43" s="6">
        <f>'Ember-Adj'!M93</f>
        <v>0.0</v>
      </c>
      <c r="BD43" s="6">
        <f>'Ember-Adj'!N93</f>
        <v>0.0</v>
      </c>
      <c r="BE43" s="6">
        <f>BD43</f>
        <v>0.0</v>
      </c>
      <c r="BG43" s="6">
        <f>C43+AE43+AS43</f>
        <v>-2985.3</v>
      </c>
      <c r="BH43" s="6">
        <f>D43+AF43+AT43</f>
        <v>-2926.0</v>
      </c>
      <c r="BI43" s="6">
        <f>E43+AG43+AU43</f>
        <v>-3182.9</v>
      </c>
      <c r="BJ43" s="6">
        <f>F43+AH43+AV43</f>
        <v>-3379.1</v>
      </c>
      <c r="BK43" s="6">
        <f>G43+AI43+AW43</f>
        <v>-3107.5</v>
      </c>
      <c r="BL43" s="6">
        <f>H43+AJ43+AX43</f>
        <v>-3250.1</v>
      </c>
      <c r="BM43" s="6">
        <f>I43+AK43+AY43</f>
        <v>-3203.5</v>
      </c>
      <c r="BN43" s="6">
        <f>J43+AL43+AZ43</f>
        <v>-3060.7</v>
      </c>
      <c r="BO43" s="6">
        <f>K43+AM43+BA43</f>
        <v>-2749.6</v>
      </c>
      <c r="BP43" s="6">
        <f>L43+AN43+BB43</f>
        <v>-3026.5</v>
      </c>
      <c r="BQ43" s="6">
        <f>M43+AO43+BC43</f>
        <v>-2799.0</v>
      </c>
      <c r="BR43" s="6">
        <f>N43+AP43+BD43</f>
        <v>-3137.3</v>
      </c>
      <c r="BS43" s="6">
        <f>BR43</f>
        <v>-3137.3</v>
      </c>
    </row>
    <row r="44">
      <c r="B44" s="5" t="inlineStr">
        <is>
          <t>Other Payables</t>
        </is>
      </c>
      <c r="C44" s="6" t="n">
        <v>-91.3</v>
      </c>
      <c r="D44" s="6" t="n">
        <v>-89.2</v>
      </c>
      <c r="E44" s="6" t="n">
        <v>-97.3</v>
      </c>
      <c r="F44" s="6" t="n">
        <v>-103.3</v>
      </c>
      <c r="G44" s="6" t="n">
        <v>-94.8</v>
      </c>
      <c r="H44" s="6" t="n">
        <v>-99.09999999999999</v>
      </c>
      <c r="I44" s="6" t="n">
        <v>-98</v>
      </c>
      <c r="J44" s="6" t="n">
        <v>-93.7</v>
      </c>
      <c r="K44" s="6" t="n">
        <v>-84</v>
      </c>
      <c r="L44" s="6" t="n">
        <v>-92.40000000000001</v>
      </c>
      <c r="M44" s="6" t="n">
        <v>-85.5</v>
      </c>
      <c r="N44" s="6" t="n">
        <v>-95.7</v>
      </c>
      <c r="O44" s="6">
        <f>N44</f>
        <v>-95.7</v>
      </c>
      <c r="Q44" s="6" t="n">
        <v>-91.3</v>
      </c>
      <c r="R44" s="6" t="n">
        <v>-89.2</v>
      </c>
      <c r="S44" s="6" t="n">
        <v>-97.3</v>
      </c>
      <c r="T44" s="6" t="n">
        <v>-103.3</v>
      </c>
      <c r="U44" s="6" t="n">
        <v>-94.8</v>
      </c>
      <c r="V44" s="6" t="n">
        <v>-99.09999999999999</v>
      </c>
      <c r="W44" s="6" t="n">
        <v>-98</v>
      </c>
      <c r="X44" s="6" t="n">
        <v>-93.7</v>
      </c>
      <c r="Y44" s="6" t="n">
        <v>-84</v>
      </c>
      <c r="Z44" s="6" t="n">
        <v>-92.40000000000001</v>
      </c>
      <c r="AA44" s="6" t="n">
        <v>-85.5</v>
      </c>
      <c r="AB44" s="6" t="n">
        <v>-95.7</v>
      </c>
      <c r="AC44" s="6">
        <f>AB44</f>
        <v>-95.7</v>
      </c>
      <c r="AE44" s="6">
        <f>Q44-C44</f>
        <v>0.0</v>
      </c>
      <c r="AF44" s="6">
        <f>R44-D44</f>
        <v>0.0</v>
      </c>
      <c r="AG44" s="6">
        <f>S44-E44</f>
        <v>0.0</v>
      </c>
      <c r="AH44" s="6">
        <f>T44-F44</f>
        <v>0.0</v>
      </c>
      <c r="AI44" s="6">
        <f>U44-G44</f>
        <v>0.0</v>
      </c>
      <c r="AJ44" s="6">
        <f>V44-H44</f>
        <v>0.0</v>
      </c>
      <c r="AK44" s="6">
        <f>W44-I44</f>
        <v>0.0</v>
      </c>
      <c r="AL44" s="6">
        <f>X44-J44</f>
        <v>0.0</v>
      </c>
      <c r="AM44" s="6">
        <f>Y44-K44</f>
        <v>0.0</v>
      </c>
      <c r="AN44" s="6">
        <f>Z44-L44</f>
        <v>0.0</v>
      </c>
      <c r="AO44" s="6">
        <f>AA44-M44</f>
        <v>0.0</v>
      </c>
      <c r="AP44" s="6">
        <f>AB44-N44</f>
        <v>0.0</v>
      </c>
      <c r="AQ44" s="6">
        <f>AP44</f>
        <v>0.0</v>
      </c>
      <c r="AS44" s="6">
        <f>'Ember-Adj'!C94</f>
        <v>0.0</v>
      </c>
      <c r="AT44" s="6">
        <f>'Ember-Adj'!D94</f>
        <v>0.0</v>
      </c>
      <c r="AU44" s="6">
        <f>'Ember-Adj'!E94</f>
        <v>0.0</v>
      </c>
      <c r="AV44" s="6">
        <f>'Ember-Adj'!F94</f>
        <v>0.0</v>
      </c>
      <c r="AW44" s="6">
        <f>'Ember-Adj'!G94</f>
        <v>0.0</v>
      </c>
      <c r="AX44" s="6">
        <f>'Ember-Adj'!H94</f>
        <v>0.0</v>
      </c>
      <c r="AY44" s="6">
        <f>'Ember-Adj'!I94</f>
        <v>0.0</v>
      </c>
      <c r="AZ44" s="6">
        <f>'Ember-Adj'!J94</f>
        <v>0.0</v>
      </c>
      <c r="BA44" s="6">
        <f>'Ember-Adj'!K94</f>
        <v>0.0</v>
      </c>
      <c r="BB44" s="6">
        <f>'Ember-Adj'!L94</f>
        <v>0.0</v>
      </c>
      <c r="BC44" s="6">
        <f>'Ember-Adj'!M94</f>
        <v>0.0</v>
      </c>
      <c r="BD44" s="6">
        <f>'Ember-Adj'!N94</f>
        <v>0.0</v>
      </c>
      <c r="BE44" s="6">
        <f>BD44</f>
        <v>0.0</v>
      </c>
      <c r="BG44" s="6">
        <f>C44+AE44+AS44</f>
        <v>-91.3</v>
      </c>
      <c r="BH44" s="6">
        <f>D44+AF44+AT44</f>
        <v>-89.2</v>
      </c>
      <c r="BI44" s="6">
        <f>E44+AG44+AU44</f>
        <v>-97.3</v>
      </c>
      <c r="BJ44" s="6">
        <f>F44+AH44+AV44</f>
        <v>-103.3</v>
      </c>
      <c r="BK44" s="6">
        <f>G44+AI44+AW44</f>
        <v>-94.8</v>
      </c>
      <c r="BL44" s="6">
        <f>H44+AJ44+AX44</f>
        <v>-99.1</v>
      </c>
      <c r="BM44" s="6">
        <f>I44+AK44+AY44</f>
        <v>-98.0</v>
      </c>
      <c r="BN44" s="6">
        <f>J44+AL44+AZ44</f>
        <v>-93.7</v>
      </c>
      <c r="BO44" s="6">
        <f>K44+AM44+BA44</f>
        <v>-84.0</v>
      </c>
      <c r="BP44" s="6">
        <f>L44+AN44+BB44</f>
        <v>-92.4</v>
      </c>
      <c r="BQ44" s="6">
        <f>M44+AO44+BC44</f>
        <v>-85.5</v>
      </c>
      <c r="BR44" s="6">
        <f>N44+AP44+BD44</f>
        <v>-95.7</v>
      </c>
      <c r="BS44" s="6">
        <f>BR44</f>
        <v>-95.7</v>
      </c>
    </row>
    <row r="45">
      <c r="B45" s="2" t="inlineStr">
        <is>
          <t>Total working capital</t>
        </is>
      </c>
      <c r="C45" s="6">
        <f>SUM(C40:C44)</f>
        <v>6871.6</v>
      </c>
      <c r="D45" s="6">
        <f>SUM(D40:D44)</f>
        <v>6785.100000000001</v>
      </c>
      <c r="E45" s="6">
        <f>SUM(E40:E44)</f>
        <v>7325.000000000001</v>
      </c>
      <c r="F45" s="6">
        <f>SUM(F40:F44)</f>
        <v>7773.599999999999</v>
      </c>
      <c r="G45" s="6">
        <f>SUM(G40:G44)</f>
        <v>6952.3</v>
      </c>
      <c r="H45" s="6">
        <f>SUM(H40:H44)</f>
        <v>7214.800000000001</v>
      </c>
      <c r="I45" s="6">
        <f>SUM(I40:I44)</f>
        <v>6891.1</v>
      </c>
      <c r="J45" s="6">
        <f>SUM(J40:J44)</f>
        <v>6421.200000000001</v>
      </c>
      <c r="K45" s="6">
        <f>SUM(K40:K44)</f>
        <v>5650.499999999998</v>
      </c>
      <c r="L45" s="6">
        <f>SUM(L40:L44)</f>
        <v>6297.300000000001</v>
      </c>
      <c r="M45" s="6">
        <f>SUM(M40:M44)</f>
        <v>5810.700000000001</v>
      </c>
      <c r="N45" s="6">
        <f>SUM(N40:N44)</f>
        <v>6558.299999999999</v>
      </c>
      <c r="O45" s="6">
        <f>N45</f>
        <v>6558.299999999999</v>
      </c>
      <c r="Q45" s="6">
        <f>SUM(Q40:Q44)</f>
        <v>6871.6</v>
      </c>
      <c r="R45" s="6">
        <f>SUM(R40:R44)</f>
        <v>6785.100000000001</v>
      </c>
      <c r="S45" s="6">
        <f>SUM(S40:S44)</f>
        <v>7325.000000000001</v>
      </c>
      <c r="T45" s="6">
        <f>SUM(T40:T44)</f>
        <v>7773.599999999999</v>
      </c>
      <c r="U45" s="6">
        <f>SUM(U40:U44)</f>
        <v>6952.3</v>
      </c>
      <c r="V45" s="6">
        <f>SUM(V40:V44)</f>
        <v>7214.800000000001</v>
      </c>
      <c r="W45" s="6">
        <f>SUM(W40:W44)</f>
        <v>6891.1</v>
      </c>
      <c r="X45" s="6">
        <f>SUM(X40:X44)</f>
        <v>6421.200000000001</v>
      </c>
      <c r="Y45" s="6">
        <f>SUM(Y40:Y44)</f>
        <v>5650.499999999998</v>
      </c>
      <c r="Z45" s="6">
        <f>SUM(Z40:Z44)</f>
        <v>6297.300000000001</v>
      </c>
      <c r="AA45" s="6">
        <f>SUM(AA40:AA44)</f>
        <v>5810.700000000001</v>
      </c>
      <c r="AB45" s="6">
        <f>SUM(AB40:AB44)</f>
        <v>6558.299999999999</v>
      </c>
      <c r="AC45" s="6">
        <f>AB45</f>
        <v>6558.299999999999</v>
      </c>
      <c r="AE45" s="6">
        <f>SUM(AE40:AE44)</f>
        <v>0.0</v>
      </c>
      <c r="AF45" s="6">
        <f>SUM(AF40:AF44)</f>
        <v>0.0</v>
      </c>
      <c r="AG45" s="6">
        <f>SUM(AG40:AG44)</f>
        <v>0.0</v>
      </c>
      <c r="AH45" s="6">
        <f>SUM(AH40:AH44)</f>
        <v>0.0</v>
      </c>
      <c r="AI45" s="6">
        <f>SUM(AI40:AI44)</f>
        <v>0.0</v>
      </c>
      <c r="AJ45" s="6">
        <f>SUM(AJ40:AJ44)</f>
        <v>0.0</v>
      </c>
      <c r="AK45" s="6">
        <f>SUM(AK40:AK44)</f>
        <v>0.0</v>
      </c>
      <c r="AL45" s="6">
        <f>SUM(AL40:AL44)</f>
        <v>0.0</v>
      </c>
      <c r="AM45" s="6">
        <f>SUM(AM40:AM44)</f>
        <v>0.0</v>
      </c>
      <c r="AN45" s="6">
        <f>SUM(AN40:AN44)</f>
        <v>0.0</v>
      </c>
      <c r="AO45" s="6">
        <f>SUM(AO40:AO44)</f>
        <v>0.0</v>
      </c>
      <c r="AP45" s="6">
        <f>SUM(AP40:AP44)</f>
        <v>0.0</v>
      </c>
      <c r="AQ45" s="6">
        <f>AP45</f>
        <v>0.0</v>
      </c>
      <c r="AS45" s="6">
        <f>SUM(AS40:AS44)</f>
        <v>0.0</v>
      </c>
      <c r="AT45" s="6">
        <f>SUM(AT40:AT44)</f>
        <v>0.0</v>
      </c>
      <c r="AU45" s="6">
        <f>SUM(AU40:AU44)</f>
        <v>0.0</v>
      </c>
      <c r="AV45" s="6">
        <f>SUM(AV40:AV44)</f>
        <v>0.0</v>
      </c>
      <c r="AW45" s="6">
        <f>SUM(AW40:AW44)</f>
        <v>0.0</v>
      </c>
      <c r="AX45" s="6">
        <f>SUM(AX40:AX44)</f>
        <v>0.0</v>
      </c>
      <c r="AY45" s="6">
        <f>SUM(AY40:AY44)</f>
        <v>0.0</v>
      </c>
      <c r="AZ45" s="6">
        <f>SUM(AZ40:AZ44)</f>
        <v>0.0</v>
      </c>
      <c r="BA45" s="6">
        <f>SUM(BA40:BA44)</f>
        <v>0.0</v>
      </c>
      <c r="BB45" s="6">
        <f>SUM(BB40:BB44)</f>
        <v>0.0</v>
      </c>
      <c r="BC45" s="6">
        <f>SUM(BC40:BC44)</f>
        <v>0.0</v>
      </c>
      <c r="BD45" s="6">
        <f>SUM(BD40:BD44)</f>
        <v>0.0</v>
      </c>
      <c r="BE45" s="6">
        <f>BD45</f>
        <v>0.0</v>
      </c>
      <c r="BG45" s="6">
        <f>SUM(BG40:BG44)</f>
        <v>6871.6</v>
      </c>
      <c r="BH45" s="6">
        <f>SUM(BH40:BH44)</f>
        <v>6785.100000000001</v>
      </c>
      <c r="BI45" s="6">
        <f>SUM(BI40:BI44)</f>
        <v>7325.000000000001</v>
      </c>
      <c r="BJ45" s="6">
        <f>SUM(BJ40:BJ44)</f>
        <v>7773.599999999999</v>
      </c>
      <c r="BK45" s="6">
        <f>SUM(BK40:BK44)</f>
        <v>6952.3</v>
      </c>
      <c r="BL45" s="6">
        <f>SUM(BL40:BL44)</f>
        <v>7214.800000000001</v>
      </c>
      <c r="BM45" s="6">
        <f>SUM(BM40:BM44)</f>
        <v>6891.1</v>
      </c>
      <c r="BN45" s="6">
        <f>SUM(BN40:BN44)</f>
        <v>6421.200000000001</v>
      </c>
      <c r="BO45" s="6">
        <f>SUM(BO40:BO44)</f>
        <v>5650.499999999998</v>
      </c>
      <c r="BP45" s="6">
        <f>SUM(BP40:BP44)</f>
        <v>6297.300000000001</v>
      </c>
      <c r="BQ45" s="6">
        <f>SUM(BQ40:BQ44)</f>
        <v>5810.700000000001</v>
      </c>
      <c r="BR45" s="6">
        <f>SUM(BR40:BR44)</f>
        <v>6558.299999999999</v>
      </c>
      <c r="BS45" s="6">
        <f>BR45</f>
        <v>6558.299999999999</v>
      </c>
    </row>
    <row r="46">
      <c r="B46" s="5" t="inlineStr">
        <is>
          <t>Working capital/sales (monthly)</t>
        </is>
      </c>
      <c r="C46" s="12">
        <f>IFERROR(C45/(C28*12),0)</f>
        <v>0.18821763520028048</v>
      </c>
      <c r="D46" s="12">
        <f>IFERROR(D45/(D28*12),0)</f>
        <v>0.19007799105792186</v>
      </c>
      <c r="E46" s="12">
        <f>IFERROR(E45/(E28*12),0)</f>
        <v>0.18826075335142695</v>
      </c>
      <c r="F46" s="12">
        <f>IFERROR(F45/(F28*12),0)</f>
        <v>0.18814440475153205</v>
      </c>
      <c r="G46" s="12">
        <f>IFERROR(G45/(G28*12),0)</f>
        <v>0.18325425694554273</v>
      </c>
      <c r="H46" s="12">
        <f>IFERROR(H45/(H28*12),0)</f>
        <v>0.18191628845184069</v>
      </c>
      <c r="I46" s="12">
        <f>IFERROR(I45/(I28*12),0)</f>
        <v>0.17571089080635624</v>
      </c>
      <c r="J46" s="12">
        <f>IFERROR(J45/(J28*12),0)</f>
        <v>0.17128132902275858</v>
      </c>
      <c r="K46" s="12">
        <f>IFERROR(K45/(K28*12),0)</f>
        <v>0.15388071895424832</v>
      </c>
      <c r="L46" s="12">
        <f>IFERROR(L45/(L28*12),0)</f>
        <v>0.16097392638036812</v>
      </c>
      <c r="M46" s="12">
        <f>IFERROR(M45/(M28*12),0)</f>
        <v>0.16637175742999485</v>
      </c>
      <c r="N46" s="12">
        <f>IFERROR(N45/(N28*12),0)</f>
        <v>0.17128686495126463</v>
      </c>
      <c r="Q46" s="12">
        <f>IFERROR(Q45/(Q28*12),0)</f>
        <v>0.18821763520028048</v>
      </c>
      <c r="R46" s="12">
        <f>IFERROR(R45/(R28*12),0)</f>
        <v>0.19007799105792186</v>
      </c>
      <c r="S46" s="12">
        <f>IFERROR(S45/(S28*12),0)</f>
        <v>0.18826075335142695</v>
      </c>
      <c r="T46" s="12">
        <f>IFERROR(T45/(T28*12),0)</f>
        <v>0.18814440475153205</v>
      </c>
      <c r="U46" s="12">
        <f>IFERROR(U45/(U28*12),0)</f>
        <v>0.18325425694554273</v>
      </c>
      <c r="V46" s="12">
        <f>IFERROR(V45/(V28*12),0)</f>
        <v>0.18191628845184069</v>
      </c>
      <c r="W46" s="12">
        <f>IFERROR(W45/(W28*12),0)</f>
        <v>0.17571089080635624</v>
      </c>
      <c r="X46" s="12">
        <f>IFERROR(X45/(X28*12),0)</f>
        <v>0.17128132902275858</v>
      </c>
      <c r="Y46" s="12">
        <f>IFERROR(Y45/(Y28*12),0)</f>
        <v>0.15388071895424832</v>
      </c>
      <c r="Z46" s="12">
        <f>IFERROR(Z45/(Z28*12),0)</f>
        <v>0.16097392638036812</v>
      </c>
      <c r="AA46" s="12">
        <f>IFERROR(AA45/(AA28*12),0)</f>
        <v>0.16637175742999485</v>
      </c>
      <c r="AB46" s="12">
        <f>IFERROR(AB45/(AB28*12),0)</f>
        <v>0.17128686495126463</v>
      </c>
      <c r="AE46" s="12">
        <f>IFERROR(AE45/(AE28*12),0)</f>
        <v>0.0</v>
      </c>
      <c r="AF46" s="12">
        <f>IFERROR(AF45/(AF28*12),0)</f>
        <v>0.0</v>
      </c>
      <c r="AG46" s="12">
        <f>IFERROR(AG45/(AG28*12),0)</f>
        <v>0.0</v>
      </c>
      <c r="AH46" s="12">
        <f>IFERROR(AH45/(AH28*12),0)</f>
        <v>0.0</v>
      </c>
      <c r="AI46" s="12">
        <f>IFERROR(AI45/(AI28*12),0)</f>
        <v>0.0</v>
      </c>
      <c r="AJ46" s="12">
        <f>IFERROR(AJ45/(AJ28*12),0)</f>
        <v>0.0</v>
      </c>
      <c r="AK46" s="12">
        <f>IFERROR(AK45/(AK28*12),0)</f>
        <v>0.0</v>
      </c>
      <c r="AL46" s="12">
        <f>IFERROR(AL45/(AL28*12),0)</f>
        <v>0.0</v>
      </c>
      <c r="AM46" s="12">
        <f>IFERROR(AM45/(AM28*12),0)</f>
        <v>0.0</v>
      </c>
      <c r="AN46" s="12">
        <f>IFERROR(AN45/(AN28*12),0)</f>
        <v>0.0</v>
      </c>
      <c r="AO46" s="12">
        <f>IFERROR(AO45/(AO28*12),0)</f>
        <v>0.0</v>
      </c>
      <c r="AP46" s="12">
        <f>IFERROR(AP45/(AP28*12),0)</f>
        <v>0.0</v>
      </c>
      <c r="AS46" s="12">
        <f>IFERROR(AS45/(AS28*12),0)</f>
        <v>0.0</v>
      </c>
      <c r="AT46" s="12">
        <f>IFERROR(AT45/(AT28*12),0)</f>
        <v>0.0</v>
      </c>
      <c r="AU46" s="12">
        <f>IFERROR(AU45/(AU28*12),0)</f>
        <v>0.0</v>
      </c>
      <c r="AV46" s="12">
        <f>IFERROR(AV45/(AV28*12),0)</f>
        <v>0.0</v>
      </c>
      <c r="AW46" s="12">
        <f>IFERROR(AW45/(AW28*12),0)</f>
        <v>0.0</v>
      </c>
      <c r="AX46" s="12">
        <f>IFERROR(AX45/(AX28*12),0)</f>
        <v>0.0</v>
      </c>
      <c r="AY46" s="12">
        <f>IFERROR(AY45/(AY28*12),0)</f>
        <v>0.0</v>
      </c>
      <c r="AZ46" s="12">
        <f>IFERROR(AZ45/(AZ28*12),0)</f>
        <v>0.0</v>
      </c>
      <c r="BA46" s="12">
        <f>IFERROR(BA45/(BA28*12),0)</f>
        <v>0.0</v>
      </c>
      <c r="BB46" s="12">
        <f>IFERROR(BB45/(BB28*12),0)</f>
        <v>0.0</v>
      </c>
      <c r="BC46" s="12">
        <f>IFERROR(BC45/(BC28*12),0)</f>
        <v>0.0</v>
      </c>
      <c r="BD46" s="12">
        <f>IFERROR(BD45/(BD28*12),0)</f>
        <v>0.0</v>
      </c>
      <c r="BG46" s="12">
        <f>IFERROR(BG45/(BG28*12),0)</f>
        <v>0.18821763520028048</v>
      </c>
      <c r="BH46" s="12">
        <f>IFERROR(BH45/(BH28*12),0)</f>
        <v>0.19007799105792186</v>
      </c>
      <c r="BI46" s="12">
        <f>IFERROR(BI45/(BI28*12),0)</f>
        <v>0.18826075335142695</v>
      </c>
      <c r="BJ46" s="12">
        <f>IFERROR(BJ45/(BJ28*12),0)</f>
        <v>0.18814440475153205</v>
      </c>
      <c r="BK46" s="12">
        <f>IFERROR(BK45/(BK28*12),0)</f>
        <v>0.18325425694554273</v>
      </c>
      <c r="BL46" s="12">
        <f>IFERROR(BL45/(BL28*12),0)</f>
        <v>0.18191628845184069</v>
      </c>
      <c r="BM46" s="12">
        <f>IFERROR(BM45/(BM28*12),0)</f>
        <v>0.17571089080635624</v>
      </c>
      <c r="BN46" s="12">
        <f>IFERROR(BN45/(BN28*12),0)</f>
        <v>0.17128132902275858</v>
      </c>
      <c r="BO46" s="12">
        <f>IFERROR(BO45/(BO28*12),0)</f>
        <v>0.1681696428571428</v>
      </c>
      <c r="BP46" s="12">
        <f>IFERROR(BP45/(BP28*12),0)</f>
        <v>0.17038149350649354</v>
      </c>
      <c r="BQ46" s="12">
        <f>IFERROR(BQ45/(BQ28*12),0)</f>
        <v>0.169873706367304</v>
      </c>
      <c r="BR46" s="12">
        <f>IFERROR(BR45/(BR28*12),0)</f>
        <v>0.17128686495126463</v>
      </c>
    </row>
    <row r="49">
      <c r="B49" s="8" t="inlineStr">
        <is>
          <t>Budget 2026</t>
        </is>
      </c>
    </row>
    <row r="50">
      <c r="C50" s="20" t="inlineStr">
        <is>
          <t>January</t>
        </is>
      </c>
      <c r="D50" s="20" t="inlineStr">
        <is>
          <t>February</t>
        </is>
      </c>
      <c r="E50" s="20" t="inlineStr">
        <is>
          <t>March</t>
        </is>
      </c>
      <c r="F50" s="20" t="inlineStr">
        <is>
          <t>April</t>
        </is>
      </c>
      <c r="G50" s="20" t="inlineStr">
        <is>
          <t>May</t>
        </is>
      </c>
      <c r="H50" s="20" t="inlineStr">
        <is>
          <t>June</t>
        </is>
      </c>
      <c r="I50" s="20" t="inlineStr">
        <is>
          <t>July</t>
        </is>
      </c>
      <c r="J50" s="20" t="inlineStr">
        <is>
          <t>August</t>
        </is>
      </c>
      <c r="K50" s="20" t="inlineStr">
        <is>
          <t>September</t>
        </is>
      </c>
      <c r="L50" s="20" t="inlineStr">
        <is>
          <t>October</t>
        </is>
      </c>
      <c r="M50" s="20" t="inlineStr">
        <is>
          <t>November</t>
        </is>
      </c>
      <c r="N50" s="20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6" t="n">
        <v>3166.6</v>
      </c>
      <c r="D51" s="6" t="n">
        <v>3100</v>
      </c>
      <c r="E51" s="6" t="n">
        <v>3333.4</v>
      </c>
      <c r="F51" s="6" t="n">
        <v>3599.9</v>
      </c>
      <c r="G51" s="6" t="n">
        <v>3266.6</v>
      </c>
      <c r="H51" s="6" t="n">
        <v>3433.3</v>
      </c>
      <c r="I51" s="6" t="n">
        <v>3399.9</v>
      </c>
      <c r="J51" s="6" t="n">
        <v>3333.3</v>
      </c>
      <c r="K51" s="6" t="n">
        <v>3266.7</v>
      </c>
      <c r="L51" s="6" t="n">
        <v>3499.8</v>
      </c>
      <c r="M51" s="6" t="n">
        <v>3166.6</v>
      </c>
      <c r="N51" s="6" t="n">
        <v>3433.2</v>
      </c>
      <c r="O51" s="6">
        <f>SUM(C51:N51)</f>
        <v>39999.299999999996</v>
      </c>
    </row>
    <row r="52">
      <c r="B52" t="inlineStr">
        <is>
          <t>Gross Margin</t>
        </is>
      </c>
      <c r="C52" s="6" t="n">
        <v>1013.2</v>
      </c>
      <c r="D52" s="6" t="n">
        <v>992.2</v>
      </c>
      <c r="E52" s="6" t="n">
        <v>1066.7</v>
      </c>
      <c r="F52" s="6" t="n">
        <v>1152</v>
      </c>
      <c r="G52" s="6" t="n">
        <v>1045.2</v>
      </c>
      <c r="H52" s="6" t="n">
        <v>1098.7</v>
      </c>
      <c r="I52" s="6" t="n">
        <v>1087.9</v>
      </c>
      <c r="J52" s="6" t="n">
        <v>1066.6</v>
      </c>
      <c r="K52" s="6" t="n">
        <v>1045.4</v>
      </c>
      <c r="L52" s="6" t="n">
        <v>1119.7</v>
      </c>
      <c r="M52" s="6" t="n">
        <v>1013.3</v>
      </c>
      <c r="N52" s="6" t="n">
        <v>1098.6</v>
      </c>
      <c r="O52" s="6">
        <f>SUM(C52:N52)</f>
        <v>12799.5</v>
      </c>
    </row>
    <row r="53">
      <c r="B53" t="inlineStr">
        <is>
          <t>Op Costs</t>
        </is>
      </c>
      <c r="C53" s="6" t="n">
        <v>-741.2</v>
      </c>
      <c r="D53" s="6" t="n">
        <v>-725.8</v>
      </c>
      <c r="E53" s="6" t="n">
        <v>-779.9</v>
      </c>
      <c r="F53" s="6" t="n">
        <v>-842.4</v>
      </c>
      <c r="G53" s="6" t="n">
        <v>-764.4</v>
      </c>
      <c r="H53" s="6" t="n">
        <v>-803.1</v>
      </c>
      <c r="I53" s="6" t="n">
        <v>-796.1</v>
      </c>
      <c r="J53" s="6" t="n">
        <v>-779.9</v>
      </c>
      <c r="K53" s="6" t="n">
        <v>-764.4</v>
      </c>
      <c r="L53" s="6" t="n">
        <v>-819</v>
      </c>
      <c r="M53" s="6" t="n">
        <v>-741.2</v>
      </c>
      <c r="N53" s="6" t="n">
        <v>-803.1</v>
      </c>
      <c r="O53" s="6">
        <f>SUM(C53:N53)</f>
        <v>-9360.5</v>
      </c>
    </row>
    <row r="54">
      <c r="B54" t="inlineStr">
        <is>
          <t>PBITA</t>
        </is>
      </c>
      <c r="C54" s="6">
        <f>C52+C53</f>
        <v>272.0</v>
      </c>
      <c r="D54" s="6">
        <f>D52+D53</f>
        <v>266.4000000000001</v>
      </c>
      <c r="E54" s="6">
        <f>E52+E53</f>
        <v>286.80000000000007</v>
      </c>
      <c r="F54" s="6">
        <f>F52+F53</f>
        <v>309.6</v>
      </c>
      <c r="G54" s="6">
        <f>G52+G53</f>
        <v>280.80000000000007</v>
      </c>
      <c r="H54" s="6">
        <f>H52+H53</f>
        <v>295.6</v>
      </c>
      <c r="I54" s="6">
        <f>I52+I53</f>
        <v>291.80000000000007</v>
      </c>
      <c r="J54" s="6">
        <f>J52+J53</f>
        <v>286.69999999999993</v>
      </c>
      <c r="K54" s="6">
        <f>K52+K53</f>
        <v>281.0000000000001</v>
      </c>
      <c r="L54" s="6">
        <f>L52+L53</f>
        <v>300.70000000000005</v>
      </c>
      <c r="M54" s="6">
        <f>M52+M53</f>
        <v>272.0999999999999</v>
      </c>
      <c r="N54" s="6">
        <f>N52+N53</f>
        <v>295.4999999999999</v>
      </c>
      <c r="O54" s="6">
        <f>SUM(C54:N54)</f>
        <v>3439.0000000000005</v>
      </c>
    </row>
    <row r="55">
      <c r="B55" t="inlineStr">
        <is>
          <t>Net Inventory</t>
        </is>
      </c>
      <c r="C55" s="6" t="n">
        <v>5439.1</v>
      </c>
      <c r="D55" s="6" t="n">
        <v>5292.5</v>
      </c>
      <c r="E55" s="6" t="n">
        <v>5637.2</v>
      </c>
      <c r="F55" s="6" t="n">
        <v>6158.5</v>
      </c>
      <c r="G55" s="6" t="n">
        <v>5624.1</v>
      </c>
      <c r="H55" s="6" t="n">
        <v>5983.6</v>
      </c>
      <c r="I55" s="6" t="n">
        <v>5905.5</v>
      </c>
      <c r="J55" s="6" t="n">
        <v>5728.6</v>
      </c>
      <c r="K55" s="6" t="n">
        <v>5717.8</v>
      </c>
      <c r="L55" s="6" t="n">
        <v>5952.5</v>
      </c>
      <c r="M55" s="6" t="n">
        <v>5382.5</v>
      </c>
      <c r="N55" s="6" t="n">
        <v>5983.8</v>
      </c>
      <c r="O55" s="6">
        <f>N55</f>
        <v>5983.8</v>
      </c>
    </row>
    <row r="56">
      <c r="B56" t="inlineStr">
        <is>
          <t>Trade Receivables</t>
        </is>
      </c>
      <c r="C56" s="6" t="n">
        <v>4749.9</v>
      </c>
      <c r="D56" s="6" t="n">
        <v>4650</v>
      </c>
      <c r="E56" s="6" t="n">
        <v>5000.1</v>
      </c>
      <c r="F56" s="6" t="n">
        <v>5399.9</v>
      </c>
      <c r="G56" s="6" t="n">
        <v>4899.9</v>
      </c>
      <c r="H56" s="6" t="n">
        <v>5149.9</v>
      </c>
      <c r="I56" s="6" t="n">
        <v>5099.9</v>
      </c>
      <c r="J56" s="6" t="n">
        <v>4999.9</v>
      </c>
      <c r="K56" s="6" t="n">
        <v>4900.1</v>
      </c>
      <c r="L56" s="6" t="n">
        <v>5249.7</v>
      </c>
      <c r="M56" s="6" t="n">
        <v>4749.9</v>
      </c>
      <c r="N56" s="6" t="n">
        <v>5149.8</v>
      </c>
      <c r="O56" s="6">
        <f>N56</f>
        <v>5149.8</v>
      </c>
    </row>
    <row r="57">
      <c r="B57" t="inlineStr">
        <is>
          <t>Other Receivables</t>
        </is>
      </c>
      <c r="C57" s="6" t="n">
        <v>47.5</v>
      </c>
      <c r="D57" s="6" t="n">
        <v>46.5</v>
      </c>
      <c r="E57" s="6" t="n">
        <v>50</v>
      </c>
      <c r="F57" s="6" t="n">
        <v>54</v>
      </c>
      <c r="G57" s="6" t="n">
        <v>49</v>
      </c>
      <c r="H57" s="6" t="n">
        <v>51.5</v>
      </c>
      <c r="I57" s="6" t="n">
        <v>51</v>
      </c>
      <c r="J57" s="6" t="n">
        <v>50</v>
      </c>
      <c r="K57" s="6" t="n">
        <v>49</v>
      </c>
      <c r="L57" s="6" t="n">
        <v>52.5</v>
      </c>
      <c r="M57" s="6" t="n">
        <v>47.5</v>
      </c>
      <c r="N57" s="6" t="n">
        <v>51.5</v>
      </c>
      <c r="O57" s="6">
        <f>N57</f>
        <v>51.5</v>
      </c>
    </row>
    <row r="58">
      <c r="B58" t="inlineStr">
        <is>
          <t>Trade Payables</t>
        </is>
      </c>
      <c r="C58" s="6" t="n">
        <v>-3014.8</v>
      </c>
      <c r="D58" s="6" t="n">
        <v>-2950.9</v>
      </c>
      <c r="E58" s="6" t="n">
        <v>-3173.4</v>
      </c>
      <c r="F58" s="6" t="n">
        <v>-3427.1</v>
      </c>
      <c r="G58" s="6" t="n">
        <v>-3110</v>
      </c>
      <c r="H58" s="6" t="n">
        <v>-3268.4</v>
      </c>
      <c r="I58" s="6" t="n">
        <v>-3236.8</v>
      </c>
      <c r="J58" s="6" t="n">
        <v>-3173.4</v>
      </c>
      <c r="K58" s="6" t="n">
        <v>-3109.8</v>
      </c>
      <c r="L58" s="6" t="n">
        <v>-3332.1</v>
      </c>
      <c r="M58" s="6" t="n">
        <v>-3014.6</v>
      </c>
      <c r="N58" s="6" t="n">
        <v>-3268.4</v>
      </c>
      <c r="O58" s="6">
        <f>N58</f>
        <v>-3268.4</v>
      </c>
    </row>
    <row r="59">
      <c r="B59" t="inlineStr">
        <is>
          <t>Other Payables</t>
        </is>
      </c>
      <c r="C59" s="6" t="n">
        <v>-95</v>
      </c>
      <c r="D59" s="6" t="n">
        <v>-93</v>
      </c>
      <c r="E59" s="6" t="n">
        <v>-100</v>
      </c>
      <c r="F59" s="6" t="n">
        <v>-108</v>
      </c>
      <c r="G59" s="6" t="n">
        <v>-98</v>
      </c>
      <c r="H59" s="6" t="n">
        <v>-103</v>
      </c>
      <c r="I59" s="6" t="n">
        <v>-102</v>
      </c>
      <c r="J59" s="6" t="n">
        <v>-100</v>
      </c>
      <c r="K59" s="6" t="n">
        <v>-98</v>
      </c>
      <c r="L59" s="6" t="n">
        <v>-105</v>
      </c>
      <c r="M59" s="6" t="n">
        <v>-95</v>
      </c>
      <c r="N59" s="6" t="n">
        <v>-103</v>
      </c>
      <c r="O59" s="6">
        <f>N59</f>
        <v>-103.0</v>
      </c>
    </row>
    <row r="60">
      <c r="B60" t="inlineStr">
        <is>
          <t>Total working capital</t>
        </is>
      </c>
      <c r="C60" s="6">
        <f>SUM(C55:C59)</f>
        <v>7126.7</v>
      </c>
      <c r="D60" s="6">
        <f>SUM(D55:D59)</f>
        <v>6945.1</v>
      </c>
      <c r="E60" s="6">
        <f>SUM(E55:E59)</f>
        <v>7413.9</v>
      </c>
      <c r="F60" s="6">
        <f>SUM(F55:F59)</f>
        <v>8077.299999999999</v>
      </c>
      <c r="G60" s="6">
        <f>SUM(G55:G59)</f>
        <v>7365.0</v>
      </c>
      <c r="H60" s="6">
        <f>SUM(H55:H59)</f>
        <v>7813.6</v>
      </c>
      <c r="I60" s="6">
        <f>SUM(I55:I59)</f>
        <v>7717.599999999999</v>
      </c>
      <c r="J60" s="6">
        <f>SUM(J55:J59)</f>
        <v>7505.1</v>
      </c>
      <c r="K60" s="6">
        <f>SUM(K55:K59)</f>
        <v>7459.100000000001</v>
      </c>
      <c r="L60" s="6">
        <f>SUM(L55:L59)</f>
        <v>7817.6</v>
      </c>
      <c r="M60" s="6">
        <f>SUM(M55:M59)</f>
        <v>7070.299999999999</v>
      </c>
      <c r="N60" s="6">
        <f>SUM(N55:N59)</f>
        <v>7813.700000000001</v>
      </c>
      <c r="O60" s="6">
        <f>N60</f>
        <v>7813.700000000001</v>
      </c>
    </row>
    <row r="62">
      <c r="B62" s="8" t="inlineStr">
        <is>
          <t>2025 Actual</t>
        </is>
      </c>
    </row>
    <row r="63">
      <c r="C63" s="20" t="inlineStr">
        <is>
          <t>January</t>
        </is>
      </c>
      <c r="D63" s="20" t="inlineStr">
        <is>
          <t>February</t>
        </is>
      </c>
      <c r="E63" s="20" t="inlineStr">
        <is>
          <t>March</t>
        </is>
      </c>
      <c r="F63" s="20" t="inlineStr">
        <is>
          <t>April</t>
        </is>
      </c>
      <c r="G63" s="20" t="inlineStr">
        <is>
          <t>May</t>
        </is>
      </c>
      <c r="H63" s="20" t="inlineStr">
        <is>
          <t>June</t>
        </is>
      </c>
      <c r="I63" s="20" t="inlineStr">
        <is>
          <t>July</t>
        </is>
      </c>
      <c r="J63" s="20" t="inlineStr">
        <is>
          <t>August</t>
        </is>
      </c>
      <c r="K63" s="20" t="inlineStr">
        <is>
          <t>September</t>
        </is>
      </c>
      <c r="L63" s="20" t="inlineStr">
        <is>
          <t>October</t>
        </is>
      </c>
      <c r="M63" s="20" t="inlineStr">
        <is>
          <t>November</t>
        </is>
      </c>
      <c r="N63" s="20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6" t="n">
        <v>2992.3</v>
      </c>
      <c r="D64" s="6" t="n">
        <v>2996.4</v>
      </c>
      <c r="E64" s="6" t="n">
        <v>3194.7</v>
      </c>
      <c r="F64" s="6" t="n">
        <v>3422.7</v>
      </c>
      <c r="G64" s="6" t="n">
        <v>3079.1</v>
      </c>
      <c r="H64" s="6" t="n">
        <v>3235.9</v>
      </c>
      <c r="I64" s="6" t="n">
        <v>3322.9</v>
      </c>
      <c r="J64" s="6" t="n">
        <v>3197.4</v>
      </c>
      <c r="K64" s="6" t="n">
        <v>3097</v>
      </c>
      <c r="L64" s="6" t="n">
        <v>3409.8</v>
      </c>
      <c r="M64" s="6" t="n">
        <v>3047.5</v>
      </c>
      <c r="N64" s="6" t="n">
        <v>3304.2</v>
      </c>
      <c r="O64" s="6">
        <f>SUM(C64:N64)</f>
        <v>38299.9</v>
      </c>
    </row>
    <row r="65">
      <c r="B65" t="inlineStr">
        <is>
          <t>Gross Margin</t>
        </is>
      </c>
      <c r="C65" s="6" t="n">
        <v>943.5</v>
      </c>
      <c r="D65" s="6" t="n">
        <v>947.7</v>
      </c>
      <c r="E65" s="6" t="n">
        <v>1025.5</v>
      </c>
      <c r="F65" s="6" t="n">
        <v>1097.4</v>
      </c>
      <c r="G65" s="6" t="n">
        <v>986.9</v>
      </c>
      <c r="H65" s="6" t="n">
        <v>1033.8</v>
      </c>
      <c r="I65" s="6" t="n">
        <v>1051.5</v>
      </c>
      <c r="J65" s="6" t="n">
        <v>1006.6</v>
      </c>
      <c r="K65" s="6" t="n">
        <v>982.5</v>
      </c>
      <c r="L65" s="6" t="n">
        <v>1080.5</v>
      </c>
      <c r="M65" s="6" t="n">
        <v>976.9</v>
      </c>
      <c r="N65" s="6" t="n">
        <v>1048.8</v>
      </c>
      <c r="O65" s="6">
        <f>SUM(C65:N65)</f>
        <v>12181.6</v>
      </c>
    </row>
    <row r="66">
      <c r="B66" t="inlineStr">
        <is>
          <t>Op Costs</t>
        </is>
      </c>
      <c r="C66" s="6" t="n">
        <v>-720.2</v>
      </c>
      <c r="D66" s="6" t="n">
        <v>-714</v>
      </c>
      <c r="E66" s="6" t="n">
        <v>-760.9</v>
      </c>
      <c r="F66" s="6" t="n">
        <v>-819.4</v>
      </c>
      <c r="G66" s="6" t="n">
        <v>-746.4</v>
      </c>
      <c r="H66" s="6" t="n">
        <v>-789.4</v>
      </c>
      <c r="I66" s="6" t="n">
        <v>-780.3</v>
      </c>
      <c r="J66" s="6" t="n">
        <v>-760.2</v>
      </c>
      <c r="K66" s="6" t="n">
        <v>-746.6</v>
      </c>
      <c r="L66" s="6" t="n">
        <v>-798.4</v>
      </c>
      <c r="M66" s="6" t="n">
        <v>-725.9</v>
      </c>
      <c r="N66" s="6" t="n">
        <v>-781.7</v>
      </c>
      <c r="O66" s="6">
        <f>SUM(C66:N66)</f>
        <v>-9143.400000000001</v>
      </c>
    </row>
    <row r="67">
      <c r="B67" t="inlineStr">
        <is>
          <t>PBITA</t>
        </is>
      </c>
      <c r="C67" s="6">
        <f>C65+C66</f>
        <v>223.29999999999995</v>
      </c>
      <c r="D67" s="6">
        <f>D65+D66</f>
        <v>233.70000000000005</v>
      </c>
      <c r="E67" s="6">
        <f>E65+E66</f>
        <v>264.6</v>
      </c>
      <c r="F67" s="6">
        <f>F65+F66</f>
        <v>278.0000000000001</v>
      </c>
      <c r="G67" s="6">
        <f>G65+G66</f>
        <v>240.5</v>
      </c>
      <c r="H67" s="6">
        <f>H65+H66</f>
        <v>244.39999999999998</v>
      </c>
      <c r="I67" s="6">
        <f>I65+I66</f>
        <v>271.20000000000005</v>
      </c>
      <c r="J67" s="6">
        <f>J65+J66</f>
        <v>246.39999999999998</v>
      </c>
      <c r="K67" s="6">
        <f>K65+K66</f>
        <v>235.89999999999998</v>
      </c>
      <c r="L67" s="6">
        <f>L65+L66</f>
        <v>282.1</v>
      </c>
      <c r="M67" s="6">
        <f>M65+M66</f>
        <v>251.0</v>
      </c>
      <c r="N67" s="6">
        <f>N65+N66</f>
        <v>267.0999999999999</v>
      </c>
      <c r="O67" s="6">
        <f>SUM(C67:N67)</f>
        <v>3038.2</v>
      </c>
    </row>
    <row r="68">
      <c r="B68" t="inlineStr">
        <is>
          <t>Net Inventory</t>
        </is>
      </c>
      <c r="C68" s="6" t="n">
        <v>5715.2</v>
      </c>
      <c r="D68" s="6" t="n">
        <v>5807.1</v>
      </c>
      <c r="E68" s="6" t="n">
        <v>5981.9</v>
      </c>
      <c r="F68" s="6" t="n">
        <v>6483.4</v>
      </c>
      <c r="G68" s="6" t="n">
        <v>5936.3</v>
      </c>
      <c r="H68" s="6" t="n">
        <v>6203.5</v>
      </c>
      <c r="I68" s="6" t="n">
        <v>6384.5</v>
      </c>
      <c r="J68" s="6" t="n">
        <v>6167.8</v>
      </c>
      <c r="K68" s="6" t="n">
        <v>5989.2</v>
      </c>
      <c r="L68" s="6" t="n">
        <v>6407.8</v>
      </c>
      <c r="M68" s="6" t="n">
        <v>5838.9</v>
      </c>
      <c r="N68" s="6" t="n">
        <v>6227.6</v>
      </c>
      <c r="O68" s="6">
        <f>N68</f>
        <v>6227.6</v>
      </c>
    </row>
    <row r="69">
      <c r="B69" t="inlineStr">
        <is>
          <t>Trade Receivables</t>
        </is>
      </c>
      <c r="C69" s="6" t="n">
        <v>4588.2</v>
      </c>
      <c r="D69" s="6" t="n">
        <v>4594.5</v>
      </c>
      <c r="E69" s="6" t="n">
        <v>4898.5</v>
      </c>
      <c r="F69" s="6" t="n">
        <v>5248.1</v>
      </c>
      <c r="G69" s="6" t="n">
        <v>4721.3</v>
      </c>
      <c r="H69" s="6" t="n">
        <v>4961.7</v>
      </c>
      <c r="I69" s="6" t="n">
        <v>5095.1</v>
      </c>
      <c r="J69" s="6" t="n">
        <v>4902.7</v>
      </c>
      <c r="K69" s="6" t="n">
        <v>4748.7</v>
      </c>
      <c r="L69" s="6" t="n">
        <v>5228.4</v>
      </c>
      <c r="M69" s="6" t="n">
        <v>4672.8</v>
      </c>
      <c r="N69" s="6" t="n">
        <v>5066.4</v>
      </c>
      <c r="O69" s="6">
        <f>N69</f>
        <v>5066.4</v>
      </c>
    </row>
    <row r="70">
      <c r="B70" t="inlineStr">
        <is>
          <t>Other Receivables</t>
        </is>
      </c>
      <c r="C70" s="6" t="n">
        <v>44.9</v>
      </c>
      <c r="D70" s="6" t="n">
        <v>44.9</v>
      </c>
      <c r="E70" s="6" t="n">
        <v>47.9</v>
      </c>
      <c r="F70" s="6" t="n">
        <v>51.3</v>
      </c>
      <c r="G70" s="6" t="n">
        <v>46.2</v>
      </c>
      <c r="H70" s="6" t="n">
        <v>48.5</v>
      </c>
      <c r="I70" s="6" t="n">
        <v>49.8</v>
      </c>
      <c r="J70" s="6" t="n">
        <v>48</v>
      </c>
      <c r="K70" s="6" t="n">
        <v>46.5</v>
      </c>
      <c r="L70" s="6" t="n">
        <v>51.1</v>
      </c>
      <c r="M70" s="6" t="n">
        <v>45.7</v>
      </c>
      <c r="N70" s="6" t="n">
        <v>49.6</v>
      </c>
      <c r="O70" s="6">
        <f>N70</f>
        <v>49.6</v>
      </c>
    </row>
    <row r="71">
      <c r="B71" t="inlineStr">
        <is>
          <t>Trade Payables</t>
        </is>
      </c>
      <c r="C71" s="6" t="n">
        <v>-2800</v>
      </c>
      <c r="D71" s="6" t="n">
        <v>-2799.9</v>
      </c>
      <c r="E71" s="6" t="n">
        <v>-2964.6</v>
      </c>
      <c r="F71" s="6" t="n">
        <v>-3177.9</v>
      </c>
      <c r="G71" s="6" t="n">
        <v>-2859.3</v>
      </c>
      <c r="H71" s="6" t="n">
        <v>-3009.5</v>
      </c>
      <c r="I71" s="6" t="n">
        <v>-3104.2</v>
      </c>
      <c r="J71" s="6" t="n">
        <v>-2994.1</v>
      </c>
      <c r="K71" s="6" t="n">
        <v>-2889.8</v>
      </c>
      <c r="L71" s="6" t="n">
        <v>-3183.4</v>
      </c>
      <c r="M71" s="6" t="n">
        <v>-2829.8</v>
      </c>
      <c r="N71" s="6" t="n">
        <v>-3082.4</v>
      </c>
      <c r="O71" s="6">
        <f>N71</f>
        <v>-3082.4</v>
      </c>
    </row>
    <row r="72">
      <c r="B72" t="inlineStr">
        <is>
          <t>Other Payables</t>
        </is>
      </c>
      <c r="C72" s="6" t="n">
        <v>-89.8</v>
      </c>
      <c r="D72" s="6" t="n">
        <v>-89.90000000000001</v>
      </c>
      <c r="E72" s="6" t="n">
        <v>-95.8</v>
      </c>
      <c r="F72" s="6" t="n">
        <v>-102.7</v>
      </c>
      <c r="G72" s="6" t="n">
        <v>-92.40000000000001</v>
      </c>
      <c r="H72" s="6" t="n">
        <v>-97.09999999999999</v>
      </c>
      <c r="I72" s="6" t="n">
        <v>-99.7</v>
      </c>
      <c r="J72" s="6" t="n">
        <v>-95.90000000000001</v>
      </c>
      <c r="K72" s="6" t="n">
        <v>-92.90000000000001</v>
      </c>
      <c r="L72" s="6" t="n">
        <v>-102.3</v>
      </c>
      <c r="M72" s="6" t="n">
        <v>-91.40000000000001</v>
      </c>
      <c r="N72" s="6" t="n">
        <v>-99.09999999999999</v>
      </c>
      <c r="O72" s="6">
        <f>N72</f>
        <v>-99.1</v>
      </c>
    </row>
    <row r="73">
      <c r="B73" t="inlineStr">
        <is>
          <t>Total working capital</t>
        </is>
      </c>
      <c r="C73" s="6">
        <f>SUM(C68:C72)</f>
        <v>7458.499999999999</v>
      </c>
      <c r="D73" s="6">
        <f>SUM(D68:D72)</f>
        <v>7556.700000000001</v>
      </c>
      <c r="E73" s="6">
        <f>SUM(E68:E72)</f>
        <v>7867.899999999999</v>
      </c>
      <c r="F73" s="6">
        <f>SUM(F68:F72)</f>
        <v>8502.199999999999</v>
      </c>
      <c r="G73" s="6">
        <f>SUM(G68:G72)</f>
        <v>7752.100000000001</v>
      </c>
      <c r="H73" s="6">
        <f>SUM(H68:H72)</f>
        <v>8107.1</v>
      </c>
      <c r="I73" s="6">
        <f>SUM(I68:I72)</f>
        <v>8325.5</v>
      </c>
      <c r="J73" s="6">
        <f>SUM(J68:J72)</f>
        <v>8028.5</v>
      </c>
      <c r="K73" s="6">
        <f>SUM(K68:K72)</f>
        <v>7801.7</v>
      </c>
      <c r="L73" s="6">
        <f>SUM(L68:L72)</f>
        <v>8401.600000000002</v>
      </c>
      <c r="M73" s="6">
        <f>SUM(M68:M72)</f>
        <v>7636.200000000002</v>
      </c>
      <c r="N73" s="6">
        <f>SUM(N68:N72)</f>
        <v>8162.1</v>
      </c>
      <c r="O73" s="6">
        <f>N73</f>
        <v>8162.1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Falcon Hand Protection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2" t="inlineStr">
        <is>
          <t>Sales</t>
        </is>
      </c>
      <c r="C8" s="6">
        <f>'Falcon'!BU28</f>
        <v>300.0</v>
      </c>
      <c r="D8" s="6">
        <f>'Falcon'!BV28</f>
        <v>5882.0</v>
      </c>
      <c r="E8" s="6">
        <f>'Falcon'!BW28</f>
        <v>9896.399999999987</v>
      </c>
      <c r="F8" s="6">
        <f>'Falcon'!BY28</f>
        <v>900.0</v>
      </c>
      <c r="G8" s="6">
        <f>'Falcon'!BZ28</f>
        <v>3410.600000000002</v>
      </c>
      <c r="H8" s="6">
        <f>'Falcon'!CA28</f>
        <v>4812.9000000000015</v>
      </c>
      <c r="I8" s="6">
        <f>'Falcon'!CC28</f>
        <v>1200.0</v>
      </c>
      <c r="J8" s="6">
        <f>'Falcon'!CD28</f>
        <v>9292.599999999991</v>
      </c>
      <c r="K8" s="6">
        <f>'Falcon'!CE28</f>
        <v>14709.299999999988</v>
      </c>
    </row>
    <row r="10">
      <c r="B10" s="2" t="inlineStr">
        <is>
          <t>Gross Margin</t>
        </is>
      </c>
      <c r="C10" s="6">
        <f>'Falcon'!BU29</f>
        <v>120.0</v>
      </c>
      <c r="D10" s="6">
        <f>'Falcon'!BV29</f>
        <v>3096.100000000002</v>
      </c>
      <c r="E10" s="6">
        <f>'Falcon'!BW29</f>
        <v>4787.299999999999</v>
      </c>
      <c r="F10" s="6">
        <f>'Falcon'!BY29</f>
        <v>360.0</v>
      </c>
      <c r="G10" s="6">
        <f>'Falcon'!BZ29</f>
        <v>1607.6000000000004</v>
      </c>
      <c r="H10" s="6">
        <f>'Falcon'!CA29</f>
        <v>2147.9000000000005</v>
      </c>
      <c r="I10" s="6">
        <f>'Falcon'!CC29</f>
        <v>480.0</v>
      </c>
      <c r="J10" s="6">
        <f>'Falcon'!CD29</f>
        <v>4703.700000000004</v>
      </c>
      <c r="K10" s="6">
        <f>'Falcon'!CE29</f>
        <v>6935.200000000001</v>
      </c>
    </row>
    <row r="12">
      <c r="B12" s="2" t="inlineStr">
        <is>
          <t>Op Costs</t>
        </is>
      </c>
      <c r="C12" s="6">
        <f>'Falcon'!BU30</f>
        <v>-110.0</v>
      </c>
      <c r="D12" s="6">
        <f>'Falcon'!BV30</f>
        <v>-662.8999999999996</v>
      </c>
      <c r="E12" s="6">
        <f>'Falcon'!BW30</f>
        <v>-1166.4000000000015</v>
      </c>
      <c r="F12" s="6">
        <f>'Falcon'!BY30</f>
        <v>-40.0</v>
      </c>
      <c r="G12" s="6">
        <f>'Falcon'!BZ30</f>
        <v>-283.2000000000007</v>
      </c>
      <c r="H12" s="6">
        <f>'Falcon'!CA30</f>
        <v>-466.90000000000055</v>
      </c>
      <c r="I12" s="6">
        <f>'Falcon'!CC30</f>
        <v>-150.0</v>
      </c>
      <c r="J12" s="6">
        <f>'Falcon'!CD30</f>
        <v>-946.1000000000022</v>
      </c>
      <c r="K12" s="6">
        <f>'Falcon'!CE30</f>
        <v>-1633.300000000003</v>
      </c>
    </row>
    <row r="14">
      <c r="B14" s="2" t="inlineStr">
        <is>
          <t>PBITA</t>
        </is>
      </c>
      <c r="C14" s="6">
        <f>'Falcon'!BU31</f>
        <v>10.0</v>
      </c>
      <c r="D14" s="6">
        <f>'Falcon'!BV31</f>
        <v>2433.2000000000007</v>
      </c>
      <c r="E14" s="6">
        <f>'Falcon'!BW31</f>
        <v>3620.9000000000015</v>
      </c>
      <c r="F14" s="6">
        <f>'Falcon'!BY31</f>
        <v>320.0</v>
      </c>
      <c r="G14" s="6">
        <f>'Falcon'!BZ31</f>
        <v>1324.4</v>
      </c>
      <c r="H14" s="6">
        <f>'Falcon'!CA31</f>
        <v>1681.0</v>
      </c>
      <c r="I14" s="6">
        <f>'Falcon'!CC31</f>
        <v>330.0</v>
      </c>
      <c r="J14" s="6">
        <f>'Falcon'!CD31</f>
        <v>3757.6000000000004</v>
      </c>
      <c r="K14" s="6">
        <f>'Falcon'!CE31</f>
        <v>5301.9000000000015</v>
      </c>
    </row>
    <row r="17">
      <c r="B17" s="8" t="inlineStr">
        <is>
          <t>Commentary (business controller):</t>
        </is>
      </c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8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4" t="inlineStr">
        <is>
          <t>January</t>
        </is>
      </c>
      <c r="D4" s="4" t="inlineStr">
        <is>
          <t>February</t>
        </is>
      </c>
      <c r="E4" s="4" t="inlineStr">
        <is>
          <t>March</t>
        </is>
      </c>
      <c r="F4" s="4" t="inlineStr">
        <is>
          <t>April</t>
        </is>
      </c>
      <c r="G4" s="4" t="inlineStr">
        <is>
          <t>May</t>
        </is>
      </c>
      <c r="H4" s="4" t="inlineStr">
        <is>
          <t>June</t>
        </is>
      </c>
      <c r="I4" s="4" t="inlineStr">
        <is>
          <t>July</t>
        </is>
      </c>
      <c r="J4" s="4" t="inlineStr">
        <is>
          <t>August</t>
        </is>
      </c>
      <c r="K4" s="4" t="inlineStr">
        <is>
          <t>September</t>
        </is>
      </c>
      <c r="L4" s="4" t="inlineStr">
        <is>
          <t>October</t>
        </is>
      </c>
      <c r="M4" s="4" t="inlineStr">
        <is>
          <t>November</t>
        </is>
      </c>
      <c r="N4" s="4" t="inlineStr">
        <is>
          <t>December</t>
        </is>
      </c>
      <c r="O4" s="4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Insert Adj. 1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1" t="n">
        <v>300</v>
      </c>
      <c r="L6" s="21" t="n">
        <v>300</v>
      </c>
      <c r="M6" s="21" t="n">
        <v>300</v>
      </c>
      <c r="N6" s="21" t="n">
        <v>300</v>
      </c>
      <c r="O6" s="6">
        <f>SUM(C6:N6)</f>
        <v>1200.0</v>
      </c>
    </row>
    <row r="7">
      <c r="B7" t="inlineStr">
        <is>
          <t>Insert Adj. 2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6">
        <f>SUM(C7:N7)</f>
        <v>0.0</v>
      </c>
    </row>
    <row r="8">
      <c r="B8" t="inlineStr">
        <is>
          <t>Insert Adj. 3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6">
        <f>SUM(C8:N8)</f>
        <v>0.0</v>
      </c>
    </row>
    <row r="9">
      <c r="B9" t="inlineStr">
        <is>
          <t>Insert Adj. 4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6">
        <f>SUM(C9:N9)</f>
        <v>0.0</v>
      </c>
    </row>
    <row r="10">
      <c r="B10" t="inlineStr">
        <is>
          <t>Insert Adj. 5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6">
        <f>SUM(C10:N10)</f>
        <v>0.0</v>
      </c>
    </row>
    <row r="11">
      <c r="B11" t="inlineStr">
        <is>
          <t>Insert Adj. 6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6">
        <f>SUM(C11:N11)</f>
        <v>0.0</v>
      </c>
    </row>
    <row r="12">
      <c r="B12" t="inlineStr">
        <is>
          <t>Insert Adj. 7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6">
        <f>SUM(C12:N12)</f>
        <v>0.0</v>
      </c>
    </row>
    <row r="13">
      <c r="B13" t="inlineStr">
        <is>
          <t>Insert Adj. 8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6">
        <f>SUM(C13:N13)</f>
        <v>0.0</v>
      </c>
    </row>
    <row r="14">
      <c r="B14" s="2" t="inlineStr">
        <is>
          <t>Total Sales</t>
        </is>
      </c>
      <c r="C14" s="9">
        <f>SUM(C6:C13)</f>
        <v>0.0</v>
      </c>
      <c r="D14" s="9">
        <f>SUM(D6:D13)</f>
        <v>0.0</v>
      </c>
      <c r="E14" s="9">
        <f>SUM(E6:E13)</f>
        <v>0.0</v>
      </c>
      <c r="F14" s="9">
        <f>SUM(F6:F13)</f>
        <v>0.0</v>
      </c>
      <c r="G14" s="9">
        <f>SUM(G6:G13)</f>
        <v>0.0</v>
      </c>
      <c r="H14" s="9">
        <f>SUM(H6:H13)</f>
        <v>0.0</v>
      </c>
      <c r="I14" s="9">
        <f>SUM(I6:I13)</f>
        <v>0.0</v>
      </c>
      <c r="J14" s="9">
        <f>SUM(J6:J13)</f>
        <v>0.0</v>
      </c>
      <c r="K14" s="9">
        <f>SUM(K6:K13)</f>
        <v>300.0</v>
      </c>
      <c r="L14" s="9">
        <f>SUM(L6:L13)</f>
        <v>300.0</v>
      </c>
      <c r="M14" s="9">
        <f>SUM(M6:M13)</f>
        <v>300.0</v>
      </c>
      <c r="N14" s="9">
        <f>SUM(N6:N13)</f>
        <v>300.0</v>
      </c>
      <c r="O14" s="9">
        <f>SUM(O6:O13)</f>
        <v>1200.0</v>
      </c>
    </row>
    <row r="16">
      <c r="B16" s="2" t="inlineStr">
        <is>
          <t>Gross Margin (%)</t>
        </is>
      </c>
    </row>
    <row r="17">
      <c r="B17" t="str">
        <f>B6</f>
        <v>Insert Adj. 1</v>
      </c>
      <c r="C17" s="12">
        <f>IFERROR(C28/C6,0)</f>
        <v>0.0</v>
      </c>
      <c r="D17" s="12">
        <f>IFERROR(D28/D6,0)</f>
        <v>0.0</v>
      </c>
      <c r="E17" s="12">
        <f>IFERROR(E28/E6,0)</f>
        <v>0.0</v>
      </c>
      <c r="F17" s="12">
        <f>IFERROR(F28/F6,0)</f>
        <v>0.0</v>
      </c>
      <c r="G17" s="12">
        <f>IFERROR(G28/G6,0)</f>
        <v>0.0</v>
      </c>
      <c r="H17" s="12">
        <f>IFERROR(H28/H6,0)</f>
        <v>0.0</v>
      </c>
      <c r="I17" s="12">
        <f>IFERROR(I28/I6,0)</f>
        <v>0.0</v>
      </c>
      <c r="J17" s="12">
        <f>IFERROR(J28/J6,0)</f>
        <v>0.0</v>
      </c>
      <c r="K17" s="12">
        <f>IFERROR(K28/K6,0)</f>
        <v>0.4</v>
      </c>
      <c r="L17" s="12">
        <f>IFERROR(L28/L6,0)</f>
        <v>0.4</v>
      </c>
      <c r="M17" s="12">
        <f>IFERROR(M28/M6,0)</f>
        <v>0.4</v>
      </c>
      <c r="N17" s="12">
        <f>IFERROR(N28/N6,0)</f>
        <v>0.4</v>
      </c>
      <c r="O17" s="12">
        <f>IFERROR(O28/O6,0)</f>
        <v>0.4</v>
      </c>
    </row>
    <row r="18">
      <c r="B18" t="str">
        <f>B7</f>
        <v>Insert Adj. 2</v>
      </c>
      <c r="C18" s="12">
        <f>IFERROR(C29/C7,0)</f>
        <v>0.0</v>
      </c>
      <c r="D18" s="12">
        <f>IFERROR(D29/D7,0)</f>
        <v>0.0</v>
      </c>
      <c r="E18" s="12">
        <f>IFERROR(E29/E7,0)</f>
        <v>0.0</v>
      </c>
      <c r="F18" s="12">
        <f>IFERROR(F29/F7,0)</f>
        <v>0.0</v>
      </c>
      <c r="G18" s="12">
        <f>IFERROR(G29/G7,0)</f>
        <v>0.0</v>
      </c>
      <c r="H18" s="12">
        <f>IFERROR(H29/H7,0)</f>
        <v>0.0</v>
      </c>
      <c r="I18" s="12">
        <f>IFERROR(I29/I7,0)</f>
        <v>0.0</v>
      </c>
      <c r="J18" s="12">
        <f>IFERROR(J29/J7,0)</f>
        <v>0.0</v>
      </c>
      <c r="K18" s="12">
        <f>IFERROR(K29/K7,0)</f>
        <v>0.0</v>
      </c>
      <c r="L18" s="12">
        <f>IFERROR(L29/L7,0)</f>
        <v>0.0</v>
      </c>
      <c r="M18" s="12">
        <f>IFERROR(M29/M7,0)</f>
        <v>0.0</v>
      </c>
      <c r="N18" s="12">
        <f>IFERROR(N29/N7,0)</f>
        <v>0.0</v>
      </c>
      <c r="O18" s="12">
        <f>IFERROR(O29/O7,0)</f>
        <v>0.0</v>
      </c>
    </row>
    <row r="19">
      <c r="B19" t="str">
        <f>B8</f>
        <v>Insert Adj. 3</v>
      </c>
      <c r="C19" s="12">
        <f>IFERROR(C30/C8,0)</f>
        <v>0.0</v>
      </c>
      <c r="D19" s="12">
        <f>IFERROR(D30/D8,0)</f>
        <v>0.0</v>
      </c>
      <c r="E19" s="12">
        <f>IFERROR(E30/E8,0)</f>
        <v>0.0</v>
      </c>
      <c r="F19" s="12">
        <f>IFERROR(F30/F8,0)</f>
        <v>0.0</v>
      </c>
      <c r="G19" s="12">
        <f>IFERROR(G30/G8,0)</f>
        <v>0.0</v>
      </c>
      <c r="H19" s="12">
        <f>IFERROR(H30/H8,0)</f>
        <v>0.0</v>
      </c>
      <c r="I19" s="12">
        <f>IFERROR(I30/I8,0)</f>
        <v>0.0</v>
      </c>
      <c r="J19" s="12">
        <f>IFERROR(J30/J8,0)</f>
        <v>0.0</v>
      </c>
      <c r="K19" s="12">
        <f>IFERROR(K30/K8,0)</f>
        <v>0.0</v>
      </c>
      <c r="L19" s="12">
        <f>IFERROR(L30/L8,0)</f>
        <v>0.0</v>
      </c>
      <c r="M19" s="12">
        <f>IFERROR(M30/M8,0)</f>
        <v>0.0</v>
      </c>
      <c r="N19" s="12">
        <f>IFERROR(N30/N8,0)</f>
        <v>0.0</v>
      </c>
      <c r="O19" s="12">
        <f>IFERROR(O30/O8,0)</f>
        <v>0.0</v>
      </c>
    </row>
    <row r="20">
      <c r="B20" t="str">
        <f>B9</f>
        <v>Insert Adj. 4</v>
      </c>
      <c r="C20" s="12">
        <f>IFERROR(C31/C9,0)</f>
        <v>0.0</v>
      </c>
      <c r="D20" s="12">
        <f>IFERROR(D31/D9,0)</f>
        <v>0.0</v>
      </c>
      <c r="E20" s="12">
        <f>IFERROR(E31/E9,0)</f>
        <v>0.0</v>
      </c>
      <c r="F20" s="12">
        <f>IFERROR(F31/F9,0)</f>
        <v>0.0</v>
      </c>
      <c r="G20" s="12">
        <f>IFERROR(G31/G9,0)</f>
        <v>0.0</v>
      </c>
      <c r="H20" s="12">
        <f>IFERROR(H31/H9,0)</f>
        <v>0.0</v>
      </c>
      <c r="I20" s="12">
        <f>IFERROR(I31/I9,0)</f>
        <v>0.0</v>
      </c>
      <c r="J20" s="12">
        <f>IFERROR(J31/J9,0)</f>
        <v>0.0</v>
      </c>
      <c r="K20" s="12">
        <f>IFERROR(K31/K9,0)</f>
        <v>0.0</v>
      </c>
      <c r="L20" s="12">
        <f>IFERROR(L31/L9,0)</f>
        <v>0.0</v>
      </c>
      <c r="M20" s="12">
        <f>IFERROR(M31/M9,0)</f>
        <v>0.0</v>
      </c>
      <c r="N20" s="12">
        <f>IFERROR(N31/N9,0)</f>
        <v>0.0</v>
      </c>
      <c r="O20" s="12">
        <f>IFERROR(O31/O9,0)</f>
        <v>0.0</v>
      </c>
    </row>
    <row r="21">
      <c r="B21" t="str">
        <f>B10</f>
        <v>Insert Adj. 5</v>
      </c>
      <c r="C21" s="12">
        <f>IFERROR(C32/C10,0)</f>
        <v>0.0</v>
      </c>
      <c r="D21" s="12">
        <f>IFERROR(D32/D10,0)</f>
        <v>0.0</v>
      </c>
      <c r="E21" s="12">
        <f>IFERROR(E32/E10,0)</f>
        <v>0.0</v>
      </c>
      <c r="F21" s="12">
        <f>IFERROR(F32/F10,0)</f>
        <v>0.0</v>
      </c>
      <c r="G21" s="12">
        <f>IFERROR(G32/G10,0)</f>
        <v>0.0</v>
      </c>
      <c r="H21" s="12">
        <f>IFERROR(H32/H10,0)</f>
        <v>0.0</v>
      </c>
      <c r="I21" s="12">
        <f>IFERROR(I32/I10,0)</f>
        <v>0.0</v>
      </c>
      <c r="J21" s="12">
        <f>IFERROR(J32/J10,0)</f>
        <v>0.0</v>
      </c>
      <c r="K21" s="12">
        <f>IFERROR(K32/K10,0)</f>
        <v>0.0</v>
      </c>
      <c r="L21" s="12">
        <f>IFERROR(L32/L10,0)</f>
        <v>0.0</v>
      </c>
      <c r="M21" s="12">
        <f>IFERROR(M32/M10,0)</f>
        <v>0.0</v>
      </c>
      <c r="N21" s="12">
        <f>IFERROR(N32/N10,0)</f>
        <v>0.0</v>
      </c>
      <c r="O21" s="12">
        <f>IFERROR(O32/O10,0)</f>
        <v>0.0</v>
      </c>
    </row>
    <row r="22">
      <c r="B22" t="str">
        <f>B11</f>
        <v>Insert Adj. 6</v>
      </c>
      <c r="C22" s="12">
        <f>IFERROR(C33/C11,0)</f>
        <v>0.0</v>
      </c>
      <c r="D22" s="12">
        <f>IFERROR(D33/D11,0)</f>
        <v>0.0</v>
      </c>
      <c r="E22" s="12">
        <f>IFERROR(E33/E11,0)</f>
        <v>0.0</v>
      </c>
      <c r="F22" s="12">
        <f>IFERROR(F33/F11,0)</f>
        <v>0.0</v>
      </c>
      <c r="G22" s="12">
        <f>IFERROR(G33/G11,0)</f>
        <v>0.0</v>
      </c>
      <c r="H22" s="12">
        <f>IFERROR(H33/H11,0)</f>
        <v>0.0</v>
      </c>
      <c r="I22" s="12">
        <f>IFERROR(I33/I11,0)</f>
        <v>0.0</v>
      </c>
      <c r="J22" s="12">
        <f>IFERROR(J33/J11,0)</f>
        <v>0.0</v>
      </c>
      <c r="K22" s="12">
        <f>IFERROR(K33/K11,0)</f>
        <v>0.0</v>
      </c>
      <c r="L22" s="12">
        <f>IFERROR(L33/L11,0)</f>
        <v>0.0</v>
      </c>
      <c r="M22" s="12">
        <f>IFERROR(M33/M11,0)</f>
        <v>0.0</v>
      </c>
      <c r="N22" s="12">
        <f>IFERROR(N33/N11,0)</f>
        <v>0.0</v>
      </c>
      <c r="O22" s="12">
        <f>IFERROR(O33/O11,0)</f>
        <v>0.0</v>
      </c>
    </row>
    <row r="23">
      <c r="B23" t="str">
        <f>B12</f>
        <v>Insert Adj. 7</v>
      </c>
      <c r="C23" s="12">
        <f>IFERROR(C34/C12,0)</f>
        <v>0.0</v>
      </c>
      <c r="D23" s="12">
        <f>IFERROR(D34/D12,0)</f>
        <v>0.0</v>
      </c>
      <c r="E23" s="12">
        <f>IFERROR(E34/E12,0)</f>
        <v>0.0</v>
      </c>
      <c r="F23" s="12">
        <f>IFERROR(F34/F12,0)</f>
        <v>0.0</v>
      </c>
      <c r="G23" s="12">
        <f>IFERROR(G34/G12,0)</f>
        <v>0.0</v>
      </c>
      <c r="H23" s="12">
        <f>IFERROR(H34/H12,0)</f>
        <v>0.0</v>
      </c>
      <c r="I23" s="12">
        <f>IFERROR(I34/I12,0)</f>
        <v>0.0</v>
      </c>
      <c r="J23" s="12">
        <f>IFERROR(J34/J12,0)</f>
        <v>0.0</v>
      </c>
      <c r="K23" s="12">
        <f>IFERROR(K34/K12,0)</f>
        <v>0.0</v>
      </c>
      <c r="L23" s="12">
        <f>IFERROR(L34/L12,0)</f>
        <v>0.0</v>
      </c>
      <c r="M23" s="12">
        <f>IFERROR(M34/M12,0)</f>
        <v>0.0</v>
      </c>
      <c r="N23" s="12">
        <f>IFERROR(N34/N12,0)</f>
        <v>0.0</v>
      </c>
      <c r="O23" s="12">
        <f>IFERROR(O34/O12,0)</f>
        <v>0.0</v>
      </c>
    </row>
    <row r="24">
      <c r="B24" t="str">
        <f>B13</f>
        <v>Insert Adj. 8</v>
      </c>
      <c r="C24" s="12">
        <f>IFERROR(C35/C13,0)</f>
        <v>0.0</v>
      </c>
      <c r="D24" s="12">
        <f>IFERROR(D35/D13,0)</f>
        <v>0.0</v>
      </c>
      <c r="E24" s="12">
        <f>IFERROR(E35/E13,0)</f>
        <v>0.0</v>
      </c>
      <c r="F24" s="12">
        <f>IFERROR(F35/F13,0)</f>
        <v>0.0</v>
      </c>
      <c r="G24" s="12">
        <f>IFERROR(G35/G13,0)</f>
        <v>0.0</v>
      </c>
      <c r="H24" s="12">
        <f>IFERROR(H35/H13,0)</f>
        <v>0.0</v>
      </c>
      <c r="I24" s="12">
        <f>IFERROR(I35/I13,0)</f>
        <v>0.0</v>
      </c>
      <c r="J24" s="12">
        <f>IFERROR(J35/J13,0)</f>
        <v>0.0</v>
      </c>
      <c r="K24" s="12">
        <f>IFERROR(K35/K13,0)</f>
        <v>0.0</v>
      </c>
      <c r="L24" s="12">
        <f>IFERROR(L35/L13,0)</f>
        <v>0.0</v>
      </c>
      <c r="M24" s="12">
        <f>IFERROR(M35/M13,0)</f>
        <v>0.0</v>
      </c>
      <c r="N24" s="12">
        <f>IFERROR(N35/N13,0)</f>
        <v>0.0</v>
      </c>
      <c r="O24" s="12">
        <f>IFERROR(O35/O13,0)</f>
        <v>0.0</v>
      </c>
    </row>
    <row r="25">
      <c r="B25" s="2" t="inlineStr">
        <is>
          <t>Total Gross Margin (%)</t>
        </is>
      </c>
      <c r="C25" s="15">
        <f>IFERROR(C36/C14,0)</f>
        <v>0.0</v>
      </c>
      <c r="D25" s="15">
        <f>IFERROR(D36/D14,0)</f>
        <v>0.0</v>
      </c>
      <c r="E25" s="15">
        <f>IFERROR(E36/E14,0)</f>
        <v>0.0</v>
      </c>
      <c r="F25" s="15">
        <f>IFERROR(F36/F14,0)</f>
        <v>0.0</v>
      </c>
      <c r="G25" s="15">
        <f>IFERROR(G36/G14,0)</f>
        <v>0.0</v>
      </c>
      <c r="H25" s="15">
        <f>IFERROR(H36/H14,0)</f>
        <v>0.0</v>
      </c>
      <c r="I25" s="15">
        <f>IFERROR(I36/I14,0)</f>
        <v>0.0</v>
      </c>
      <c r="J25" s="15">
        <f>IFERROR(J36/J14,0)</f>
        <v>0.0</v>
      </c>
      <c r="K25" s="15">
        <f>IFERROR(K36/K14,0)</f>
        <v>0.4</v>
      </c>
      <c r="L25" s="15">
        <f>IFERROR(L36/L14,0)</f>
        <v>0.4</v>
      </c>
      <c r="M25" s="15">
        <f>IFERROR(M36/M14,0)</f>
        <v>0.4</v>
      </c>
      <c r="N25" s="15">
        <f>IFERROR(N36/N14,0)</f>
        <v>0.4</v>
      </c>
      <c r="O25" s="15">
        <f>IFERROR(O36/O14,0)</f>
        <v>0.4</v>
      </c>
    </row>
    <row r="27">
      <c r="B27" s="2" t="inlineStr">
        <is>
          <t>Gross Margin ($)</t>
        </is>
      </c>
    </row>
    <row r="28">
      <c r="B28" t="inlineStr">
        <is>
          <t>Insert Adj. 1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21" t="n">
        <v>120</v>
      </c>
      <c r="L28" s="21" t="n">
        <v>120</v>
      </c>
      <c r="M28" s="21" t="n">
        <v>120</v>
      </c>
      <c r="N28" s="21" t="n">
        <v>120</v>
      </c>
      <c r="O28" s="6">
        <f>SUM(C28:N28)</f>
        <v>480.0</v>
      </c>
    </row>
    <row r="29">
      <c r="B29" t="inlineStr">
        <is>
          <t>Insert Adj. 2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6">
        <f>SUM(C29:N29)</f>
        <v>0.0</v>
      </c>
    </row>
    <row r="30">
      <c r="B30" t="inlineStr">
        <is>
          <t>Insert Adj. 3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6">
        <f>SUM(C30:N30)</f>
        <v>0.0</v>
      </c>
    </row>
    <row r="31">
      <c r="B31" t="inlineStr">
        <is>
          <t>Insert Adj. 4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6">
        <f>SUM(C31:N31)</f>
        <v>0.0</v>
      </c>
    </row>
    <row r="32">
      <c r="B32" t="inlineStr">
        <is>
          <t>Insert Adj. 5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6">
        <f>SUM(C32:N32)</f>
        <v>0.0</v>
      </c>
    </row>
    <row r="33">
      <c r="B33" t="inlineStr">
        <is>
          <t>Insert Adj. 6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6">
        <f>SUM(C33:N33)</f>
        <v>0.0</v>
      </c>
    </row>
    <row r="34">
      <c r="B34" t="inlineStr">
        <is>
          <t>Insert Adj. 7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6">
        <f>SUM(C34:N34)</f>
        <v>0.0</v>
      </c>
    </row>
    <row r="35">
      <c r="B35" t="inlineStr">
        <is>
          <t>Insert Adj. 8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6">
        <f>SUM(C35:N35)</f>
        <v>0.0</v>
      </c>
    </row>
    <row r="36">
      <c r="B36" s="2" t="inlineStr">
        <is>
          <t>Total Gross Margin ($)</t>
        </is>
      </c>
      <c r="C36" s="9">
        <f>SUM(C28:C35)</f>
        <v>0.0</v>
      </c>
      <c r="D36" s="9">
        <f>SUM(D28:D35)</f>
        <v>0.0</v>
      </c>
      <c r="E36" s="9">
        <f>SUM(E28:E35)</f>
        <v>0.0</v>
      </c>
      <c r="F36" s="9">
        <f>SUM(F28:F35)</f>
        <v>0.0</v>
      </c>
      <c r="G36" s="9">
        <f>SUM(G28:G35)</f>
        <v>0.0</v>
      </c>
      <c r="H36" s="9">
        <f>SUM(H28:H35)</f>
        <v>0.0</v>
      </c>
      <c r="I36" s="9">
        <f>SUM(I28:I35)</f>
        <v>0.0</v>
      </c>
      <c r="J36" s="9">
        <f>SUM(J28:J35)</f>
        <v>0.0</v>
      </c>
      <c r="K36" s="9">
        <f>SUM(K28:K35)</f>
        <v>120.0</v>
      </c>
      <c r="L36" s="9">
        <f>SUM(L28:L35)</f>
        <v>120.0</v>
      </c>
      <c r="M36" s="9">
        <f>SUM(M28:M35)</f>
        <v>120.0</v>
      </c>
      <c r="N36" s="9">
        <f>SUM(N28:N35)</f>
        <v>120.0</v>
      </c>
      <c r="O36" s="9">
        <f>SUM(O28:O35)</f>
        <v>480.0</v>
      </c>
    </row>
    <row r="38">
      <c r="B38" s="2" t="inlineStr">
        <is>
          <t>Op Costs (%)</t>
        </is>
      </c>
    </row>
    <row r="39">
      <c r="B39" t="str">
        <f>B6</f>
        <v>Insert Adj. 1</v>
      </c>
      <c r="C39" s="12">
        <f>IFERROR(C50/C6,0)</f>
        <v>0.0</v>
      </c>
      <c r="D39" s="12">
        <f>IFERROR(D50/D6,0)</f>
        <v>0.0</v>
      </c>
      <c r="E39" s="12">
        <f>IFERROR(E50/E6,0)</f>
        <v>0.0</v>
      </c>
      <c r="F39" s="12">
        <f>IFERROR(F50/F6,0)</f>
        <v>0.0</v>
      </c>
      <c r="G39" s="12">
        <f>IFERROR(G50/G6,0)</f>
        <v>0.0</v>
      </c>
      <c r="H39" s="12">
        <f>IFERROR(H50/H6,0)</f>
        <v>0.0</v>
      </c>
      <c r="I39" s="12">
        <f>IFERROR(I50/I6,0)</f>
        <v>0.0</v>
      </c>
      <c r="J39" s="12">
        <f>IFERROR(J50/J6,0)</f>
        <v>0.0</v>
      </c>
      <c r="K39" s="12">
        <f>IFERROR(K50/K6,0)</f>
        <v>0.36666666666666664</v>
      </c>
      <c r="L39" s="12">
        <f>IFERROR(L50/L6,0)</f>
        <v>0.05</v>
      </c>
      <c r="M39" s="12">
        <f>IFERROR(M50/M6,0)</f>
        <v>0.05</v>
      </c>
      <c r="N39" s="12">
        <f>IFERROR(N50/N6,0)</f>
        <v>0.03333333333333333</v>
      </c>
      <c r="O39" s="12">
        <f>IFERROR(O50/O6,0)</f>
        <v>0.125</v>
      </c>
    </row>
    <row r="40">
      <c r="B40" t="str">
        <f>B7</f>
        <v>Insert Adj. 2</v>
      </c>
      <c r="C40" s="12">
        <f>IFERROR(C51/C7,0)</f>
        <v>0.0</v>
      </c>
      <c r="D40" s="12">
        <f>IFERROR(D51/D7,0)</f>
        <v>0.0</v>
      </c>
      <c r="E40" s="12">
        <f>IFERROR(E51/E7,0)</f>
        <v>0.0</v>
      </c>
      <c r="F40" s="12">
        <f>IFERROR(F51/F7,0)</f>
        <v>0.0</v>
      </c>
      <c r="G40" s="12">
        <f>IFERROR(G51/G7,0)</f>
        <v>0.0</v>
      </c>
      <c r="H40" s="12">
        <f>IFERROR(H51/H7,0)</f>
        <v>0.0</v>
      </c>
      <c r="I40" s="12">
        <f>IFERROR(I51/I7,0)</f>
        <v>0.0</v>
      </c>
      <c r="J40" s="12">
        <f>IFERROR(J51/J7,0)</f>
        <v>0.0</v>
      </c>
      <c r="K40" s="12">
        <f>IFERROR(K51/K7,0)</f>
        <v>0.0</v>
      </c>
      <c r="L40" s="12">
        <f>IFERROR(L51/L7,0)</f>
        <v>0.0</v>
      </c>
      <c r="M40" s="12">
        <f>IFERROR(M51/M7,0)</f>
        <v>0.0</v>
      </c>
      <c r="N40" s="12">
        <f>IFERROR(N51/N7,0)</f>
        <v>0.0</v>
      </c>
      <c r="O40" s="12">
        <f>IFERROR(O51/O7,0)</f>
        <v>0.0</v>
      </c>
    </row>
    <row r="41">
      <c r="B41" t="str">
        <f>B8</f>
        <v>Insert Adj. 3</v>
      </c>
      <c r="C41" s="12">
        <f>IFERROR(C52/C8,0)</f>
        <v>0.0</v>
      </c>
      <c r="D41" s="12">
        <f>IFERROR(D52/D8,0)</f>
        <v>0.0</v>
      </c>
      <c r="E41" s="12">
        <f>IFERROR(E52/E8,0)</f>
        <v>0.0</v>
      </c>
      <c r="F41" s="12">
        <f>IFERROR(F52/F8,0)</f>
        <v>0.0</v>
      </c>
      <c r="G41" s="12">
        <f>IFERROR(G52/G8,0)</f>
        <v>0.0</v>
      </c>
      <c r="H41" s="12">
        <f>IFERROR(H52/H8,0)</f>
        <v>0.0</v>
      </c>
      <c r="I41" s="12">
        <f>IFERROR(I52/I8,0)</f>
        <v>0.0</v>
      </c>
      <c r="J41" s="12">
        <f>IFERROR(J52/J8,0)</f>
        <v>0.0</v>
      </c>
      <c r="K41" s="12">
        <f>IFERROR(K52/K8,0)</f>
        <v>0.0</v>
      </c>
      <c r="L41" s="12">
        <f>IFERROR(L52/L8,0)</f>
        <v>0.0</v>
      </c>
      <c r="M41" s="12">
        <f>IFERROR(M52/M8,0)</f>
        <v>0.0</v>
      </c>
      <c r="N41" s="12">
        <f>IFERROR(N52/N8,0)</f>
        <v>0.0</v>
      </c>
      <c r="O41" s="12">
        <f>IFERROR(O52/O8,0)</f>
        <v>0.0</v>
      </c>
    </row>
    <row r="42">
      <c r="B42" t="str">
        <f>B9</f>
        <v>Insert Adj. 4</v>
      </c>
      <c r="C42" s="12">
        <f>IFERROR(C53/C9,0)</f>
        <v>0.0</v>
      </c>
      <c r="D42" s="12">
        <f>IFERROR(D53/D9,0)</f>
        <v>0.0</v>
      </c>
      <c r="E42" s="12">
        <f>IFERROR(E53/E9,0)</f>
        <v>0.0</v>
      </c>
      <c r="F42" s="12">
        <f>IFERROR(F53/F9,0)</f>
        <v>0.0</v>
      </c>
      <c r="G42" s="12">
        <f>IFERROR(G53/G9,0)</f>
        <v>0.0</v>
      </c>
      <c r="H42" s="12">
        <f>IFERROR(H53/H9,0)</f>
        <v>0.0</v>
      </c>
      <c r="I42" s="12">
        <f>IFERROR(I53/I9,0)</f>
        <v>0.0</v>
      </c>
      <c r="J42" s="12">
        <f>IFERROR(J53/J9,0)</f>
        <v>0.0</v>
      </c>
      <c r="K42" s="12">
        <f>IFERROR(K53/K9,0)</f>
        <v>0.0</v>
      </c>
      <c r="L42" s="12">
        <f>IFERROR(L53/L9,0)</f>
        <v>0.0</v>
      </c>
      <c r="M42" s="12">
        <f>IFERROR(M53/M9,0)</f>
        <v>0.0</v>
      </c>
      <c r="N42" s="12">
        <f>IFERROR(N53/N9,0)</f>
        <v>0.0</v>
      </c>
      <c r="O42" s="12">
        <f>IFERROR(O53/O9,0)</f>
        <v>0.0</v>
      </c>
    </row>
    <row r="43">
      <c r="B43" t="str">
        <f>B10</f>
        <v>Insert Adj. 5</v>
      </c>
      <c r="C43" s="12">
        <f>IFERROR(C54/C10,0)</f>
        <v>0.0</v>
      </c>
      <c r="D43" s="12">
        <f>IFERROR(D54/D10,0)</f>
        <v>0.0</v>
      </c>
      <c r="E43" s="12">
        <f>IFERROR(E54/E10,0)</f>
        <v>0.0</v>
      </c>
      <c r="F43" s="12">
        <f>IFERROR(F54/F10,0)</f>
        <v>0.0</v>
      </c>
      <c r="G43" s="12">
        <f>IFERROR(G54/G10,0)</f>
        <v>0.0</v>
      </c>
      <c r="H43" s="12">
        <f>IFERROR(H54/H10,0)</f>
        <v>0.0</v>
      </c>
      <c r="I43" s="12">
        <f>IFERROR(I54/I10,0)</f>
        <v>0.0</v>
      </c>
      <c r="J43" s="12">
        <f>IFERROR(J54/J10,0)</f>
        <v>0.0</v>
      </c>
      <c r="K43" s="12">
        <f>IFERROR(K54/K10,0)</f>
        <v>0.0</v>
      </c>
      <c r="L43" s="12">
        <f>IFERROR(L54/L10,0)</f>
        <v>0.0</v>
      </c>
      <c r="M43" s="12">
        <f>IFERROR(M54/M10,0)</f>
        <v>0.0</v>
      </c>
      <c r="N43" s="12">
        <f>IFERROR(N54/N10,0)</f>
        <v>0.0</v>
      </c>
      <c r="O43" s="12">
        <f>IFERROR(O54/O10,0)</f>
        <v>0.0</v>
      </c>
    </row>
    <row r="44">
      <c r="B44" t="str">
        <f>B11</f>
        <v>Insert Adj. 6</v>
      </c>
      <c r="C44" s="12">
        <f>IFERROR(C55/C11,0)</f>
        <v>0.0</v>
      </c>
      <c r="D44" s="12">
        <f>IFERROR(D55/D11,0)</f>
        <v>0.0</v>
      </c>
      <c r="E44" s="12">
        <f>IFERROR(E55/E11,0)</f>
        <v>0.0</v>
      </c>
      <c r="F44" s="12">
        <f>IFERROR(F55/F11,0)</f>
        <v>0.0</v>
      </c>
      <c r="G44" s="12">
        <f>IFERROR(G55/G11,0)</f>
        <v>0.0</v>
      </c>
      <c r="H44" s="12">
        <f>IFERROR(H55/H11,0)</f>
        <v>0.0</v>
      </c>
      <c r="I44" s="12">
        <f>IFERROR(I55/I11,0)</f>
        <v>0.0</v>
      </c>
      <c r="J44" s="12">
        <f>IFERROR(J55/J11,0)</f>
        <v>0.0</v>
      </c>
      <c r="K44" s="12">
        <f>IFERROR(K55/K11,0)</f>
        <v>0.0</v>
      </c>
      <c r="L44" s="12">
        <f>IFERROR(L55/L11,0)</f>
        <v>0.0</v>
      </c>
      <c r="M44" s="12">
        <f>IFERROR(M55/M11,0)</f>
        <v>0.0</v>
      </c>
      <c r="N44" s="12">
        <f>IFERROR(N55/N11,0)</f>
        <v>0.0</v>
      </c>
      <c r="O44" s="12">
        <f>IFERROR(O55/O11,0)</f>
        <v>0.0</v>
      </c>
    </row>
    <row r="45">
      <c r="B45" t="str">
        <f>B12</f>
        <v>Insert Adj. 7</v>
      </c>
      <c r="C45" s="12">
        <f>IFERROR(C56/C12,0)</f>
        <v>0.0</v>
      </c>
      <c r="D45" s="12">
        <f>IFERROR(D56/D12,0)</f>
        <v>0.0</v>
      </c>
      <c r="E45" s="12">
        <f>IFERROR(E56/E12,0)</f>
        <v>0.0</v>
      </c>
      <c r="F45" s="12">
        <f>IFERROR(F56/F12,0)</f>
        <v>0.0</v>
      </c>
      <c r="G45" s="12">
        <f>IFERROR(G56/G12,0)</f>
        <v>0.0</v>
      </c>
      <c r="H45" s="12">
        <f>IFERROR(H56/H12,0)</f>
        <v>0.0</v>
      </c>
      <c r="I45" s="12">
        <f>IFERROR(I56/I12,0)</f>
        <v>0.0</v>
      </c>
      <c r="J45" s="12">
        <f>IFERROR(J56/J12,0)</f>
        <v>0.0</v>
      </c>
      <c r="K45" s="12">
        <f>IFERROR(K56/K12,0)</f>
        <v>0.0</v>
      </c>
      <c r="L45" s="12">
        <f>IFERROR(L56/L12,0)</f>
        <v>0.0</v>
      </c>
      <c r="M45" s="12">
        <f>IFERROR(M56/M12,0)</f>
        <v>0.0</v>
      </c>
      <c r="N45" s="12">
        <f>IFERROR(N56/N12,0)</f>
        <v>0.0</v>
      </c>
      <c r="O45" s="12">
        <f>IFERROR(O56/O12,0)</f>
        <v>0.0</v>
      </c>
    </row>
    <row r="46">
      <c r="B46" t="str">
        <f>B13</f>
        <v>Insert Adj. 8</v>
      </c>
      <c r="C46" s="12">
        <f>IFERROR(C57/C13,0)</f>
        <v>0.0</v>
      </c>
      <c r="D46" s="12">
        <f>IFERROR(D57/D13,0)</f>
        <v>0.0</v>
      </c>
      <c r="E46" s="12">
        <f>IFERROR(E57/E13,0)</f>
        <v>0.0</v>
      </c>
      <c r="F46" s="12">
        <f>IFERROR(F57/F13,0)</f>
        <v>0.0</v>
      </c>
      <c r="G46" s="12">
        <f>IFERROR(G57/G13,0)</f>
        <v>0.0</v>
      </c>
      <c r="H46" s="12">
        <f>IFERROR(H57/H13,0)</f>
        <v>0.0</v>
      </c>
      <c r="I46" s="12">
        <f>IFERROR(I57/I13,0)</f>
        <v>0.0</v>
      </c>
      <c r="J46" s="12">
        <f>IFERROR(J57/J13,0)</f>
        <v>0.0</v>
      </c>
      <c r="K46" s="12">
        <f>IFERROR(K57/K13,0)</f>
        <v>0.0</v>
      </c>
      <c r="L46" s="12">
        <f>IFERROR(L57/L13,0)</f>
        <v>0.0</v>
      </c>
      <c r="M46" s="12">
        <f>IFERROR(M57/M13,0)</f>
        <v>0.0</v>
      </c>
      <c r="N46" s="12">
        <f>IFERROR(N57/N13,0)</f>
        <v>0.0</v>
      </c>
      <c r="O46" s="12">
        <f>IFERROR(O57/O13,0)</f>
        <v>0.0</v>
      </c>
    </row>
    <row r="47">
      <c r="B47" s="2" t="inlineStr">
        <is>
          <t>Total Op Costs (%)</t>
        </is>
      </c>
      <c r="C47" s="15">
        <f>IFERROR(C58/C14,0)</f>
        <v>0.0</v>
      </c>
      <c r="D47" s="15">
        <f>IFERROR(D58/D14,0)</f>
        <v>0.0</v>
      </c>
      <c r="E47" s="15">
        <f>IFERROR(E58/E14,0)</f>
        <v>0.0</v>
      </c>
      <c r="F47" s="15">
        <f>IFERROR(F58/F14,0)</f>
        <v>0.0</v>
      </c>
      <c r="G47" s="15">
        <f>IFERROR(G58/G14,0)</f>
        <v>0.0</v>
      </c>
      <c r="H47" s="15">
        <f>IFERROR(H58/H14,0)</f>
        <v>0.0</v>
      </c>
      <c r="I47" s="15">
        <f>IFERROR(I58/I14,0)</f>
        <v>0.0</v>
      </c>
      <c r="J47" s="15">
        <f>IFERROR(J58/J14,0)</f>
        <v>0.0</v>
      </c>
      <c r="K47" s="15">
        <f>IFERROR(K58/K14,0)</f>
        <v>0.36666666666666664</v>
      </c>
      <c r="L47" s="15">
        <f>IFERROR(L58/L14,0)</f>
        <v>0.05</v>
      </c>
      <c r="M47" s="15">
        <f>IFERROR(M58/M14,0)</f>
        <v>0.05</v>
      </c>
      <c r="N47" s="15">
        <f>IFERROR(N58/N14,0)</f>
        <v>0.03333333333333333</v>
      </c>
      <c r="O47" s="15">
        <f>IFERROR(O58/O14,0)</f>
        <v>0.125</v>
      </c>
    </row>
    <row r="49">
      <c r="B49" s="2" t="inlineStr">
        <is>
          <t>Op Costs ($)</t>
        </is>
      </c>
    </row>
    <row r="50">
      <c r="B50" t="inlineStr">
        <is>
          <t>Insert Adj. 1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21" t="n">
        <v>110</v>
      </c>
      <c r="L50" s="21" t="n">
        <v>15</v>
      </c>
      <c r="M50" s="21" t="n">
        <v>15</v>
      </c>
      <c r="N50" s="21" t="n">
        <v>10</v>
      </c>
      <c r="O50" s="6">
        <f>SUM(C50:N50)</f>
        <v>150.0</v>
      </c>
    </row>
    <row r="51">
      <c r="B51" t="inlineStr">
        <is>
          <t>Insert Adj. 2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6">
        <f>SUM(C51:N51)</f>
        <v>0.0</v>
      </c>
    </row>
    <row r="52">
      <c r="B52" t="inlineStr">
        <is>
          <t>Insert Adj. 3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6">
        <f>SUM(C52:N52)</f>
        <v>0.0</v>
      </c>
    </row>
    <row r="53">
      <c r="B53" t="inlineStr">
        <is>
          <t>Insert Adj. 4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6">
        <f>SUM(C53:N53)</f>
        <v>0.0</v>
      </c>
    </row>
    <row r="54">
      <c r="B54" t="inlineStr">
        <is>
          <t>Insert Adj. 5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6">
        <f>SUM(C54:N54)</f>
        <v>0.0</v>
      </c>
    </row>
    <row r="55">
      <c r="B55" t="inlineStr">
        <is>
          <t>Insert Adj. 6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6">
        <f>SUM(C55:N55)</f>
        <v>0.0</v>
      </c>
    </row>
    <row r="56">
      <c r="B56" t="inlineStr">
        <is>
          <t>Insert Adj. 7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6">
        <f>SUM(C56:N56)</f>
        <v>0.0</v>
      </c>
    </row>
    <row r="57">
      <c r="B57" t="inlineStr">
        <is>
          <t>Insert Adj. 8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6">
        <f>SUM(C57:N57)</f>
        <v>0.0</v>
      </c>
    </row>
    <row r="58">
      <c r="B58" s="2" t="inlineStr">
        <is>
          <t>Total Op Costs ($)</t>
        </is>
      </c>
      <c r="C58" s="9">
        <f>SUM(C50:C57)</f>
        <v>0.0</v>
      </c>
      <c r="D58" s="9">
        <f>SUM(D50:D57)</f>
        <v>0.0</v>
      </c>
      <c r="E58" s="9">
        <f>SUM(E50:E57)</f>
        <v>0.0</v>
      </c>
      <c r="F58" s="9">
        <f>SUM(F50:F57)</f>
        <v>0.0</v>
      </c>
      <c r="G58" s="9">
        <f>SUM(G50:G57)</f>
        <v>0.0</v>
      </c>
      <c r="H58" s="9">
        <f>SUM(H50:H57)</f>
        <v>0.0</v>
      </c>
      <c r="I58" s="9">
        <f>SUM(I50:I57)</f>
        <v>0.0</v>
      </c>
      <c r="J58" s="9">
        <f>SUM(J50:J57)</f>
        <v>0.0</v>
      </c>
      <c r="K58" s="9">
        <f>SUM(K50:K57)</f>
        <v>110.0</v>
      </c>
      <c r="L58" s="9">
        <f>SUM(L50:L57)</f>
        <v>15.0</v>
      </c>
      <c r="M58" s="9">
        <f>SUM(M50:M57)</f>
        <v>15.0</v>
      </c>
      <c r="N58" s="9">
        <f>SUM(N50:N57)</f>
        <v>10.0</v>
      </c>
      <c r="O58" s="9">
        <f>SUM(O50:O57)</f>
        <v>150.0</v>
      </c>
    </row>
    <row r="60">
      <c r="B60" s="2" t="inlineStr">
        <is>
          <t>PBITA</t>
        </is>
      </c>
    </row>
    <row r="61">
      <c r="B61" t="str">
        <f>B6</f>
        <v>Insert Adj. 1</v>
      </c>
      <c r="C61" s="6">
        <f>C28-C50</f>
        <v>0.0</v>
      </c>
      <c r="D61" s="6">
        <f>D28-D50</f>
        <v>0.0</v>
      </c>
      <c r="E61" s="6">
        <f>E28-E50</f>
        <v>0.0</v>
      </c>
      <c r="F61" s="6">
        <f>F28-F50</f>
        <v>0.0</v>
      </c>
      <c r="G61" s="6">
        <f>G28-G50</f>
        <v>0.0</v>
      </c>
      <c r="H61" s="6">
        <f>H28-H50</f>
        <v>0.0</v>
      </c>
      <c r="I61" s="6">
        <f>I28-I50</f>
        <v>0.0</v>
      </c>
      <c r="J61" s="6">
        <f>J28-J50</f>
        <v>0.0</v>
      </c>
      <c r="K61" s="6">
        <f>K28-K50</f>
        <v>10.0</v>
      </c>
      <c r="L61" s="6">
        <f>L28-L50</f>
        <v>105.0</v>
      </c>
      <c r="M61" s="6">
        <f>M28-M50</f>
        <v>105.0</v>
      </c>
      <c r="N61" s="6">
        <f>N28-N50</f>
        <v>110.0</v>
      </c>
      <c r="O61" s="6">
        <f>SUM(C61:N61)</f>
        <v>330.0</v>
      </c>
    </row>
    <row r="62">
      <c r="B62" t="str">
        <f>B7</f>
        <v>Insert Adj. 2</v>
      </c>
      <c r="C62" s="6">
        <f>C29-C51</f>
        <v>0.0</v>
      </c>
      <c r="D62" s="6">
        <f>D29-D51</f>
        <v>0.0</v>
      </c>
      <c r="E62" s="6">
        <f>E29-E51</f>
        <v>0.0</v>
      </c>
      <c r="F62" s="6">
        <f>F29-F51</f>
        <v>0.0</v>
      </c>
      <c r="G62" s="6">
        <f>G29-G51</f>
        <v>0.0</v>
      </c>
      <c r="H62" s="6">
        <f>H29-H51</f>
        <v>0.0</v>
      </c>
      <c r="I62" s="6">
        <f>I29-I51</f>
        <v>0.0</v>
      </c>
      <c r="J62" s="6">
        <f>J29-J51</f>
        <v>0.0</v>
      </c>
      <c r="K62" s="6">
        <f>K29-K51</f>
        <v>0.0</v>
      </c>
      <c r="L62" s="6">
        <f>L29-L51</f>
        <v>0.0</v>
      </c>
      <c r="M62" s="6">
        <f>M29-M51</f>
        <v>0.0</v>
      </c>
      <c r="N62" s="6">
        <f>N29-N51</f>
        <v>0.0</v>
      </c>
      <c r="O62" s="6">
        <f>SUM(C62:N62)</f>
        <v>0.0</v>
      </c>
    </row>
    <row r="63">
      <c r="B63" t="str">
        <f>B8</f>
        <v>Insert Adj. 3</v>
      </c>
      <c r="C63" s="6">
        <f>C30-C52</f>
        <v>0.0</v>
      </c>
      <c r="D63" s="6">
        <f>D30-D52</f>
        <v>0.0</v>
      </c>
      <c r="E63" s="6">
        <f>E30-E52</f>
        <v>0.0</v>
      </c>
      <c r="F63" s="6">
        <f>F30-F52</f>
        <v>0.0</v>
      </c>
      <c r="G63" s="6">
        <f>G30-G52</f>
        <v>0.0</v>
      </c>
      <c r="H63" s="6">
        <f>H30-H52</f>
        <v>0.0</v>
      </c>
      <c r="I63" s="6">
        <f>I30-I52</f>
        <v>0.0</v>
      </c>
      <c r="J63" s="6">
        <f>J30-J52</f>
        <v>0.0</v>
      </c>
      <c r="K63" s="6">
        <f>K30-K52</f>
        <v>0.0</v>
      </c>
      <c r="L63" s="6">
        <f>L30-L52</f>
        <v>0.0</v>
      </c>
      <c r="M63" s="6">
        <f>M30-M52</f>
        <v>0.0</v>
      </c>
      <c r="N63" s="6">
        <f>N30-N52</f>
        <v>0.0</v>
      </c>
      <c r="O63" s="6">
        <f>SUM(C63:N63)</f>
        <v>0.0</v>
      </c>
    </row>
    <row r="64">
      <c r="B64" t="str">
        <f>B9</f>
        <v>Insert Adj. 4</v>
      </c>
      <c r="C64" s="6">
        <f>C31-C53</f>
        <v>0.0</v>
      </c>
      <c r="D64" s="6">
        <f>D31-D53</f>
        <v>0.0</v>
      </c>
      <c r="E64" s="6">
        <f>E31-E53</f>
        <v>0.0</v>
      </c>
      <c r="F64" s="6">
        <f>F31-F53</f>
        <v>0.0</v>
      </c>
      <c r="G64" s="6">
        <f>G31-G53</f>
        <v>0.0</v>
      </c>
      <c r="H64" s="6">
        <f>H31-H53</f>
        <v>0.0</v>
      </c>
      <c r="I64" s="6">
        <f>I31-I53</f>
        <v>0.0</v>
      </c>
      <c r="J64" s="6">
        <f>J31-J53</f>
        <v>0.0</v>
      </c>
      <c r="K64" s="6">
        <f>K31-K53</f>
        <v>0.0</v>
      </c>
      <c r="L64" s="6">
        <f>L31-L53</f>
        <v>0.0</v>
      </c>
      <c r="M64" s="6">
        <f>M31-M53</f>
        <v>0.0</v>
      </c>
      <c r="N64" s="6">
        <f>N31-N53</f>
        <v>0.0</v>
      </c>
      <c r="O64" s="6">
        <f>SUM(C64:N64)</f>
        <v>0.0</v>
      </c>
    </row>
    <row r="65">
      <c r="B65" t="str">
        <f>B10</f>
        <v>Insert Adj. 5</v>
      </c>
      <c r="C65" s="6">
        <f>C32-C54</f>
        <v>0.0</v>
      </c>
      <c r="D65" s="6">
        <f>D32-D54</f>
        <v>0.0</v>
      </c>
      <c r="E65" s="6">
        <f>E32-E54</f>
        <v>0.0</v>
      </c>
      <c r="F65" s="6">
        <f>F32-F54</f>
        <v>0.0</v>
      </c>
      <c r="G65" s="6">
        <f>G32-G54</f>
        <v>0.0</v>
      </c>
      <c r="H65" s="6">
        <f>H32-H54</f>
        <v>0.0</v>
      </c>
      <c r="I65" s="6">
        <f>I32-I54</f>
        <v>0.0</v>
      </c>
      <c r="J65" s="6">
        <f>J32-J54</f>
        <v>0.0</v>
      </c>
      <c r="K65" s="6">
        <f>K32-K54</f>
        <v>0.0</v>
      </c>
      <c r="L65" s="6">
        <f>L32-L54</f>
        <v>0.0</v>
      </c>
      <c r="M65" s="6">
        <f>M32-M54</f>
        <v>0.0</v>
      </c>
      <c r="N65" s="6">
        <f>N32-N54</f>
        <v>0.0</v>
      </c>
      <c r="O65" s="6">
        <f>SUM(C65:N65)</f>
        <v>0.0</v>
      </c>
    </row>
    <row r="66">
      <c r="B66" t="str">
        <f>B11</f>
        <v>Insert Adj. 6</v>
      </c>
      <c r="C66" s="6">
        <f>C33-C55</f>
        <v>0.0</v>
      </c>
      <c r="D66" s="6">
        <f>D33-D55</f>
        <v>0.0</v>
      </c>
      <c r="E66" s="6">
        <f>E33-E55</f>
        <v>0.0</v>
      </c>
      <c r="F66" s="6">
        <f>F33-F55</f>
        <v>0.0</v>
      </c>
      <c r="G66" s="6">
        <f>G33-G55</f>
        <v>0.0</v>
      </c>
      <c r="H66" s="6">
        <f>H33-H55</f>
        <v>0.0</v>
      </c>
      <c r="I66" s="6">
        <f>I33-I55</f>
        <v>0.0</v>
      </c>
      <c r="J66" s="6">
        <f>J33-J55</f>
        <v>0.0</v>
      </c>
      <c r="K66" s="6">
        <f>K33-K55</f>
        <v>0.0</v>
      </c>
      <c r="L66" s="6">
        <f>L33-L55</f>
        <v>0.0</v>
      </c>
      <c r="M66" s="6">
        <f>M33-M55</f>
        <v>0.0</v>
      </c>
      <c r="N66" s="6">
        <f>N33-N55</f>
        <v>0.0</v>
      </c>
      <c r="O66" s="6">
        <f>SUM(C66:N66)</f>
        <v>0.0</v>
      </c>
    </row>
    <row r="67">
      <c r="B67" t="str">
        <f>B12</f>
        <v>Insert Adj. 7</v>
      </c>
      <c r="C67" s="6">
        <f>C34-C56</f>
        <v>0.0</v>
      </c>
      <c r="D67" s="6">
        <f>D34-D56</f>
        <v>0.0</v>
      </c>
      <c r="E67" s="6">
        <f>E34-E56</f>
        <v>0.0</v>
      </c>
      <c r="F67" s="6">
        <f>F34-F56</f>
        <v>0.0</v>
      </c>
      <c r="G67" s="6">
        <f>G34-G56</f>
        <v>0.0</v>
      </c>
      <c r="H67" s="6">
        <f>H34-H56</f>
        <v>0.0</v>
      </c>
      <c r="I67" s="6">
        <f>I34-I56</f>
        <v>0.0</v>
      </c>
      <c r="J67" s="6">
        <f>J34-J56</f>
        <v>0.0</v>
      </c>
      <c r="K67" s="6">
        <f>K34-K56</f>
        <v>0.0</v>
      </c>
      <c r="L67" s="6">
        <f>L34-L56</f>
        <v>0.0</v>
      </c>
      <c r="M67" s="6">
        <f>M34-M56</f>
        <v>0.0</v>
      </c>
      <c r="N67" s="6">
        <f>N34-N56</f>
        <v>0.0</v>
      </c>
      <c r="O67" s="6">
        <f>SUM(C67:N67)</f>
        <v>0.0</v>
      </c>
    </row>
    <row r="68">
      <c r="B68" t="str">
        <f>B13</f>
        <v>Insert Adj. 8</v>
      </c>
      <c r="C68" s="6">
        <f>C35-C57</f>
        <v>0.0</v>
      </c>
      <c r="D68" s="6">
        <f>D35-D57</f>
        <v>0.0</v>
      </c>
      <c r="E68" s="6">
        <f>E35-E57</f>
        <v>0.0</v>
      </c>
      <c r="F68" s="6">
        <f>F35-F57</f>
        <v>0.0</v>
      </c>
      <c r="G68" s="6">
        <f>G35-G57</f>
        <v>0.0</v>
      </c>
      <c r="H68" s="6">
        <f>H35-H57</f>
        <v>0.0</v>
      </c>
      <c r="I68" s="6">
        <f>I35-I57</f>
        <v>0.0</v>
      </c>
      <c r="J68" s="6">
        <f>J35-J57</f>
        <v>0.0</v>
      </c>
      <c r="K68" s="6">
        <f>K35-K57</f>
        <v>0.0</v>
      </c>
      <c r="L68" s="6">
        <f>L35-L57</f>
        <v>0.0</v>
      </c>
      <c r="M68" s="6">
        <f>M35-M57</f>
        <v>0.0</v>
      </c>
      <c r="N68" s="6">
        <f>N35-N57</f>
        <v>0.0</v>
      </c>
      <c r="O68" s="6">
        <f>SUM(C68:N68)</f>
        <v>0.0</v>
      </c>
    </row>
    <row r="69">
      <c r="B69" s="2" t="inlineStr">
        <is>
          <t>Total PBITA</t>
        </is>
      </c>
      <c r="C69" s="9">
        <f>SUM(C61:C68)</f>
        <v>0.0</v>
      </c>
      <c r="D69" s="9">
        <f>SUM(D61:D68)</f>
        <v>0.0</v>
      </c>
      <c r="E69" s="9">
        <f>SUM(E61:E68)</f>
        <v>0.0</v>
      </c>
      <c r="F69" s="9">
        <f>SUM(F61:F68)</f>
        <v>0.0</v>
      </c>
      <c r="G69" s="9">
        <f>SUM(G61:G68)</f>
        <v>0.0</v>
      </c>
      <c r="H69" s="9">
        <f>SUM(H61:H68)</f>
        <v>0.0</v>
      </c>
      <c r="I69" s="9">
        <f>SUM(I61:I68)</f>
        <v>0.0</v>
      </c>
      <c r="J69" s="9">
        <f>SUM(J61:J68)</f>
        <v>0.0</v>
      </c>
      <c r="K69" s="9">
        <f>SUM(K61:K68)</f>
        <v>10.0</v>
      </c>
      <c r="L69" s="9">
        <f>SUM(L61:L68)</f>
        <v>105.0</v>
      </c>
      <c r="M69" s="9">
        <f>SUM(M61:M68)</f>
        <v>105.0</v>
      </c>
      <c r="N69" s="9">
        <f>SUM(N61:N68)</f>
        <v>110.0</v>
      </c>
      <c r="O69" s="9">
        <f>SUM(O61:O68)</f>
        <v>330.0</v>
      </c>
    </row>
    <row r="71">
      <c r="B71" s="8" t="inlineStr">
        <is>
          <t>Section 2: General adjustments in Gross Margin or Opex % of Sales that are not tied to individual events (i.e., employee turnover):</t>
        </is>
      </c>
    </row>
    <row r="73">
      <c r="C73" s="4" t="inlineStr">
        <is>
          <t>January</t>
        </is>
      </c>
      <c r="D73" s="4" t="inlineStr">
        <is>
          <t>February</t>
        </is>
      </c>
      <c r="E73" s="4" t="inlineStr">
        <is>
          <t>March</t>
        </is>
      </c>
      <c r="F73" s="4" t="inlineStr">
        <is>
          <t>April</t>
        </is>
      </c>
      <c r="G73" s="4" t="inlineStr">
        <is>
          <t>May</t>
        </is>
      </c>
      <c r="H73" s="4" t="inlineStr">
        <is>
          <t>June</t>
        </is>
      </c>
      <c r="I73" s="4" t="inlineStr">
        <is>
          <t>July</t>
        </is>
      </c>
      <c r="J73" s="4" t="inlineStr">
        <is>
          <t>August</t>
        </is>
      </c>
      <c r="K73" s="4" t="inlineStr">
        <is>
          <t>September</t>
        </is>
      </c>
      <c r="L73" s="4" t="inlineStr">
        <is>
          <t>October</t>
        </is>
      </c>
      <c r="M73" s="4" t="inlineStr">
        <is>
          <t>November</t>
        </is>
      </c>
      <c r="N73" s="4" t="inlineStr">
        <is>
          <t>December</t>
        </is>
      </c>
      <c r="O73" s="4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2">
        <f>'Falcon'!C35</f>
        <v>0.36552405605889804</v>
      </c>
      <c r="D75" s="12">
        <f>'Falcon'!D35</f>
        <v>0.36296358355674707</v>
      </c>
      <c r="E75" s="12">
        <f>'Falcon'!E35</f>
        <v>0.3648241866579034</v>
      </c>
      <c r="F75" s="12">
        <f>'Falcon'!F35</f>
        <v>0.36488691720961713</v>
      </c>
      <c r="G75" s="12">
        <f>'Falcon'!G35</f>
        <v>0.36339146089859</v>
      </c>
      <c r="H75" s="12">
        <f>'Falcon'!H35</f>
        <v>0.36506977739187335</v>
      </c>
      <c r="I75" s="12">
        <f>'Falcon'!I35</f>
        <v>0.36370150604681567</v>
      </c>
      <c r="J75" s="12">
        <f>'Falcon'!J35</f>
        <v>0.3668979238530806</v>
      </c>
      <c r="K75" s="12">
        <f>'Falcon'!K35</f>
        <v>0.3657885438341643</v>
      </c>
      <c r="L75" s="12">
        <f>'Falcon'!L35</f>
        <v>0.36503911909591424</v>
      </c>
      <c r="M75" s="12">
        <f>'Falcon'!M35</f>
        <v>0.3653195274979599</v>
      </c>
      <c r="N75" s="12">
        <f>'Falcon'!N35</f>
        <v>0.3658129853689413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6">
        <f>IF(C76="None",0,((('Falcon'!C28*(C75+C76))-'Falcon'!C29)))</f>
        <v>0.0</v>
      </c>
      <c r="D77" s="6">
        <f>IF(D76="None",0,((('Falcon'!D28*(D75+D76))-'Falcon'!D29)))</f>
        <v>0.0</v>
      </c>
      <c r="E77" s="6">
        <f>IF(E76="None",0,((('Falcon'!E28*(E75+E76))-'Falcon'!E29)))</f>
        <v>0.0</v>
      </c>
      <c r="F77" s="6">
        <f>IF(F76="None",0,((('Falcon'!F28*(F75+F76))-'Falcon'!F29)))</f>
        <v>0.0</v>
      </c>
      <c r="G77" s="6">
        <f>IF(G76="None",0,((('Falcon'!G28*(G75+G76))-'Falcon'!G29)))</f>
        <v>0.0</v>
      </c>
      <c r="H77" s="6">
        <f>IF(H76="None",0,((('Falcon'!H28*(H75+H76))-'Falcon'!H29)))</f>
        <v>0.0</v>
      </c>
      <c r="I77" s="6">
        <f>IF(I76="None",0,((('Falcon'!I28*(I75+I76))-'Falcon'!I29)))</f>
        <v>0.0</v>
      </c>
      <c r="J77" s="6">
        <f>IF(J76="None",0,((('Falcon'!J28*(J75+J76))-'Falcon'!J29)))</f>
        <v>0.0</v>
      </c>
      <c r="K77" s="6">
        <f>IF(K76="None",0,((('Falcon'!K28*(K75+K76))-'Falcon'!K29)))</f>
        <v>0.0</v>
      </c>
      <c r="L77" s="6">
        <f>IF(L76="None",0,((('Falcon'!L28*(L75+L76))-'Falcon'!L29)))</f>
        <v>0.0</v>
      </c>
      <c r="M77" s="6">
        <f>IF(M76="None",0,((('Falcon'!M28*(M75+M76))-'Falcon'!M29)))</f>
        <v>0.0</v>
      </c>
      <c r="N77" s="6">
        <f>IF(N76="None",0,((('Falcon'!N28*(N75+N76))-'Falcon'!N29)))</f>
        <v>0.0</v>
      </c>
      <c r="O77" s="6">
        <f>SUM(C77:N77)</f>
        <v>0.0</v>
      </c>
    </row>
    <row r="78">
      <c r="B78" t="inlineStr">
        <is>
          <t>Gross Margin - Current FCAST</t>
        </is>
      </c>
      <c r="C78" s="12">
        <f>SUM(C75:C76)</f>
        <v>0.36552405605889804</v>
      </c>
      <c r="D78" s="12">
        <f>SUM(D75:D76)</f>
        <v>0.36296358355674707</v>
      </c>
      <c r="E78" s="12">
        <f>SUM(E75:E76)</f>
        <v>0.3648241866579034</v>
      </c>
      <c r="F78" s="12">
        <f>SUM(F75:F76)</f>
        <v>0.36488691720961713</v>
      </c>
      <c r="G78" s="12">
        <f>SUM(G75:G76)</f>
        <v>0.36339146089859</v>
      </c>
      <c r="H78" s="12">
        <f>SUM(H75:H76)</f>
        <v>0.36506977739187335</v>
      </c>
      <c r="I78" s="12">
        <f>SUM(I75:I76)</f>
        <v>0.36370150604681567</v>
      </c>
      <c r="J78" s="12">
        <f>SUM(J75:J76)</f>
        <v>0.3668979238530806</v>
      </c>
      <c r="K78" s="12">
        <f>SUM(K75:K76)</f>
        <v>0.3657885438341643</v>
      </c>
      <c r="L78" s="12">
        <f>SUM(L75:L76)</f>
        <v>0.36503911909591424</v>
      </c>
      <c r="M78" s="12">
        <f>SUM(M75:M76)</f>
        <v>0.3653195274979599</v>
      </c>
      <c r="N78" s="12">
        <f>SUM(N75:N76)</f>
        <v>0.3658129853689413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2">
        <f>'Falcon'!C36</f>
        <v>-0.19487008197291694</v>
      </c>
      <c r="D82" s="12">
        <f>'Falcon'!D36</f>
        <v>-0.19234528596961573</v>
      </c>
      <c r="E82" s="12">
        <f>'Falcon'!E36</f>
        <v>-0.19458429181728557</v>
      </c>
      <c r="F82" s="12">
        <f>'Falcon'!F36</f>
        <v>-0.19506328042839702</v>
      </c>
      <c r="G82" s="12">
        <f>'Falcon'!G36</f>
        <v>-0.19254372708516762</v>
      </c>
      <c r="H82" s="12">
        <f>'Falcon'!H36</f>
        <v>-0.19476008909358603</v>
      </c>
      <c r="I82" s="12">
        <f>'Falcon'!I36</f>
        <v>-0.19209011138209336</v>
      </c>
      <c r="J82" s="12">
        <f>'Falcon'!J36</f>
        <v>-0.1921501750578143</v>
      </c>
      <c r="K82" s="12">
        <f>'Falcon'!K36</f>
        <v>-0.19449570099328647</v>
      </c>
      <c r="L82" s="12">
        <f>'Falcon'!L36</f>
        <v>-0.19056070704143727</v>
      </c>
      <c r="M82" s="12">
        <f>'Falcon'!M36</f>
        <v>-0.19267969659268772</v>
      </c>
      <c r="N82" s="12">
        <f>'Falcon'!N36</f>
        <v>-0.18981425128417365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6">
        <f>-IF(C83="None",0,((('Falcon'!C28*-(C82+C83))-'Falcon'!C30)))</f>
        <v>0.0</v>
      </c>
      <c r="D84" s="6">
        <f>-IF(D83="None",0,((('Falcon'!D28*-(D82+D83))-'Falcon'!D30)))</f>
        <v>0.0</v>
      </c>
      <c r="E84" s="6">
        <f>-IF(E83="None",0,((('Falcon'!E28*-(E82+E83))-'Falcon'!E30)))</f>
        <v>0.0</v>
      </c>
      <c r="F84" s="6">
        <f>-IF(F83="None",0,((('Falcon'!F28*-(F82+F83))-'Falcon'!F30)))</f>
        <v>0.0</v>
      </c>
      <c r="G84" s="6">
        <f>-IF(G83="None",0,((('Falcon'!G28*-(G82+G83))-'Falcon'!G30)))</f>
        <v>0.0</v>
      </c>
      <c r="H84" s="6">
        <f>-IF(H83="None",0,((('Falcon'!H28*-(H82+H83))-'Falcon'!H30)))</f>
        <v>0.0</v>
      </c>
      <c r="I84" s="6">
        <f>-IF(I83="None",0,((('Falcon'!I28*-(I82+I83))-'Falcon'!I30)))</f>
        <v>0.0</v>
      </c>
      <c r="J84" s="6">
        <f>-IF(J83="None",0,((('Falcon'!J28*-(J82+J83))-'Falcon'!J30)))</f>
        <v>0.0</v>
      </c>
      <c r="K84" s="6">
        <f>-IF(K83="None",0,((('Falcon'!K28*-(K82+K83))-'Falcon'!K30)))</f>
        <v>0.0</v>
      </c>
      <c r="L84" s="6">
        <f>-IF(L83="None",0,((('Falcon'!L28*-(L82+L83))-'Falcon'!L30)))</f>
        <v>0.0</v>
      </c>
      <c r="M84" s="6">
        <f>-IF(M83="None",0,((('Falcon'!M28*-(M82+M83))-'Falcon'!M30)))</f>
        <v>0.0</v>
      </c>
      <c r="N84" s="6">
        <f>-IF(N83="None",0,((('Falcon'!N28*-(N82+N83))-'Falcon'!N30)))</f>
        <v>0.0</v>
      </c>
      <c r="O84" s="6">
        <f>SUM(C84:N84)</f>
        <v>0.0</v>
      </c>
    </row>
    <row r="85">
      <c r="B85" t="inlineStr">
        <is>
          <t>Op Costs - Current FCAST</t>
        </is>
      </c>
      <c r="C85" s="12">
        <f>SUM(C82:C83)</f>
        <v>-0.19487008197291694</v>
      </c>
      <c r="D85" s="12">
        <f>SUM(D82:D83)</f>
        <v>-0.19234528596961573</v>
      </c>
      <c r="E85" s="12">
        <f>SUM(E82:E83)</f>
        <v>-0.19458429181728557</v>
      </c>
      <c r="F85" s="12">
        <f>SUM(F82:F83)</f>
        <v>-0.19506328042839702</v>
      </c>
      <c r="G85" s="12">
        <f>SUM(G82:G83)</f>
        <v>-0.19254372708516762</v>
      </c>
      <c r="H85" s="12">
        <f>SUM(H82:H83)</f>
        <v>-0.19476008909358603</v>
      </c>
      <c r="I85" s="12">
        <f>SUM(I82:I83)</f>
        <v>-0.19209011138209336</v>
      </c>
      <c r="J85" s="12">
        <f>SUM(J82:J83)</f>
        <v>-0.1921501750578143</v>
      </c>
      <c r="K85" s="12">
        <f>SUM(K82:K83)</f>
        <v>-0.19449570099328647</v>
      </c>
      <c r="L85" s="12">
        <f>SUM(L82:L83)</f>
        <v>-0.19056070704143727</v>
      </c>
      <c r="M85" s="12">
        <f>SUM(M82:M83)</f>
        <v>-0.19267969659268772</v>
      </c>
      <c r="N85" s="12">
        <f>SUM(N82:N83)</f>
        <v>-0.18981425128417365</v>
      </c>
      <c r="O85" t="inlineStr">
        <is>
          <t>N/A</t>
        </is>
      </c>
    </row>
    <row r="87">
      <c r="B87" s="8" t="inlineStr">
        <is>
          <t>Section 3: Working Capital Adjustments</t>
        </is>
      </c>
    </row>
    <row r="89">
      <c r="C89" s="4" t="inlineStr">
        <is>
          <t>January</t>
        </is>
      </c>
      <c r="D89" s="4" t="inlineStr">
        <is>
          <t>February</t>
        </is>
      </c>
      <c r="E89" s="4" t="inlineStr">
        <is>
          <t>March</t>
        </is>
      </c>
      <c r="F89" s="4" t="inlineStr">
        <is>
          <t>April</t>
        </is>
      </c>
      <c r="G89" s="4" t="inlineStr">
        <is>
          <t>May</t>
        </is>
      </c>
      <c r="H89" s="4" t="inlineStr">
        <is>
          <t>June</t>
        </is>
      </c>
      <c r="I89" s="4" t="inlineStr">
        <is>
          <t>July</t>
        </is>
      </c>
      <c r="J89" s="4" t="inlineStr">
        <is>
          <t>August</t>
        </is>
      </c>
      <c r="K89" s="4" t="inlineStr">
        <is>
          <t>September</t>
        </is>
      </c>
      <c r="L89" s="4" t="inlineStr">
        <is>
          <t>October</t>
        </is>
      </c>
      <c r="M89" s="4" t="inlineStr">
        <is>
          <t>November</t>
        </is>
      </c>
      <c r="N89" s="4" t="inlineStr">
        <is>
          <t>December</t>
        </is>
      </c>
      <c r="O89" s="4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21" t="n">
        <v>0</v>
      </c>
      <c r="L90" s="21" t="n">
        <v>0</v>
      </c>
      <c r="M90" s="21" t="n">
        <v>0</v>
      </c>
      <c r="N90" s="21" t="n">
        <v>0</v>
      </c>
    </row>
    <row r="91">
      <c r="A91" t="n">
        <v>2135</v>
      </c>
      <c r="B91" t="inlineStr">
        <is>
          <t>Trade Receivables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21" t="n">
        <v>0</v>
      </c>
      <c r="L91" s="21" t="n">
        <v>0</v>
      </c>
      <c r="M91" s="21" t="n">
        <v>0</v>
      </c>
      <c r="N91" s="21" t="n">
        <v>0</v>
      </c>
    </row>
    <row r="92">
      <c r="A92" t="n">
        <v>2175</v>
      </c>
      <c r="B92" t="inlineStr">
        <is>
          <t>Other Receivables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21" t="n">
        <v>0</v>
      </c>
      <c r="L92" s="21" t="n">
        <v>0</v>
      </c>
      <c r="M92" s="21" t="n">
        <v>0</v>
      </c>
      <c r="N92" s="21" t="n">
        <v>0</v>
      </c>
    </row>
    <row r="93">
      <c r="A93" t="n">
        <v>2140</v>
      </c>
      <c r="B93" t="inlineStr">
        <is>
          <t>Trade Payables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21" t="n">
        <v>0</v>
      </c>
      <c r="L93" s="21" t="n">
        <v>0</v>
      </c>
      <c r="M93" s="21" t="n">
        <v>0</v>
      </c>
      <c r="N93" s="21" t="n">
        <v>0</v>
      </c>
    </row>
    <row r="94">
      <c r="A94" t="n">
        <v>2180</v>
      </c>
      <c r="B94" t="inlineStr">
        <is>
          <t>Other Payables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21" t="n">
        <v>0</v>
      </c>
      <c r="L94" s="21" t="n">
        <v>0</v>
      </c>
      <c r="M94" s="21" t="n">
        <v>0</v>
      </c>
      <c r="N94" s="21" t="n">
        <v>0</v>
      </c>
    </row>
    <row r="95">
      <c r="A95" t="n">
        <v>2185</v>
      </c>
      <c r="B95" s="2" t="inlineStr">
        <is>
          <t>Total Working Capital</t>
        </is>
      </c>
      <c r="C95" s="6">
        <f>SUM(C90:C94)</f>
        <v>0.0</v>
      </c>
      <c r="D95" s="6">
        <f>SUM(D90:D94)</f>
        <v>0.0</v>
      </c>
      <c r="E95" s="6">
        <f>SUM(E90:E94)</f>
        <v>0.0</v>
      </c>
      <c r="F95" s="6">
        <f>SUM(F90:F94)</f>
        <v>0.0</v>
      </c>
      <c r="G95" s="6">
        <f>SUM(G90:G94)</f>
        <v>0.0</v>
      </c>
      <c r="H95" s="6">
        <f>SUM(H90:H94)</f>
        <v>0.0</v>
      </c>
      <c r="I95" s="6">
        <f>SUM(I90:I94)</f>
        <v>0.0</v>
      </c>
      <c r="J95" s="6">
        <f>SUM(J90:J94)</f>
        <v>0.0</v>
      </c>
      <c r="K95" s="6">
        <f>SUM(K90:K94)</f>
        <v>0.0</v>
      </c>
      <c r="L95" s="6">
        <f>SUM(L90:L94)</f>
        <v>0.0</v>
      </c>
      <c r="M95" s="6">
        <f>SUM(M90:M94)</f>
        <v>0.0</v>
      </c>
      <c r="N95" s="6">
        <f>SUM(N90:N94)</f>
        <v>0.0</v>
      </c>
    </row>
    <row r="97">
      <c r="B97" s="22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FALCON_DISP</t>
        </is>
      </c>
    </row>
    <row r="23">
      <c r="B23" s="3" t="inlineStr">
        <is>
          <t>Falcon Hand Protection</t>
        </is>
      </c>
      <c r="BU23" s="8" t="inlineStr">
        <is>
          <t>FCAST10 - Variance ($) - Favorable / (Unfavorable)</t>
        </is>
      </c>
    </row>
    <row r="24">
      <c r="C24" s="8" t="inlineStr">
        <is>
          <t>FCAST09 as Reported</t>
        </is>
      </c>
      <c r="Q24" s="8" t="inlineStr">
        <is>
          <t>FCAST09 at New Fx Rates</t>
        </is>
      </c>
      <c r="AE24" s="8" t="inlineStr">
        <is>
          <t>Fx Changes</t>
        </is>
      </c>
      <c r="AS24" s="8" t="inlineStr">
        <is>
          <t>Operational Adjustments</t>
        </is>
      </c>
      <c r="BG24" s="8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6" t="n">
        <v>7185.3</v>
      </c>
      <c r="D28" s="6" t="n">
        <v>7161.6</v>
      </c>
      <c r="E28" s="6" t="n">
        <v>7607.5</v>
      </c>
      <c r="F28" s="6" t="n">
        <v>8272.700000000001</v>
      </c>
      <c r="G28" s="6" t="n">
        <v>7609.7</v>
      </c>
      <c r="H28" s="6" t="n">
        <v>7946.7</v>
      </c>
      <c r="I28" s="6" t="n">
        <v>7954.6</v>
      </c>
      <c r="J28" s="6" t="n">
        <v>7740.3</v>
      </c>
      <c r="K28" s="6" t="n">
        <v>7641.3</v>
      </c>
      <c r="L28" s="6" t="n">
        <v>8282.4</v>
      </c>
      <c r="M28" s="6" t="n">
        <v>7475.1</v>
      </c>
      <c r="N28" s="6" t="n">
        <v>8215.4</v>
      </c>
      <c r="O28" s="19">
        <f>SUM(C28:N28)</f>
        <v>93092.59999999999</v>
      </c>
      <c r="Q28" s="6" t="n">
        <v>7185.3</v>
      </c>
      <c r="R28" s="6" t="n">
        <v>7161.6</v>
      </c>
      <c r="S28" s="6" t="n">
        <v>7607.5</v>
      </c>
      <c r="T28" s="6" t="n">
        <v>8272.700000000001</v>
      </c>
      <c r="U28" s="6" t="n">
        <v>7609.7</v>
      </c>
      <c r="V28" s="6" t="n">
        <v>7946.7</v>
      </c>
      <c r="W28" s="6" t="n">
        <v>7954.6</v>
      </c>
      <c r="X28" s="6" t="n">
        <v>7740.3</v>
      </c>
      <c r="Y28" s="6" t="n">
        <v>7641.3</v>
      </c>
      <c r="Z28" s="6" t="n">
        <v>8282.4</v>
      </c>
      <c r="AA28" s="6" t="n">
        <v>7475.1</v>
      </c>
      <c r="AB28" s="6" t="n">
        <v>8215.4</v>
      </c>
      <c r="AC28" s="19">
        <f>SUM(Q28:AB28)</f>
        <v>93092.59999999999</v>
      </c>
      <c r="AE28" s="6">
        <f>Q28-C28</f>
        <v>0.0</v>
      </c>
      <c r="AF28" s="6">
        <f>R28-D28</f>
        <v>0.0</v>
      </c>
      <c r="AG28" s="6">
        <f>S28-E28</f>
        <v>0.0</v>
      </c>
      <c r="AH28" s="6">
        <f>T28-F28</f>
        <v>0.0</v>
      </c>
      <c r="AI28" s="6">
        <f>U28-G28</f>
        <v>0.0</v>
      </c>
      <c r="AJ28" s="6">
        <f>V28-H28</f>
        <v>0.0</v>
      </c>
      <c r="AK28" s="6">
        <f>W28-I28</f>
        <v>0.0</v>
      </c>
      <c r="AL28" s="6">
        <f>X28-J28</f>
        <v>0.0</v>
      </c>
      <c r="AM28" s="6">
        <f>Y28-K28</f>
        <v>0.0</v>
      </c>
      <c r="AN28" s="6">
        <f>Z28-L28</f>
        <v>0.0</v>
      </c>
      <c r="AO28" s="6">
        <f>AA28-M28</f>
        <v>0.0</v>
      </c>
      <c r="AP28" s="6">
        <f>AB28-N28</f>
        <v>0.0</v>
      </c>
      <c r="AQ28" s="19">
        <f>SUM(AE28:AP28)</f>
        <v>0.0</v>
      </c>
      <c r="AS28" s="6">
        <f>'Falcon-Adj'!C14</f>
        <v>0.0</v>
      </c>
      <c r="AT28" s="6">
        <f>'Falcon-Adj'!D14</f>
        <v>0.0</v>
      </c>
      <c r="AU28" s="6">
        <f>'Falcon-Adj'!E14</f>
        <v>0.0</v>
      </c>
      <c r="AV28" s="6">
        <f>'Falcon-Adj'!F14</f>
        <v>0.0</v>
      </c>
      <c r="AW28" s="6">
        <f>'Falcon-Adj'!G14</f>
        <v>0.0</v>
      </c>
      <c r="AX28" s="6">
        <f>'Falcon-Adj'!H14</f>
        <v>0.0</v>
      </c>
      <c r="AY28" s="6">
        <f>'Falcon-Adj'!I14</f>
        <v>0.0</v>
      </c>
      <c r="AZ28" s="6">
        <f>'Falcon-Adj'!J14</f>
        <v>0.0</v>
      </c>
      <c r="BA28" s="6">
        <f>'Falcon-Adj'!K14</f>
        <v>300.0</v>
      </c>
      <c r="BB28" s="6">
        <f>'Falcon-Adj'!L14</f>
        <v>300.0</v>
      </c>
      <c r="BC28" s="6">
        <f>'Falcon-Adj'!M14</f>
        <v>300.0</v>
      </c>
      <c r="BD28" s="6">
        <f>'Falcon-Adj'!N14</f>
        <v>300.0</v>
      </c>
      <c r="BE28" s="19">
        <f>SUM(AS28:BD28)</f>
        <v>1200.0</v>
      </c>
      <c r="BG28" s="6">
        <f>C28+AE28+AS28</f>
        <v>7185.3</v>
      </c>
      <c r="BH28" s="6">
        <f>D28+AF28+AT28</f>
        <v>7161.6</v>
      </c>
      <c r="BI28" s="6">
        <f>E28+AG28+AU28</f>
        <v>7607.5</v>
      </c>
      <c r="BJ28" s="6">
        <f>F28+AH28+AV28</f>
        <v>8272.7</v>
      </c>
      <c r="BK28" s="6">
        <f>G28+AI28+AW28</f>
        <v>7609.7</v>
      </c>
      <c r="BL28" s="6">
        <f>H28+AJ28+AX28</f>
        <v>7946.7</v>
      </c>
      <c r="BM28" s="6">
        <f>I28+AK28+AY28</f>
        <v>7954.6</v>
      </c>
      <c r="BN28" s="6">
        <f>J28+AL28+AZ28</f>
        <v>7740.3</v>
      </c>
      <c r="BO28" s="6">
        <f>K28+AM28+BA28</f>
        <v>7941.3</v>
      </c>
      <c r="BP28" s="6">
        <f>L28+AN28+BB28</f>
        <v>8582.4</v>
      </c>
      <c r="BQ28" s="6">
        <f>M28+AO28+BC28</f>
        <v>7775.1</v>
      </c>
      <c r="BR28" s="6">
        <f>N28+AP28+BD28</f>
        <v>8515.4</v>
      </c>
      <c r="BS28" s="19">
        <f>SUM(BG28:BR28)</f>
        <v>94292.59999999999</v>
      </c>
      <c r="BU28" s="6">
        <f>SUM(BG28:BO28)-SUM(C28:K28)</f>
        <v>300.0</v>
      </c>
      <c r="BV28" s="6">
        <f>SUM(BG28:BO28)-SUM(C51:K51)</f>
        <v>5882.0</v>
      </c>
      <c r="BW28" s="6">
        <f>SUM(BG28:BO28)-SUM(C64:K64)</f>
        <v>9896.399999999987</v>
      </c>
      <c r="BY28" s="6">
        <f>SUM(BP28:BR28)-SUM(L28:N28)</f>
        <v>900.0</v>
      </c>
      <c r="BZ28" s="6">
        <f>SUM(BP28:BR28)-SUM(L51:N51)</f>
        <v>3410.600000000002</v>
      </c>
      <c r="CA28" s="6">
        <f>SUM(BP28:BR28)-SUM(L64:N64)</f>
        <v>4812.9000000000015</v>
      </c>
      <c r="CC28" s="6">
        <f>BS28-O28</f>
        <v>1200.0</v>
      </c>
      <c r="CD28" s="6">
        <f>BS28-O51</f>
        <v>9292.599999999991</v>
      </c>
      <c r="CE28" s="6">
        <f>BS28-O64</f>
        <v>14709.299999999988</v>
      </c>
    </row>
    <row r="29">
      <c r="B29" s="5" t="inlineStr">
        <is>
          <t>Gross Margin</t>
        </is>
      </c>
      <c r="C29" s="6" t="n">
        <v>2626.4</v>
      </c>
      <c r="D29" s="6" t="n">
        <v>2599.4</v>
      </c>
      <c r="E29" s="6" t="n">
        <v>2775.4</v>
      </c>
      <c r="F29" s="6" t="n">
        <v>3018.6</v>
      </c>
      <c r="G29" s="6" t="n">
        <v>2765.3</v>
      </c>
      <c r="H29" s="6" t="n">
        <v>2901.1</v>
      </c>
      <c r="I29" s="6" t="n">
        <v>2893.1</v>
      </c>
      <c r="J29" s="6" t="n">
        <v>2839.9</v>
      </c>
      <c r="K29" s="6" t="n">
        <v>2795.1</v>
      </c>
      <c r="L29" s="6" t="n">
        <v>3023.4</v>
      </c>
      <c r="M29" s="6" t="n">
        <v>2730.8</v>
      </c>
      <c r="N29" s="6" t="n">
        <v>3005.3</v>
      </c>
      <c r="O29" s="19">
        <f>SUM(C29:N29)</f>
        <v>33973.8</v>
      </c>
      <c r="Q29" s="6" t="n">
        <v>2626.4</v>
      </c>
      <c r="R29" s="6" t="n">
        <v>2599.4</v>
      </c>
      <c r="S29" s="6" t="n">
        <v>2775.4</v>
      </c>
      <c r="T29" s="6" t="n">
        <v>3018.6</v>
      </c>
      <c r="U29" s="6" t="n">
        <v>2765.3</v>
      </c>
      <c r="V29" s="6" t="n">
        <v>2901.1</v>
      </c>
      <c r="W29" s="6" t="n">
        <v>2893.1</v>
      </c>
      <c r="X29" s="6" t="n">
        <v>2839.9</v>
      </c>
      <c r="Y29" s="6" t="n">
        <v>2795.1</v>
      </c>
      <c r="Z29" s="6" t="n">
        <v>3023.4</v>
      </c>
      <c r="AA29" s="6" t="n">
        <v>2730.8</v>
      </c>
      <c r="AB29" s="6" t="n">
        <v>3005.3</v>
      </c>
      <c r="AC29" s="19">
        <f>SUM(Q29:AB29)</f>
        <v>33973.8</v>
      </c>
      <c r="AE29" s="6">
        <f>Q29-C29</f>
        <v>0.0</v>
      </c>
      <c r="AF29" s="6">
        <f>R29-D29</f>
        <v>0.0</v>
      </c>
      <c r="AG29" s="6">
        <f>S29-E29</f>
        <v>0.0</v>
      </c>
      <c r="AH29" s="6">
        <f>T29-F29</f>
        <v>0.0</v>
      </c>
      <c r="AI29" s="6">
        <f>U29-G29</f>
        <v>0.0</v>
      </c>
      <c r="AJ29" s="6">
        <f>V29-H29</f>
        <v>0.0</v>
      </c>
      <c r="AK29" s="6">
        <f>W29-I29</f>
        <v>0.0</v>
      </c>
      <c r="AL29" s="6">
        <f>X29-J29</f>
        <v>0.0</v>
      </c>
      <c r="AM29" s="6">
        <f>Y29-K29</f>
        <v>0.0</v>
      </c>
      <c r="AN29" s="6">
        <f>Z29-L29</f>
        <v>0.0</v>
      </c>
      <c r="AO29" s="6">
        <f>AA29-M29</f>
        <v>0.0</v>
      </c>
      <c r="AP29" s="6">
        <f>AB29-N29</f>
        <v>0.0</v>
      </c>
      <c r="AQ29" s="19">
        <f>SUM(AE29:AP29)</f>
        <v>0.0</v>
      </c>
      <c r="AS29" s="6">
        <f>'Falcon-Adj'!C36+'Falcon-Adj'!C77</f>
        <v>0.0</v>
      </c>
      <c r="AT29" s="6">
        <f>'Falcon-Adj'!D36+'Falcon-Adj'!D77</f>
        <v>0.0</v>
      </c>
      <c r="AU29" s="6">
        <f>'Falcon-Adj'!E36+'Falcon-Adj'!E77</f>
        <v>0.0</v>
      </c>
      <c r="AV29" s="6">
        <f>'Falcon-Adj'!F36+'Falcon-Adj'!F77</f>
        <v>0.0</v>
      </c>
      <c r="AW29" s="6">
        <f>'Falcon-Adj'!G36+'Falcon-Adj'!G77</f>
        <v>0.0</v>
      </c>
      <c r="AX29" s="6">
        <f>'Falcon-Adj'!H36+'Falcon-Adj'!H77</f>
        <v>0.0</v>
      </c>
      <c r="AY29" s="6">
        <f>'Falcon-Adj'!I36+'Falcon-Adj'!I77</f>
        <v>0.0</v>
      </c>
      <c r="AZ29" s="6">
        <f>'Falcon-Adj'!J36+'Falcon-Adj'!J77</f>
        <v>0.0</v>
      </c>
      <c r="BA29" s="6">
        <f>'Falcon-Adj'!K36+'Falcon-Adj'!K77</f>
        <v>120.0</v>
      </c>
      <c r="BB29" s="6">
        <f>'Falcon-Adj'!L36+'Falcon-Adj'!L77</f>
        <v>120.0</v>
      </c>
      <c r="BC29" s="6">
        <f>'Falcon-Adj'!M36+'Falcon-Adj'!M77</f>
        <v>120.0</v>
      </c>
      <c r="BD29" s="6">
        <f>'Falcon-Adj'!N36+'Falcon-Adj'!N77</f>
        <v>120.0</v>
      </c>
      <c r="BE29" s="19">
        <f>SUM(AS29:BD29)</f>
        <v>480.0</v>
      </c>
      <c r="BG29" s="6">
        <f>C29+AE29+AS29</f>
        <v>2626.4</v>
      </c>
      <c r="BH29" s="6">
        <f>D29+AF29+AT29</f>
        <v>2599.4</v>
      </c>
      <c r="BI29" s="6">
        <f>E29+AG29+AU29</f>
        <v>2775.4</v>
      </c>
      <c r="BJ29" s="6">
        <f>F29+AH29+AV29</f>
        <v>3018.6</v>
      </c>
      <c r="BK29" s="6">
        <f>G29+AI29+AW29</f>
        <v>2765.3</v>
      </c>
      <c r="BL29" s="6">
        <f>H29+AJ29+AX29</f>
        <v>2901.1</v>
      </c>
      <c r="BM29" s="6">
        <f>I29+AK29+AY29</f>
        <v>2893.1</v>
      </c>
      <c r="BN29" s="6">
        <f>J29+AL29+AZ29</f>
        <v>2839.9</v>
      </c>
      <c r="BO29" s="6">
        <f>K29+AM29+BA29</f>
        <v>2915.1</v>
      </c>
      <c r="BP29" s="6">
        <f>L29+AN29+BB29</f>
        <v>3143.4</v>
      </c>
      <c r="BQ29" s="6">
        <f>M29+AO29+BC29</f>
        <v>2850.8</v>
      </c>
      <c r="BR29" s="6">
        <f>N29+AP29+BD29</f>
        <v>3125.3</v>
      </c>
      <c r="BS29" s="19">
        <f>SUM(BG29:BR29)</f>
        <v>34453.8</v>
      </c>
      <c r="BU29" s="6">
        <f>SUM(BG29:BO29)-SUM(C29:K29)</f>
        <v>120.0</v>
      </c>
      <c r="BV29" s="6">
        <f>SUM(BG29:BO29)-SUM(C52:K52)</f>
        <v>3096.100000000002</v>
      </c>
      <c r="BW29" s="6">
        <f>SUM(BG29:BO29)-SUM(C65:K65)</f>
        <v>4787.299999999999</v>
      </c>
      <c r="BY29" s="6">
        <f>SUM(BP29:BR29)-SUM(L29:N29)</f>
        <v>360.0</v>
      </c>
      <c r="BZ29" s="6">
        <f>SUM(BP29:BR29)-SUM(L52:N52)</f>
        <v>1607.6000000000004</v>
      </c>
      <c r="CA29" s="6">
        <f>SUM(BP29:BR29)-SUM(L65:N65)</f>
        <v>2147.9000000000005</v>
      </c>
      <c r="CC29" s="6">
        <f>BS29-O29</f>
        <v>480.0</v>
      </c>
      <c r="CD29" s="6">
        <f>BS29-O52</f>
        <v>4703.700000000004</v>
      </c>
      <c r="CE29" s="6">
        <f>BS29-O65</f>
        <v>6935.200000000001</v>
      </c>
    </row>
    <row r="30">
      <c r="B30" s="5" t="inlineStr">
        <is>
          <t>Op Costs</t>
        </is>
      </c>
      <c r="C30" s="6" t="n">
        <v>-1400.2</v>
      </c>
      <c r="D30" s="6" t="n">
        <v>-1377.5</v>
      </c>
      <c r="E30" s="6" t="n">
        <v>-1480.3</v>
      </c>
      <c r="F30" s="6" t="n">
        <v>-1613.7</v>
      </c>
      <c r="G30" s="6" t="n">
        <v>-1465.2</v>
      </c>
      <c r="H30" s="6" t="n">
        <v>-1547.7</v>
      </c>
      <c r="I30" s="6" t="n">
        <v>-1528</v>
      </c>
      <c r="J30" s="6" t="n">
        <v>-1487.3</v>
      </c>
      <c r="K30" s="6" t="n">
        <v>-1486.2</v>
      </c>
      <c r="L30" s="6" t="n">
        <v>-1578.3</v>
      </c>
      <c r="M30" s="6" t="n">
        <v>-1440.3</v>
      </c>
      <c r="N30" s="6" t="n">
        <v>-1559.4</v>
      </c>
      <c r="O30" s="19">
        <f>SUM(C30:N30)</f>
        <v>-17964.100000000002</v>
      </c>
      <c r="Q30" s="6" t="n">
        <v>-1400.2</v>
      </c>
      <c r="R30" s="6" t="n">
        <v>-1377.5</v>
      </c>
      <c r="S30" s="6" t="n">
        <v>-1480.3</v>
      </c>
      <c r="T30" s="6" t="n">
        <v>-1613.7</v>
      </c>
      <c r="U30" s="6" t="n">
        <v>-1465.2</v>
      </c>
      <c r="V30" s="6" t="n">
        <v>-1547.7</v>
      </c>
      <c r="W30" s="6" t="n">
        <v>-1528</v>
      </c>
      <c r="X30" s="6" t="n">
        <v>-1487.3</v>
      </c>
      <c r="Y30" s="6" t="n">
        <v>-1486.2</v>
      </c>
      <c r="Z30" s="6" t="n">
        <v>-1578.3</v>
      </c>
      <c r="AA30" s="6" t="n">
        <v>-1440.3</v>
      </c>
      <c r="AB30" s="6" t="n">
        <v>-1559.4</v>
      </c>
      <c r="AC30" s="19">
        <f>SUM(Q30:AB30)</f>
        <v>-17964.100000000002</v>
      </c>
      <c r="AE30" s="6">
        <f>Q30-C30</f>
        <v>0.0</v>
      </c>
      <c r="AF30" s="6">
        <f>R30-D30</f>
        <v>0.0</v>
      </c>
      <c r="AG30" s="6">
        <f>S30-E30</f>
        <v>0.0</v>
      </c>
      <c r="AH30" s="6">
        <f>T30-F30</f>
        <v>0.0</v>
      </c>
      <c r="AI30" s="6">
        <f>U30-G30</f>
        <v>0.0</v>
      </c>
      <c r="AJ30" s="6">
        <f>V30-H30</f>
        <v>0.0</v>
      </c>
      <c r="AK30" s="6">
        <f>W30-I30</f>
        <v>0.0</v>
      </c>
      <c r="AL30" s="6">
        <f>X30-J30</f>
        <v>0.0</v>
      </c>
      <c r="AM30" s="6">
        <f>Y30-K30</f>
        <v>0.0</v>
      </c>
      <c r="AN30" s="6">
        <f>Z30-L30</f>
        <v>0.0</v>
      </c>
      <c r="AO30" s="6">
        <f>AA30-M30</f>
        <v>0.0</v>
      </c>
      <c r="AP30" s="6">
        <f>AB30-N30</f>
        <v>0.0</v>
      </c>
      <c r="AQ30" s="19">
        <f>SUM(AE30:AP30)</f>
        <v>0.0</v>
      </c>
      <c r="AS30" s="6">
        <f>-'Falcon-Adj'!C58-'Falcon-Adj'!C84</f>
        <v>0.0</v>
      </c>
      <c r="AT30" s="6">
        <f>-'Falcon-Adj'!D58-'Falcon-Adj'!D84</f>
        <v>0.0</v>
      </c>
      <c r="AU30" s="6">
        <f>-'Falcon-Adj'!E58-'Falcon-Adj'!E84</f>
        <v>0.0</v>
      </c>
      <c r="AV30" s="6">
        <f>-'Falcon-Adj'!F58-'Falcon-Adj'!F84</f>
        <v>0.0</v>
      </c>
      <c r="AW30" s="6">
        <f>-'Falcon-Adj'!G58-'Falcon-Adj'!G84</f>
        <v>0.0</v>
      </c>
      <c r="AX30" s="6">
        <f>-'Falcon-Adj'!H58-'Falcon-Adj'!H84</f>
        <v>0.0</v>
      </c>
      <c r="AY30" s="6">
        <f>-'Falcon-Adj'!I58-'Falcon-Adj'!I84</f>
        <v>0.0</v>
      </c>
      <c r="AZ30" s="6">
        <f>-'Falcon-Adj'!J58-'Falcon-Adj'!J84</f>
        <v>0.0</v>
      </c>
      <c r="BA30" s="6">
        <f>-'Falcon-Adj'!K58-'Falcon-Adj'!K84</f>
        <v>-110.0</v>
      </c>
      <c r="BB30" s="6">
        <f>-'Falcon-Adj'!L58-'Falcon-Adj'!L84</f>
        <v>-15.0</v>
      </c>
      <c r="BC30" s="6">
        <f>-'Falcon-Adj'!M58-'Falcon-Adj'!M84</f>
        <v>-15.0</v>
      </c>
      <c r="BD30" s="6">
        <f>-'Falcon-Adj'!N58-'Falcon-Adj'!N84</f>
        <v>-10.0</v>
      </c>
      <c r="BE30" s="19">
        <f>SUM(AS30:BD30)</f>
        <v>-150.0</v>
      </c>
      <c r="BG30" s="6">
        <f>C30+AE30+AS30</f>
        <v>-1400.2</v>
      </c>
      <c r="BH30" s="6">
        <f>D30+AF30+AT30</f>
        <v>-1377.5</v>
      </c>
      <c r="BI30" s="6">
        <f>E30+AG30+AU30</f>
        <v>-1480.3</v>
      </c>
      <c r="BJ30" s="6">
        <f>F30+AH30+AV30</f>
        <v>-1613.7</v>
      </c>
      <c r="BK30" s="6">
        <f>G30+AI30+AW30</f>
        <v>-1465.2</v>
      </c>
      <c r="BL30" s="6">
        <f>H30+AJ30+AX30</f>
        <v>-1547.7</v>
      </c>
      <c r="BM30" s="6">
        <f>I30+AK30+AY30</f>
        <v>-1528.0</v>
      </c>
      <c r="BN30" s="6">
        <f>J30+AL30+AZ30</f>
        <v>-1487.3</v>
      </c>
      <c r="BO30" s="6">
        <f>K30+AM30+BA30</f>
        <v>-1596.2</v>
      </c>
      <c r="BP30" s="6">
        <f>L30+AN30+BB30</f>
        <v>-1593.3</v>
      </c>
      <c r="BQ30" s="6">
        <f>M30+AO30+BC30</f>
        <v>-1455.3</v>
      </c>
      <c r="BR30" s="6">
        <f>N30+AP30+BD30</f>
        <v>-1569.4</v>
      </c>
      <c r="BS30" s="19">
        <f>SUM(BG30:BR30)</f>
        <v>-18114.100000000002</v>
      </c>
      <c r="BU30" s="6">
        <f>SUM(BG30:BO30)-SUM(C30:K30)</f>
        <v>-110.0</v>
      </c>
      <c r="BV30" s="6">
        <f>SUM(BG30:BO30)-SUM(C53:K53)</f>
        <v>-662.8999999999996</v>
      </c>
      <c r="BW30" s="6">
        <f>SUM(BG30:BO30)-SUM(C66:K66)</f>
        <v>-1166.4000000000015</v>
      </c>
      <c r="BY30" s="6">
        <f>SUM(BP30:BR30)-SUM(L30:N30)</f>
        <v>-40.0</v>
      </c>
      <c r="BZ30" s="6">
        <f>SUM(BP30:BR30)-SUM(L53:N53)</f>
        <v>-283.2000000000007</v>
      </c>
      <c r="CA30" s="6">
        <f>SUM(BP30:BR30)-SUM(L66:N66)</f>
        <v>-466.90000000000055</v>
      </c>
      <c r="CC30" s="6">
        <f>BS30-O30</f>
        <v>-150.0</v>
      </c>
      <c r="CD30" s="6">
        <f>BS30-O53</f>
        <v>-946.1000000000022</v>
      </c>
      <c r="CE30" s="6">
        <f>BS30-O66</f>
        <v>-1633.300000000003</v>
      </c>
    </row>
    <row r="31">
      <c r="B31" s="2" t="inlineStr">
        <is>
          <t>PBITA</t>
        </is>
      </c>
      <c r="C31" s="6">
        <f>C29+C30</f>
        <v>1226.2</v>
      </c>
      <c r="D31" s="6">
        <f>D29+D30</f>
        <v>1221.9</v>
      </c>
      <c r="E31" s="6">
        <f>E29+E30</f>
        <v>1295.1000000000001</v>
      </c>
      <c r="F31" s="6">
        <f>F29+F30</f>
        <v>1404.8999999999999</v>
      </c>
      <c r="G31" s="6">
        <f>G29+G30</f>
        <v>1300.1000000000001</v>
      </c>
      <c r="H31" s="6">
        <f>H29+H30</f>
        <v>1353.3999999999999</v>
      </c>
      <c r="I31" s="6">
        <f>I29+I30</f>
        <v>1365.1</v>
      </c>
      <c r="J31" s="6">
        <f>J29+J30</f>
        <v>1352.6000000000001</v>
      </c>
      <c r="K31" s="6">
        <f>K29+K30</f>
        <v>1308.8999999999999</v>
      </c>
      <c r="L31" s="6">
        <f>L29+L30</f>
        <v>1445.1000000000001</v>
      </c>
      <c r="M31" s="6">
        <f>M29+M30</f>
        <v>1290.5000000000002</v>
      </c>
      <c r="N31" s="6">
        <f>N29+N30</f>
        <v>1445.9</v>
      </c>
      <c r="O31" s="19">
        <f>SUM(C31:N31)</f>
        <v>16009.7</v>
      </c>
      <c r="Q31" s="6">
        <f>Q29+Q30</f>
        <v>1226.2</v>
      </c>
      <c r="R31" s="6">
        <f>R29+R30</f>
        <v>1221.9</v>
      </c>
      <c r="S31" s="6">
        <f>S29+S30</f>
        <v>1295.1000000000001</v>
      </c>
      <c r="T31" s="6">
        <f>T29+T30</f>
        <v>1404.8999999999999</v>
      </c>
      <c r="U31" s="6">
        <f>U29+U30</f>
        <v>1300.1000000000001</v>
      </c>
      <c r="V31" s="6">
        <f>V29+V30</f>
        <v>1353.3999999999999</v>
      </c>
      <c r="W31" s="6">
        <f>W29+W30</f>
        <v>1365.1</v>
      </c>
      <c r="X31" s="6">
        <f>X29+X30</f>
        <v>1352.6000000000001</v>
      </c>
      <c r="Y31" s="6">
        <f>Y29+Y30</f>
        <v>1308.8999999999999</v>
      </c>
      <c r="Z31" s="6">
        <f>Z29+Z30</f>
        <v>1445.1000000000001</v>
      </c>
      <c r="AA31" s="6">
        <f>AA29+AA30</f>
        <v>1290.5000000000002</v>
      </c>
      <c r="AB31" s="6">
        <f>AB29+AB30</f>
        <v>1445.9</v>
      </c>
      <c r="AC31" s="19">
        <f>SUM(Q31:AB31)</f>
        <v>16009.7</v>
      </c>
      <c r="AE31" s="6">
        <f>AE29+AE30</f>
        <v>0.0</v>
      </c>
      <c r="AF31" s="6">
        <f>AF29+AF30</f>
        <v>0.0</v>
      </c>
      <c r="AG31" s="6">
        <f>AG29+AG30</f>
        <v>0.0</v>
      </c>
      <c r="AH31" s="6">
        <f>AH29+AH30</f>
        <v>0.0</v>
      </c>
      <c r="AI31" s="6">
        <f>AI29+AI30</f>
        <v>0.0</v>
      </c>
      <c r="AJ31" s="6">
        <f>AJ29+AJ30</f>
        <v>0.0</v>
      </c>
      <c r="AK31" s="6">
        <f>AK29+AK30</f>
        <v>0.0</v>
      </c>
      <c r="AL31" s="6">
        <f>AL29+AL30</f>
        <v>0.0</v>
      </c>
      <c r="AM31" s="6">
        <f>AM29+AM30</f>
        <v>0.0</v>
      </c>
      <c r="AN31" s="6">
        <f>AN29+AN30</f>
        <v>0.0</v>
      </c>
      <c r="AO31" s="6">
        <f>AO29+AO30</f>
        <v>0.0</v>
      </c>
      <c r="AP31" s="6">
        <f>AP29+AP30</f>
        <v>0.0</v>
      </c>
      <c r="AQ31" s="19">
        <f>SUM(AE31:AP31)</f>
        <v>0.0</v>
      </c>
      <c r="AS31" s="6">
        <f>AS29+AS30</f>
        <v>0.0</v>
      </c>
      <c r="AT31" s="6">
        <f>AT29+AT30</f>
        <v>0.0</v>
      </c>
      <c r="AU31" s="6">
        <f>AU29+AU30</f>
        <v>0.0</v>
      </c>
      <c r="AV31" s="6">
        <f>AV29+AV30</f>
        <v>0.0</v>
      </c>
      <c r="AW31" s="6">
        <f>AW29+AW30</f>
        <v>0.0</v>
      </c>
      <c r="AX31" s="6">
        <f>AX29+AX30</f>
        <v>0.0</v>
      </c>
      <c r="AY31" s="6">
        <f>AY29+AY30</f>
        <v>0.0</v>
      </c>
      <c r="AZ31" s="6">
        <f>AZ29+AZ30</f>
        <v>0.0</v>
      </c>
      <c r="BA31" s="6">
        <f>BA29+BA30</f>
        <v>10.0</v>
      </c>
      <c r="BB31" s="6">
        <f>BB29+BB30</f>
        <v>105.0</v>
      </c>
      <c r="BC31" s="6">
        <f>BC29+BC30</f>
        <v>105.0</v>
      </c>
      <c r="BD31" s="6">
        <f>BD29+BD30</f>
        <v>110.0</v>
      </c>
      <c r="BE31" s="19">
        <f>SUM(AS31:BD31)</f>
        <v>330.0</v>
      </c>
      <c r="BG31" s="6">
        <f>BG29+BG30</f>
        <v>1226.2</v>
      </c>
      <c r="BH31" s="6">
        <f>BH29+BH30</f>
        <v>1221.9</v>
      </c>
      <c r="BI31" s="6">
        <f>BI29+BI30</f>
        <v>1295.1000000000001</v>
      </c>
      <c r="BJ31" s="6">
        <f>BJ29+BJ30</f>
        <v>1404.8999999999999</v>
      </c>
      <c r="BK31" s="6">
        <f>BK29+BK30</f>
        <v>1300.1000000000001</v>
      </c>
      <c r="BL31" s="6">
        <f>BL29+BL30</f>
        <v>1353.3999999999999</v>
      </c>
      <c r="BM31" s="6">
        <f>BM29+BM30</f>
        <v>1365.1</v>
      </c>
      <c r="BN31" s="6">
        <f>BN29+BN30</f>
        <v>1352.6000000000001</v>
      </c>
      <c r="BO31" s="6">
        <f>BO29+BO30</f>
        <v>1318.8999999999999</v>
      </c>
      <c r="BP31" s="6">
        <f>BP29+BP30</f>
        <v>1550.1000000000001</v>
      </c>
      <c r="BQ31" s="6">
        <f>BQ29+BQ30</f>
        <v>1395.5000000000002</v>
      </c>
      <c r="BR31" s="6">
        <f>BR29+BR30</f>
        <v>1555.9</v>
      </c>
      <c r="BS31" s="19">
        <f>SUM(BG31:BR31)</f>
        <v>16339.7</v>
      </c>
      <c r="BU31" s="6">
        <f>SUM(BG31:BO31)-SUM(C31:K31)</f>
        <v>10.0</v>
      </c>
      <c r="BV31" s="6">
        <f>SUM(BG31:BO31)-SUM(C54:K54)</f>
        <v>2433.2000000000007</v>
      </c>
      <c r="BW31" s="6">
        <f>SUM(BG31:BO31)-SUM(C67:K67)</f>
        <v>3620.9000000000015</v>
      </c>
      <c r="BY31" s="6">
        <f>SUM(BP31:BR31)-SUM(L31:N31)</f>
        <v>320.0</v>
      </c>
      <c r="BZ31" s="6">
        <f>SUM(BP31:BR31)-SUM(L54:N54)</f>
        <v>1324.4</v>
      </c>
      <c r="CA31" s="6">
        <f>SUM(BP31:BR31)-SUM(L67:N67)</f>
        <v>1681.0</v>
      </c>
      <c r="CC31" s="6">
        <f>BS31-O31</f>
        <v>330.0</v>
      </c>
      <c r="CD31" s="6">
        <f>BS31-O54</f>
        <v>3757.6000000000004</v>
      </c>
      <c r="CE31" s="6">
        <f>BS31-O67</f>
        <v>5301.9000000000015</v>
      </c>
    </row>
    <row r="35">
      <c r="B35" s="5" t="inlineStr">
        <is>
          <t>GM %</t>
        </is>
      </c>
      <c r="C35" s="12">
        <f>IFERROR(C29/C28,0)</f>
        <v>0.36552405605889804</v>
      </c>
      <c r="D35" s="12">
        <f>IFERROR(D29/D28,0)</f>
        <v>0.36296358355674707</v>
      </c>
      <c r="E35" s="12">
        <f>IFERROR(E29/E28,0)</f>
        <v>0.3648241866579034</v>
      </c>
      <c r="F35" s="12">
        <f>IFERROR(F29/F28,0)</f>
        <v>0.36488691720961713</v>
      </c>
      <c r="G35" s="12">
        <f>IFERROR(G29/G28,0)</f>
        <v>0.36339146089859</v>
      </c>
      <c r="H35" s="12">
        <f>IFERROR(H29/H28,0)</f>
        <v>0.36506977739187335</v>
      </c>
      <c r="I35" s="12">
        <f>IFERROR(I29/I28,0)</f>
        <v>0.36370150604681567</v>
      </c>
      <c r="J35" s="12">
        <f>IFERROR(J29/J28,0)</f>
        <v>0.3668979238530806</v>
      </c>
      <c r="K35" s="12">
        <f>IFERROR(K29/K28,0)</f>
        <v>0.3657885438341643</v>
      </c>
      <c r="L35" s="12">
        <f>IFERROR(L29/L28,0)</f>
        <v>0.36503911909591424</v>
      </c>
      <c r="M35" s="12">
        <f>IFERROR(M29/M28,0)</f>
        <v>0.3653195274979599</v>
      </c>
      <c r="N35" s="12">
        <f>IFERROR(N29/N28,0)</f>
        <v>0.3658129853689413</v>
      </c>
      <c r="O35" s="12">
        <f>IFERROR(O29/O28,0)</f>
        <v>0.36494630078008355</v>
      </c>
      <c r="Q35" s="12">
        <f>IFERROR(Q29/Q28,0)</f>
        <v>0.36552405605889804</v>
      </c>
      <c r="R35" s="12">
        <f>IFERROR(R29/R28,0)</f>
        <v>0.36296358355674707</v>
      </c>
      <c r="S35" s="12">
        <f>IFERROR(S29/S28,0)</f>
        <v>0.3648241866579034</v>
      </c>
      <c r="T35" s="12">
        <f>IFERROR(T29/T28,0)</f>
        <v>0.36488691720961713</v>
      </c>
      <c r="U35" s="12">
        <f>IFERROR(U29/U28,0)</f>
        <v>0.36339146089859</v>
      </c>
      <c r="V35" s="12">
        <f>IFERROR(V29/V28,0)</f>
        <v>0.36506977739187335</v>
      </c>
      <c r="W35" s="12">
        <f>IFERROR(W29/W28,0)</f>
        <v>0.36370150604681567</v>
      </c>
      <c r="X35" s="12">
        <f>IFERROR(X29/X28,0)</f>
        <v>0.3668979238530806</v>
      </c>
      <c r="Y35" s="12">
        <f>IFERROR(Y29/Y28,0)</f>
        <v>0.3657885438341643</v>
      </c>
      <c r="Z35" s="12">
        <f>IFERROR(Z29/Z28,0)</f>
        <v>0.36503911909591424</v>
      </c>
      <c r="AA35" s="12">
        <f>IFERROR(AA29/AA28,0)</f>
        <v>0.3653195274979599</v>
      </c>
      <c r="AB35" s="12">
        <f>IFERROR(AB29/AB28,0)</f>
        <v>0.3658129853689413</v>
      </c>
      <c r="AC35" s="12">
        <f>IFERROR(AC29/AC28,0)</f>
        <v>0.36494630078008355</v>
      </c>
      <c r="AE35" s="12">
        <f>IFERROR(AE29/AE28,0)</f>
        <v>0.0</v>
      </c>
      <c r="AF35" s="12">
        <f>IFERROR(AF29/AF28,0)</f>
        <v>0.0</v>
      </c>
      <c r="AG35" s="12">
        <f>IFERROR(AG29/AG28,0)</f>
        <v>0.0</v>
      </c>
      <c r="AH35" s="12">
        <f>IFERROR(AH29/AH28,0)</f>
        <v>0.0</v>
      </c>
      <c r="AI35" s="12">
        <f>IFERROR(AI29/AI28,0)</f>
        <v>0.0</v>
      </c>
      <c r="AJ35" s="12">
        <f>IFERROR(AJ29/AJ28,0)</f>
        <v>0.0</v>
      </c>
      <c r="AK35" s="12">
        <f>IFERROR(AK29/AK28,0)</f>
        <v>0.0</v>
      </c>
      <c r="AL35" s="12">
        <f>IFERROR(AL29/AL28,0)</f>
        <v>0.0</v>
      </c>
      <c r="AM35" s="12">
        <f>IFERROR(AM29/AM28,0)</f>
        <v>0.0</v>
      </c>
      <c r="AN35" s="12">
        <f>IFERROR(AN29/AN28,0)</f>
        <v>0.0</v>
      </c>
      <c r="AO35" s="12">
        <f>IFERROR(AO29/AO28,0)</f>
        <v>0.0</v>
      </c>
      <c r="AP35" s="12">
        <f>IFERROR(AP29/AP28,0)</f>
        <v>0.0</v>
      </c>
      <c r="AQ35" s="12">
        <f>IFERROR(AQ29/AQ28,0)</f>
        <v>0.0</v>
      </c>
      <c r="AS35" s="12">
        <f>IFERROR(AS29/AS28,0)</f>
        <v>0.0</v>
      </c>
      <c r="AT35" s="12">
        <f>IFERROR(AT29/AT28,0)</f>
        <v>0.0</v>
      </c>
      <c r="AU35" s="12">
        <f>IFERROR(AU29/AU28,0)</f>
        <v>0.0</v>
      </c>
      <c r="AV35" s="12">
        <f>IFERROR(AV29/AV28,0)</f>
        <v>0.0</v>
      </c>
      <c r="AW35" s="12">
        <f>IFERROR(AW29/AW28,0)</f>
        <v>0.0</v>
      </c>
      <c r="AX35" s="12">
        <f>IFERROR(AX29/AX28,0)</f>
        <v>0.0</v>
      </c>
      <c r="AY35" s="12">
        <f>IFERROR(AY29/AY28,0)</f>
        <v>0.0</v>
      </c>
      <c r="AZ35" s="12">
        <f>IFERROR(AZ29/AZ28,0)</f>
        <v>0.0</v>
      </c>
      <c r="BA35" s="12">
        <f>IFERROR(BA29/BA28,0)</f>
        <v>0.4</v>
      </c>
      <c r="BB35" s="12">
        <f>IFERROR(BB29/BB28,0)</f>
        <v>0.4</v>
      </c>
      <c r="BC35" s="12">
        <f>IFERROR(BC29/BC28,0)</f>
        <v>0.4</v>
      </c>
      <c r="BD35" s="12">
        <f>IFERROR(BD29/BD28,0)</f>
        <v>0.4</v>
      </c>
      <c r="BE35" s="12">
        <f>IFERROR(BE29/BE28,0)</f>
        <v>0.4</v>
      </c>
      <c r="BG35" s="12">
        <f>IFERROR(BG29/BG28,0)</f>
        <v>0.36552405605889804</v>
      </c>
      <c r="BH35" s="12">
        <f>IFERROR(BH29/BH28,0)</f>
        <v>0.36296358355674707</v>
      </c>
      <c r="BI35" s="12">
        <f>IFERROR(BI29/BI28,0)</f>
        <v>0.3648241866579034</v>
      </c>
      <c r="BJ35" s="12">
        <f>IFERROR(BJ29/BJ28,0)</f>
        <v>0.36488691720961713</v>
      </c>
      <c r="BK35" s="12">
        <f>IFERROR(BK29/BK28,0)</f>
        <v>0.36339146089859</v>
      </c>
      <c r="BL35" s="12">
        <f>IFERROR(BL29/BL28,0)</f>
        <v>0.36506977739187335</v>
      </c>
      <c r="BM35" s="12">
        <f>IFERROR(BM29/BM28,0)</f>
        <v>0.36370150604681567</v>
      </c>
      <c r="BN35" s="12">
        <f>IFERROR(BN29/BN28,0)</f>
        <v>0.3668979238530806</v>
      </c>
      <c r="BO35" s="12">
        <f>IFERROR(BO29/BO28,0)</f>
        <v>0.3670809565184541</v>
      </c>
      <c r="BP35" s="12">
        <f>IFERROR(BP29/BP28,0)</f>
        <v>0.36626118568232663</v>
      </c>
      <c r="BQ35" s="12">
        <f>IFERROR(BQ29/BQ28,0)</f>
        <v>0.36665766356702806</v>
      </c>
      <c r="BR35" s="12">
        <f>IFERROR(BR29/BR28,0)</f>
        <v>0.36701740376259484</v>
      </c>
      <c r="BS35" s="12">
        <f>IFERROR(BS29/BS28,0)</f>
        <v>0.3653924061909419</v>
      </c>
    </row>
    <row r="36">
      <c r="B36" s="5" t="inlineStr">
        <is>
          <t>Op Cost %</t>
        </is>
      </c>
      <c r="C36" s="12">
        <f>IFERROR(C30/C28,0)</f>
        <v>-0.19487008197291694</v>
      </c>
      <c r="D36" s="12">
        <f>IFERROR(D30/D28,0)</f>
        <v>-0.19234528596961573</v>
      </c>
      <c r="E36" s="12">
        <f>IFERROR(E30/E28,0)</f>
        <v>-0.19458429181728557</v>
      </c>
      <c r="F36" s="12">
        <f>IFERROR(F30/F28,0)</f>
        <v>-0.19506328042839702</v>
      </c>
      <c r="G36" s="12">
        <f>IFERROR(G30/G28,0)</f>
        <v>-0.19254372708516762</v>
      </c>
      <c r="H36" s="12">
        <f>IFERROR(H30/H28,0)</f>
        <v>-0.19476008909358603</v>
      </c>
      <c r="I36" s="12">
        <f>IFERROR(I30/I28,0)</f>
        <v>-0.19209011138209336</v>
      </c>
      <c r="J36" s="12">
        <f>IFERROR(J30/J28,0)</f>
        <v>-0.1921501750578143</v>
      </c>
      <c r="K36" s="12">
        <f>IFERROR(K30/K28,0)</f>
        <v>-0.19449570099328647</v>
      </c>
      <c r="L36" s="12">
        <f>IFERROR(L30/L28,0)</f>
        <v>-0.19056070704143727</v>
      </c>
      <c r="M36" s="12">
        <f>IFERROR(M30/M28,0)</f>
        <v>-0.19267969659268772</v>
      </c>
      <c r="N36" s="12">
        <f>IFERROR(N30/N28,0)</f>
        <v>-0.18981425128417365</v>
      </c>
      <c r="O36" s="12">
        <f>IFERROR(O30/O28,0)</f>
        <v>-0.19297022534551622</v>
      </c>
      <c r="Q36" s="12">
        <f>IFERROR(Q30/Q28,0)</f>
        <v>-0.19487008197291694</v>
      </c>
      <c r="R36" s="12">
        <f>IFERROR(R30/R28,0)</f>
        <v>-0.19234528596961573</v>
      </c>
      <c r="S36" s="12">
        <f>IFERROR(S30/S28,0)</f>
        <v>-0.19458429181728557</v>
      </c>
      <c r="T36" s="12">
        <f>IFERROR(T30/T28,0)</f>
        <v>-0.19506328042839702</v>
      </c>
      <c r="U36" s="12">
        <f>IFERROR(U30/U28,0)</f>
        <v>-0.19254372708516762</v>
      </c>
      <c r="V36" s="12">
        <f>IFERROR(V30/V28,0)</f>
        <v>-0.19476008909358603</v>
      </c>
      <c r="W36" s="12">
        <f>IFERROR(W30/W28,0)</f>
        <v>-0.19209011138209336</v>
      </c>
      <c r="X36" s="12">
        <f>IFERROR(X30/X28,0)</f>
        <v>-0.1921501750578143</v>
      </c>
      <c r="Y36" s="12">
        <f>IFERROR(Y30/Y28,0)</f>
        <v>-0.19449570099328647</v>
      </c>
      <c r="Z36" s="12">
        <f>IFERROR(Z30/Z28,0)</f>
        <v>-0.19056070704143727</v>
      </c>
      <c r="AA36" s="12">
        <f>IFERROR(AA30/AA28,0)</f>
        <v>-0.19267969659268772</v>
      </c>
      <c r="AB36" s="12">
        <f>IFERROR(AB30/AB28,0)</f>
        <v>-0.18981425128417365</v>
      </c>
      <c r="AC36" s="12">
        <f>IFERROR(AC30/AC28,0)</f>
        <v>-0.19297022534551622</v>
      </c>
      <c r="AE36" s="12">
        <f>IFERROR(AE30/AE28,0)</f>
        <v>0.0</v>
      </c>
      <c r="AF36" s="12">
        <f>IFERROR(AF30/AF28,0)</f>
        <v>0.0</v>
      </c>
      <c r="AG36" s="12">
        <f>IFERROR(AG30/AG28,0)</f>
        <v>0.0</v>
      </c>
      <c r="AH36" s="12">
        <f>IFERROR(AH30/AH28,0)</f>
        <v>0.0</v>
      </c>
      <c r="AI36" s="12">
        <f>IFERROR(AI30/AI28,0)</f>
        <v>0.0</v>
      </c>
      <c r="AJ36" s="12">
        <f>IFERROR(AJ30/AJ28,0)</f>
        <v>0.0</v>
      </c>
      <c r="AK36" s="12">
        <f>IFERROR(AK30/AK28,0)</f>
        <v>0.0</v>
      </c>
      <c r="AL36" s="12">
        <f>IFERROR(AL30/AL28,0)</f>
        <v>0.0</v>
      </c>
      <c r="AM36" s="12">
        <f>IFERROR(AM30/AM28,0)</f>
        <v>0.0</v>
      </c>
      <c r="AN36" s="12">
        <f>IFERROR(AN30/AN28,0)</f>
        <v>0.0</v>
      </c>
      <c r="AO36" s="12">
        <f>IFERROR(AO30/AO28,0)</f>
        <v>0.0</v>
      </c>
      <c r="AP36" s="12">
        <f>IFERROR(AP30/AP28,0)</f>
        <v>0.0</v>
      </c>
      <c r="AQ36" s="12">
        <f>IFERROR(AQ30/AQ28,0)</f>
        <v>0.0</v>
      </c>
      <c r="AS36" s="12">
        <f>IFERROR(AS30/AS28,0)</f>
        <v>0.0</v>
      </c>
      <c r="AT36" s="12">
        <f>IFERROR(AT30/AT28,0)</f>
        <v>0.0</v>
      </c>
      <c r="AU36" s="12">
        <f>IFERROR(AU30/AU28,0)</f>
        <v>0.0</v>
      </c>
      <c r="AV36" s="12">
        <f>IFERROR(AV30/AV28,0)</f>
        <v>0.0</v>
      </c>
      <c r="AW36" s="12">
        <f>IFERROR(AW30/AW28,0)</f>
        <v>0.0</v>
      </c>
      <c r="AX36" s="12">
        <f>IFERROR(AX30/AX28,0)</f>
        <v>0.0</v>
      </c>
      <c r="AY36" s="12">
        <f>IFERROR(AY30/AY28,0)</f>
        <v>0.0</v>
      </c>
      <c r="AZ36" s="12">
        <f>IFERROR(AZ30/AZ28,0)</f>
        <v>0.0</v>
      </c>
      <c r="BA36" s="12">
        <f>IFERROR(BA30/BA28,0)</f>
        <v>-0.36666666666666664</v>
      </c>
      <c r="BB36" s="12">
        <f>IFERROR(BB30/BB28,0)</f>
        <v>-0.05</v>
      </c>
      <c r="BC36" s="12">
        <f>IFERROR(BC30/BC28,0)</f>
        <v>-0.05</v>
      </c>
      <c r="BD36" s="12">
        <f>IFERROR(BD30/BD28,0)</f>
        <v>-0.03333333333333333</v>
      </c>
      <c r="BE36" s="12">
        <f>IFERROR(BE30/BE28,0)</f>
        <v>-0.125</v>
      </c>
      <c r="BG36" s="12">
        <f>IFERROR(BG30/BG28,0)</f>
        <v>-0.19487008197291694</v>
      </c>
      <c r="BH36" s="12">
        <f>IFERROR(BH30/BH28,0)</f>
        <v>-0.19234528596961573</v>
      </c>
      <c r="BI36" s="12">
        <f>IFERROR(BI30/BI28,0)</f>
        <v>-0.19458429181728557</v>
      </c>
      <c r="BJ36" s="12">
        <f>IFERROR(BJ30/BJ28,0)</f>
        <v>-0.19506328042839702</v>
      </c>
      <c r="BK36" s="12">
        <f>IFERROR(BK30/BK28,0)</f>
        <v>-0.19254372708516762</v>
      </c>
      <c r="BL36" s="12">
        <f>IFERROR(BL30/BL28,0)</f>
        <v>-0.19476008909358603</v>
      </c>
      <c r="BM36" s="12">
        <f>IFERROR(BM30/BM28,0)</f>
        <v>-0.19209011138209336</v>
      </c>
      <c r="BN36" s="12">
        <f>IFERROR(BN30/BN28,0)</f>
        <v>-0.1921501750578143</v>
      </c>
      <c r="BO36" s="12">
        <f>IFERROR(BO30/BO28,0)</f>
        <v>-0.20099983629884277</v>
      </c>
      <c r="BP36" s="12">
        <f>IFERROR(BP30/BP28,0)</f>
        <v>-0.18564737136465326</v>
      </c>
      <c r="BQ36" s="12">
        <f>IFERROR(BQ30/BQ28,0)</f>
        <v>-0.18717444148628312</v>
      </c>
      <c r="BR36" s="12">
        <f>IFERROR(BR30/BR28,0)</f>
        <v>-0.18430138337600113</v>
      </c>
      <c r="BS36" s="12">
        <f>IFERROR(BS30/BS28,0)</f>
        <v>-0.19210521292232904</v>
      </c>
    </row>
    <row r="37">
      <c r="B37" s="5" t="inlineStr">
        <is>
          <t>PBITA %</t>
        </is>
      </c>
      <c r="C37" s="12">
        <f>IFERROR(C31/C28,0)</f>
        <v>0.1706539740859811</v>
      </c>
      <c r="D37" s="12">
        <f>IFERROR(D31/D28,0)</f>
        <v>0.17061829758713137</v>
      </c>
      <c r="E37" s="12">
        <f>IFERROR(E31/E28,0)</f>
        <v>0.17023989484061783</v>
      </c>
      <c r="F37" s="12">
        <f>IFERROR(F31/F28,0)</f>
        <v>0.16982363678122012</v>
      </c>
      <c r="G37" s="12">
        <f>IFERROR(G31/G28,0)</f>
        <v>0.17084773381342236</v>
      </c>
      <c r="H37" s="12">
        <f>IFERROR(H31/H28,0)</f>
        <v>0.17030968829828733</v>
      </c>
      <c r="I37" s="12">
        <f>IFERROR(I31/I28,0)</f>
        <v>0.17161139466472228</v>
      </c>
      <c r="J37" s="12">
        <f>IFERROR(J31/J28,0)</f>
        <v>0.17474774879526633</v>
      </c>
      <c r="K37" s="12">
        <f>IFERROR(K31/K28,0)</f>
        <v>0.17129284284087784</v>
      </c>
      <c r="L37" s="12">
        <f>IFERROR(L31/L28,0)</f>
        <v>0.17447841205447698</v>
      </c>
      <c r="M37" s="12">
        <f>IFERROR(M31/M28,0)</f>
        <v>0.17263983090527218</v>
      </c>
      <c r="N37" s="12">
        <f>IFERROR(N31/N28,0)</f>
        <v>0.17599873408476766</v>
      </c>
      <c r="O37" s="12">
        <f>IFERROR(O31/O28,0)</f>
        <v>0.17197607543456733</v>
      </c>
      <c r="Q37" s="12">
        <f>IFERROR(Q31/Q28,0)</f>
        <v>0.1706539740859811</v>
      </c>
      <c r="R37" s="12">
        <f>IFERROR(R31/R28,0)</f>
        <v>0.17061829758713137</v>
      </c>
      <c r="S37" s="12">
        <f>IFERROR(S31/S28,0)</f>
        <v>0.17023989484061783</v>
      </c>
      <c r="T37" s="12">
        <f>IFERROR(T31/T28,0)</f>
        <v>0.16982363678122012</v>
      </c>
      <c r="U37" s="12">
        <f>IFERROR(U31/U28,0)</f>
        <v>0.17084773381342236</v>
      </c>
      <c r="V37" s="12">
        <f>IFERROR(V31/V28,0)</f>
        <v>0.17030968829828733</v>
      </c>
      <c r="W37" s="12">
        <f>IFERROR(W31/W28,0)</f>
        <v>0.17161139466472228</v>
      </c>
      <c r="X37" s="12">
        <f>IFERROR(X31/X28,0)</f>
        <v>0.17474774879526633</v>
      </c>
      <c r="Y37" s="12">
        <f>IFERROR(Y31/Y28,0)</f>
        <v>0.17129284284087784</v>
      </c>
      <c r="Z37" s="12">
        <f>IFERROR(Z31/Z28,0)</f>
        <v>0.17447841205447698</v>
      </c>
      <c r="AA37" s="12">
        <f>IFERROR(AA31/AA28,0)</f>
        <v>0.17263983090527218</v>
      </c>
      <c r="AB37" s="12">
        <f>IFERROR(AB31/AB28,0)</f>
        <v>0.17599873408476766</v>
      </c>
      <c r="AC37" s="12">
        <f>IFERROR(AC31/AC28,0)</f>
        <v>0.17197607543456733</v>
      </c>
      <c r="AE37" s="12">
        <f>IFERROR(AE31/AE28,0)</f>
        <v>0.0</v>
      </c>
      <c r="AF37" s="12">
        <f>IFERROR(AF31/AF28,0)</f>
        <v>0.0</v>
      </c>
      <c r="AG37" s="12">
        <f>IFERROR(AG31/AG28,0)</f>
        <v>0.0</v>
      </c>
      <c r="AH37" s="12">
        <f>IFERROR(AH31/AH28,0)</f>
        <v>0.0</v>
      </c>
      <c r="AI37" s="12">
        <f>IFERROR(AI31/AI28,0)</f>
        <v>0.0</v>
      </c>
      <c r="AJ37" s="12">
        <f>IFERROR(AJ31/AJ28,0)</f>
        <v>0.0</v>
      </c>
      <c r="AK37" s="12">
        <f>IFERROR(AK31/AK28,0)</f>
        <v>0.0</v>
      </c>
      <c r="AL37" s="12">
        <f>IFERROR(AL31/AL28,0)</f>
        <v>0.0</v>
      </c>
      <c r="AM37" s="12">
        <f>IFERROR(AM31/AM28,0)</f>
        <v>0.0</v>
      </c>
      <c r="AN37" s="12">
        <f>IFERROR(AN31/AN28,0)</f>
        <v>0.0</v>
      </c>
      <c r="AO37" s="12">
        <f>IFERROR(AO31/AO28,0)</f>
        <v>0.0</v>
      </c>
      <c r="AP37" s="12">
        <f>IFERROR(AP31/AP28,0)</f>
        <v>0.0</v>
      </c>
      <c r="AQ37" s="12">
        <f>IFERROR(AQ31/AQ28,0)</f>
        <v>0.0</v>
      </c>
      <c r="AS37" s="12">
        <f>IFERROR(AS31/AS28,0)</f>
        <v>0.0</v>
      </c>
      <c r="AT37" s="12">
        <f>IFERROR(AT31/AT28,0)</f>
        <v>0.0</v>
      </c>
      <c r="AU37" s="12">
        <f>IFERROR(AU31/AU28,0)</f>
        <v>0.0</v>
      </c>
      <c r="AV37" s="12">
        <f>IFERROR(AV31/AV28,0)</f>
        <v>0.0</v>
      </c>
      <c r="AW37" s="12">
        <f>IFERROR(AW31/AW28,0)</f>
        <v>0.0</v>
      </c>
      <c r="AX37" s="12">
        <f>IFERROR(AX31/AX28,0)</f>
        <v>0.0</v>
      </c>
      <c r="AY37" s="12">
        <f>IFERROR(AY31/AY28,0)</f>
        <v>0.0</v>
      </c>
      <c r="AZ37" s="12">
        <f>IFERROR(AZ31/AZ28,0)</f>
        <v>0.0</v>
      </c>
      <c r="BA37" s="12">
        <f>IFERROR(BA31/BA28,0)</f>
        <v>0.03333333333333333</v>
      </c>
      <c r="BB37" s="12">
        <f>IFERROR(BB31/BB28,0)</f>
        <v>0.35</v>
      </c>
      <c r="BC37" s="12">
        <f>IFERROR(BC31/BC28,0)</f>
        <v>0.35</v>
      </c>
      <c r="BD37" s="12">
        <f>IFERROR(BD31/BD28,0)</f>
        <v>0.36666666666666664</v>
      </c>
      <c r="BE37" s="12">
        <f>IFERROR(BE31/BE28,0)</f>
        <v>0.275</v>
      </c>
      <c r="BG37" s="12">
        <f>IFERROR(BG31/BG28,0)</f>
        <v>0.1706539740859811</v>
      </c>
      <c r="BH37" s="12">
        <f>IFERROR(BH31/BH28,0)</f>
        <v>0.17061829758713137</v>
      </c>
      <c r="BI37" s="12">
        <f>IFERROR(BI31/BI28,0)</f>
        <v>0.17023989484061783</v>
      </c>
      <c r="BJ37" s="12">
        <f>IFERROR(BJ31/BJ28,0)</f>
        <v>0.16982363678122012</v>
      </c>
      <c r="BK37" s="12">
        <f>IFERROR(BK31/BK28,0)</f>
        <v>0.17084773381342236</v>
      </c>
      <c r="BL37" s="12">
        <f>IFERROR(BL31/BL28,0)</f>
        <v>0.17030968829828733</v>
      </c>
      <c r="BM37" s="12">
        <f>IFERROR(BM31/BM28,0)</f>
        <v>0.17161139466472228</v>
      </c>
      <c r="BN37" s="12">
        <f>IFERROR(BN31/BN28,0)</f>
        <v>0.17474774879526633</v>
      </c>
      <c r="BO37" s="12">
        <f>IFERROR(BO31/BO28,0)</f>
        <v>0.16608112021961138</v>
      </c>
      <c r="BP37" s="12">
        <f>IFERROR(BP31/BP28,0)</f>
        <v>0.1806138143176734</v>
      </c>
      <c r="BQ37" s="12">
        <f>IFERROR(BQ31/BQ28,0)</f>
        <v>0.17948322208074496</v>
      </c>
      <c r="BR37" s="12">
        <f>IFERROR(BR31/BR28,0)</f>
        <v>0.1827160203865937</v>
      </c>
      <c r="BS37" s="12">
        <f>IFERROR(BS31/BS28,0)</f>
        <v>0.17328719326861283</v>
      </c>
    </row>
    <row r="38">
      <c r="B38" s="5" t="inlineStr">
        <is>
          <t>Sales/Day</t>
        </is>
      </c>
      <c r="C38" s="6">
        <f>IFERROR(C28/21,0)</f>
        <v>342.15714285714284</v>
      </c>
      <c r="D38" s="6">
        <f>IFERROR(D28/20,0)</f>
        <v>358.08000000000004</v>
      </c>
      <c r="E38" s="6">
        <f>IFERROR(E28/22,0)</f>
        <v>345.79545454545456</v>
      </c>
      <c r="F38" s="6">
        <f>IFERROR(F28/22,0)</f>
        <v>376.0318181818182</v>
      </c>
      <c r="G38" s="6">
        <f>IFERROR(G28/20,0)</f>
        <v>380.485</v>
      </c>
      <c r="H38" s="6">
        <f>IFERROR(H28/22,0)</f>
        <v>361.21363636363634</v>
      </c>
      <c r="I38" s="6">
        <f>IFERROR(I28/22,0)</f>
        <v>361.57272727272726</v>
      </c>
      <c r="J38" s="6">
        <f>IFERROR(J28/21,0)</f>
        <v>368.5857142857143</v>
      </c>
      <c r="K38" s="6">
        <f>IFERROR(K28/21,0)</f>
        <v>363.87142857142857</v>
      </c>
      <c r="L38" s="6">
        <f>IFERROR(L28/22,0)</f>
        <v>376.47272727272724</v>
      </c>
      <c r="M38" s="6">
        <f>IFERROR(M28/19,0)</f>
        <v>393.4263157894737</v>
      </c>
      <c r="N38" s="6">
        <f>IFERROR(N28/22,0)</f>
        <v>373.42727272727274</v>
      </c>
      <c r="O38" s="6">
        <f>IFERROR(O28/254,0)</f>
        <v>366.5062992125984</v>
      </c>
      <c r="Q38" s="6">
        <f>IFERROR(Q28/21,0)</f>
        <v>342.15714285714284</v>
      </c>
      <c r="R38" s="6">
        <f>IFERROR(R28/20,0)</f>
        <v>358.08000000000004</v>
      </c>
      <c r="S38" s="6">
        <f>IFERROR(S28/22,0)</f>
        <v>345.79545454545456</v>
      </c>
      <c r="T38" s="6">
        <f>IFERROR(T28/22,0)</f>
        <v>376.0318181818182</v>
      </c>
      <c r="U38" s="6">
        <f>IFERROR(U28/20,0)</f>
        <v>380.485</v>
      </c>
      <c r="V38" s="6">
        <f>IFERROR(V28/22,0)</f>
        <v>361.21363636363634</v>
      </c>
      <c r="W38" s="6">
        <f>IFERROR(W28/22,0)</f>
        <v>361.57272727272726</v>
      </c>
      <c r="X38" s="6">
        <f>IFERROR(X28/21,0)</f>
        <v>368.5857142857143</v>
      </c>
      <c r="Y38" s="6">
        <f>IFERROR(Y28/21,0)</f>
        <v>363.87142857142857</v>
      </c>
      <c r="Z38" s="6">
        <f>IFERROR(Z28/22,0)</f>
        <v>376.47272727272724</v>
      </c>
      <c r="AA38" s="6">
        <f>IFERROR(AA28/19,0)</f>
        <v>393.4263157894737</v>
      </c>
      <c r="AB38" s="6">
        <f>IFERROR(AB28/22,0)</f>
        <v>373.42727272727274</v>
      </c>
      <c r="AC38" s="6">
        <f>IFERROR(AC28/254,0)</f>
        <v>366.5062992125984</v>
      </c>
      <c r="AE38" s="6">
        <f>IFERROR(AE28/21,0)</f>
        <v>0.0</v>
      </c>
      <c r="AF38" s="6">
        <f>IFERROR(AF28/20,0)</f>
        <v>0.0</v>
      </c>
      <c r="AG38" s="6">
        <f>IFERROR(AG28/22,0)</f>
        <v>0.0</v>
      </c>
      <c r="AH38" s="6">
        <f>IFERROR(AH28/22,0)</f>
        <v>0.0</v>
      </c>
      <c r="AI38" s="6">
        <f>IFERROR(AI28/20,0)</f>
        <v>0.0</v>
      </c>
      <c r="AJ38" s="6">
        <f>IFERROR(AJ28/22,0)</f>
        <v>0.0</v>
      </c>
      <c r="AK38" s="6">
        <f>IFERROR(AK28/22,0)</f>
        <v>0.0</v>
      </c>
      <c r="AL38" s="6">
        <f>IFERROR(AL28/21,0)</f>
        <v>0.0</v>
      </c>
      <c r="AM38" s="6">
        <f>IFERROR(AM28/21,0)</f>
        <v>0.0</v>
      </c>
      <c r="AN38" s="6">
        <f>IFERROR(AN28/22,0)</f>
        <v>0.0</v>
      </c>
      <c r="AO38" s="6">
        <f>IFERROR(AO28/19,0)</f>
        <v>0.0</v>
      </c>
      <c r="AP38" s="6">
        <f>IFERROR(AP28/22,0)</f>
        <v>0.0</v>
      </c>
      <c r="AQ38" s="6">
        <f>IFERROR(AQ28/254,0)</f>
        <v>0.0</v>
      </c>
      <c r="AS38" s="6">
        <f>IFERROR(AS28/21,0)</f>
        <v>0.0</v>
      </c>
      <c r="AT38" s="6">
        <f>IFERROR(AT28/20,0)</f>
        <v>0.0</v>
      </c>
      <c r="AU38" s="6">
        <f>IFERROR(AU28/22,0)</f>
        <v>0.0</v>
      </c>
      <c r="AV38" s="6">
        <f>IFERROR(AV28/22,0)</f>
        <v>0.0</v>
      </c>
      <c r="AW38" s="6">
        <f>IFERROR(AW28/20,0)</f>
        <v>0.0</v>
      </c>
      <c r="AX38" s="6">
        <f>IFERROR(AX28/22,0)</f>
        <v>0.0</v>
      </c>
      <c r="AY38" s="6">
        <f>IFERROR(AY28/22,0)</f>
        <v>0.0</v>
      </c>
      <c r="AZ38" s="6">
        <f>IFERROR(AZ28/21,0)</f>
        <v>0.0</v>
      </c>
      <c r="BA38" s="6">
        <f>IFERROR(BA28/21,0)</f>
        <v>14.285714285714286</v>
      </c>
      <c r="BB38" s="6">
        <f>IFERROR(BB28/22,0)</f>
        <v>13.636363636363637</v>
      </c>
      <c r="BC38" s="6">
        <f>IFERROR(BC28/19,0)</f>
        <v>15.789473684210526</v>
      </c>
      <c r="BD38" s="6">
        <f>IFERROR(BD28/22,0)</f>
        <v>13.636363636363637</v>
      </c>
      <c r="BE38" s="6">
        <f>IFERROR(BE28/254,0)</f>
        <v>4.724409448818897</v>
      </c>
      <c r="BG38" s="6">
        <f>IFERROR(BG28/21,0)</f>
        <v>342.15714285714284</v>
      </c>
      <c r="BH38" s="6">
        <f>IFERROR(BH28/20,0)</f>
        <v>358.08000000000004</v>
      </c>
      <c r="BI38" s="6">
        <f>IFERROR(BI28/22,0)</f>
        <v>345.79545454545456</v>
      </c>
      <c r="BJ38" s="6">
        <f>IFERROR(BJ28/22,0)</f>
        <v>376.0318181818182</v>
      </c>
      <c r="BK38" s="6">
        <f>IFERROR(BK28/20,0)</f>
        <v>380.485</v>
      </c>
      <c r="BL38" s="6">
        <f>IFERROR(BL28/22,0)</f>
        <v>361.21363636363634</v>
      </c>
      <c r="BM38" s="6">
        <f>IFERROR(BM28/22,0)</f>
        <v>361.57272727272726</v>
      </c>
      <c r="BN38" s="6">
        <f>IFERROR(BN28/21,0)</f>
        <v>368.5857142857143</v>
      </c>
      <c r="BO38" s="6">
        <f>IFERROR(BO28/21,0)</f>
        <v>378.15714285714284</v>
      </c>
      <c r="BP38" s="6">
        <f>IFERROR(BP28/22,0)</f>
        <v>390.10909090909087</v>
      </c>
      <c r="BQ38" s="6">
        <f>IFERROR(BQ28/19,0)</f>
        <v>409.21578947368425</v>
      </c>
      <c r="BR38" s="6">
        <f>IFERROR(BR28/22,0)</f>
        <v>387.06363636363636</v>
      </c>
      <c r="BS38" s="6">
        <f>IFERROR(BS28/254,0)</f>
        <v>371.2307086614173</v>
      </c>
    </row>
    <row r="40">
      <c r="B40" s="5" t="inlineStr">
        <is>
          <t>Net Inventory</t>
        </is>
      </c>
      <c r="C40" s="6" t="n">
        <v>11415.2</v>
      </c>
      <c r="D40" s="6" t="n">
        <v>11623.5</v>
      </c>
      <c r="E40" s="6" t="n">
        <v>12277.5</v>
      </c>
      <c r="F40" s="6" t="n">
        <v>13426.9</v>
      </c>
      <c r="G40" s="6" t="n">
        <v>11797.6</v>
      </c>
      <c r="H40" s="6" t="n">
        <v>12221.8</v>
      </c>
      <c r="I40" s="6" t="n">
        <v>11619.5</v>
      </c>
      <c r="J40" s="6" t="n">
        <v>11191.8</v>
      </c>
      <c r="K40" s="6" t="n">
        <v>11001</v>
      </c>
      <c r="L40" s="6" t="n">
        <v>11939.6</v>
      </c>
      <c r="M40" s="6" t="n">
        <v>10897.9</v>
      </c>
      <c r="N40" s="6" t="n">
        <v>11998.8</v>
      </c>
      <c r="O40" s="6">
        <f>N40</f>
        <v>11998.8</v>
      </c>
      <c r="Q40" s="6" t="n">
        <v>11415.2</v>
      </c>
      <c r="R40" s="6" t="n">
        <v>11623.5</v>
      </c>
      <c r="S40" s="6" t="n">
        <v>12277.5</v>
      </c>
      <c r="T40" s="6" t="n">
        <v>13426.9</v>
      </c>
      <c r="U40" s="6" t="n">
        <v>11797.6</v>
      </c>
      <c r="V40" s="6" t="n">
        <v>12221.8</v>
      </c>
      <c r="W40" s="6" t="n">
        <v>11619.5</v>
      </c>
      <c r="X40" s="6" t="n">
        <v>11191.8</v>
      </c>
      <c r="Y40" s="6" t="n">
        <v>11001</v>
      </c>
      <c r="Z40" s="6" t="n">
        <v>11939.6</v>
      </c>
      <c r="AA40" s="6" t="n">
        <v>10897.9</v>
      </c>
      <c r="AB40" s="6" t="n">
        <v>11998.8</v>
      </c>
      <c r="AC40" s="6">
        <f>AB40</f>
        <v>11998.8</v>
      </c>
      <c r="AE40" s="6">
        <f>Q40-C40</f>
        <v>0.0</v>
      </c>
      <c r="AF40" s="6">
        <f>R40-D40</f>
        <v>0.0</v>
      </c>
      <c r="AG40" s="6">
        <f>S40-E40</f>
        <v>0.0</v>
      </c>
      <c r="AH40" s="6">
        <f>T40-F40</f>
        <v>0.0</v>
      </c>
      <c r="AI40" s="6">
        <f>U40-G40</f>
        <v>0.0</v>
      </c>
      <c r="AJ40" s="6">
        <f>V40-H40</f>
        <v>0.0</v>
      </c>
      <c r="AK40" s="6">
        <f>W40-I40</f>
        <v>0.0</v>
      </c>
      <c r="AL40" s="6">
        <f>X40-J40</f>
        <v>0.0</v>
      </c>
      <c r="AM40" s="6">
        <f>Y40-K40</f>
        <v>0.0</v>
      </c>
      <c r="AN40" s="6">
        <f>Z40-L40</f>
        <v>0.0</v>
      </c>
      <c r="AO40" s="6">
        <f>AA40-M40</f>
        <v>0.0</v>
      </c>
      <c r="AP40" s="6">
        <f>AB40-N40</f>
        <v>0.0</v>
      </c>
      <c r="AQ40" s="6">
        <f>AP40</f>
        <v>0.0</v>
      </c>
      <c r="AS40" s="6">
        <f>'Falcon-Adj'!C90</f>
        <v>0.0</v>
      </c>
      <c r="AT40" s="6">
        <f>'Falcon-Adj'!D90</f>
        <v>0.0</v>
      </c>
      <c r="AU40" s="6">
        <f>'Falcon-Adj'!E90</f>
        <v>0.0</v>
      </c>
      <c r="AV40" s="6">
        <f>'Falcon-Adj'!F90</f>
        <v>0.0</v>
      </c>
      <c r="AW40" s="6">
        <f>'Falcon-Adj'!G90</f>
        <v>0.0</v>
      </c>
      <c r="AX40" s="6">
        <f>'Falcon-Adj'!H90</f>
        <v>0.0</v>
      </c>
      <c r="AY40" s="6">
        <f>'Falcon-Adj'!I90</f>
        <v>0.0</v>
      </c>
      <c r="AZ40" s="6">
        <f>'Falcon-Adj'!J90</f>
        <v>0.0</v>
      </c>
      <c r="BA40" s="6">
        <f>'Falcon-Adj'!K90</f>
        <v>0.0</v>
      </c>
      <c r="BB40" s="6">
        <f>'Falcon-Adj'!L90</f>
        <v>0.0</v>
      </c>
      <c r="BC40" s="6">
        <f>'Falcon-Adj'!M90</f>
        <v>0.0</v>
      </c>
      <c r="BD40" s="6">
        <f>'Falcon-Adj'!N90</f>
        <v>0.0</v>
      </c>
      <c r="BE40" s="6">
        <f>BD40</f>
        <v>0.0</v>
      </c>
      <c r="BG40" s="6">
        <f>C40+AE40+AS40</f>
        <v>11415.2</v>
      </c>
      <c r="BH40" s="6">
        <f>D40+AF40+AT40</f>
        <v>11623.5</v>
      </c>
      <c r="BI40" s="6">
        <f>E40+AG40+AU40</f>
        <v>12277.5</v>
      </c>
      <c r="BJ40" s="6">
        <f>F40+AH40+AV40</f>
        <v>13426.9</v>
      </c>
      <c r="BK40" s="6">
        <f>G40+AI40+AW40</f>
        <v>11797.6</v>
      </c>
      <c r="BL40" s="6">
        <f>H40+AJ40+AX40</f>
        <v>12221.8</v>
      </c>
      <c r="BM40" s="6">
        <f>I40+AK40+AY40</f>
        <v>11619.5</v>
      </c>
      <c r="BN40" s="6">
        <f>J40+AL40+AZ40</f>
        <v>11191.8</v>
      </c>
      <c r="BO40" s="6">
        <f>K40+AM40+BA40</f>
        <v>11001.0</v>
      </c>
      <c r="BP40" s="6">
        <f>L40+AN40+BB40</f>
        <v>11939.6</v>
      </c>
      <c r="BQ40" s="6">
        <f>M40+AO40+BC40</f>
        <v>10897.9</v>
      </c>
      <c r="BR40" s="6">
        <f>N40+AP40+BD40</f>
        <v>11998.8</v>
      </c>
      <c r="BS40" s="6">
        <f>BR40</f>
        <v>11998.8</v>
      </c>
    </row>
    <row r="41">
      <c r="B41" s="5" t="inlineStr">
        <is>
          <t>Trade Receivables</t>
        </is>
      </c>
      <c r="C41" s="6" t="n">
        <v>10897.7</v>
      </c>
      <c r="D41" s="6" t="n">
        <v>10861.8</v>
      </c>
      <c r="E41" s="6" t="n">
        <v>11538</v>
      </c>
      <c r="F41" s="6" t="n">
        <v>12546.9</v>
      </c>
      <c r="G41" s="6" t="n">
        <v>11541.4</v>
      </c>
      <c r="H41" s="6" t="n">
        <v>12052.5</v>
      </c>
      <c r="I41" s="6" t="n">
        <v>12064.5</v>
      </c>
      <c r="J41" s="6" t="n">
        <v>11739.5</v>
      </c>
      <c r="K41" s="6" t="n">
        <v>12044.3</v>
      </c>
      <c r="L41" s="6" t="n">
        <v>13016.6</v>
      </c>
      <c r="M41" s="6" t="n">
        <v>11792.2</v>
      </c>
      <c r="N41" s="6" t="n">
        <v>12915</v>
      </c>
      <c r="O41" s="6">
        <f>N41</f>
        <v>12915.0</v>
      </c>
      <c r="Q41" s="6" t="n">
        <v>10897.7</v>
      </c>
      <c r="R41" s="6" t="n">
        <v>10861.8</v>
      </c>
      <c r="S41" s="6" t="n">
        <v>11538</v>
      </c>
      <c r="T41" s="6" t="n">
        <v>12546.9</v>
      </c>
      <c r="U41" s="6" t="n">
        <v>11541.4</v>
      </c>
      <c r="V41" s="6" t="n">
        <v>12052.5</v>
      </c>
      <c r="W41" s="6" t="n">
        <v>12064.5</v>
      </c>
      <c r="X41" s="6" t="n">
        <v>11739.5</v>
      </c>
      <c r="Y41" s="6" t="n">
        <v>12044.3</v>
      </c>
      <c r="Z41" s="6" t="n">
        <v>13016.6</v>
      </c>
      <c r="AA41" s="6" t="n">
        <v>11792.2</v>
      </c>
      <c r="AB41" s="6" t="n">
        <v>12915</v>
      </c>
      <c r="AC41" s="6">
        <f>AB41</f>
        <v>12915.0</v>
      </c>
      <c r="AE41" s="6">
        <f>Q41-C41</f>
        <v>0.0</v>
      </c>
      <c r="AF41" s="6">
        <f>R41-D41</f>
        <v>0.0</v>
      </c>
      <c r="AG41" s="6">
        <f>S41-E41</f>
        <v>0.0</v>
      </c>
      <c r="AH41" s="6">
        <f>T41-F41</f>
        <v>0.0</v>
      </c>
      <c r="AI41" s="6">
        <f>U41-G41</f>
        <v>0.0</v>
      </c>
      <c r="AJ41" s="6">
        <f>V41-H41</f>
        <v>0.0</v>
      </c>
      <c r="AK41" s="6">
        <f>W41-I41</f>
        <v>0.0</v>
      </c>
      <c r="AL41" s="6">
        <f>X41-J41</f>
        <v>0.0</v>
      </c>
      <c r="AM41" s="6">
        <f>Y41-K41</f>
        <v>0.0</v>
      </c>
      <c r="AN41" s="6">
        <f>Z41-L41</f>
        <v>0.0</v>
      </c>
      <c r="AO41" s="6">
        <f>AA41-M41</f>
        <v>0.0</v>
      </c>
      <c r="AP41" s="6">
        <f>AB41-N41</f>
        <v>0.0</v>
      </c>
      <c r="AQ41" s="6">
        <f>AP41</f>
        <v>0.0</v>
      </c>
      <c r="AS41" s="6">
        <f>'Falcon-Adj'!C91</f>
        <v>0.0</v>
      </c>
      <c r="AT41" s="6">
        <f>'Falcon-Adj'!D91</f>
        <v>0.0</v>
      </c>
      <c r="AU41" s="6">
        <f>'Falcon-Adj'!E91</f>
        <v>0.0</v>
      </c>
      <c r="AV41" s="6">
        <f>'Falcon-Adj'!F91</f>
        <v>0.0</v>
      </c>
      <c r="AW41" s="6">
        <f>'Falcon-Adj'!G91</f>
        <v>0.0</v>
      </c>
      <c r="AX41" s="6">
        <f>'Falcon-Adj'!H91</f>
        <v>0.0</v>
      </c>
      <c r="AY41" s="6">
        <f>'Falcon-Adj'!I91</f>
        <v>0.0</v>
      </c>
      <c r="AZ41" s="6">
        <f>'Falcon-Adj'!J91</f>
        <v>0.0</v>
      </c>
      <c r="BA41" s="6">
        <f>'Falcon-Adj'!K91</f>
        <v>0.0</v>
      </c>
      <c r="BB41" s="6">
        <f>'Falcon-Adj'!L91</f>
        <v>0.0</v>
      </c>
      <c r="BC41" s="6">
        <f>'Falcon-Adj'!M91</f>
        <v>0.0</v>
      </c>
      <c r="BD41" s="6">
        <f>'Falcon-Adj'!N91</f>
        <v>0.0</v>
      </c>
      <c r="BE41" s="6">
        <f>BD41</f>
        <v>0.0</v>
      </c>
      <c r="BG41" s="6">
        <f>C41+AE41+AS41</f>
        <v>10897.7</v>
      </c>
      <c r="BH41" s="6">
        <f>D41+AF41+AT41</f>
        <v>10861.8</v>
      </c>
      <c r="BI41" s="6">
        <f>E41+AG41+AU41</f>
        <v>11538.0</v>
      </c>
      <c r="BJ41" s="6">
        <f>F41+AH41+AV41</f>
        <v>12546.9</v>
      </c>
      <c r="BK41" s="6">
        <f>G41+AI41+AW41</f>
        <v>11541.4</v>
      </c>
      <c r="BL41" s="6">
        <f>H41+AJ41+AX41</f>
        <v>12052.5</v>
      </c>
      <c r="BM41" s="6">
        <f>I41+AK41+AY41</f>
        <v>12064.5</v>
      </c>
      <c r="BN41" s="6">
        <f>J41+AL41+AZ41</f>
        <v>11739.5</v>
      </c>
      <c r="BO41" s="6">
        <f>K41+AM41+BA41</f>
        <v>12044.3</v>
      </c>
      <c r="BP41" s="6">
        <f>L41+AN41+BB41</f>
        <v>13016.6</v>
      </c>
      <c r="BQ41" s="6">
        <f>M41+AO41+BC41</f>
        <v>11792.2</v>
      </c>
      <c r="BR41" s="6">
        <f>N41+AP41+BD41</f>
        <v>12915.0</v>
      </c>
      <c r="BS41" s="6">
        <f>BR41</f>
        <v>12915.0</v>
      </c>
    </row>
    <row r="42">
      <c r="B42" s="5" t="inlineStr">
        <is>
          <t>Other Receivables</t>
        </is>
      </c>
      <c r="C42" s="6" t="n">
        <v>107.8</v>
      </c>
      <c r="D42" s="6" t="n">
        <v>107.4</v>
      </c>
      <c r="E42" s="6" t="n">
        <v>114.1</v>
      </c>
      <c r="F42" s="6" t="n">
        <v>124.1</v>
      </c>
      <c r="G42" s="6" t="n">
        <v>114.1</v>
      </c>
      <c r="H42" s="6" t="n">
        <v>119.2</v>
      </c>
      <c r="I42" s="6" t="n">
        <v>119.3</v>
      </c>
      <c r="J42" s="6" t="n">
        <v>116.1</v>
      </c>
      <c r="K42" s="6" t="n">
        <v>119.1</v>
      </c>
      <c r="L42" s="6" t="n">
        <v>128.7</v>
      </c>
      <c r="M42" s="6" t="n">
        <v>116.6</v>
      </c>
      <c r="N42" s="6" t="n">
        <v>127.7</v>
      </c>
      <c r="O42" s="6">
        <f>N42</f>
        <v>127.7</v>
      </c>
      <c r="Q42" s="6" t="n">
        <v>107.8</v>
      </c>
      <c r="R42" s="6" t="n">
        <v>107.4</v>
      </c>
      <c r="S42" s="6" t="n">
        <v>114.1</v>
      </c>
      <c r="T42" s="6" t="n">
        <v>124.1</v>
      </c>
      <c r="U42" s="6" t="n">
        <v>114.1</v>
      </c>
      <c r="V42" s="6" t="n">
        <v>119.2</v>
      </c>
      <c r="W42" s="6" t="n">
        <v>119.3</v>
      </c>
      <c r="X42" s="6" t="n">
        <v>116.1</v>
      </c>
      <c r="Y42" s="6" t="n">
        <v>119.1</v>
      </c>
      <c r="Z42" s="6" t="n">
        <v>128.7</v>
      </c>
      <c r="AA42" s="6" t="n">
        <v>116.6</v>
      </c>
      <c r="AB42" s="6" t="n">
        <v>127.7</v>
      </c>
      <c r="AC42" s="6">
        <f>AB42</f>
        <v>127.7</v>
      </c>
      <c r="AE42" s="6">
        <f>Q42-C42</f>
        <v>0.0</v>
      </c>
      <c r="AF42" s="6">
        <f>R42-D42</f>
        <v>0.0</v>
      </c>
      <c r="AG42" s="6">
        <f>S42-E42</f>
        <v>0.0</v>
      </c>
      <c r="AH42" s="6">
        <f>T42-F42</f>
        <v>0.0</v>
      </c>
      <c r="AI42" s="6">
        <f>U42-G42</f>
        <v>0.0</v>
      </c>
      <c r="AJ42" s="6">
        <f>V42-H42</f>
        <v>0.0</v>
      </c>
      <c r="AK42" s="6">
        <f>W42-I42</f>
        <v>0.0</v>
      </c>
      <c r="AL42" s="6">
        <f>X42-J42</f>
        <v>0.0</v>
      </c>
      <c r="AM42" s="6">
        <f>Y42-K42</f>
        <v>0.0</v>
      </c>
      <c r="AN42" s="6">
        <f>Z42-L42</f>
        <v>0.0</v>
      </c>
      <c r="AO42" s="6">
        <f>AA42-M42</f>
        <v>0.0</v>
      </c>
      <c r="AP42" s="6">
        <f>AB42-N42</f>
        <v>0.0</v>
      </c>
      <c r="AQ42" s="6">
        <f>AP42</f>
        <v>0.0</v>
      </c>
      <c r="AS42" s="6">
        <f>'Falcon-Adj'!C92</f>
        <v>0.0</v>
      </c>
      <c r="AT42" s="6">
        <f>'Falcon-Adj'!D92</f>
        <v>0.0</v>
      </c>
      <c r="AU42" s="6">
        <f>'Falcon-Adj'!E92</f>
        <v>0.0</v>
      </c>
      <c r="AV42" s="6">
        <f>'Falcon-Adj'!F92</f>
        <v>0.0</v>
      </c>
      <c r="AW42" s="6">
        <f>'Falcon-Adj'!G92</f>
        <v>0.0</v>
      </c>
      <c r="AX42" s="6">
        <f>'Falcon-Adj'!H92</f>
        <v>0.0</v>
      </c>
      <c r="AY42" s="6">
        <f>'Falcon-Adj'!I92</f>
        <v>0.0</v>
      </c>
      <c r="AZ42" s="6">
        <f>'Falcon-Adj'!J92</f>
        <v>0.0</v>
      </c>
      <c r="BA42" s="6">
        <f>'Falcon-Adj'!K92</f>
        <v>0.0</v>
      </c>
      <c r="BB42" s="6">
        <f>'Falcon-Adj'!L92</f>
        <v>0.0</v>
      </c>
      <c r="BC42" s="6">
        <f>'Falcon-Adj'!M92</f>
        <v>0.0</v>
      </c>
      <c r="BD42" s="6">
        <f>'Falcon-Adj'!N92</f>
        <v>0.0</v>
      </c>
      <c r="BE42" s="6">
        <f>BD42</f>
        <v>0.0</v>
      </c>
      <c r="BG42" s="6">
        <f>C42+AE42+AS42</f>
        <v>107.8</v>
      </c>
      <c r="BH42" s="6">
        <f>D42+AF42+AT42</f>
        <v>107.4</v>
      </c>
      <c r="BI42" s="6">
        <f>E42+AG42+AU42</f>
        <v>114.1</v>
      </c>
      <c r="BJ42" s="6">
        <f>F42+AH42+AV42</f>
        <v>124.1</v>
      </c>
      <c r="BK42" s="6">
        <f>G42+AI42+AW42</f>
        <v>114.1</v>
      </c>
      <c r="BL42" s="6">
        <f>H42+AJ42+AX42</f>
        <v>119.2</v>
      </c>
      <c r="BM42" s="6">
        <f>I42+AK42+AY42</f>
        <v>119.3</v>
      </c>
      <c r="BN42" s="6">
        <f>J42+AL42+AZ42</f>
        <v>116.1</v>
      </c>
      <c r="BO42" s="6">
        <f>K42+AM42+BA42</f>
        <v>119.1</v>
      </c>
      <c r="BP42" s="6">
        <f>L42+AN42+BB42</f>
        <v>128.7</v>
      </c>
      <c r="BQ42" s="6">
        <f>M42+AO42+BC42</f>
        <v>116.6</v>
      </c>
      <c r="BR42" s="6">
        <f>N42+AP42+BD42</f>
        <v>127.7</v>
      </c>
      <c r="BS42" s="6">
        <f>BR42</f>
        <v>127.7</v>
      </c>
    </row>
    <row r="43">
      <c r="B43" s="5" t="inlineStr">
        <is>
          <t>Trade Payables</t>
        </is>
      </c>
      <c r="C43" s="6" t="n">
        <v>-6534.4</v>
      </c>
      <c r="D43" s="6" t="n">
        <v>-6539.2</v>
      </c>
      <c r="E43" s="6" t="n">
        <v>-6926</v>
      </c>
      <c r="F43" s="6" t="n">
        <v>-7530.9</v>
      </c>
      <c r="G43" s="6" t="n">
        <v>-6943.6</v>
      </c>
      <c r="H43" s="6" t="n">
        <v>-7232</v>
      </c>
      <c r="I43" s="6" t="n">
        <v>-7254.8</v>
      </c>
      <c r="J43" s="6" t="n">
        <v>-7023.9</v>
      </c>
      <c r="K43" s="6" t="n">
        <v>-7204.2</v>
      </c>
      <c r="L43" s="6" t="n">
        <v>-7795.9</v>
      </c>
      <c r="M43" s="6" t="n">
        <v>-7058.2</v>
      </c>
      <c r="N43" s="6" t="n">
        <v>-7725.8</v>
      </c>
      <c r="O43" s="6">
        <f>N43</f>
        <v>-7725.8</v>
      </c>
      <c r="Q43" s="6" t="n">
        <v>-6534.4</v>
      </c>
      <c r="R43" s="6" t="n">
        <v>-6539.2</v>
      </c>
      <c r="S43" s="6" t="n">
        <v>-6926</v>
      </c>
      <c r="T43" s="6" t="n">
        <v>-7530.9</v>
      </c>
      <c r="U43" s="6" t="n">
        <v>-6943.6</v>
      </c>
      <c r="V43" s="6" t="n">
        <v>-7232</v>
      </c>
      <c r="W43" s="6" t="n">
        <v>-7254.8</v>
      </c>
      <c r="X43" s="6" t="n">
        <v>-7023.9</v>
      </c>
      <c r="Y43" s="6" t="n">
        <v>-7204.2</v>
      </c>
      <c r="Z43" s="6" t="n">
        <v>-7795.9</v>
      </c>
      <c r="AA43" s="6" t="n">
        <v>-7058.2</v>
      </c>
      <c r="AB43" s="6" t="n">
        <v>-7725.8</v>
      </c>
      <c r="AC43" s="6">
        <f>AB43</f>
        <v>-7725.8</v>
      </c>
      <c r="AE43" s="6">
        <f>Q43-C43</f>
        <v>0.0</v>
      </c>
      <c r="AF43" s="6">
        <f>R43-D43</f>
        <v>0.0</v>
      </c>
      <c r="AG43" s="6">
        <f>S43-E43</f>
        <v>0.0</v>
      </c>
      <c r="AH43" s="6">
        <f>T43-F43</f>
        <v>0.0</v>
      </c>
      <c r="AI43" s="6">
        <f>U43-G43</f>
        <v>0.0</v>
      </c>
      <c r="AJ43" s="6">
        <f>V43-H43</f>
        <v>0.0</v>
      </c>
      <c r="AK43" s="6">
        <f>W43-I43</f>
        <v>0.0</v>
      </c>
      <c r="AL43" s="6">
        <f>X43-J43</f>
        <v>0.0</v>
      </c>
      <c r="AM43" s="6">
        <f>Y43-K43</f>
        <v>0.0</v>
      </c>
      <c r="AN43" s="6">
        <f>Z43-L43</f>
        <v>0.0</v>
      </c>
      <c r="AO43" s="6">
        <f>AA43-M43</f>
        <v>0.0</v>
      </c>
      <c r="AP43" s="6">
        <f>AB43-N43</f>
        <v>0.0</v>
      </c>
      <c r="AQ43" s="6">
        <f>AP43</f>
        <v>0.0</v>
      </c>
      <c r="AS43" s="6">
        <f>'Falcon-Adj'!C93</f>
        <v>0.0</v>
      </c>
      <c r="AT43" s="6">
        <f>'Falcon-Adj'!D93</f>
        <v>0.0</v>
      </c>
      <c r="AU43" s="6">
        <f>'Falcon-Adj'!E93</f>
        <v>0.0</v>
      </c>
      <c r="AV43" s="6">
        <f>'Falcon-Adj'!F93</f>
        <v>0.0</v>
      </c>
      <c r="AW43" s="6">
        <f>'Falcon-Adj'!G93</f>
        <v>0.0</v>
      </c>
      <c r="AX43" s="6">
        <f>'Falcon-Adj'!H93</f>
        <v>0.0</v>
      </c>
      <c r="AY43" s="6">
        <f>'Falcon-Adj'!I93</f>
        <v>0.0</v>
      </c>
      <c r="AZ43" s="6">
        <f>'Falcon-Adj'!J93</f>
        <v>0.0</v>
      </c>
      <c r="BA43" s="6">
        <f>'Falcon-Adj'!K93</f>
        <v>0.0</v>
      </c>
      <c r="BB43" s="6">
        <f>'Falcon-Adj'!L93</f>
        <v>0.0</v>
      </c>
      <c r="BC43" s="6">
        <f>'Falcon-Adj'!M93</f>
        <v>0.0</v>
      </c>
      <c r="BD43" s="6">
        <f>'Falcon-Adj'!N93</f>
        <v>0.0</v>
      </c>
      <c r="BE43" s="6">
        <f>BD43</f>
        <v>0.0</v>
      </c>
      <c r="BG43" s="6">
        <f>C43+AE43+AS43</f>
        <v>-6534.4</v>
      </c>
      <c r="BH43" s="6">
        <f>D43+AF43+AT43</f>
        <v>-6539.2</v>
      </c>
      <c r="BI43" s="6">
        <f>E43+AG43+AU43</f>
        <v>-6926.0</v>
      </c>
      <c r="BJ43" s="6">
        <f>F43+AH43+AV43</f>
        <v>-7530.9</v>
      </c>
      <c r="BK43" s="6">
        <f>G43+AI43+AW43</f>
        <v>-6943.6</v>
      </c>
      <c r="BL43" s="6">
        <f>H43+AJ43+AX43</f>
        <v>-7232.0</v>
      </c>
      <c r="BM43" s="6">
        <f>I43+AK43+AY43</f>
        <v>-7254.8</v>
      </c>
      <c r="BN43" s="6">
        <f>J43+AL43+AZ43</f>
        <v>-7023.9</v>
      </c>
      <c r="BO43" s="6">
        <f>K43+AM43+BA43</f>
        <v>-7204.2</v>
      </c>
      <c r="BP43" s="6">
        <f>L43+AN43+BB43</f>
        <v>-7795.9</v>
      </c>
      <c r="BQ43" s="6">
        <f>M43+AO43+BC43</f>
        <v>-7058.2</v>
      </c>
      <c r="BR43" s="6">
        <f>N43+AP43+BD43</f>
        <v>-7725.8</v>
      </c>
      <c r="BS43" s="6">
        <f>BR43</f>
        <v>-7725.8</v>
      </c>
    </row>
    <row r="44">
      <c r="B44" s="5" t="inlineStr">
        <is>
          <t>Other Payables</t>
        </is>
      </c>
      <c r="C44" s="6" t="n">
        <v>-215.6</v>
      </c>
      <c r="D44" s="6" t="n">
        <v>-214.8</v>
      </c>
      <c r="E44" s="6" t="n">
        <v>-228.2</v>
      </c>
      <c r="F44" s="6" t="n">
        <v>-248.2</v>
      </c>
      <c r="G44" s="6" t="n">
        <v>-228.3</v>
      </c>
      <c r="H44" s="6" t="n">
        <v>-238.4</v>
      </c>
      <c r="I44" s="6" t="n">
        <v>-238.6</v>
      </c>
      <c r="J44" s="6" t="n">
        <v>-232.2</v>
      </c>
      <c r="K44" s="6" t="n">
        <v>-238.2</v>
      </c>
      <c r="L44" s="6" t="n">
        <v>-257.5</v>
      </c>
      <c r="M44" s="6" t="n">
        <v>-233.3</v>
      </c>
      <c r="N44" s="6" t="n">
        <v>-255.5</v>
      </c>
      <c r="O44" s="6">
        <f>N44</f>
        <v>-255.5</v>
      </c>
      <c r="Q44" s="6" t="n">
        <v>-215.6</v>
      </c>
      <c r="R44" s="6" t="n">
        <v>-214.8</v>
      </c>
      <c r="S44" s="6" t="n">
        <v>-228.2</v>
      </c>
      <c r="T44" s="6" t="n">
        <v>-248.2</v>
      </c>
      <c r="U44" s="6" t="n">
        <v>-228.3</v>
      </c>
      <c r="V44" s="6" t="n">
        <v>-238.4</v>
      </c>
      <c r="W44" s="6" t="n">
        <v>-238.6</v>
      </c>
      <c r="X44" s="6" t="n">
        <v>-232.2</v>
      </c>
      <c r="Y44" s="6" t="n">
        <v>-238.2</v>
      </c>
      <c r="Z44" s="6" t="n">
        <v>-257.5</v>
      </c>
      <c r="AA44" s="6" t="n">
        <v>-233.3</v>
      </c>
      <c r="AB44" s="6" t="n">
        <v>-255.5</v>
      </c>
      <c r="AC44" s="6">
        <f>AB44</f>
        <v>-255.5</v>
      </c>
      <c r="AE44" s="6">
        <f>Q44-C44</f>
        <v>0.0</v>
      </c>
      <c r="AF44" s="6">
        <f>R44-D44</f>
        <v>0.0</v>
      </c>
      <c r="AG44" s="6">
        <f>S44-E44</f>
        <v>0.0</v>
      </c>
      <c r="AH44" s="6">
        <f>T44-F44</f>
        <v>0.0</v>
      </c>
      <c r="AI44" s="6">
        <f>U44-G44</f>
        <v>0.0</v>
      </c>
      <c r="AJ44" s="6">
        <f>V44-H44</f>
        <v>0.0</v>
      </c>
      <c r="AK44" s="6">
        <f>W44-I44</f>
        <v>0.0</v>
      </c>
      <c r="AL44" s="6">
        <f>X44-J44</f>
        <v>0.0</v>
      </c>
      <c r="AM44" s="6">
        <f>Y44-K44</f>
        <v>0.0</v>
      </c>
      <c r="AN44" s="6">
        <f>Z44-L44</f>
        <v>0.0</v>
      </c>
      <c r="AO44" s="6">
        <f>AA44-M44</f>
        <v>0.0</v>
      </c>
      <c r="AP44" s="6">
        <f>AB44-N44</f>
        <v>0.0</v>
      </c>
      <c r="AQ44" s="6">
        <f>AP44</f>
        <v>0.0</v>
      </c>
      <c r="AS44" s="6">
        <f>'Falcon-Adj'!C94</f>
        <v>0.0</v>
      </c>
      <c r="AT44" s="6">
        <f>'Falcon-Adj'!D94</f>
        <v>0.0</v>
      </c>
      <c r="AU44" s="6">
        <f>'Falcon-Adj'!E94</f>
        <v>0.0</v>
      </c>
      <c r="AV44" s="6">
        <f>'Falcon-Adj'!F94</f>
        <v>0.0</v>
      </c>
      <c r="AW44" s="6">
        <f>'Falcon-Adj'!G94</f>
        <v>0.0</v>
      </c>
      <c r="AX44" s="6">
        <f>'Falcon-Adj'!H94</f>
        <v>0.0</v>
      </c>
      <c r="AY44" s="6">
        <f>'Falcon-Adj'!I94</f>
        <v>0.0</v>
      </c>
      <c r="AZ44" s="6">
        <f>'Falcon-Adj'!J94</f>
        <v>0.0</v>
      </c>
      <c r="BA44" s="6">
        <f>'Falcon-Adj'!K94</f>
        <v>0.0</v>
      </c>
      <c r="BB44" s="6">
        <f>'Falcon-Adj'!L94</f>
        <v>0.0</v>
      </c>
      <c r="BC44" s="6">
        <f>'Falcon-Adj'!M94</f>
        <v>0.0</v>
      </c>
      <c r="BD44" s="6">
        <f>'Falcon-Adj'!N94</f>
        <v>0.0</v>
      </c>
      <c r="BE44" s="6">
        <f>BD44</f>
        <v>0.0</v>
      </c>
      <c r="BG44" s="6">
        <f>C44+AE44+AS44</f>
        <v>-215.6</v>
      </c>
      <c r="BH44" s="6">
        <f>D44+AF44+AT44</f>
        <v>-214.8</v>
      </c>
      <c r="BI44" s="6">
        <f>E44+AG44+AU44</f>
        <v>-228.2</v>
      </c>
      <c r="BJ44" s="6">
        <f>F44+AH44+AV44</f>
        <v>-248.2</v>
      </c>
      <c r="BK44" s="6">
        <f>G44+AI44+AW44</f>
        <v>-228.3</v>
      </c>
      <c r="BL44" s="6">
        <f>H44+AJ44+AX44</f>
        <v>-238.4</v>
      </c>
      <c r="BM44" s="6">
        <f>I44+AK44+AY44</f>
        <v>-238.6</v>
      </c>
      <c r="BN44" s="6">
        <f>J44+AL44+AZ44</f>
        <v>-232.2</v>
      </c>
      <c r="BO44" s="6">
        <f>K44+AM44+BA44</f>
        <v>-238.2</v>
      </c>
      <c r="BP44" s="6">
        <f>L44+AN44+BB44</f>
        <v>-257.5</v>
      </c>
      <c r="BQ44" s="6">
        <f>M44+AO44+BC44</f>
        <v>-233.3</v>
      </c>
      <c r="BR44" s="6">
        <f>N44+AP44+BD44</f>
        <v>-255.5</v>
      </c>
      <c r="BS44" s="6">
        <f>BR44</f>
        <v>-255.5</v>
      </c>
    </row>
    <row r="45">
      <c r="B45" s="2" t="inlineStr">
        <is>
          <t>Total working capital</t>
        </is>
      </c>
      <c r="C45" s="6">
        <f>SUM(C40:C44)</f>
        <v>15670.7</v>
      </c>
      <c r="D45" s="6">
        <f>SUM(D40:D44)</f>
        <v>15838.7</v>
      </c>
      <c r="E45" s="6">
        <f>SUM(E40:E44)</f>
        <v>16775.399999999998</v>
      </c>
      <c r="F45" s="6">
        <f>SUM(F40:F44)</f>
        <v>18318.8</v>
      </c>
      <c r="G45" s="6">
        <f>SUM(G40:G44)</f>
        <v>16281.2</v>
      </c>
      <c r="H45" s="6">
        <f>SUM(H40:H44)</f>
        <v>16923.1</v>
      </c>
      <c r="I45" s="6">
        <f>SUM(I40:I44)</f>
        <v>16309.9</v>
      </c>
      <c r="J45" s="6">
        <f>SUM(J40:J44)</f>
        <v>15791.299999999997</v>
      </c>
      <c r="K45" s="6">
        <f>SUM(K40:K44)</f>
        <v>15721.999999999996</v>
      </c>
      <c r="L45" s="6">
        <f>SUM(L40:L44)</f>
        <v>17031.5</v>
      </c>
      <c r="M45" s="6">
        <f>SUM(M40:M44)</f>
        <v>15515.199999999997</v>
      </c>
      <c r="N45" s="6">
        <f>SUM(N40:N44)</f>
        <v>17060.2</v>
      </c>
      <c r="O45" s="6">
        <f>N45</f>
        <v>17060.2</v>
      </c>
      <c r="Q45" s="6">
        <f>SUM(Q40:Q44)</f>
        <v>15670.7</v>
      </c>
      <c r="R45" s="6">
        <f>SUM(R40:R44)</f>
        <v>15838.7</v>
      </c>
      <c r="S45" s="6">
        <f>SUM(S40:S44)</f>
        <v>16775.399999999998</v>
      </c>
      <c r="T45" s="6">
        <f>SUM(T40:T44)</f>
        <v>18318.8</v>
      </c>
      <c r="U45" s="6">
        <f>SUM(U40:U44)</f>
        <v>16281.2</v>
      </c>
      <c r="V45" s="6">
        <f>SUM(V40:V44)</f>
        <v>16923.1</v>
      </c>
      <c r="W45" s="6">
        <f>SUM(W40:W44)</f>
        <v>16309.9</v>
      </c>
      <c r="X45" s="6">
        <f>SUM(X40:X44)</f>
        <v>15791.299999999997</v>
      </c>
      <c r="Y45" s="6">
        <f>SUM(Y40:Y44)</f>
        <v>15721.999999999996</v>
      </c>
      <c r="Z45" s="6">
        <f>SUM(Z40:Z44)</f>
        <v>17031.5</v>
      </c>
      <c r="AA45" s="6">
        <f>SUM(AA40:AA44)</f>
        <v>15515.199999999997</v>
      </c>
      <c r="AB45" s="6">
        <f>SUM(AB40:AB44)</f>
        <v>17060.2</v>
      </c>
      <c r="AC45" s="6">
        <f>AB45</f>
        <v>17060.2</v>
      </c>
      <c r="AE45" s="6">
        <f>SUM(AE40:AE44)</f>
        <v>0.0</v>
      </c>
      <c r="AF45" s="6">
        <f>SUM(AF40:AF44)</f>
        <v>0.0</v>
      </c>
      <c r="AG45" s="6">
        <f>SUM(AG40:AG44)</f>
        <v>0.0</v>
      </c>
      <c r="AH45" s="6">
        <f>SUM(AH40:AH44)</f>
        <v>0.0</v>
      </c>
      <c r="AI45" s="6">
        <f>SUM(AI40:AI44)</f>
        <v>0.0</v>
      </c>
      <c r="AJ45" s="6">
        <f>SUM(AJ40:AJ44)</f>
        <v>0.0</v>
      </c>
      <c r="AK45" s="6">
        <f>SUM(AK40:AK44)</f>
        <v>0.0</v>
      </c>
      <c r="AL45" s="6">
        <f>SUM(AL40:AL44)</f>
        <v>0.0</v>
      </c>
      <c r="AM45" s="6">
        <f>SUM(AM40:AM44)</f>
        <v>0.0</v>
      </c>
      <c r="AN45" s="6">
        <f>SUM(AN40:AN44)</f>
        <v>0.0</v>
      </c>
      <c r="AO45" s="6">
        <f>SUM(AO40:AO44)</f>
        <v>0.0</v>
      </c>
      <c r="AP45" s="6">
        <f>SUM(AP40:AP44)</f>
        <v>0.0</v>
      </c>
      <c r="AQ45" s="6">
        <f>AP45</f>
        <v>0.0</v>
      </c>
      <c r="AS45" s="6">
        <f>SUM(AS40:AS44)</f>
        <v>0.0</v>
      </c>
      <c r="AT45" s="6">
        <f>SUM(AT40:AT44)</f>
        <v>0.0</v>
      </c>
      <c r="AU45" s="6">
        <f>SUM(AU40:AU44)</f>
        <v>0.0</v>
      </c>
      <c r="AV45" s="6">
        <f>SUM(AV40:AV44)</f>
        <v>0.0</v>
      </c>
      <c r="AW45" s="6">
        <f>SUM(AW40:AW44)</f>
        <v>0.0</v>
      </c>
      <c r="AX45" s="6">
        <f>SUM(AX40:AX44)</f>
        <v>0.0</v>
      </c>
      <c r="AY45" s="6">
        <f>SUM(AY40:AY44)</f>
        <v>0.0</v>
      </c>
      <c r="AZ45" s="6">
        <f>SUM(AZ40:AZ44)</f>
        <v>0.0</v>
      </c>
      <c r="BA45" s="6">
        <f>SUM(BA40:BA44)</f>
        <v>0.0</v>
      </c>
      <c r="BB45" s="6">
        <f>SUM(BB40:BB44)</f>
        <v>0.0</v>
      </c>
      <c r="BC45" s="6">
        <f>SUM(BC40:BC44)</f>
        <v>0.0</v>
      </c>
      <c r="BD45" s="6">
        <f>SUM(BD40:BD44)</f>
        <v>0.0</v>
      </c>
      <c r="BE45" s="6">
        <f>BD45</f>
        <v>0.0</v>
      </c>
      <c r="BG45" s="6">
        <f>SUM(BG40:BG44)</f>
        <v>15670.7</v>
      </c>
      <c r="BH45" s="6">
        <f>SUM(BH40:BH44)</f>
        <v>15838.7</v>
      </c>
      <c r="BI45" s="6">
        <f>SUM(BI40:BI44)</f>
        <v>16775.399999999998</v>
      </c>
      <c r="BJ45" s="6">
        <f>SUM(BJ40:BJ44)</f>
        <v>18318.8</v>
      </c>
      <c r="BK45" s="6">
        <f>SUM(BK40:BK44)</f>
        <v>16281.2</v>
      </c>
      <c r="BL45" s="6">
        <f>SUM(BL40:BL44)</f>
        <v>16923.1</v>
      </c>
      <c r="BM45" s="6">
        <f>SUM(BM40:BM44)</f>
        <v>16309.9</v>
      </c>
      <c r="BN45" s="6">
        <f>SUM(BN40:BN44)</f>
        <v>15791.299999999997</v>
      </c>
      <c r="BO45" s="6">
        <f>SUM(BO40:BO44)</f>
        <v>15721.999999999996</v>
      </c>
      <c r="BP45" s="6">
        <f>SUM(BP40:BP44)</f>
        <v>17031.5</v>
      </c>
      <c r="BQ45" s="6">
        <f>SUM(BQ40:BQ44)</f>
        <v>15515.199999999997</v>
      </c>
      <c r="BR45" s="6">
        <f>SUM(BR40:BR44)</f>
        <v>17060.2</v>
      </c>
      <c r="BS45" s="6">
        <f>BR45</f>
        <v>17060.2</v>
      </c>
    </row>
    <row r="46">
      <c r="B46" s="5" t="inlineStr">
        <is>
          <t>Working capital/sales (monthly)</t>
        </is>
      </c>
      <c r="C46" s="12">
        <f>IFERROR(C45/(C28*12),0)</f>
        <v>0.18174490510718644</v>
      </c>
      <c r="D46" s="12">
        <f>IFERROR(D45/(D28*12),0)</f>
        <v>0.1843012269139112</v>
      </c>
      <c r="E46" s="12">
        <f>IFERROR(E45/(E28*12),0)</f>
        <v>0.18375944791324347</v>
      </c>
      <c r="F46" s="12">
        <f>IFERROR(F45/(F28*12),0)</f>
        <v>0.18453064497282223</v>
      </c>
      <c r="G46" s="12">
        <f>IFERROR(G45/(G28*12),0)</f>
        <v>0.1782943699050773</v>
      </c>
      <c r="H46" s="12">
        <f>IFERROR(H45/(H28*12),0)</f>
        <v>0.17746464989660277</v>
      </c>
      <c r="I46" s="12">
        <f>IFERROR(I45/(I28*12),0)</f>
        <v>0.17086444740569395</v>
      </c>
      <c r="J46" s="12">
        <f>IFERROR(J45/(J28*12),0)</f>
        <v>0.17001171358560604</v>
      </c>
      <c r="K46" s="12">
        <f>IFERROR(K45/(K28*12),0)</f>
        <v>0.1714586087009627</v>
      </c>
      <c r="L46" s="12">
        <f>IFERROR(L45/(L28*12),0)</f>
        <v>0.1713623667857948</v>
      </c>
      <c r="M46" s="12">
        <f>IFERROR(M45/(M28*12),0)</f>
        <v>0.17296535609334096</v>
      </c>
      <c r="N46" s="12">
        <f>IFERROR(N45/(N28*12),0)</f>
        <v>0.17305101800683273</v>
      </c>
      <c r="Q46" s="12">
        <f>IFERROR(Q45/(Q28*12),0)</f>
        <v>0.18174490510718644</v>
      </c>
      <c r="R46" s="12">
        <f>IFERROR(R45/(R28*12),0)</f>
        <v>0.1843012269139112</v>
      </c>
      <c r="S46" s="12">
        <f>IFERROR(S45/(S28*12),0)</f>
        <v>0.18375944791324347</v>
      </c>
      <c r="T46" s="12">
        <f>IFERROR(T45/(T28*12),0)</f>
        <v>0.18453064497282223</v>
      </c>
      <c r="U46" s="12">
        <f>IFERROR(U45/(U28*12),0)</f>
        <v>0.1782943699050773</v>
      </c>
      <c r="V46" s="12">
        <f>IFERROR(V45/(V28*12),0)</f>
        <v>0.17746464989660277</v>
      </c>
      <c r="W46" s="12">
        <f>IFERROR(W45/(W28*12),0)</f>
        <v>0.17086444740569395</v>
      </c>
      <c r="X46" s="12">
        <f>IFERROR(X45/(X28*12),0)</f>
        <v>0.17001171358560604</v>
      </c>
      <c r="Y46" s="12">
        <f>IFERROR(Y45/(Y28*12),0)</f>
        <v>0.1714586087009627</v>
      </c>
      <c r="Z46" s="12">
        <f>IFERROR(Z45/(Z28*12),0)</f>
        <v>0.1713623667857948</v>
      </c>
      <c r="AA46" s="12">
        <f>IFERROR(AA45/(AA28*12),0)</f>
        <v>0.17296535609334096</v>
      </c>
      <c r="AB46" s="12">
        <f>IFERROR(AB45/(AB28*12),0)</f>
        <v>0.17305101800683273</v>
      </c>
      <c r="AE46" s="12">
        <f>IFERROR(AE45/(AE28*12),0)</f>
        <v>0.0</v>
      </c>
      <c r="AF46" s="12">
        <f>IFERROR(AF45/(AF28*12),0)</f>
        <v>0.0</v>
      </c>
      <c r="AG46" s="12">
        <f>IFERROR(AG45/(AG28*12),0)</f>
        <v>0.0</v>
      </c>
      <c r="AH46" s="12">
        <f>IFERROR(AH45/(AH28*12),0)</f>
        <v>0.0</v>
      </c>
      <c r="AI46" s="12">
        <f>IFERROR(AI45/(AI28*12),0)</f>
        <v>0.0</v>
      </c>
      <c r="AJ46" s="12">
        <f>IFERROR(AJ45/(AJ28*12),0)</f>
        <v>0.0</v>
      </c>
      <c r="AK46" s="12">
        <f>IFERROR(AK45/(AK28*12),0)</f>
        <v>0.0</v>
      </c>
      <c r="AL46" s="12">
        <f>IFERROR(AL45/(AL28*12),0)</f>
        <v>0.0</v>
      </c>
      <c r="AM46" s="12">
        <f>IFERROR(AM45/(AM28*12),0)</f>
        <v>0.0</v>
      </c>
      <c r="AN46" s="12">
        <f>IFERROR(AN45/(AN28*12),0)</f>
        <v>0.0</v>
      </c>
      <c r="AO46" s="12">
        <f>IFERROR(AO45/(AO28*12),0)</f>
        <v>0.0</v>
      </c>
      <c r="AP46" s="12">
        <f>IFERROR(AP45/(AP28*12),0)</f>
        <v>0.0</v>
      </c>
      <c r="AS46" s="12">
        <f>IFERROR(AS45/(AS28*12),0)</f>
        <v>0.0</v>
      </c>
      <c r="AT46" s="12">
        <f>IFERROR(AT45/(AT28*12),0)</f>
        <v>0.0</v>
      </c>
      <c r="AU46" s="12">
        <f>IFERROR(AU45/(AU28*12),0)</f>
        <v>0.0</v>
      </c>
      <c r="AV46" s="12">
        <f>IFERROR(AV45/(AV28*12),0)</f>
        <v>0.0</v>
      </c>
      <c r="AW46" s="12">
        <f>IFERROR(AW45/(AW28*12),0)</f>
        <v>0.0</v>
      </c>
      <c r="AX46" s="12">
        <f>IFERROR(AX45/(AX28*12),0)</f>
        <v>0.0</v>
      </c>
      <c r="AY46" s="12">
        <f>IFERROR(AY45/(AY28*12),0)</f>
        <v>0.0</v>
      </c>
      <c r="AZ46" s="12">
        <f>IFERROR(AZ45/(AZ28*12),0)</f>
        <v>0.0</v>
      </c>
      <c r="BA46" s="12">
        <f>IFERROR(BA45/(BA28*12),0)</f>
        <v>0.0</v>
      </c>
      <c r="BB46" s="12">
        <f>IFERROR(BB45/(BB28*12),0)</f>
        <v>0.0</v>
      </c>
      <c r="BC46" s="12">
        <f>IFERROR(BC45/(BC28*12),0)</f>
        <v>0.0</v>
      </c>
      <c r="BD46" s="12">
        <f>IFERROR(BD45/(BD28*12),0)</f>
        <v>0.0</v>
      </c>
      <c r="BG46" s="12">
        <f>IFERROR(BG45/(BG28*12),0)</f>
        <v>0.18174490510718644</v>
      </c>
      <c r="BH46" s="12">
        <f>IFERROR(BH45/(BH28*12),0)</f>
        <v>0.1843012269139112</v>
      </c>
      <c r="BI46" s="12">
        <f>IFERROR(BI45/(BI28*12),0)</f>
        <v>0.18375944791324347</v>
      </c>
      <c r="BJ46" s="12">
        <f>IFERROR(BJ45/(BJ28*12),0)</f>
        <v>0.18453064497282223</v>
      </c>
      <c r="BK46" s="12">
        <f>IFERROR(BK45/(BK28*12),0)</f>
        <v>0.1782943699050773</v>
      </c>
      <c r="BL46" s="12">
        <f>IFERROR(BL45/(BL28*12),0)</f>
        <v>0.17746464989660277</v>
      </c>
      <c r="BM46" s="12">
        <f>IFERROR(BM45/(BM28*12),0)</f>
        <v>0.17086444740569395</v>
      </c>
      <c r="BN46" s="12">
        <f>IFERROR(BN45/(BN28*12),0)</f>
        <v>0.17001171358560604</v>
      </c>
      <c r="BO46" s="12">
        <f>IFERROR(BO45/(BO28*12),0)</f>
        <v>0.16498138424019573</v>
      </c>
      <c r="BP46" s="12">
        <f>IFERROR(BP45/(BP28*12),0)</f>
        <v>0.1653723511682824</v>
      </c>
      <c r="BQ46" s="12">
        <f>IFERROR(BQ45/(BQ28*12),0)</f>
        <v>0.1662915375150587</v>
      </c>
      <c r="BR46" s="12">
        <f>IFERROR(BR45/(BR28*12),0)</f>
        <v>0.16695438069067026</v>
      </c>
    </row>
    <row r="49">
      <c r="B49" s="8" t="inlineStr">
        <is>
          <t>Budget 2026</t>
        </is>
      </c>
    </row>
    <row r="50">
      <c r="C50" s="20" t="inlineStr">
        <is>
          <t>January</t>
        </is>
      </c>
      <c r="D50" s="20" t="inlineStr">
        <is>
          <t>February</t>
        </is>
      </c>
      <c r="E50" s="20" t="inlineStr">
        <is>
          <t>March</t>
        </is>
      </c>
      <c r="F50" s="20" t="inlineStr">
        <is>
          <t>April</t>
        </is>
      </c>
      <c r="G50" s="20" t="inlineStr">
        <is>
          <t>May</t>
        </is>
      </c>
      <c r="H50" s="20" t="inlineStr">
        <is>
          <t>June</t>
        </is>
      </c>
      <c r="I50" s="20" t="inlineStr">
        <is>
          <t>July</t>
        </is>
      </c>
      <c r="J50" s="20" t="inlineStr">
        <is>
          <t>August</t>
        </is>
      </c>
      <c r="K50" s="20" t="inlineStr">
        <is>
          <t>September</t>
        </is>
      </c>
      <c r="L50" s="20" t="inlineStr">
        <is>
          <t>October</t>
        </is>
      </c>
      <c r="M50" s="20" t="inlineStr">
        <is>
          <t>November</t>
        </is>
      </c>
      <c r="N50" s="20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6" t="n">
        <v>6729.1</v>
      </c>
      <c r="D51" s="6" t="n">
        <v>6587.6</v>
      </c>
      <c r="E51" s="6" t="n">
        <v>7083.3</v>
      </c>
      <c r="F51" s="6" t="n">
        <v>7650.1</v>
      </c>
      <c r="G51" s="6" t="n">
        <v>6941.7</v>
      </c>
      <c r="H51" s="6" t="n">
        <v>7295.9</v>
      </c>
      <c r="I51" s="6" t="n">
        <v>7225</v>
      </c>
      <c r="J51" s="6" t="n">
        <v>7083.3</v>
      </c>
      <c r="K51" s="6" t="n">
        <v>6941.7</v>
      </c>
      <c r="L51" s="6" t="n">
        <v>7437.4</v>
      </c>
      <c r="M51" s="6" t="n">
        <v>6729.1</v>
      </c>
      <c r="N51" s="6" t="n">
        <v>7295.8</v>
      </c>
      <c r="O51" s="6">
        <f>SUM(C51:N51)</f>
        <v>85000.0</v>
      </c>
    </row>
    <row r="52">
      <c r="B52" t="inlineStr">
        <is>
          <t>Gross Margin</t>
        </is>
      </c>
      <c r="C52" s="6" t="n">
        <v>2355.2</v>
      </c>
      <c r="D52" s="6" t="n">
        <v>2305.6</v>
      </c>
      <c r="E52" s="6" t="n">
        <v>2479.2</v>
      </c>
      <c r="F52" s="6" t="n">
        <v>2677.6</v>
      </c>
      <c r="G52" s="6" t="n">
        <v>2429.6</v>
      </c>
      <c r="H52" s="6" t="n">
        <v>2553.6</v>
      </c>
      <c r="I52" s="6" t="n">
        <v>2528.7</v>
      </c>
      <c r="J52" s="6" t="n">
        <v>2479.1</v>
      </c>
      <c r="K52" s="6" t="n">
        <v>2429.6</v>
      </c>
      <c r="L52" s="6" t="n">
        <v>2603.2</v>
      </c>
      <c r="M52" s="6" t="n">
        <v>2355.2</v>
      </c>
      <c r="N52" s="6" t="n">
        <v>2553.5</v>
      </c>
      <c r="O52" s="6">
        <f>SUM(C52:N52)</f>
        <v>29750.1</v>
      </c>
    </row>
    <row r="53">
      <c r="B53" t="inlineStr">
        <is>
          <t>Op Costs</t>
        </is>
      </c>
      <c r="C53" s="6" t="n">
        <v>-1359</v>
      </c>
      <c r="D53" s="6" t="n">
        <v>-1330.3</v>
      </c>
      <c r="E53" s="6" t="n">
        <v>-1430.6</v>
      </c>
      <c r="F53" s="6" t="n">
        <v>-1545.4</v>
      </c>
      <c r="G53" s="6" t="n">
        <v>-1402.1</v>
      </c>
      <c r="H53" s="6" t="n">
        <v>-1473.6</v>
      </c>
      <c r="I53" s="6" t="n">
        <v>-1459.5</v>
      </c>
      <c r="J53" s="6" t="n">
        <v>-1430.6</v>
      </c>
      <c r="K53" s="6" t="n">
        <v>-1402.1</v>
      </c>
      <c r="L53" s="6" t="n">
        <v>-1502.2</v>
      </c>
      <c r="M53" s="6" t="n">
        <v>-1359</v>
      </c>
      <c r="N53" s="6" t="n">
        <v>-1473.6</v>
      </c>
      <c r="O53" s="6">
        <f>SUM(C53:N53)</f>
        <v>-17168.0</v>
      </c>
    </row>
    <row r="54">
      <c r="B54" t="inlineStr">
        <is>
          <t>PBITA</t>
        </is>
      </c>
      <c r="C54" s="6">
        <f>C52+C53</f>
        <v>996.1999999999998</v>
      </c>
      <c r="D54" s="6">
        <f>D52+D53</f>
        <v>975.3</v>
      </c>
      <c r="E54" s="6">
        <f>E52+E53</f>
        <v>1048.6</v>
      </c>
      <c r="F54" s="6">
        <f>F52+F53</f>
        <v>1132.1999999999998</v>
      </c>
      <c r="G54" s="6">
        <f>G52+G53</f>
        <v>1027.5</v>
      </c>
      <c r="H54" s="6">
        <f>H52+H53</f>
        <v>1080.0</v>
      </c>
      <c r="I54" s="6">
        <f>I52+I53</f>
        <v>1069.1999999999998</v>
      </c>
      <c r="J54" s="6">
        <f>J52+J53</f>
        <v>1048.5</v>
      </c>
      <c r="K54" s="6">
        <f>K52+K53</f>
        <v>1027.5</v>
      </c>
      <c r="L54" s="6">
        <f>L52+L53</f>
        <v>1100.9999999999998</v>
      </c>
      <c r="M54" s="6">
        <f>M52+M53</f>
        <v>996.1999999999998</v>
      </c>
      <c r="N54" s="6">
        <f>N52+N53</f>
        <v>1079.9</v>
      </c>
      <c r="O54" s="6">
        <f>SUM(C54:N54)</f>
        <v>12582.1</v>
      </c>
    </row>
    <row r="55">
      <c r="B55" t="inlineStr">
        <is>
          <t>Net Inventory</t>
        </is>
      </c>
      <c r="C55" s="6" t="n">
        <v>10919.1</v>
      </c>
      <c r="D55" s="6" t="n">
        <v>10693.3</v>
      </c>
      <c r="E55" s="6" t="n">
        <v>11745.8</v>
      </c>
      <c r="F55" s="6" t="n">
        <v>12594.8</v>
      </c>
      <c r="G55" s="6" t="n">
        <v>11294.6</v>
      </c>
      <c r="H55" s="6" t="n">
        <v>11810.9</v>
      </c>
      <c r="I55" s="6" t="n">
        <v>11952</v>
      </c>
      <c r="J55" s="6" t="n">
        <v>11486.4</v>
      </c>
      <c r="K55" s="6" t="n">
        <v>11511.4</v>
      </c>
      <c r="L55" s="6" t="n">
        <v>12042.1</v>
      </c>
      <c r="M55" s="6" t="n">
        <v>11002</v>
      </c>
      <c r="N55" s="6" t="n">
        <v>11806.1</v>
      </c>
      <c r="O55" s="6">
        <f>N55</f>
        <v>11806.1</v>
      </c>
    </row>
    <row r="56">
      <c r="B56" t="inlineStr">
        <is>
          <t>Trade Receivables</t>
        </is>
      </c>
      <c r="C56" s="6" t="n">
        <v>10093.6</v>
      </c>
      <c r="D56" s="6" t="n">
        <v>9881.4</v>
      </c>
      <c r="E56" s="6" t="n">
        <v>10625</v>
      </c>
      <c r="F56" s="6" t="n">
        <v>11475.1</v>
      </c>
      <c r="G56" s="6" t="n">
        <v>10412.5</v>
      </c>
      <c r="H56" s="6" t="n">
        <v>10943.9</v>
      </c>
      <c r="I56" s="6" t="n">
        <v>10837.5</v>
      </c>
      <c r="J56" s="6" t="n">
        <v>10625</v>
      </c>
      <c r="K56" s="6" t="n">
        <v>10412.5</v>
      </c>
      <c r="L56" s="6" t="n">
        <v>11156.1</v>
      </c>
      <c r="M56" s="6" t="n">
        <v>10093.6</v>
      </c>
      <c r="N56" s="6" t="n">
        <v>10943.7</v>
      </c>
      <c r="O56" s="6">
        <f>N56</f>
        <v>10943.7</v>
      </c>
    </row>
    <row r="57">
      <c r="B57" t="inlineStr">
        <is>
          <t>Other Receivables</t>
        </is>
      </c>
      <c r="C57" s="6" t="n">
        <v>100.9</v>
      </c>
      <c r="D57" s="6" t="n">
        <v>98.8</v>
      </c>
      <c r="E57" s="6" t="n">
        <v>106.2</v>
      </c>
      <c r="F57" s="6" t="n">
        <v>114.8</v>
      </c>
      <c r="G57" s="6" t="n">
        <v>104.1</v>
      </c>
      <c r="H57" s="6" t="n">
        <v>109.4</v>
      </c>
      <c r="I57" s="6" t="n">
        <v>108.4</v>
      </c>
      <c r="J57" s="6" t="n">
        <v>106.2</v>
      </c>
      <c r="K57" s="6" t="n">
        <v>104.1</v>
      </c>
      <c r="L57" s="6" t="n">
        <v>111.6</v>
      </c>
      <c r="M57" s="6" t="n">
        <v>100.9</v>
      </c>
      <c r="N57" s="6" t="n">
        <v>109.4</v>
      </c>
      <c r="O57" s="6">
        <f>N57</f>
        <v>109.4</v>
      </c>
    </row>
    <row r="58">
      <c r="B58" t="inlineStr">
        <is>
          <t>Trade Payables</t>
        </is>
      </c>
      <c r="C58" s="6" t="n">
        <v>-6123.5</v>
      </c>
      <c r="D58" s="6" t="n">
        <v>-5994.8</v>
      </c>
      <c r="E58" s="6" t="n">
        <v>-6445.7</v>
      </c>
      <c r="F58" s="6" t="n">
        <v>-6961.5</v>
      </c>
      <c r="G58" s="6" t="n">
        <v>-6316.9</v>
      </c>
      <c r="H58" s="6" t="n">
        <v>-6639.2</v>
      </c>
      <c r="I58" s="6" t="n">
        <v>-6574.8</v>
      </c>
      <c r="J58" s="6" t="n">
        <v>-6445.9</v>
      </c>
      <c r="K58" s="6" t="n">
        <v>-6316.9</v>
      </c>
      <c r="L58" s="6" t="n">
        <v>-6767.9</v>
      </c>
      <c r="M58" s="6" t="n">
        <v>-6123.5</v>
      </c>
      <c r="N58" s="6" t="n">
        <v>-6639.2</v>
      </c>
      <c r="O58" s="6">
        <f>N58</f>
        <v>-6639.2</v>
      </c>
    </row>
    <row r="59">
      <c r="B59" t="inlineStr">
        <is>
          <t>Other Payables</t>
        </is>
      </c>
      <c r="C59" s="6" t="n">
        <v>-201.9</v>
      </c>
      <c r="D59" s="6" t="n">
        <v>-197.6</v>
      </c>
      <c r="E59" s="6" t="n">
        <v>-212.5</v>
      </c>
      <c r="F59" s="6" t="n">
        <v>-229.5</v>
      </c>
      <c r="G59" s="6" t="n">
        <v>-208.3</v>
      </c>
      <c r="H59" s="6" t="n">
        <v>-218.9</v>
      </c>
      <c r="I59" s="6" t="n">
        <v>-216.8</v>
      </c>
      <c r="J59" s="6" t="n">
        <v>-212.5</v>
      </c>
      <c r="K59" s="6" t="n">
        <v>-208.3</v>
      </c>
      <c r="L59" s="6" t="n">
        <v>-223.1</v>
      </c>
      <c r="M59" s="6" t="n">
        <v>-201.9</v>
      </c>
      <c r="N59" s="6" t="n">
        <v>-218.9</v>
      </c>
      <c r="O59" s="6">
        <f>N59</f>
        <v>-218.9</v>
      </c>
    </row>
    <row r="60">
      <c r="B60" t="inlineStr">
        <is>
          <t>Total working capital</t>
        </is>
      </c>
      <c r="C60" s="6">
        <f>SUM(C55:C59)</f>
        <v>14788.200000000003</v>
      </c>
      <c r="D60" s="6">
        <f>SUM(D55:D59)</f>
        <v>14481.099999999997</v>
      </c>
      <c r="E60" s="6">
        <f>SUM(E55:E59)</f>
        <v>15818.8</v>
      </c>
      <c r="F60" s="6">
        <f>SUM(F55:F59)</f>
        <v>16993.7</v>
      </c>
      <c r="G60" s="6">
        <f>SUM(G55:G59)</f>
        <v>15285.999999999998</v>
      </c>
      <c r="H60" s="6">
        <f>SUM(H55:H59)</f>
        <v>16006.1</v>
      </c>
      <c r="I60" s="6">
        <f>SUM(I55:I59)</f>
        <v>16106.300000000003</v>
      </c>
      <c r="J60" s="6">
        <f>SUM(J55:J59)</f>
        <v>15559.200000000003</v>
      </c>
      <c r="K60" s="6">
        <f>SUM(K55:K59)</f>
        <v>15502.800000000001</v>
      </c>
      <c r="L60" s="6">
        <f>SUM(L55:L59)</f>
        <v>16318.800000000001</v>
      </c>
      <c r="M60" s="6">
        <f>SUM(M55:M59)</f>
        <v>14871.1</v>
      </c>
      <c r="N60" s="6">
        <f>SUM(N55:N59)</f>
        <v>16001.100000000004</v>
      </c>
      <c r="O60" s="6">
        <f>N60</f>
        <v>16001.100000000004</v>
      </c>
    </row>
    <row r="62">
      <c r="B62" s="8" t="inlineStr">
        <is>
          <t>2025 Actual</t>
        </is>
      </c>
    </row>
    <row r="63">
      <c r="C63" s="20" t="inlineStr">
        <is>
          <t>January</t>
        </is>
      </c>
      <c r="D63" s="20" t="inlineStr">
        <is>
          <t>February</t>
        </is>
      </c>
      <c r="E63" s="20" t="inlineStr">
        <is>
          <t>March</t>
        </is>
      </c>
      <c r="F63" s="20" t="inlineStr">
        <is>
          <t>April</t>
        </is>
      </c>
      <c r="G63" s="20" t="inlineStr">
        <is>
          <t>May</t>
        </is>
      </c>
      <c r="H63" s="20" t="inlineStr">
        <is>
          <t>June</t>
        </is>
      </c>
      <c r="I63" s="20" t="inlineStr">
        <is>
          <t>July</t>
        </is>
      </c>
      <c r="J63" s="20" t="inlineStr">
        <is>
          <t>August</t>
        </is>
      </c>
      <c r="K63" s="20" t="inlineStr">
        <is>
          <t>September</t>
        </is>
      </c>
      <c r="L63" s="20" t="inlineStr">
        <is>
          <t>October</t>
        </is>
      </c>
      <c r="M63" s="20" t="inlineStr">
        <is>
          <t>November</t>
        </is>
      </c>
      <c r="N63" s="20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6" t="n">
        <v>6299</v>
      </c>
      <c r="D64" s="6" t="n">
        <v>6212.2</v>
      </c>
      <c r="E64" s="6" t="n">
        <v>6633.1</v>
      </c>
      <c r="F64" s="6" t="n">
        <v>7225.1</v>
      </c>
      <c r="G64" s="6" t="n">
        <v>6401.6</v>
      </c>
      <c r="H64" s="6" t="n">
        <v>6953.4</v>
      </c>
      <c r="I64" s="6" t="n">
        <v>6740.8</v>
      </c>
      <c r="J64" s="6" t="n">
        <v>6523.8</v>
      </c>
      <c r="K64" s="6" t="n">
        <v>6534.3</v>
      </c>
      <c r="L64" s="6" t="n">
        <v>6943.3</v>
      </c>
      <c r="M64" s="6" t="n">
        <v>6180.7</v>
      </c>
      <c r="N64" s="6" t="n">
        <v>6936</v>
      </c>
      <c r="O64" s="6">
        <f>SUM(C64:N64)</f>
        <v>79583.3</v>
      </c>
    </row>
    <row r="65">
      <c r="B65" t="inlineStr">
        <is>
          <t>Gross Margin</t>
        </is>
      </c>
      <c r="C65" s="6" t="n">
        <v>2189.8</v>
      </c>
      <c r="D65" s="6" t="n">
        <v>2169.3</v>
      </c>
      <c r="E65" s="6" t="n">
        <v>2271.8</v>
      </c>
      <c r="F65" s="6" t="n">
        <v>2472.1</v>
      </c>
      <c r="G65" s="6" t="n">
        <v>2201</v>
      </c>
      <c r="H65" s="6" t="n">
        <v>2416.6</v>
      </c>
      <c r="I65" s="6" t="n">
        <v>2327.3</v>
      </c>
      <c r="J65" s="6" t="n">
        <v>2263.8</v>
      </c>
      <c r="K65" s="6" t="n">
        <v>2235.3</v>
      </c>
      <c r="L65" s="6" t="n">
        <v>2429.4</v>
      </c>
      <c r="M65" s="6" t="n">
        <v>2147.5</v>
      </c>
      <c r="N65" s="6" t="n">
        <v>2394.7</v>
      </c>
      <c r="O65" s="6">
        <f>SUM(C65:N65)</f>
        <v>27518.600000000002</v>
      </c>
    </row>
    <row r="66">
      <c r="B66" t="inlineStr">
        <is>
          <t>Op Costs</t>
        </is>
      </c>
      <c r="C66" s="6" t="n">
        <v>-1293.8</v>
      </c>
      <c r="D66" s="6" t="n">
        <v>-1284.1</v>
      </c>
      <c r="E66" s="6" t="n">
        <v>-1371.9</v>
      </c>
      <c r="F66" s="6" t="n">
        <v>-1475.9</v>
      </c>
      <c r="G66" s="6" t="n">
        <v>-1337.9</v>
      </c>
      <c r="H66" s="6" t="n">
        <v>-1425.4</v>
      </c>
      <c r="I66" s="6" t="n">
        <v>-1421.1</v>
      </c>
      <c r="J66" s="6" t="n">
        <v>-1374.3</v>
      </c>
      <c r="K66" s="6" t="n">
        <v>-1345.3</v>
      </c>
      <c r="L66" s="6" t="n">
        <v>-1440.8</v>
      </c>
      <c r="M66" s="6" t="n">
        <v>-1301.1</v>
      </c>
      <c r="N66" s="6" t="n">
        <v>-1409.2</v>
      </c>
      <c r="O66" s="6">
        <f>SUM(C66:N66)</f>
        <v>-16480.8</v>
      </c>
    </row>
    <row r="67">
      <c r="B67" t="inlineStr">
        <is>
          <t>PBITA</t>
        </is>
      </c>
      <c r="C67" s="6">
        <f>C65+C66</f>
        <v>896.0000000000002</v>
      </c>
      <c r="D67" s="6">
        <f>D65+D66</f>
        <v>885.2000000000003</v>
      </c>
      <c r="E67" s="6">
        <f>E65+E66</f>
        <v>899.9000000000001</v>
      </c>
      <c r="F67" s="6">
        <f>F65+F66</f>
        <v>996.1999999999998</v>
      </c>
      <c r="G67" s="6">
        <f>G65+G66</f>
        <v>863.0999999999999</v>
      </c>
      <c r="H67" s="6">
        <f>H65+H66</f>
        <v>991.1999999999998</v>
      </c>
      <c r="I67" s="6">
        <f>I65+I66</f>
        <v>906.2000000000003</v>
      </c>
      <c r="J67" s="6">
        <f>J65+J66</f>
        <v>889.5000000000002</v>
      </c>
      <c r="K67" s="6">
        <f>K65+K66</f>
        <v>890.0000000000002</v>
      </c>
      <c r="L67" s="6">
        <f>L65+L66</f>
        <v>988.6000000000001</v>
      </c>
      <c r="M67" s="6">
        <f>M65+M66</f>
        <v>846.4000000000001</v>
      </c>
      <c r="N67" s="6">
        <f>N65+N66</f>
        <v>985.4999999999998</v>
      </c>
      <c r="O67" s="6">
        <f>SUM(C67:N67)</f>
        <v>11037.8</v>
      </c>
    </row>
    <row r="68">
      <c r="B68" t="inlineStr">
        <is>
          <t>Net Inventory</t>
        </is>
      </c>
      <c r="C68" s="6" t="n">
        <v>11352.2</v>
      </c>
      <c r="D68" s="6" t="n">
        <v>11212.4</v>
      </c>
      <c r="E68" s="6" t="n">
        <v>12250.7</v>
      </c>
      <c r="F68" s="6" t="n">
        <v>13290.4</v>
      </c>
      <c r="G68" s="6" t="n">
        <v>11646.9</v>
      </c>
      <c r="H68" s="6" t="n">
        <v>12941.9</v>
      </c>
      <c r="I68" s="6" t="n">
        <v>12533.2</v>
      </c>
      <c r="J68" s="6" t="n">
        <v>11892.3</v>
      </c>
      <c r="K68" s="6" t="n">
        <v>11986.1</v>
      </c>
      <c r="L68" s="6" t="n">
        <v>12885.9</v>
      </c>
      <c r="M68" s="6" t="n">
        <v>11212.1</v>
      </c>
      <c r="N68" s="6" t="n">
        <v>12676.8</v>
      </c>
      <c r="O68" s="6">
        <f>N68</f>
        <v>12676.8</v>
      </c>
    </row>
    <row r="69">
      <c r="B69" t="inlineStr">
        <is>
          <t>Trade Receivables</t>
        </is>
      </c>
      <c r="C69" s="6" t="n">
        <v>9658.5</v>
      </c>
      <c r="D69" s="6" t="n">
        <v>9525.4</v>
      </c>
      <c r="E69" s="6" t="n">
        <v>10170.8</v>
      </c>
      <c r="F69" s="6" t="n">
        <v>11078.5</v>
      </c>
      <c r="G69" s="6" t="n">
        <v>9815.799999999999</v>
      </c>
      <c r="H69" s="6" t="n">
        <v>10661.9</v>
      </c>
      <c r="I69" s="6" t="n">
        <v>10335.9</v>
      </c>
      <c r="J69" s="6" t="n">
        <v>10003.2</v>
      </c>
      <c r="K69" s="6" t="n">
        <v>10019.3</v>
      </c>
      <c r="L69" s="6" t="n">
        <v>10646.4</v>
      </c>
      <c r="M69" s="6" t="n">
        <v>9477.1</v>
      </c>
      <c r="N69" s="6" t="n">
        <v>10635.2</v>
      </c>
      <c r="O69" s="6">
        <f>N69</f>
        <v>10635.2</v>
      </c>
    </row>
    <row r="70">
      <c r="B70" t="inlineStr">
        <is>
          <t>Other Receivables</t>
        </is>
      </c>
      <c r="C70" s="6" t="n">
        <v>94.5</v>
      </c>
      <c r="D70" s="6" t="n">
        <v>93.2</v>
      </c>
      <c r="E70" s="6" t="n">
        <v>99.5</v>
      </c>
      <c r="F70" s="6" t="n">
        <v>108.4</v>
      </c>
      <c r="G70" s="6" t="n">
        <v>96</v>
      </c>
      <c r="H70" s="6" t="n">
        <v>104.3</v>
      </c>
      <c r="I70" s="6" t="n">
        <v>101.1</v>
      </c>
      <c r="J70" s="6" t="n">
        <v>97.90000000000001</v>
      </c>
      <c r="K70" s="6" t="n">
        <v>98</v>
      </c>
      <c r="L70" s="6" t="n">
        <v>104.1</v>
      </c>
      <c r="M70" s="6" t="n">
        <v>92.7</v>
      </c>
      <c r="N70" s="6" t="n">
        <v>104</v>
      </c>
      <c r="O70" s="6">
        <f>N70</f>
        <v>104.0</v>
      </c>
    </row>
    <row r="71">
      <c r="B71" t="inlineStr">
        <is>
          <t>Trade Payables</t>
        </is>
      </c>
      <c r="C71" s="6" t="n">
        <v>-5615.9</v>
      </c>
      <c r="D71" s="6" t="n">
        <v>-5525.3</v>
      </c>
      <c r="E71" s="6" t="n">
        <v>-5960.4</v>
      </c>
      <c r="F71" s="6" t="n">
        <v>-6495.8</v>
      </c>
      <c r="G71" s="6" t="n">
        <v>-5740.8</v>
      </c>
      <c r="H71" s="6" t="n">
        <v>-6200.3</v>
      </c>
      <c r="I71" s="6" t="n">
        <v>-6031.8</v>
      </c>
      <c r="J71" s="6" t="n">
        <v>-5822</v>
      </c>
      <c r="K71" s="6" t="n">
        <v>-5875.3</v>
      </c>
      <c r="L71" s="6" t="n">
        <v>-6169</v>
      </c>
      <c r="M71" s="6" t="n">
        <v>-5512</v>
      </c>
      <c r="N71" s="6" t="n">
        <v>-6206.4</v>
      </c>
      <c r="O71" s="6">
        <f>N71</f>
        <v>-6206.4</v>
      </c>
    </row>
    <row r="72">
      <c r="B72" t="inlineStr">
        <is>
          <t>Other Payables</t>
        </is>
      </c>
      <c r="C72" s="6" t="n">
        <v>-189</v>
      </c>
      <c r="D72" s="6" t="n">
        <v>-186.4</v>
      </c>
      <c r="E72" s="6" t="n">
        <v>-199</v>
      </c>
      <c r="F72" s="6" t="n">
        <v>-216.8</v>
      </c>
      <c r="G72" s="6" t="n">
        <v>-192</v>
      </c>
      <c r="H72" s="6" t="n">
        <v>-208.6</v>
      </c>
      <c r="I72" s="6" t="n">
        <v>-202.2</v>
      </c>
      <c r="J72" s="6" t="n">
        <v>-195.7</v>
      </c>
      <c r="K72" s="6" t="n">
        <v>-196</v>
      </c>
      <c r="L72" s="6" t="n">
        <v>-208.3</v>
      </c>
      <c r="M72" s="6" t="n">
        <v>-185.4</v>
      </c>
      <c r="N72" s="6" t="n">
        <v>-208.1</v>
      </c>
      <c r="O72" s="6">
        <f>N72</f>
        <v>-208.1</v>
      </c>
    </row>
    <row r="73">
      <c r="B73" t="inlineStr">
        <is>
          <t>Total working capital</t>
        </is>
      </c>
      <c r="C73" s="6">
        <f>SUM(C68:C72)</f>
        <v>15300.300000000001</v>
      </c>
      <c r="D73" s="6">
        <f>SUM(D68:D72)</f>
        <v>15119.300000000001</v>
      </c>
      <c r="E73" s="6">
        <f>SUM(E68:E72)</f>
        <v>16361.599999999999</v>
      </c>
      <c r="F73" s="6">
        <f>SUM(F68:F72)</f>
        <v>17764.700000000004</v>
      </c>
      <c r="G73" s="6">
        <f>SUM(G68:G72)</f>
        <v>15625.899999999998</v>
      </c>
      <c r="H73" s="6">
        <f>SUM(H68:H72)</f>
        <v>17299.2</v>
      </c>
      <c r="I73" s="6">
        <f>SUM(I68:I72)</f>
        <v>16736.199999999997</v>
      </c>
      <c r="J73" s="6">
        <f>SUM(J68:J72)</f>
        <v>15975.7</v>
      </c>
      <c r="K73" s="6">
        <f>SUM(K68:K72)</f>
        <v>16032.100000000002</v>
      </c>
      <c r="L73" s="6">
        <f>SUM(L68:L72)</f>
        <v>17259.1</v>
      </c>
      <c r="M73" s="6">
        <f>SUM(M68:M72)</f>
        <v>15084.500000000002</v>
      </c>
      <c r="N73" s="6">
        <f>SUM(N68:N72)</f>
        <v>17001.5</v>
      </c>
      <c r="O73" s="6">
        <f>N73</f>
        <v>17001.5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Granite Gloves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2" t="inlineStr">
        <is>
          <t>Sales</t>
        </is>
      </c>
      <c r="C8" s="6">
        <f>'Granite'!BU28</f>
        <v>-430.0</v>
      </c>
      <c r="D8" s="6">
        <f>'Granite'!BV28</f>
        <v>-2792.4000000000015</v>
      </c>
      <c r="E8" s="6">
        <f>'Granite'!BW28</f>
        <v>-1464.4000000000015</v>
      </c>
      <c r="F8" s="6">
        <f>'Granite'!BY28</f>
        <v>-750.0</v>
      </c>
      <c r="G8" s="6">
        <f>'Granite'!BZ28</f>
        <v>-1450.9000000000015</v>
      </c>
      <c r="H8" s="6">
        <f>'Granite'!CA28</f>
        <v>-1011.1999999999989</v>
      </c>
      <c r="I8" s="6">
        <f>'Granite'!CC28</f>
        <v>-1180.0</v>
      </c>
      <c r="J8" s="6">
        <f>'Granite'!CD28</f>
        <v>-4243.300000000003</v>
      </c>
      <c r="K8" s="6">
        <f>'Granite'!CE28</f>
        <v>-2475.5999999999985</v>
      </c>
    </row>
    <row r="10">
      <c r="B10" s="2" t="inlineStr">
        <is>
          <t>Gross Margin</t>
        </is>
      </c>
      <c r="C10" s="6">
        <f>'Granite'!BU29</f>
        <v>-265.0</v>
      </c>
      <c r="D10" s="6">
        <f>'Granite'!BV29</f>
        <v>-1639.9000000000015</v>
      </c>
      <c r="E10" s="6">
        <f>'Granite'!BW29</f>
        <v>-1517.300000000001</v>
      </c>
      <c r="F10" s="6">
        <f>'Granite'!BY29</f>
        <v>-260.0</v>
      </c>
      <c r="G10" s="6">
        <f>'Granite'!BZ29</f>
        <v>-712.2000000000007</v>
      </c>
      <c r="H10" s="6">
        <f>'Granite'!CA29</f>
        <v>-668.9000000000005</v>
      </c>
      <c r="I10" s="6">
        <f>'Granite'!CC29</f>
        <v>-525.0</v>
      </c>
      <c r="J10" s="6">
        <f>'Granite'!CD29</f>
        <v>-2352.100000000002</v>
      </c>
      <c r="K10" s="6">
        <f>'Granite'!CE29</f>
        <v>-2186.2000000000044</v>
      </c>
    </row>
    <row r="12">
      <c r="B12" s="2" t="inlineStr">
        <is>
          <t>Op Costs</t>
        </is>
      </c>
      <c r="C12" s="6">
        <f>'Granite'!BU30</f>
        <v>42.0</v>
      </c>
      <c r="D12" s="6">
        <f>'Granite'!BV30</f>
        <v>254.5</v>
      </c>
      <c r="E12" s="6">
        <f>'Granite'!BW30</f>
        <v>48.399999999999636</v>
      </c>
      <c r="F12" s="6">
        <f>'Granite'!BY30</f>
        <v>132.0</v>
      </c>
      <c r="G12" s="6">
        <f>'Granite'!BZ30</f>
        <v>219.70000000000027</v>
      </c>
      <c r="H12" s="6">
        <f>'Granite'!CA30</f>
        <v>161.40000000000055</v>
      </c>
      <c r="I12" s="6">
        <f>'Granite'!CC30</f>
        <v>174.0</v>
      </c>
      <c r="J12" s="6">
        <f>'Granite'!CD30</f>
        <v>474.2000000000007</v>
      </c>
      <c r="K12" s="6">
        <f>'Granite'!CE30</f>
        <v>209.79999999999927</v>
      </c>
    </row>
    <row r="14">
      <c r="B14" s="2" t="inlineStr">
        <is>
          <t>PBITA</t>
        </is>
      </c>
      <c r="C14" s="6">
        <f>'Granite'!BU31</f>
        <v>-223.0</v>
      </c>
      <c r="D14" s="6">
        <f>'Granite'!BV31</f>
        <v>-1385.4000000000005</v>
      </c>
      <c r="E14" s="6">
        <f>'Granite'!BW31</f>
        <v>-1468.8999999999996</v>
      </c>
      <c r="F14" s="6">
        <f>'Granite'!BY31</f>
        <v>-128.0</v>
      </c>
      <c r="G14" s="6">
        <f>'Granite'!BZ31</f>
        <v>-492.4999999999998</v>
      </c>
      <c r="H14" s="6">
        <f>'Granite'!CA31</f>
        <v>-507.49999999999955</v>
      </c>
      <c r="I14" s="6">
        <f>'Granite'!CC31</f>
        <v>-351.0</v>
      </c>
      <c r="J14" s="6">
        <f>'Granite'!CD31</f>
        <v>-1877.9000000000005</v>
      </c>
      <c r="K14" s="6">
        <f>'Granite'!CE31</f>
        <v>-1976.3999999999996</v>
      </c>
    </row>
    <row r="17">
      <c r="B17" s="8" t="inlineStr">
        <is>
          <t>Commentary (business controller):</t>
        </is>
      </c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8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4" t="inlineStr">
        <is>
          <t>January</t>
        </is>
      </c>
      <c r="D4" s="4" t="inlineStr">
        <is>
          <t>February</t>
        </is>
      </c>
      <c r="E4" s="4" t="inlineStr">
        <is>
          <t>March</t>
        </is>
      </c>
      <c r="F4" s="4" t="inlineStr">
        <is>
          <t>April</t>
        </is>
      </c>
      <c r="G4" s="4" t="inlineStr">
        <is>
          <t>May</t>
        </is>
      </c>
      <c r="H4" s="4" t="inlineStr">
        <is>
          <t>June</t>
        </is>
      </c>
      <c r="I4" s="4" t="inlineStr">
        <is>
          <t>July</t>
        </is>
      </c>
      <c r="J4" s="4" t="inlineStr">
        <is>
          <t>August</t>
        </is>
      </c>
      <c r="K4" s="4" t="inlineStr">
        <is>
          <t>September</t>
        </is>
      </c>
      <c r="L4" s="4" t="inlineStr">
        <is>
          <t>October</t>
        </is>
      </c>
      <c r="M4" s="4" t="inlineStr">
        <is>
          <t>November</t>
        </is>
      </c>
      <c r="N4" s="4" t="inlineStr">
        <is>
          <t>December</t>
        </is>
      </c>
      <c r="O4" s="4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Backorders due to inventory availability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1" t="n">
        <v>-250</v>
      </c>
      <c r="L6" s="21" t="n">
        <v>-250</v>
      </c>
      <c r="M6" s="21" t="n">
        <v>-200</v>
      </c>
      <c r="N6" s="21" t="n">
        <v>0</v>
      </c>
      <c r="O6" s="6">
        <f>SUM(C6:N6)</f>
        <v>-700.0</v>
      </c>
    </row>
    <row r="7">
      <c r="B7" t="inlineStr">
        <is>
          <t>Rebate true-up - buying group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21" t="n">
        <v>-180</v>
      </c>
      <c r="L7" s="21" t="n">
        <v>0</v>
      </c>
      <c r="M7" s="21" t="n">
        <v>0</v>
      </c>
      <c r="N7" s="21" t="n">
        <v>0</v>
      </c>
      <c r="O7" s="6">
        <f>SUM(C7:N7)</f>
        <v>-180.0</v>
      </c>
    </row>
    <row r="8">
      <c r="B8" t="inlineStr">
        <is>
          <t>Backorders due to inventory availability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21" t="n">
        <v>0</v>
      </c>
      <c r="L8" s="21" t="n">
        <v>0</v>
      </c>
      <c r="M8" s="21" t="n">
        <v>0</v>
      </c>
      <c r="N8" s="21" t="n">
        <v>-300</v>
      </c>
      <c r="O8" s="6">
        <f>SUM(C8:N8)</f>
        <v>-300.0</v>
      </c>
    </row>
    <row r="9">
      <c r="B9" t="inlineStr">
        <is>
          <t>Insert Adj. 4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6">
        <f>SUM(C9:N9)</f>
        <v>0.0</v>
      </c>
    </row>
    <row r="10">
      <c r="B10" t="inlineStr">
        <is>
          <t>Insert Adj. 5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6">
        <f>SUM(C10:N10)</f>
        <v>0.0</v>
      </c>
    </row>
    <row r="11">
      <c r="B11" t="inlineStr">
        <is>
          <t>Insert Adj. 6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6">
        <f>SUM(C11:N11)</f>
        <v>0.0</v>
      </c>
    </row>
    <row r="12">
      <c r="B12" t="inlineStr">
        <is>
          <t>Insert Adj. 7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6">
        <f>SUM(C12:N12)</f>
        <v>0.0</v>
      </c>
    </row>
    <row r="13">
      <c r="B13" t="inlineStr">
        <is>
          <t>Insert Adj. 8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6">
        <f>SUM(C13:N13)</f>
        <v>0.0</v>
      </c>
    </row>
    <row r="14">
      <c r="B14" s="2" t="inlineStr">
        <is>
          <t>Total Sales</t>
        </is>
      </c>
      <c r="C14" s="9">
        <f>SUM(C6:C13)</f>
        <v>0.0</v>
      </c>
      <c r="D14" s="9">
        <f>SUM(D6:D13)</f>
        <v>0.0</v>
      </c>
      <c r="E14" s="9">
        <f>SUM(E6:E13)</f>
        <v>0.0</v>
      </c>
      <c r="F14" s="9">
        <f>SUM(F6:F13)</f>
        <v>0.0</v>
      </c>
      <c r="G14" s="9">
        <f>SUM(G6:G13)</f>
        <v>0.0</v>
      </c>
      <c r="H14" s="9">
        <f>SUM(H6:H13)</f>
        <v>0.0</v>
      </c>
      <c r="I14" s="9">
        <f>SUM(I6:I13)</f>
        <v>0.0</v>
      </c>
      <c r="J14" s="9">
        <f>SUM(J6:J13)</f>
        <v>0.0</v>
      </c>
      <c r="K14" s="9">
        <f>SUM(K6:K13)</f>
        <v>-430.0</v>
      </c>
      <c r="L14" s="9">
        <f>SUM(L6:L13)</f>
        <v>-250.0</v>
      </c>
      <c r="M14" s="9">
        <f>SUM(M6:M13)</f>
        <v>-200.0</v>
      </c>
      <c r="N14" s="9">
        <f>SUM(N6:N13)</f>
        <v>-300.0</v>
      </c>
      <c r="O14" s="9">
        <f>SUM(O6:O13)</f>
        <v>-1180.0</v>
      </c>
    </row>
    <row r="16">
      <c r="B16" s="2" t="inlineStr">
        <is>
          <t>Gross Margin (%)</t>
        </is>
      </c>
    </row>
    <row r="17">
      <c r="B17" t="str">
        <f>B6</f>
        <v>Backorders due to inventory availability</v>
      </c>
      <c r="C17" s="12">
        <f>IFERROR(C28/C6,0)</f>
        <v>0.0</v>
      </c>
      <c r="D17" s="12">
        <f>IFERROR(D28/D6,0)</f>
        <v>0.0</v>
      </c>
      <c r="E17" s="12">
        <f>IFERROR(E28/E6,0)</f>
        <v>0.0</v>
      </c>
      <c r="F17" s="12">
        <f>IFERROR(F28/F6,0)</f>
        <v>0.0</v>
      </c>
      <c r="G17" s="12">
        <f>IFERROR(G28/G6,0)</f>
        <v>0.0</v>
      </c>
      <c r="H17" s="12">
        <f>IFERROR(H28/H6,0)</f>
        <v>0.0</v>
      </c>
      <c r="I17" s="12">
        <f>IFERROR(I28/I6,0)</f>
        <v>0.0</v>
      </c>
      <c r="J17" s="12">
        <f>IFERROR(J28/J6,0)</f>
        <v>0.0</v>
      </c>
      <c r="K17" s="12">
        <f>IFERROR(K28/K6,0)</f>
        <v>0.3</v>
      </c>
      <c r="L17" s="12">
        <f>IFERROR(L28/L6,0)</f>
        <v>0.3</v>
      </c>
      <c r="M17" s="12">
        <f>IFERROR(M28/M6,0)</f>
        <v>0.3</v>
      </c>
      <c r="N17" s="12">
        <f>IFERROR(N28/N6,0)</f>
        <v>0.0</v>
      </c>
      <c r="O17" s="12">
        <f>IFERROR(O28/O6,0)</f>
        <v>0.3</v>
      </c>
    </row>
    <row r="18">
      <c r="B18" t="str">
        <f>B7</f>
        <v>Rebate true-up - buying group</v>
      </c>
      <c r="C18" s="12">
        <f>IFERROR(C29/C7,0)</f>
        <v>0.0</v>
      </c>
      <c r="D18" s="12">
        <f>IFERROR(D29/D7,0)</f>
        <v>0.0</v>
      </c>
      <c r="E18" s="12">
        <f>IFERROR(E29/E7,0)</f>
        <v>0.0</v>
      </c>
      <c r="F18" s="12">
        <f>IFERROR(F29/F7,0)</f>
        <v>0.0</v>
      </c>
      <c r="G18" s="12">
        <f>IFERROR(G29/G7,0)</f>
        <v>0.0</v>
      </c>
      <c r="H18" s="12">
        <f>IFERROR(H29/H7,0)</f>
        <v>0.0</v>
      </c>
      <c r="I18" s="12">
        <f>IFERROR(I29/I7,0)</f>
        <v>0.0</v>
      </c>
      <c r="J18" s="12">
        <f>IFERROR(J29/J7,0)</f>
        <v>0.0</v>
      </c>
      <c r="K18" s="12">
        <f>IFERROR(K29/K7,0)</f>
        <v>1.0</v>
      </c>
      <c r="L18" s="12">
        <f>IFERROR(L29/L7,0)</f>
        <v>0.0</v>
      </c>
      <c r="M18" s="12">
        <f>IFERROR(M29/M7,0)</f>
        <v>0.0</v>
      </c>
      <c r="N18" s="12">
        <f>IFERROR(N29/N7,0)</f>
        <v>0.0</v>
      </c>
      <c r="O18" s="12">
        <f>IFERROR(O29/O7,0)</f>
        <v>1.0</v>
      </c>
    </row>
    <row r="19">
      <c r="B19" t="str">
        <f>B8</f>
        <v>Backorders due to inventory availability</v>
      </c>
      <c r="C19" s="12">
        <f>IFERROR(C30/C8,0)</f>
        <v>0.0</v>
      </c>
      <c r="D19" s="12">
        <f>IFERROR(D30/D8,0)</f>
        <v>0.0</v>
      </c>
      <c r="E19" s="12">
        <f>IFERROR(E30/E8,0)</f>
        <v>0.0</v>
      </c>
      <c r="F19" s="12">
        <f>IFERROR(F30/F8,0)</f>
        <v>0.0</v>
      </c>
      <c r="G19" s="12">
        <f>IFERROR(G30/G8,0)</f>
        <v>0.0</v>
      </c>
      <c r="H19" s="12">
        <f>IFERROR(H30/H8,0)</f>
        <v>0.0</v>
      </c>
      <c r="I19" s="12">
        <f>IFERROR(I30/I8,0)</f>
        <v>0.0</v>
      </c>
      <c r="J19" s="12">
        <f>IFERROR(J30/J8,0)</f>
        <v>0.0</v>
      </c>
      <c r="K19" s="12">
        <f>IFERROR(K30/K8,0)</f>
        <v>0.0</v>
      </c>
      <c r="L19" s="12">
        <f>IFERROR(L30/L8,0)</f>
        <v>0.0</v>
      </c>
      <c r="M19" s="12">
        <f>IFERROR(M30/M8,0)</f>
        <v>0.0</v>
      </c>
      <c r="N19" s="12">
        <f>IFERROR(N30/N8,0)</f>
        <v>0.06666666666666667</v>
      </c>
      <c r="O19" s="12">
        <f>IFERROR(O30/O8,0)</f>
        <v>0.3</v>
      </c>
    </row>
    <row r="20">
      <c r="B20" t="str">
        <f>B9</f>
        <v>Insert Adj. 4</v>
      </c>
      <c r="C20" s="12">
        <f>IFERROR(C31/C9,0)</f>
        <v>0.0</v>
      </c>
      <c r="D20" s="12">
        <f>IFERROR(D31/D9,0)</f>
        <v>0.0</v>
      </c>
      <c r="E20" s="12">
        <f>IFERROR(E31/E9,0)</f>
        <v>0.0</v>
      </c>
      <c r="F20" s="12">
        <f>IFERROR(F31/F9,0)</f>
        <v>0.0</v>
      </c>
      <c r="G20" s="12">
        <f>IFERROR(G31/G9,0)</f>
        <v>0.0</v>
      </c>
      <c r="H20" s="12">
        <f>IFERROR(H31/H9,0)</f>
        <v>0.0</v>
      </c>
      <c r="I20" s="12">
        <f>IFERROR(I31/I9,0)</f>
        <v>0.0</v>
      </c>
      <c r="J20" s="12">
        <f>IFERROR(J31/J9,0)</f>
        <v>0.0</v>
      </c>
      <c r="K20" s="12">
        <f>IFERROR(K31/K9,0)</f>
        <v>0.0</v>
      </c>
      <c r="L20" s="12">
        <f>IFERROR(L31/L9,0)</f>
        <v>0.0</v>
      </c>
      <c r="M20" s="12">
        <f>IFERROR(M31/M9,0)</f>
        <v>0.0</v>
      </c>
      <c r="N20" s="12">
        <f>IFERROR(N31/N9,0)</f>
        <v>0.0</v>
      </c>
      <c r="O20" s="12">
        <f>IFERROR(O31/O9,0)</f>
        <v>0.0</v>
      </c>
    </row>
    <row r="21">
      <c r="B21" t="str">
        <f>B10</f>
        <v>Insert Adj. 5</v>
      </c>
      <c r="C21" s="12">
        <f>IFERROR(C32/C10,0)</f>
        <v>0.0</v>
      </c>
      <c r="D21" s="12">
        <f>IFERROR(D32/D10,0)</f>
        <v>0.0</v>
      </c>
      <c r="E21" s="12">
        <f>IFERROR(E32/E10,0)</f>
        <v>0.0</v>
      </c>
      <c r="F21" s="12">
        <f>IFERROR(F32/F10,0)</f>
        <v>0.0</v>
      </c>
      <c r="G21" s="12">
        <f>IFERROR(G32/G10,0)</f>
        <v>0.0</v>
      </c>
      <c r="H21" s="12">
        <f>IFERROR(H32/H10,0)</f>
        <v>0.0</v>
      </c>
      <c r="I21" s="12">
        <f>IFERROR(I32/I10,0)</f>
        <v>0.0</v>
      </c>
      <c r="J21" s="12">
        <f>IFERROR(J32/J10,0)</f>
        <v>0.0</v>
      </c>
      <c r="K21" s="12">
        <f>IFERROR(K32/K10,0)</f>
        <v>0.0</v>
      </c>
      <c r="L21" s="12">
        <f>IFERROR(L32/L10,0)</f>
        <v>0.0</v>
      </c>
      <c r="M21" s="12">
        <f>IFERROR(M32/M10,0)</f>
        <v>0.0</v>
      </c>
      <c r="N21" s="12">
        <f>IFERROR(N32/N10,0)</f>
        <v>0.0</v>
      </c>
      <c r="O21" s="12">
        <f>IFERROR(O32/O10,0)</f>
        <v>0.0</v>
      </c>
    </row>
    <row r="22">
      <c r="B22" t="str">
        <f>B11</f>
        <v>Insert Adj. 6</v>
      </c>
      <c r="C22" s="12">
        <f>IFERROR(C33/C11,0)</f>
        <v>0.0</v>
      </c>
      <c r="D22" s="12">
        <f>IFERROR(D33/D11,0)</f>
        <v>0.0</v>
      </c>
      <c r="E22" s="12">
        <f>IFERROR(E33/E11,0)</f>
        <v>0.0</v>
      </c>
      <c r="F22" s="12">
        <f>IFERROR(F33/F11,0)</f>
        <v>0.0</v>
      </c>
      <c r="G22" s="12">
        <f>IFERROR(G33/G11,0)</f>
        <v>0.0</v>
      </c>
      <c r="H22" s="12">
        <f>IFERROR(H33/H11,0)</f>
        <v>0.0</v>
      </c>
      <c r="I22" s="12">
        <f>IFERROR(I33/I11,0)</f>
        <v>0.0</v>
      </c>
      <c r="J22" s="12">
        <f>IFERROR(J33/J11,0)</f>
        <v>0.0</v>
      </c>
      <c r="K22" s="12">
        <f>IFERROR(K33/K11,0)</f>
        <v>0.0</v>
      </c>
      <c r="L22" s="12">
        <f>IFERROR(L33/L11,0)</f>
        <v>0.0</v>
      </c>
      <c r="M22" s="12">
        <f>IFERROR(M33/M11,0)</f>
        <v>0.0</v>
      </c>
      <c r="N22" s="12">
        <f>IFERROR(N33/N11,0)</f>
        <v>0.0</v>
      </c>
      <c r="O22" s="12">
        <f>IFERROR(O33/O11,0)</f>
        <v>0.0</v>
      </c>
    </row>
    <row r="23">
      <c r="B23" t="str">
        <f>B12</f>
        <v>Insert Adj. 7</v>
      </c>
      <c r="C23" s="12">
        <f>IFERROR(C34/C12,0)</f>
        <v>0.0</v>
      </c>
      <c r="D23" s="12">
        <f>IFERROR(D34/D12,0)</f>
        <v>0.0</v>
      </c>
      <c r="E23" s="12">
        <f>IFERROR(E34/E12,0)</f>
        <v>0.0</v>
      </c>
      <c r="F23" s="12">
        <f>IFERROR(F34/F12,0)</f>
        <v>0.0</v>
      </c>
      <c r="G23" s="12">
        <f>IFERROR(G34/G12,0)</f>
        <v>0.0</v>
      </c>
      <c r="H23" s="12">
        <f>IFERROR(H34/H12,0)</f>
        <v>0.0</v>
      </c>
      <c r="I23" s="12">
        <f>IFERROR(I34/I12,0)</f>
        <v>0.0</v>
      </c>
      <c r="J23" s="12">
        <f>IFERROR(J34/J12,0)</f>
        <v>0.0</v>
      </c>
      <c r="K23" s="12">
        <f>IFERROR(K34/K12,0)</f>
        <v>0.0</v>
      </c>
      <c r="L23" s="12">
        <f>IFERROR(L34/L12,0)</f>
        <v>0.0</v>
      </c>
      <c r="M23" s="12">
        <f>IFERROR(M34/M12,0)</f>
        <v>0.0</v>
      </c>
      <c r="N23" s="12">
        <f>IFERROR(N34/N12,0)</f>
        <v>0.0</v>
      </c>
      <c r="O23" s="12">
        <f>IFERROR(O34/O12,0)</f>
        <v>0.0</v>
      </c>
    </row>
    <row r="24">
      <c r="B24" t="str">
        <f>B13</f>
        <v>Insert Adj. 8</v>
      </c>
      <c r="C24" s="12">
        <f>IFERROR(C35/C13,0)</f>
        <v>0.0</v>
      </c>
      <c r="D24" s="12">
        <f>IFERROR(D35/D13,0)</f>
        <v>0.0</v>
      </c>
      <c r="E24" s="12">
        <f>IFERROR(E35/E13,0)</f>
        <v>0.0</v>
      </c>
      <c r="F24" s="12">
        <f>IFERROR(F35/F13,0)</f>
        <v>0.0</v>
      </c>
      <c r="G24" s="12">
        <f>IFERROR(G35/G13,0)</f>
        <v>0.0</v>
      </c>
      <c r="H24" s="12">
        <f>IFERROR(H35/H13,0)</f>
        <v>0.0</v>
      </c>
      <c r="I24" s="12">
        <f>IFERROR(I35/I13,0)</f>
        <v>0.0</v>
      </c>
      <c r="J24" s="12">
        <f>IFERROR(J35/J13,0)</f>
        <v>0.0</v>
      </c>
      <c r="K24" s="12">
        <f>IFERROR(K35/K13,0)</f>
        <v>0.0</v>
      </c>
      <c r="L24" s="12">
        <f>IFERROR(L35/L13,0)</f>
        <v>0.0</v>
      </c>
      <c r="M24" s="12">
        <f>IFERROR(M35/M13,0)</f>
        <v>0.0</v>
      </c>
      <c r="N24" s="12">
        <f>IFERROR(N35/N13,0)</f>
        <v>0.0</v>
      </c>
      <c r="O24" s="12">
        <f>IFERROR(O35/O13,0)</f>
        <v>0.0</v>
      </c>
    </row>
    <row r="25">
      <c r="B25" s="2" t="inlineStr">
        <is>
          <t>Total Gross Margin (%)</t>
        </is>
      </c>
      <c r="C25" s="15">
        <f>IFERROR(C36/C14,0)</f>
        <v>0.0</v>
      </c>
      <c r="D25" s="15">
        <f>IFERROR(D36/D14,0)</f>
        <v>0.0</v>
      </c>
      <c r="E25" s="15">
        <f>IFERROR(E36/E14,0)</f>
        <v>0.0</v>
      </c>
      <c r="F25" s="15">
        <f>IFERROR(F36/F14,0)</f>
        <v>0.0</v>
      </c>
      <c r="G25" s="15">
        <f>IFERROR(G36/G14,0)</f>
        <v>0.0</v>
      </c>
      <c r="H25" s="15">
        <f>IFERROR(H36/H14,0)</f>
        <v>0.0</v>
      </c>
      <c r="I25" s="15">
        <f>IFERROR(I36/I14,0)</f>
        <v>0.0</v>
      </c>
      <c r="J25" s="15">
        <f>IFERROR(J36/J14,0)</f>
        <v>0.0</v>
      </c>
      <c r="K25" s="15">
        <f>IFERROR(K36/K14,0)</f>
        <v>0.6162790697674418</v>
      </c>
      <c r="L25" s="15">
        <f>IFERROR(L36/L14,0)</f>
        <v>0.508</v>
      </c>
      <c r="M25" s="15">
        <f>IFERROR(M36/M14,0)</f>
        <v>0.51</v>
      </c>
      <c r="N25" s="15">
        <f>IFERROR(N36/N14,0)</f>
        <v>0.10333333333333333</v>
      </c>
      <c r="O25" s="15">
        <f>IFERROR(O36/O14,0)</f>
        <v>0.4449152542372881</v>
      </c>
    </row>
    <row r="27">
      <c r="B27" s="2" t="inlineStr">
        <is>
          <t>Gross Margin ($)</t>
        </is>
      </c>
    </row>
    <row r="28">
      <c r="B28" t="inlineStr">
        <is>
          <t>Backorders due to inventory availability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21" t="n">
        <v>-75</v>
      </c>
      <c r="L28" s="21" t="n">
        <v>-75</v>
      </c>
      <c r="M28" s="21" t="n">
        <v>-60</v>
      </c>
      <c r="N28" s="21" t="n">
        <v>0</v>
      </c>
      <c r="O28" s="6">
        <f>SUM(C28:N28)</f>
        <v>-210.0</v>
      </c>
    </row>
    <row r="29">
      <c r="B29" t="inlineStr">
        <is>
          <t>Rebate true-up - buying group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21" t="n">
        <v>-180</v>
      </c>
      <c r="L29" s="21" t="n">
        <v>0</v>
      </c>
      <c r="M29" s="21" t="n">
        <v>0</v>
      </c>
      <c r="N29" s="21" t="n">
        <v>0</v>
      </c>
      <c r="O29" s="6">
        <f>SUM(C29:N29)</f>
        <v>-180.0</v>
      </c>
    </row>
    <row r="30">
      <c r="B30" t="inlineStr">
        <is>
          <t>Container receipts timing - freight cost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21" t="n">
        <v>0</v>
      </c>
      <c r="L30" s="21" t="n">
        <v>-40</v>
      </c>
      <c r="M30" s="21" t="n">
        <v>-30</v>
      </c>
      <c r="N30" s="21" t="n">
        <v>-20</v>
      </c>
      <c r="O30" s="6">
        <f>SUM(C30:N30)</f>
        <v>-90.0</v>
      </c>
    </row>
    <row r="31">
      <c r="B31" t="inlineStr">
        <is>
          <t>Heat transfer decals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21" t="n">
        <v>-10</v>
      </c>
      <c r="L31" s="21" t="n">
        <v>-12</v>
      </c>
      <c r="M31" s="21" t="n">
        <v>-12</v>
      </c>
      <c r="N31" s="21" t="n">
        <v>-11</v>
      </c>
      <c r="O31" s="6">
        <f>SUM(C31:N31)</f>
        <v>-45.0</v>
      </c>
    </row>
    <row r="32">
      <c r="B32" t="inlineStr">
        <is>
          <t>Insert Adj. 5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6">
        <f>SUM(C32:N32)</f>
        <v>0.0</v>
      </c>
    </row>
    <row r="33">
      <c r="B33" t="inlineStr">
        <is>
          <t>Insert Adj. 6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6">
        <f>SUM(C33:N33)</f>
        <v>0.0</v>
      </c>
    </row>
    <row r="34">
      <c r="B34" t="inlineStr">
        <is>
          <t>Insert Adj. 7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6">
        <f>SUM(C34:N34)</f>
        <v>0.0</v>
      </c>
    </row>
    <row r="35">
      <c r="B35" t="inlineStr">
        <is>
          <t>Insert Adj. 8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6">
        <f>SUM(C35:N35)</f>
        <v>0.0</v>
      </c>
    </row>
    <row r="36">
      <c r="B36" s="2" t="inlineStr">
        <is>
          <t>Total Gross Margin ($)</t>
        </is>
      </c>
      <c r="C36" s="9">
        <f>SUM(C28:C35)</f>
        <v>0.0</v>
      </c>
      <c r="D36" s="9">
        <f>SUM(D28:D35)</f>
        <v>0.0</v>
      </c>
      <c r="E36" s="9">
        <f>SUM(E28:E35)</f>
        <v>0.0</v>
      </c>
      <c r="F36" s="9">
        <f>SUM(F28:F35)</f>
        <v>0.0</v>
      </c>
      <c r="G36" s="9">
        <f>SUM(G28:G35)</f>
        <v>0.0</v>
      </c>
      <c r="H36" s="9">
        <f>SUM(H28:H35)</f>
        <v>0.0</v>
      </c>
      <c r="I36" s="9">
        <f>SUM(I28:I35)</f>
        <v>0.0</v>
      </c>
      <c r="J36" s="9">
        <f>SUM(J28:J35)</f>
        <v>0.0</v>
      </c>
      <c r="K36" s="9">
        <f>SUM(K28:K35)</f>
        <v>-265.0</v>
      </c>
      <c r="L36" s="9">
        <f>SUM(L28:L35)</f>
        <v>-127.0</v>
      </c>
      <c r="M36" s="9">
        <f>SUM(M28:M35)</f>
        <v>-102.0</v>
      </c>
      <c r="N36" s="9">
        <f>SUM(N28:N35)</f>
        <v>-31.0</v>
      </c>
      <c r="O36" s="9">
        <f>SUM(O28:O35)</f>
        <v>-525.0</v>
      </c>
    </row>
    <row r="38">
      <c r="B38" s="2" t="inlineStr">
        <is>
          <t>Op Costs (%)</t>
        </is>
      </c>
    </row>
    <row r="39">
      <c r="B39" t="str">
        <f>B6</f>
        <v>Backorders due to inventory availability</v>
      </c>
      <c r="C39" s="12">
        <f>IFERROR(C50/C6,0)</f>
        <v>0.0</v>
      </c>
      <c r="D39" s="12">
        <f>IFERROR(D50/D6,0)</f>
        <v>0.0</v>
      </c>
      <c r="E39" s="12">
        <f>IFERROR(E50/E6,0)</f>
        <v>0.0</v>
      </c>
      <c r="F39" s="12">
        <f>IFERROR(F50/F6,0)</f>
        <v>0.0</v>
      </c>
      <c r="G39" s="12">
        <f>IFERROR(G50/G6,0)</f>
        <v>0.0</v>
      </c>
      <c r="H39" s="12">
        <f>IFERROR(H50/H6,0)</f>
        <v>0.0</v>
      </c>
      <c r="I39" s="12">
        <f>IFERROR(I50/I6,0)</f>
        <v>0.0</v>
      </c>
      <c r="J39" s="12">
        <f>IFERROR(J50/J6,0)</f>
        <v>0.0</v>
      </c>
      <c r="K39" s="12">
        <f>IFERROR(K50/K6,0)</f>
        <v>0.06</v>
      </c>
      <c r="L39" s="12">
        <f>IFERROR(L50/L6,0)</f>
        <v>0.06</v>
      </c>
      <c r="M39" s="12">
        <f>IFERROR(M50/M6,0)</f>
        <v>0.06</v>
      </c>
      <c r="N39" s="12">
        <f>IFERROR(N50/N6,0)</f>
        <v>0.0</v>
      </c>
      <c r="O39" s="12">
        <f>IFERROR(O50/O6,0)</f>
        <v>0.08571428571428572</v>
      </c>
    </row>
    <row r="40">
      <c r="B40" t="str">
        <f>B7</f>
        <v>Rebate true-up - buying group</v>
      </c>
      <c r="C40" s="12">
        <f>IFERROR(C51/C7,0)</f>
        <v>0.0</v>
      </c>
      <c r="D40" s="12">
        <f>IFERROR(D51/D7,0)</f>
        <v>0.0</v>
      </c>
      <c r="E40" s="12">
        <f>IFERROR(E51/E7,0)</f>
        <v>0.0</v>
      </c>
      <c r="F40" s="12">
        <f>IFERROR(F51/F7,0)</f>
        <v>0.0</v>
      </c>
      <c r="G40" s="12">
        <f>IFERROR(G51/G7,0)</f>
        <v>0.0</v>
      </c>
      <c r="H40" s="12">
        <f>IFERROR(H51/H7,0)</f>
        <v>0.0</v>
      </c>
      <c r="I40" s="12">
        <f>IFERROR(I51/I7,0)</f>
        <v>0.0</v>
      </c>
      <c r="J40" s="12">
        <f>IFERROR(J51/J7,0)</f>
        <v>0.0</v>
      </c>
      <c r="K40" s="12">
        <f>IFERROR(K51/K7,0)</f>
        <v>-0.06666666666666667</v>
      </c>
      <c r="L40" s="12">
        <f>IFERROR(L51/L7,0)</f>
        <v>0.0</v>
      </c>
      <c r="M40" s="12">
        <f>IFERROR(M51/M7,0)</f>
        <v>0.0</v>
      </c>
      <c r="N40" s="12">
        <f>IFERROR(N51/N7,0)</f>
        <v>0.0</v>
      </c>
      <c r="O40" s="12">
        <f>IFERROR(O51/O7,0)</f>
        <v>-0.26666666666666666</v>
      </c>
    </row>
    <row r="41">
      <c r="B41" t="str">
        <f>B8</f>
        <v>Backorders due to inventory availability</v>
      </c>
      <c r="C41" s="12">
        <f>IFERROR(C52/C8,0)</f>
        <v>0.0</v>
      </c>
      <c r="D41" s="12">
        <f>IFERROR(D52/D8,0)</f>
        <v>0.0</v>
      </c>
      <c r="E41" s="12">
        <f>IFERROR(E52/E8,0)</f>
        <v>0.0</v>
      </c>
      <c r="F41" s="12">
        <f>IFERROR(F52/F8,0)</f>
        <v>0.0</v>
      </c>
      <c r="G41" s="12">
        <f>IFERROR(G52/G8,0)</f>
        <v>0.0</v>
      </c>
      <c r="H41" s="12">
        <f>IFERROR(H52/H8,0)</f>
        <v>0.0</v>
      </c>
      <c r="I41" s="12">
        <f>IFERROR(I52/I8,0)</f>
        <v>0.0</v>
      </c>
      <c r="J41" s="12">
        <f>IFERROR(J52/J8,0)</f>
        <v>0.0</v>
      </c>
      <c r="K41" s="12">
        <f>IFERROR(K52/K8,0)</f>
        <v>0.0</v>
      </c>
      <c r="L41" s="12">
        <f>IFERROR(L52/L8,0)</f>
        <v>0.0</v>
      </c>
      <c r="M41" s="12">
        <f>IFERROR(M52/M8,0)</f>
        <v>0.0</v>
      </c>
      <c r="N41" s="12">
        <f>IFERROR(N52/N8,0)</f>
        <v>0.03</v>
      </c>
      <c r="O41" s="12">
        <f>IFERROR(O52/O8,0)</f>
        <v>0.12</v>
      </c>
    </row>
    <row r="42">
      <c r="B42" t="str">
        <f>B9</f>
        <v>Insert Adj. 4</v>
      </c>
      <c r="C42" s="12">
        <f>IFERROR(C53/C9,0)</f>
        <v>0.0</v>
      </c>
      <c r="D42" s="12">
        <f>IFERROR(D53/D9,0)</f>
        <v>0.0</v>
      </c>
      <c r="E42" s="12">
        <f>IFERROR(E53/E9,0)</f>
        <v>0.0</v>
      </c>
      <c r="F42" s="12">
        <f>IFERROR(F53/F9,0)</f>
        <v>0.0</v>
      </c>
      <c r="G42" s="12">
        <f>IFERROR(G53/G9,0)</f>
        <v>0.0</v>
      </c>
      <c r="H42" s="12">
        <f>IFERROR(H53/H9,0)</f>
        <v>0.0</v>
      </c>
      <c r="I42" s="12">
        <f>IFERROR(I53/I9,0)</f>
        <v>0.0</v>
      </c>
      <c r="J42" s="12">
        <f>IFERROR(J53/J9,0)</f>
        <v>0.0</v>
      </c>
      <c r="K42" s="12">
        <f>IFERROR(K53/K9,0)</f>
        <v>0.0</v>
      </c>
      <c r="L42" s="12">
        <f>IFERROR(L53/L9,0)</f>
        <v>0.0</v>
      </c>
      <c r="M42" s="12">
        <f>IFERROR(M53/M9,0)</f>
        <v>0.0</v>
      </c>
      <c r="N42" s="12">
        <f>IFERROR(N53/N9,0)</f>
        <v>0.0</v>
      </c>
      <c r="O42" s="12">
        <f>IFERROR(O53/O9,0)</f>
        <v>0.0</v>
      </c>
    </row>
    <row r="43">
      <c r="B43" t="str">
        <f>B10</f>
        <v>Insert Adj. 5</v>
      </c>
      <c r="C43" s="12">
        <f>IFERROR(C54/C10,0)</f>
        <v>0.0</v>
      </c>
      <c r="D43" s="12">
        <f>IFERROR(D54/D10,0)</f>
        <v>0.0</v>
      </c>
      <c r="E43" s="12">
        <f>IFERROR(E54/E10,0)</f>
        <v>0.0</v>
      </c>
      <c r="F43" s="12">
        <f>IFERROR(F54/F10,0)</f>
        <v>0.0</v>
      </c>
      <c r="G43" s="12">
        <f>IFERROR(G54/G10,0)</f>
        <v>0.0</v>
      </c>
      <c r="H43" s="12">
        <f>IFERROR(H54/H10,0)</f>
        <v>0.0</v>
      </c>
      <c r="I43" s="12">
        <f>IFERROR(I54/I10,0)</f>
        <v>0.0</v>
      </c>
      <c r="J43" s="12">
        <f>IFERROR(J54/J10,0)</f>
        <v>0.0</v>
      </c>
      <c r="K43" s="12">
        <f>IFERROR(K54/K10,0)</f>
        <v>0.0</v>
      </c>
      <c r="L43" s="12">
        <f>IFERROR(L54/L10,0)</f>
        <v>0.0</v>
      </c>
      <c r="M43" s="12">
        <f>IFERROR(M54/M10,0)</f>
        <v>0.0</v>
      </c>
      <c r="N43" s="12">
        <f>IFERROR(N54/N10,0)</f>
        <v>0.0</v>
      </c>
      <c r="O43" s="12">
        <f>IFERROR(O54/O10,0)</f>
        <v>0.0</v>
      </c>
    </row>
    <row r="44">
      <c r="B44" t="str">
        <f>B11</f>
        <v>Insert Adj. 6</v>
      </c>
      <c r="C44" s="12">
        <f>IFERROR(C55/C11,0)</f>
        <v>0.0</v>
      </c>
      <c r="D44" s="12">
        <f>IFERROR(D55/D11,0)</f>
        <v>0.0</v>
      </c>
      <c r="E44" s="12">
        <f>IFERROR(E55/E11,0)</f>
        <v>0.0</v>
      </c>
      <c r="F44" s="12">
        <f>IFERROR(F55/F11,0)</f>
        <v>0.0</v>
      </c>
      <c r="G44" s="12">
        <f>IFERROR(G55/G11,0)</f>
        <v>0.0</v>
      </c>
      <c r="H44" s="12">
        <f>IFERROR(H55/H11,0)</f>
        <v>0.0</v>
      </c>
      <c r="I44" s="12">
        <f>IFERROR(I55/I11,0)</f>
        <v>0.0</v>
      </c>
      <c r="J44" s="12">
        <f>IFERROR(J55/J11,0)</f>
        <v>0.0</v>
      </c>
      <c r="K44" s="12">
        <f>IFERROR(K55/K11,0)</f>
        <v>0.0</v>
      </c>
      <c r="L44" s="12">
        <f>IFERROR(L55/L11,0)</f>
        <v>0.0</v>
      </c>
      <c r="M44" s="12">
        <f>IFERROR(M55/M11,0)</f>
        <v>0.0</v>
      </c>
      <c r="N44" s="12">
        <f>IFERROR(N55/N11,0)</f>
        <v>0.0</v>
      </c>
      <c r="O44" s="12">
        <f>IFERROR(O55/O11,0)</f>
        <v>0.0</v>
      </c>
    </row>
    <row r="45">
      <c r="B45" t="str">
        <f>B12</f>
        <v>Insert Adj. 7</v>
      </c>
      <c r="C45" s="12">
        <f>IFERROR(C56/C12,0)</f>
        <v>0.0</v>
      </c>
      <c r="D45" s="12">
        <f>IFERROR(D56/D12,0)</f>
        <v>0.0</v>
      </c>
      <c r="E45" s="12">
        <f>IFERROR(E56/E12,0)</f>
        <v>0.0</v>
      </c>
      <c r="F45" s="12">
        <f>IFERROR(F56/F12,0)</f>
        <v>0.0</v>
      </c>
      <c r="G45" s="12">
        <f>IFERROR(G56/G12,0)</f>
        <v>0.0</v>
      </c>
      <c r="H45" s="12">
        <f>IFERROR(H56/H12,0)</f>
        <v>0.0</v>
      </c>
      <c r="I45" s="12">
        <f>IFERROR(I56/I12,0)</f>
        <v>0.0</v>
      </c>
      <c r="J45" s="12">
        <f>IFERROR(J56/J12,0)</f>
        <v>0.0</v>
      </c>
      <c r="K45" s="12">
        <f>IFERROR(K56/K12,0)</f>
        <v>0.0</v>
      </c>
      <c r="L45" s="12">
        <f>IFERROR(L56/L12,0)</f>
        <v>0.0</v>
      </c>
      <c r="M45" s="12">
        <f>IFERROR(M56/M12,0)</f>
        <v>0.0</v>
      </c>
      <c r="N45" s="12">
        <f>IFERROR(N56/N12,0)</f>
        <v>0.0</v>
      </c>
      <c r="O45" s="12">
        <f>IFERROR(O56/O12,0)</f>
        <v>0.0</v>
      </c>
    </row>
    <row r="46">
      <c r="B46" t="str">
        <f>B13</f>
        <v>Insert Adj. 8</v>
      </c>
      <c r="C46" s="12">
        <f>IFERROR(C57/C13,0)</f>
        <v>0.0</v>
      </c>
      <c r="D46" s="12">
        <f>IFERROR(D57/D13,0)</f>
        <v>0.0</v>
      </c>
      <c r="E46" s="12">
        <f>IFERROR(E57/E13,0)</f>
        <v>0.0</v>
      </c>
      <c r="F46" s="12">
        <f>IFERROR(F57/F13,0)</f>
        <v>0.0</v>
      </c>
      <c r="G46" s="12">
        <f>IFERROR(G57/G13,0)</f>
        <v>0.0</v>
      </c>
      <c r="H46" s="12">
        <f>IFERROR(H57/H13,0)</f>
        <v>0.0</v>
      </c>
      <c r="I46" s="12">
        <f>IFERROR(I57/I13,0)</f>
        <v>0.0</v>
      </c>
      <c r="J46" s="12">
        <f>IFERROR(J57/J13,0)</f>
        <v>0.0</v>
      </c>
      <c r="K46" s="12">
        <f>IFERROR(K57/K13,0)</f>
        <v>0.0</v>
      </c>
      <c r="L46" s="12">
        <f>IFERROR(L57/L13,0)</f>
        <v>0.0</v>
      </c>
      <c r="M46" s="12">
        <f>IFERROR(M57/M13,0)</f>
        <v>0.0</v>
      </c>
      <c r="N46" s="12">
        <f>IFERROR(N57/N13,0)</f>
        <v>0.0</v>
      </c>
      <c r="O46" s="12">
        <f>IFERROR(O57/O13,0)</f>
        <v>0.0</v>
      </c>
    </row>
    <row r="47">
      <c r="B47" s="2" t="inlineStr">
        <is>
          <t>Total Op Costs (%)</t>
        </is>
      </c>
      <c r="C47" s="15">
        <f>IFERROR(C58/C14,0)</f>
        <v>0.0</v>
      </c>
      <c r="D47" s="15">
        <f>IFERROR(D58/D14,0)</f>
        <v>0.0</v>
      </c>
      <c r="E47" s="15">
        <f>IFERROR(E58/E14,0)</f>
        <v>0.0</v>
      </c>
      <c r="F47" s="15">
        <f>IFERROR(F58/F14,0)</f>
        <v>0.0</v>
      </c>
      <c r="G47" s="15">
        <f>IFERROR(G58/G14,0)</f>
        <v>0.0</v>
      </c>
      <c r="H47" s="15">
        <f>IFERROR(H58/H14,0)</f>
        <v>0.0</v>
      </c>
      <c r="I47" s="15">
        <f>IFERROR(I58/I14,0)</f>
        <v>0.0</v>
      </c>
      <c r="J47" s="15">
        <f>IFERROR(J58/J14,0)</f>
        <v>0.0</v>
      </c>
      <c r="K47" s="15">
        <f>IFERROR(K58/K14,0)</f>
        <v>0.09767441860465116</v>
      </c>
      <c r="L47" s="15">
        <f>IFERROR(L58/L14,0)</f>
        <v>0.176</v>
      </c>
      <c r="M47" s="15">
        <f>IFERROR(M58/M14,0)</f>
        <v>0.205</v>
      </c>
      <c r="N47" s="15">
        <f>IFERROR(N58/N14,0)</f>
        <v>0.15666666666666668</v>
      </c>
      <c r="O47" s="15">
        <f>IFERROR(O58/O14,0)</f>
        <v>0.14745762711864407</v>
      </c>
    </row>
    <row r="49">
      <c r="B49" s="2" t="inlineStr">
        <is>
          <t>Op Costs ($)</t>
        </is>
      </c>
    </row>
    <row r="50">
      <c r="B50" t="inlineStr">
        <is>
          <t>Backorders - variable cost savings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21" t="n">
        <v>-15</v>
      </c>
      <c r="L50" s="21" t="n">
        <v>-15</v>
      </c>
      <c r="M50" s="21" t="n">
        <v>-12</v>
      </c>
      <c r="N50" s="21" t="n">
        <v>-18</v>
      </c>
      <c r="O50" s="6">
        <f>SUM(C50:N50)</f>
        <v>-60.0</v>
      </c>
    </row>
    <row r="51">
      <c r="B51" t="inlineStr">
        <is>
          <t>Temp labor - new distribution center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21" t="n">
        <v>12</v>
      </c>
      <c r="L51" s="21" t="n">
        <v>12</v>
      </c>
      <c r="M51" s="21" t="n">
        <v>12</v>
      </c>
      <c r="N51" s="21" t="n">
        <v>12</v>
      </c>
      <c r="O51" s="6">
        <f>SUM(C51:N51)</f>
        <v>48.0</v>
      </c>
    </row>
    <row r="52">
      <c r="B52" t="inlineStr">
        <is>
          <t>OT reduction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21" t="n">
        <v>-9</v>
      </c>
      <c r="L52" s="21" t="n">
        <v>-9</v>
      </c>
      <c r="M52" s="21" t="n">
        <v>-9</v>
      </c>
      <c r="N52" s="21" t="n">
        <v>-9</v>
      </c>
      <c r="O52" s="6">
        <f>SUM(C52:N52)</f>
        <v>-36.0</v>
      </c>
    </row>
    <row r="53">
      <c r="B53" t="inlineStr">
        <is>
          <t>Headcount reduction / postpone hiring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21" t="n">
        <v>-24</v>
      </c>
      <c r="L53" s="21" t="n">
        <v>-24</v>
      </c>
      <c r="M53" s="21" t="n">
        <v>-24</v>
      </c>
      <c r="N53" s="21" t="n">
        <v>-24</v>
      </c>
      <c r="O53" s="6">
        <f>SUM(C53:N53)</f>
        <v>-96.0</v>
      </c>
    </row>
    <row r="54">
      <c r="B54" t="inlineStr">
        <is>
          <t>Others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21" t="n">
        <v>-6</v>
      </c>
      <c r="L54" s="21" t="n">
        <v>-8</v>
      </c>
      <c r="M54" s="21" t="n">
        <v>-8</v>
      </c>
      <c r="N54" s="21" t="n">
        <v>-8</v>
      </c>
      <c r="O54" s="6">
        <f>SUM(C54:N54)</f>
        <v>-30.0</v>
      </c>
    </row>
    <row r="55">
      <c r="B55" t="inlineStr">
        <is>
          <t>Insert Adj. 6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6">
        <f>SUM(C55:N55)</f>
        <v>0.0</v>
      </c>
    </row>
    <row r="56">
      <c r="B56" t="inlineStr">
        <is>
          <t>Insert Adj. 7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6">
        <f>SUM(C56:N56)</f>
        <v>0.0</v>
      </c>
    </row>
    <row r="57">
      <c r="B57" t="inlineStr">
        <is>
          <t>Insert Adj. 8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6">
        <f>SUM(C57:N57)</f>
        <v>0.0</v>
      </c>
    </row>
    <row r="58">
      <c r="B58" s="2" t="inlineStr">
        <is>
          <t>Total Op Costs ($)</t>
        </is>
      </c>
      <c r="C58" s="9">
        <f>SUM(C50:C57)</f>
        <v>0.0</v>
      </c>
      <c r="D58" s="9">
        <f>SUM(D50:D57)</f>
        <v>0.0</v>
      </c>
      <c r="E58" s="9">
        <f>SUM(E50:E57)</f>
        <v>0.0</v>
      </c>
      <c r="F58" s="9">
        <f>SUM(F50:F57)</f>
        <v>0.0</v>
      </c>
      <c r="G58" s="9">
        <f>SUM(G50:G57)</f>
        <v>0.0</v>
      </c>
      <c r="H58" s="9">
        <f>SUM(H50:H57)</f>
        <v>0.0</v>
      </c>
      <c r="I58" s="9">
        <f>SUM(I50:I57)</f>
        <v>0.0</v>
      </c>
      <c r="J58" s="9">
        <f>SUM(J50:J57)</f>
        <v>0.0</v>
      </c>
      <c r="K58" s="9">
        <f>SUM(K50:K57)</f>
        <v>-42.0</v>
      </c>
      <c r="L58" s="9">
        <f>SUM(L50:L57)</f>
        <v>-44.0</v>
      </c>
      <c r="M58" s="9">
        <f>SUM(M50:M57)</f>
        <v>-41.0</v>
      </c>
      <c r="N58" s="9">
        <f>SUM(N50:N57)</f>
        <v>-47.0</v>
      </c>
      <c r="O58" s="9">
        <f>SUM(O50:O57)</f>
        <v>-174.0</v>
      </c>
    </row>
    <row r="60">
      <c r="B60" s="2" t="inlineStr">
        <is>
          <t>PBITA</t>
        </is>
      </c>
    </row>
    <row r="61">
      <c r="B61" t="str">
        <f>B6</f>
        <v>Backorders due to inventory availability</v>
      </c>
      <c r="C61" s="6">
        <f>C28-C50</f>
        <v>0.0</v>
      </c>
      <c r="D61" s="6">
        <f>D28-D50</f>
        <v>0.0</v>
      </c>
      <c r="E61" s="6">
        <f>E28-E50</f>
        <v>0.0</v>
      </c>
      <c r="F61" s="6">
        <f>F28-F50</f>
        <v>0.0</v>
      </c>
      <c r="G61" s="6">
        <f>G28-G50</f>
        <v>0.0</v>
      </c>
      <c r="H61" s="6">
        <f>H28-H50</f>
        <v>0.0</v>
      </c>
      <c r="I61" s="6">
        <f>I28-I50</f>
        <v>0.0</v>
      </c>
      <c r="J61" s="6">
        <f>J28-J50</f>
        <v>0.0</v>
      </c>
      <c r="K61" s="6">
        <f>K28-K50</f>
        <v>-60.0</v>
      </c>
      <c r="L61" s="6">
        <f>L28-L50</f>
        <v>-60.0</v>
      </c>
      <c r="M61" s="6">
        <f>M28-M50</f>
        <v>-48.0</v>
      </c>
      <c r="N61" s="6">
        <f>N28-N50</f>
        <v>18.0</v>
      </c>
      <c r="O61" s="6">
        <f>SUM(C61:N61)</f>
        <v>-150.0</v>
      </c>
    </row>
    <row r="62">
      <c r="B62" t="str">
        <f>B7</f>
        <v>Rebate true-up - buying group</v>
      </c>
      <c r="C62" s="6">
        <f>C29-C51</f>
        <v>0.0</v>
      </c>
      <c r="D62" s="6">
        <f>D29-D51</f>
        <v>0.0</v>
      </c>
      <c r="E62" s="6">
        <f>E29-E51</f>
        <v>0.0</v>
      </c>
      <c r="F62" s="6">
        <f>F29-F51</f>
        <v>0.0</v>
      </c>
      <c r="G62" s="6">
        <f>G29-G51</f>
        <v>0.0</v>
      </c>
      <c r="H62" s="6">
        <f>H29-H51</f>
        <v>0.0</v>
      </c>
      <c r="I62" s="6">
        <f>I29-I51</f>
        <v>0.0</v>
      </c>
      <c r="J62" s="6">
        <f>J29-J51</f>
        <v>0.0</v>
      </c>
      <c r="K62" s="6">
        <f>K29-K51</f>
        <v>-192.0</v>
      </c>
      <c r="L62" s="6">
        <f>L29-L51</f>
        <v>-12.0</v>
      </c>
      <c r="M62" s="6">
        <f>M29-M51</f>
        <v>-12.0</v>
      </c>
      <c r="N62" s="6">
        <f>N29-N51</f>
        <v>-12.0</v>
      </c>
      <c r="O62" s="6">
        <f>SUM(C62:N62)</f>
        <v>-228.0</v>
      </c>
    </row>
    <row r="63">
      <c r="B63" t="str">
        <f>B8</f>
        <v>Backorders due to inventory availability</v>
      </c>
      <c r="C63" s="6">
        <f>C30-C52</f>
        <v>0.0</v>
      </c>
      <c r="D63" s="6">
        <f>D30-D52</f>
        <v>0.0</v>
      </c>
      <c r="E63" s="6">
        <f>E30-E52</f>
        <v>0.0</v>
      </c>
      <c r="F63" s="6">
        <f>F30-F52</f>
        <v>0.0</v>
      </c>
      <c r="G63" s="6">
        <f>G30-G52</f>
        <v>0.0</v>
      </c>
      <c r="H63" s="6">
        <f>H30-H52</f>
        <v>0.0</v>
      </c>
      <c r="I63" s="6">
        <f>I30-I52</f>
        <v>0.0</v>
      </c>
      <c r="J63" s="6">
        <f>J30-J52</f>
        <v>0.0</v>
      </c>
      <c r="K63" s="6">
        <f>K30-K52</f>
        <v>9.0</v>
      </c>
      <c r="L63" s="6">
        <f>L30-L52</f>
        <v>-31.0</v>
      </c>
      <c r="M63" s="6">
        <f>M30-M52</f>
        <v>-21.0</v>
      </c>
      <c r="N63" s="6">
        <f>N30-N52</f>
        <v>-11.0</v>
      </c>
      <c r="O63" s="6">
        <f>SUM(C63:N63)</f>
        <v>-54.0</v>
      </c>
    </row>
    <row r="64">
      <c r="B64" t="str">
        <f>B9</f>
        <v>Insert Adj. 4</v>
      </c>
      <c r="C64" s="6">
        <f>C31-C53</f>
        <v>0.0</v>
      </c>
      <c r="D64" s="6">
        <f>D31-D53</f>
        <v>0.0</v>
      </c>
      <c r="E64" s="6">
        <f>E31-E53</f>
        <v>0.0</v>
      </c>
      <c r="F64" s="6">
        <f>F31-F53</f>
        <v>0.0</v>
      </c>
      <c r="G64" s="6">
        <f>G31-G53</f>
        <v>0.0</v>
      </c>
      <c r="H64" s="6">
        <f>H31-H53</f>
        <v>0.0</v>
      </c>
      <c r="I64" s="6">
        <f>I31-I53</f>
        <v>0.0</v>
      </c>
      <c r="J64" s="6">
        <f>J31-J53</f>
        <v>0.0</v>
      </c>
      <c r="K64" s="6">
        <f>K31-K53</f>
        <v>14.0</v>
      </c>
      <c r="L64" s="6">
        <f>L31-L53</f>
        <v>12.0</v>
      </c>
      <c r="M64" s="6">
        <f>M31-M53</f>
        <v>12.0</v>
      </c>
      <c r="N64" s="6">
        <f>N31-N53</f>
        <v>13.0</v>
      </c>
      <c r="O64" s="6">
        <f>SUM(C64:N64)</f>
        <v>51.0</v>
      </c>
    </row>
    <row r="65">
      <c r="B65" t="str">
        <f>B10</f>
        <v>Insert Adj. 5</v>
      </c>
      <c r="C65" s="6">
        <f>C32-C54</f>
        <v>0.0</v>
      </c>
      <c r="D65" s="6">
        <f>D32-D54</f>
        <v>0.0</v>
      </c>
      <c r="E65" s="6">
        <f>E32-E54</f>
        <v>0.0</v>
      </c>
      <c r="F65" s="6">
        <f>F32-F54</f>
        <v>0.0</v>
      </c>
      <c r="G65" s="6">
        <f>G32-G54</f>
        <v>0.0</v>
      </c>
      <c r="H65" s="6">
        <f>H32-H54</f>
        <v>0.0</v>
      </c>
      <c r="I65" s="6">
        <f>I32-I54</f>
        <v>0.0</v>
      </c>
      <c r="J65" s="6">
        <f>J32-J54</f>
        <v>0.0</v>
      </c>
      <c r="K65" s="6">
        <f>K32-K54</f>
        <v>6.0</v>
      </c>
      <c r="L65" s="6">
        <f>L32-L54</f>
        <v>8.0</v>
      </c>
      <c r="M65" s="6">
        <f>M32-M54</f>
        <v>8.0</v>
      </c>
      <c r="N65" s="6">
        <f>N32-N54</f>
        <v>8.0</v>
      </c>
      <c r="O65" s="6">
        <f>SUM(C65:N65)</f>
        <v>30.0</v>
      </c>
    </row>
    <row r="66">
      <c r="B66" t="str">
        <f>B11</f>
        <v>Insert Adj. 6</v>
      </c>
      <c r="C66" s="6">
        <f>C33-C55</f>
        <v>0.0</v>
      </c>
      <c r="D66" s="6">
        <f>D33-D55</f>
        <v>0.0</v>
      </c>
      <c r="E66" s="6">
        <f>E33-E55</f>
        <v>0.0</v>
      </c>
      <c r="F66" s="6">
        <f>F33-F55</f>
        <v>0.0</v>
      </c>
      <c r="G66" s="6">
        <f>G33-G55</f>
        <v>0.0</v>
      </c>
      <c r="H66" s="6">
        <f>H33-H55</f>
        <v>0.0</v>
      </c>
      <c r="I66" s="6">
        <f>I33-I55</f>
        <v>0.0</v>
      </c>
      <c r="J66" s="6">
        <f>J33-J55</f>
        <v>0.0</v>
      </c>
      <c r="K66" s="6">
        <f>K33-K55</f>
        <v>0.0</v>
      </c>
      <c r="L66" s="6">
        <f>L33-L55</f>
        <v>0.0</v>
      </c>
      <c r="M66" s="6">
        <f>M33-M55</f>
        <v>0.0</v>
      </c>
      <c r="N66" s="6">
        <f>N33-N55</f>
        <v>0.0</v>
      </c>
      <c r="O66" s="6">
        <f>SUM(C66:N66)</f>
        <v>0.0</v>
      </c>
    </row>
    <row r="67">
      <c r="B67" t="str">
        <f>B12</f>
        <v>Insert Adj. 7</v>
      </c>
      <c r="C67" s="6">
        <f>C34-C56</f>
        <v>0.0</v>
      </c>
      <c r="D67" s="6">
        <f>D34-D56</f>
        <v>0.0</v>
      </c>
      <c r="E67" s="6">
        <f>E34-E56</f>
        <v>0.0</v>
      </c>
      <c r="F67" s="6">
        <f>F34-F56</f>
        <v>0.0</v>
      </c>
      <c r="G67" s="6">
        <f>G34-G56</f>
        <v>0.0</v>
      </c>
      <c r="H67" s="6">
        <f>H34-H56</f>
        <v>0.0</v>
      </c>
      <c r="I67" s="6">
        <f>I34-I56</f>
        <v>0.0</v>
      </c>
      <c r="J67" s="6">
        <f>J34-J56</f>
        <v>0.0</v>
      </c>
      <c r="K67" s="6">
        <f>K34-K56</f>
        <v>0.0</v>
      </c>
      <c r="L67" s="6">
        <f>L34-L56</f>
        <v>0.0</v>
      </c>
      <c r="M67" s="6">
        <f>M34-M56</f>
        <v>0.0</v>
      </c>
      <c r="N67" s="6">
        <f>N34-N56</f>
        <v>0.0</v>
      </c>
      <c r="O67" s="6">
        <f>SUM(C67:N67)</f>
        <v>0.0</v>
      </c>
    </row>
    <row r="68">
      <c r="B68" t="str">
        <f>B13</f>
        <v>Insert Adj. 8</v>
      </c>
      <c r="C68" s="6">
        <f>C35-C57</f>
        <v>0.0</v>
      </c>
      <c r="D68" s="6">
        <f>D35-D57</f>
        <v>0.0</v>
      </c>
      <c r="E68" s="6">
        <f>E35-E57</f>
        <v>0.0</v>
      </c>
      <c r="F68" s="6">
        <f>F35-F57</f>
        <v>0.0</v>
      </c>
      <c r="G68" s="6">
        <f>G35-G57</f>
        <v>0.0</v>
      </c>
      <c r="H68" s="6">
        <f>H35-H57</f>
        <v>0.0</v>
      </c>
      <c r="I68" s="6">
        <f>I35-I57</f>
        <v>0.0</v>
      </c>
      <c r="J68" s="6">
        <f>J35-J57</f>
        <v>0.0</v>
      </c>
      <c r="K68" s="6">
        <f>K35-K57</f>
        <v>0.0</v>
      </c>
      <c r="L68" s="6">
        <f>L35-L57</f>
        <v>0.0</v>
      </c>
      <c r="M68" s="6">
        <f>M35-M57</f>
        <v>0.0</v>
      </c>
      <c r="N68" s="6">
        <f>N35-N57</f>
        <v>0.0</v>
      </c>
      <c r="O68" s="6">
        <f>SUM(C68:N68)</f>
        <v>0.0</v>
      </c>
    </row>
    <row r="69">
      <c r="B69" s="2" t="inlineStr">
        <is>
          <t>Total PBITA</t>
        </is>
      </c>
      <c r="C69" s="9">
        <f>SUM(C61:C68)</f>
        <v>0.0</v>
      </c>
      <c r="D69" s="9">
        <f>SUM(D61:D68)</f>
        <v>0.0</v>
      </c>
      <c r="E69" s="9">
        <f>SUM(E61:E68)</f>
        <v>0.0</v>
      </c>
      <c r="F69" s="9">
        <f>SUM(F61:F68)</f>
        <v>0.0</v>
      </c>
      <c r="G69" s="9">
        <f>SUM(G61:G68)</f>
        <v>0.0</v>
      </c>
      <c r="H69" s="9">
        <f>SUM(H61:H68)</f>
        <v>0.0</v>
      </c>
      <c r="I69" s="9">
        <f>SUM(I61:I68)</f>
        <v>0.0</v>
      </c>
      <c r="J69" s="9">
        <f>SUM(J61:J68)</f>
        <v>0.0</v>
      </c>
      <c r="K69" s="9">
        <f>SUM(K61:K68)</f>
        <v>-223.0</v>
      </c>
      <c r="L69" s="9">
        <f>SUM(L61:L68)</f>
        <v>-83.0</v>
      </c>
      <c r="M69" s="9">
        <f>SUM(M61:M68)</f>
        <v>-61.0</v>
      </c>
      <c r="N69" s="9">
        <f>SUM(N61:N68)</f>
        <v>16.0</v>
      </c>
      <c r="O69" s="9">
        <f>SUM(O61:O68)</f>
        <v>-351.0</v>
      </c>
    </row>
    <row r="71">
      <c r="B71" s="8" t="inlineStr">
        <is>
          <t>Section 2: General adjustments in Gross Margin or Opex % of Sales that are not tied to individual events (i.e., employee turnover):</t>
        </is>
      </c>
    </row>
    <row r="73">
      <c r="C73" s="4" t="inlineStr">
        <is>
          <t>January</t>
        </is>
      </c>
      <c r="D73" s="4" t="inlineStr">
        <is>
          <t>February</t>
        </is>
      </c>
      <c r="E73" s="4" t="inlineStr">
        <is>
          <t>March</t>
        </is>
      </c>
      <c r="F73" s="4" t="inlineStr">
        <is>
          <t>April</t>
        </is>
      </c>
      <c r="G73" s="4" t="inlineStr">
        <is>
          <t>May</t>
        </is>
      </c>
      <c r="H73" s="4" t="inlineStr">
        <is>
          <t>June</t>
        </is>
      </c>
      <c r="I73" s="4" t="inlineStr">
        <is>
          <t>July</t>
        </is>
      </c>
      <c r="J73" s="4" t="inlineStr">
        <is>
          <t>August</t>
        </is>
      </c>
      <c r="K73" s="4" t="inlineStr">
        <is>
          <t>September</t>
        </is>
      </c>
      <c r="L73" s="4" t="inlineStr">
        <is>
          <t>October</t>
        </is>
      </c>
      <c r="M73" s="4" t="inlineStr">
        <is>
          <t>November</t>
        </is>
      </c>
      <c r="N73" s="4" t="inlineStr">
        <is>
          <t>December</t>
        </is>
      </c>
      <c r="O73" s="4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2">
        <f>'Granite'!C35</f>
        <v>0.28788406747699186</v>
      </c>
      <c r="D75" s="12">
        <f>'Granite'!D35</f>
        <v>0.28653610516915534</v>
      </c>
      <c r="E75" s="12">
        <f>'Granite'!E35</f>
        <v>0.2851588579507521</v>
      </c>
      <c r="F75" s="12">
        <f>'Granite'!F35</f>
        <v>0.2822088080865807</v>
      </c>
      <c r="G75" s="12">
        <f>'Granite'!G35</f>
        <v>0.2877413954600713</v>
      </c>
      <c r="H75" s="12">
        <f>'Granite'!H35</f>
        <v>0.2875197175692932</v>
      </c>
      <c r="I75" s="12">
        <f>'Granite'!I35</f>
        <v>0.2854190367842245</v>
      </c>
      <c r="J75" s="12">
        <f>'Granite'!J35</f>
        <v>0.2824208616956954</v>
      </c>
      <c r="K75" s="12">
        <f>'Granite'!K35</f>
        <v>0.28585166722273464</v>
      </c>
      <c r="L75" s="12">
        <f>'Granite'!L35</f>
        <v>0.2836298147603646</v>
      </c>
      <c r="M75" s="12">
        <f>'Granite'!M35</f>
        <v>0.28753941613264167</v>
      </c>
      <c r="N75" s="12">
        <f>'Granite'!N35</f>
        <v>0.28287016285671596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6">
        <f>IF(C76="None",0,((('Granite'!C28*(C75+C76))-'Granite'!C29)))</f>
        <v>0.0</v>
      </c>
      <c r="D77" s="6">
        <f>IF(D76="None",0,((('Granite'!D28*(D75+D76))-'Granite'!D29)))</f>
        <v>0.0</v>
      </c>
      <c r="E77" s="6">
        <f>IF(E76="None",0,((('Granite'!E28*(E75+E76))-'Granite'!E29)))</f>
        <v>0.0</v>
      </c>
      <c r="F77" s="6">
        <f>IF(F76="None",0,((('Granite'!F28*(F75+F76))-'Granite'!F29)))</f>
        <v>0.0</v>
      </c>
      <c r="G77" s="6">
        <f>IF(G76="None",0,((('Granite'!G28*(G75+G76))-'Granite'!G29)))</f>
        <v>0.0</v>
      </c>
      <c r="H77" s="6">
        <f>IF(H76="None",0,((('Granite'!H28*(H75+H76))-'Granite'!H29)))</f>
        <v>0.0</v>
      </c>
      <c r="I77" s="6">
        <f>IF(I76="None",0,((('Granite'!I28*(I75+I76))-'Granite'!I29)))</f>
        <v>0.0</v>
      </c>
      <c r="J77" s="6">
        <f>IF(J76="None",0,((('Granite'!J28*(J75+J76))-'Granite'!J29)))</f>
        <v>0.0</v>
      </c>
      <c r="K77" s="6">
        <f>IF(K76="None",0,((('Granite'!K28*(K75+K76))-'Granite'!K29)))</f>
        <v>0.0</v>
      </c>
      <c r="L77" s="6">
        <f>IF(L76="None",0,((('Granite'!L28*(L75+L76))-'Granite'!L29)))</f>
        <v>0.0</v>
      </c>
      <c r="M77" s="6">
        <f>IF(M76="None",0,((('Granite'!M28*(M75+M76))-'Granite'!M29)))</f>
        <v>0.0</v>
      </c>
      <c r="N77" s="6">
        <f>IF(N76="None",0,((('Granite'!N28*(N75+N76))-'Granite'!N29)))</f>
        <v>0.0</v>
      </c>
      <c r="O77" s="6">
        <f>SUM(C77:N77)</f>
        <v>0.0</v>
      </c>
    </row>
    <row r="78">
      <c r="B78" t="inlineStr">
        <is>
          <t>Gross Margin - Current FCAST</t>
        </is>
      </c>
      <c r="C78" s="12">
        <f>SUM(C75:C76)</f>
        <v>0.28788406747699186</v>
      </c>
      <c r="D78" s="12">
        <f>SUM(D75:D76)</f>
        <v>0.28653610516915534</v>
      </c>
      <c r="E78" s="12">
        <f>SUM(E75:E76)</f>
        <v>0.2851588579507521</v>
      </c>
      <c r="F78" s="12">
        <f>SUM(F75:F76)</f>
        <v>0.2822088080865807</v>
      </c>
      <c r="G78" s="12">
        <f>SUM(G75:G76)</f>
        <v>0.2877413954600713</v>
      </c>
      <c r="H78" s="12">
        <f>SUM(H75:H76)</f>
        <v>0.2875197175692932</v>
      </c>
      <c r="I78" s="12">
        <f>SUM(I75:I76)</f>
        <v>0.2854190367842245</v>
      </c>
      <c r="J78" s="12">
        <f>SUM(J75:J76)</f>
        <v>0.2824208616956954</v>
      </c>
      <c r="K78" s="12">
        <f>SUM(K75:K76)</f>
        <v>0.28585166722273464</v>
      </c>
      <c r="L78" s="12">
        <f>SUM(L75:L76)</f>
        <v>0.2836298147603646</v>
      </c>
      <c r="M78" s="12">
        <f>SUM(M75:M76)</f>
        <v>0.28753941613264167</v>
      </c>
      <c r="N78" s="12">
        <f>SUM(N75:N76)</f>
        <v>0.28287016285671596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2">
        <f>'Granite'!C36</f>
        <v>-0.21456535552503742</v>
      </c>
      <c r="D82" s="12">
        <f>'Granite'!D36</f>
        <v>-0.2144296068617474</v>
      </c>
      <c r="E82" s="12">
        <f>'Granite'!E36</f>
        <v>-0.21929859011114164</v>
      </c>
      <c r="F82" s="12">
        <f>'Granite'!F36</f>
        <v>-0.21388005857770476</v>
      </c>
      <c r="G82" s="12">
        <f>'Granite'!G36</f>
        <v>-0.2179086035434562</v>
      </c>
      <c r="H82" s="12">
        <f>'Granite'!H36</f>
        <v>-0.21490272665815371</v>
      </c>
      <c r="I82" s="12">
        <f>'Granite'!I36</f>
        <v>-0.21492226014410315</v>
      </c>
      <c r="J82" s="12">
        <f>'Granite'!J36</f>
        <v>-0.24003822823818532</v>
      </c>
      <c r="K82" s="12">
        <f>'Granite'!K36</f>
        <v>-0.19543500873353872</v>
      </c>
      <c r="L82" s="12">
        <f>'Granite'!L36</f>
        <v>-0.21392605116142308</v>
      </c>
      <c r="M82" s="12">
        <f>'Granite'!M36</f>
        <v>-0.2144847930017292</v>
      </c>
      <c r="N82" s="12">
        <f>'Granite'!N36</f>
        <v>-0.21311444793067383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6">
        <f>-IF(C83="None",0,((('Granite'!C28*-(C82+C83))-'Granite'!C30)))</f>
        <v>0.0</v>
      </c>
      <c r="D84" s="6">
        <f>-IF(D83="None",0,((('Granite'!D28*-(D82+D83))-'Granite'!D30)))</f>
        <v>0.0</v>
      </c>
      <c r="E84" s="6">
        <f>-IF(E83="None",0,((('Granite'!E28*-(E82+E83))-'Granite'!E30)))</f>
        <v>0.0</v>
      </c>
      <c r="F84" s="6">
        <f>-IF(F83="None",0,((('Granite'!F28*-(F82+F83))-'Granite'!F30)))</f>
        <v>0.0</v>
      </c>
      <c r="G84" s="6">
        <f>-IF(G83="None",0,((('Granite'!G28*-(G82+G83))-'Granite'!G30)))</f>
        <v>0.0</v>
      </c>
      <c r="H84" s="6">
        <f>-IF(H83="None",0,((('Granite'!H28*-(H82+H83))-'Granite'!H30)))</f>
        <v>0.0</v>
      </c>
      <c r="I84" s="6">
        <f>-IF(I83="None",0,((('Granite'!I28*-(I82+I83))-'Granite'!I30)))</f>
        <v>0.0</v>
      </c>
      <c r="J84" s="6">
        <f>-IF(J83="None",0,((('Granite'!J28*-(J82+J83))-'Granite'!J30)))</f>
        <v>0.0</v>
      </c>
      <c r="K84" s="6">
        <f>-IF(K83="None",0,((('Granite'!K28*-(K82+K83))-'Granite'!K30)))</f>
        <v>0.0</v>
      </c>
      <c r="L84" s="6">
        <f>-IF(L83="None",0,((('Granite'!L28*-(L82+L83))-'Granite'!L30)))</f>
        <v>0.0</v>
      </c>
      <c r="M84" s="6">
        <f>-IF(M83="None",0,((('Granite'!M28*-(M82+M83))-'Granite'!M30)))</f>
        <v>0.0</v>
      </c>
      <c r="N84" s="6">
        <f>-IF(N83="None",0,((('Granite'!N28*-(N82+N83))-'Granite'!N30)))</f>
        <v>0.0</v>
      </c>
      <c r="O84" s="6">
        <f>SUM(C84:N84)</f>
        <v>0.0</v>
      </c>
    </row>
    <row r="85">
      <c r="B85" t="inlineStr">
        <is>
          <t>Op Costs - Current FCAST</t>
        </is>
      </c>
      <c r="C85" s="12">
        <f>SUM(C82:C83)</f>
        <v>-0.21456535552503742</v>
      </c>
      <c r="D85" s="12">
        <f>SUM(D82:D83)</f>
        <v>-0.2144296068617474</v>
      </c>
      <c r="E85" s="12">
        <f>SUM(E82:E83)</f>
        <v>-0.21929859011114164</v>
      </c>
      <c r="F85" s="12">
        <f>SUM(F82:F83)</f>
        <v>-0.21388005857770476</v>
      </c>
      <c r="G85" s="12">
        <f>SUM(G82:G83)</f>
        <v>-0.2179086035434562</v>
      </c>
      <c r="H85" s="12">
        <f>SUM(H82:H83)</f>
        <v>-0.21490272665815371</v>
      </c>
      <c r="I85" s="12">
        <f>SUM(I82:I83)</f>
        <v>-0.21492226014410315</v>
      </c>
      <c r="J85" s="12">
        <f>SUM(J82:J83)</f>
        <v>-0.24003822823818532</v>
      </c>
      <c r="K85" s="12">
        <f>SUM(K82:K83)</f>
        <v>-0.19543500873353872</v>
      </c>
      <c r="L85" s="12">
        <f>SUM(L82:L83)</f>
        <v>-0.21392605116142308</v>
      </c>
      <c r="M85" s="12">
        <f>SUM(M82:M83)</f>
        <v>-0.2144847930017292</v>
      </c>
      <c r="N85" s="12">
        <f>SUM(N82:N83)</f>
        <v>-0.21311444793067383</v>
      </c>
      <c r="O85" t="inlineStr">
        <is>
          <t>N/A</t>
        </is>
      </c>
    </row>
    <row r="87">
      <c r="B87" s="8" t="inlineStr">
        <is>
          <t>Section 3: Working Capital Adjustments</t>
        </is>
      </c>
    </row>
    <row r="89">
      <c r="C89" s="4" t="inlineStr">
        <is>
          <t>January</t>
        </is>
      </c>
      <c r="D89" s="4" t="inlineStr">
        <is>
          <t>February</t>
        </is>
      </c>
      <c r="E89" s="4" t="inlineStr">
        <is>
          <t>March</t>
        </is>
      </c>
      <c r="F89" s="4" t="inlineStr">
        <is>
          <t>April</t>
        </is>
      </c>
      <c r="G89" s="4" t="inlineStr">
        <is>
          <t>May</t>
        </is>
      </c>
      <c r="H89" s="4" t="inlineStr">
        <is>
          <t>June</t>
        </is>
      </c>
      <c r="I89" s="4" t="inlineStr">
        <is>
          <t>July</t>
        </is>
      </c>
      <c r="J89" s="4" t="inlineStr">
        <is>
          <t>August</t>
        </is>
      </c>
      <c r="K89" s="4" t="inlineStr">
        <is>
          <t>September</t>
        </is>
      </c>
      <c r="L89" s="4" t="inlineStr">
        <is>
          <t>October</t>
        </is>
      </c>
      <c r="M89" s="4" t="inlineStr">
        <is>
          <t>November</t>
        </is>
      </c>
      <c r="N89" s="4" t="inlineStr">
        <is>
          <t>December</t>
        </is>
      </c>
      <c r="O89" s="4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21" t="n">
        <v>400</v>
      </c>
      <c r="L90" s="21" t="n">
        <v>600</v>
      </c>
      <c r="M90" s="21" t="n">
        <v>300</v>
      </c>
      <c r="N90" s="21" t="n">
        <v>0</v>
      </c>
    </row>
    <row r="91">
      <c r="A91" t="n">
        <v>2135</v>
      </c>
      <c r="B91" t="inlineStr">
        <is>
          <t>Trade Receivables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21" t="n">
        <v>0</v>
      </c>
      <c r="L91" s="21" t="n">
        <v>0</v>
      </c>
      <c r="M91" s="21" t="n">
        <v>0</v>
      </c>
      <c r="N91" s="21" t="n">
        <v>0</v>
      </c>
    </row>
    <row r="92">
      <c r="A92" t="n">
        <v>2175</v>
      </c>
      <c r="B92" t="inlineStr">
        <is>
          <t>Other Receivables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21" t="n">
        <v>0</v>
      </c>
      <c r="L92" s="21" t="n">
        <v>0</v>
      </c>
      <c r="M92" s="21" t="n">
        <v>0</v>
      </c>
      <c r="N92" s="21" t="n">
        <v>0</v>
      </c>
    </row>
    <row r="93">
      <c r="A93" t="n">
        <v>2140</v>
      </c>
      <c r="B93" t="inlineStr">
        <is>
          <t>Trade Payables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21" t="n">
        <v>0</v>
      </c>
      <c r="L93" s="21" t="n">
        <v>0</v>
      </c>
      <c r="M93" s="21" t="n">
        <v>0</v>
      </c>
      <c r="N93" s="21" t="n">
        <v>0</v>
      </c>
    </row>
    <row r="94">
      <c r="A94" t="n">
        <v>2180</v>
      </c>
      <c r="B94" t="inlineStr">
        <is>
          <t>Other Payables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21" t="n">
        <v>0</v>
      </c>
      <c r="L94" s="21" t="n">
        <v>0</v>
      </c>
      <c r="M94" s="21" t="n">
        <v>0</v>
      </c>
      <c r="N94" s="21" t="n">
        <v>0</v>
      </c>
    </row>
    <row r="95">
      <c r="A95" t="n">
        <v>2185</v>
      </c>
      <c r="B95" s="2" t="inlineStr">
        <is>
          <t>Total Working Capital</t>
        </is>
      </c>
      <c r="C95" s="6">
        <f>SUM(C90:C94)</f>
        <v>0.0</v>
      </c>
      <c r="D95" s="6">
        <f>SUM(D90:D94)</f>
        <v>0.0</v>
      </c>
      <c r="E95" s="6">
        <f>SUM(E90:E94)</f>
        <v>0.0</v>
      </c>
      <c r="F95" s="6">
        <f>SUM(F90:F94)</f>
        <v>0.0</v>
      </c>
      <c r="G95" s="6">
        <f>SUM(G90:G94)</f>
        <v>0.0</v>
      </c>
      <c r="H95" s="6">
        <f>SUM(H90:H94)</f>
        <v>0.0</v>
      </c>
      <c r="I95" s="6">
        <f>SUM(I90:I94)</f>
        <v>0.0</v>
      </c>
      <c r="J95" s="6">
        <f>SUM(J90:J94)</f>
        <v>0.0</v>
      </c>
      <c r="K95" s="6">
        <f>SUM(K90:K94)</f>
        <v>400.0</v>
      </c>
      <c r="L95" s="6">
        <f>SUM(L90:L94)</f>
        <v>600.0</v>
      </c>
      <c r="M95" s="6">
        <f>SUM(M90:M94)</f>
        <v>300.0</v>
      </c>
      <c r="N95" s="6">
        <f>SUM(N90:N94)</f>
        <v>0.0</v>
      </c>
    </row>
    <row r="97">
      <c r="B97" s="22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GRANITE_DISP</t>
        </is>
      </c>
    </row>
    <row r="23">
      <c r="B23" s="3" t="inlineStr">
        <is>
          <t>Granite Gloves</t>
        </is>
      </c>
      <c r="BU23" s="8" t="inlineStr">
        <is>
          <t>FCAST10 - Variance ($) - Favorable / (Unfavorable)</t>
        </is>
      </c>
    </row>
    <row r="24">
      <c r="C24" s="8" t="inlineStr">
        <is>
          <t>FCAST09 as Reported</t>
        </is>
      </c>
      <c r="Q24" s="8" t="inlineStr">
        <is>
          <t>FCAST09 at New Fx Rates</t>
        </is>
      </c>
      <c r="AE24" s="8" t="inlineStr">
        <is>
          <t>Fx Changes</t>
        </is>
      </c>
      <c r="AS24" s="8" t="inlineStr">
        <is>
          <t>Operational Adjustments</t>
        </is>
      </c>
      <c r="BG24" s="8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6" t="n">
        <v>4878.7</v>
      </c>
      <c r="D28" s="6" t="n">
        <v>4815.1</v>
      </c>
      <c r="E28" s="6" t="n">
        <v>5092.6</v>
      </c>
      <c r="F28" s="6" t="n">
        <v>5599.4</v>
      </c>
      <c r="G28" s="6" t="n">
        <v>5017.7</v>
      </c>
      <c r="H28" s="6" t="n">
        <v>5325.2</v>
      </c>
      <c r="I28" s="6" t="n">
        <v>5274</v>
      </c>
      <c r="J28" s="6" t="n">
        <v>5127.1</v>
      </c>
      <c r="K28" s="6" t="n">
        <v>5095.3</v>
      </c>
      <c r="L28" s="6" t="n">
        <v>5441.6</v>
      </c>
      <c r="M28" s="6" t="n">
        <v>4915.5</v>
      </c>
      <c r="N28" s="6" t="n">
        <v>5354.4</v>
      </c>
      <c r="O28" s="19">
        <f>SUM(C28:N28)</f>
        <v>61936.6</v>
      </c>
      <c r="Q28" s="6" t="n">
        <v>4878.7</v>
      </c>
      <c r="R28" s="6" t="n">
        <v>4815.1</v>
      </c>
      <c r="S28" s="6" t="n">
        <v>5092.6</v>
      </c>
      <c r="T28" s="6" t="n">
        <v>5599.4</v>
      </c>
      <c r="U28" s="6" t="n">
        <v>5017.7</v>
      </c>
      <c r="V28" s="6" t="n">
        <v>5325.2</v>
      </c>
      <c r="W28" s="6" t="n">
        <v>5274</v>
      </c>
      <c r="X28" s="6" t="n">
        <v>5127.1</v>
      </c>
      <c r="Y28" s="6" t="n">
        <v>5095.3</v>
      </c>
      <c r="Z28" s="6" t="n">
        <v>5441.6</v>
      </c>
      <c r="AA28" s="6" t="n">
        <v>4915.5</v>
      </c>
      <c r="AB28" s="6" t="n">
        <v>5354.4</v>
      </c>
      <c r="AC28" s="19">
        <f>SUM(Q28:AB28)</f>
        <v>61936.6</v>
      </c>
      <c r="AE28" s="6">
        <f>Q28-C28</f>
        <v>0.0</v>
      </c>
      <c r="AF28" s="6">
        <f>R28-D28</f>
        <v>0.0</v>
      </c>
      <c r="AG28" s="6">
        <f>S28-E28</f>
        <v>0.0</v>
      </c>
      <c r="AH28" s="6">
        <f>T28-F28</f>
        <v>0.0</v>
      </c>
      <c r="AI28" s="6">
        <f>U28-G28</f>
        <v>0.0</v>
      </c>
      <c r="AJ28" s="6">
        <f>V28-H28</f>
        <v>0.0</v>
      </c>
      <c r="AK28" s="6">
        <f>W28-I28</f>
        <v>0.0</v>
      </c>
      <c r="AL28" s="6">
        <f>X28-J28</f>
        <v>0.0</v>
      </c>
      <c r="AM28" s="6">
        <f>Y28-K28</f>
        <v>0.0</v>
      </c>
      <c r="AN28" s="6">
        <f>Z28-L28</f>
        <v>0.0</v>
      </c>
      <c r="AO28" s="6">
        <f>AA28-M28</f>
        <v>0.0</v>
      </c>
      <c r="AP28" s="6">
        <f>AB28-N28</f>
        <v>0.0</v>
      </c>
      <c r="AQ28" s="19">
        <f>SUM(AE28:AP28)</f>
        <v>0.0</v>
      </c>
      <c r="AS28" s="6">
        <f>'Granite-Adj'!C14</f>
        <v>0.0</v>
      </c>
      <c r="AT28" s="6">
        <f>'Granite-Adj'!D14</f>
        <v>0.0</v>
      </c>
      <c r="AU28" s="6">
        <f>'Granite-Adj'!E14</f>
        <v>0.0</v>
      </c>
      <c r="AV28" s="6">
        <f>'Granite-Adj'!F14</f>
        <v>0.0</v>
      </c>
      <c r="AW28" s="6">
        <f>'Granite-Adj'!G14</f>
        <v>0.0</v>
      </c>
      <c r="AX28" s="6">
        <f>'Granite-Adj'!H14</f>
        <v>0.0</v>
      </c>
      <c r="AY28" s="6">
        <f>'Granite-Adj'!I14</f>
        <v>0.0</v>
      </c>
      <c r="AZ28" s="6">
        <f>'Granite-Adj'!J14</f>
        <v>0.0</v>
      </c>
      <c r="BA28" s="6">
        <f>'Granite-Adj'!K14</f>
        <v>-430.0</v>
      </c>
      <c r="BB28" s="6">
        <f>'Granite-Adj'!L14</f>
        <v>-250.0</v>
      </c>
      <c r="BC28" s="6">
        <f>'Granite-Adj'!M14</f>
        <v>-200.0</v>
      </c>
      <c r="BD28" s="6">
        <f>'Granite-Adj'!N14</f>
        <v>-300.0</v>
      </c>
      <c r="BE28" s="19">
        <f>SUM(AS28:BD28)</f>
        <v>-1180.0</v>
      </c>
      <c r="BG28" s="6">
        <f>C28+AE28+AS28</f>
        <v>4878.7</v>
      </c>
      <c r="BH28" s="6">
        <f>D28+AF28+AT28</f>
        <v>4815.1</v>
      </c>
      <c r="BI28" s="6">
        <f>E28+AG28+AU28</f>
        <v>5092.6</v>
      </c>
      <c r="BJ28" s="6">
        <f>F28+AH28+AV28</f>
        <v>5599.4</v>
      </c>
      <c r="BK28" s="6">
        <f>G28+AI28+AW28</f>
        <v>5017.7</v>
      </c>
      <c r="BL28" s="6">
        <f>H28+AJ28+AX28</f>
        <v>5325.2</v>
      </c>
      <c r="BM28" s="6">
        <f>I28+AK28+AY28</f>
        <v>5274.0</v>
      </c>
      <c r="BN28" s="6">
        <f>J28+AL28+AZ28</f>
        <v>5127.1</v>
      </c>
      <c r="BO28" s="6">
        <f>K28+AM28+BA28</f>
        <v>4665.3</v>
      </c>
      <c r="BP28" s="6">
        <f>L28+AN28+BB28</f>
        <v>5191.6</v>
      </c>
      <c r="BQ28" s="6">
        <f>M28+AO28+BC28</f>
        <v>4715.5</v>
      </c>
      <c r="BR28" s="6">
        <f>N28+AP28+BD28</f>
        <v>5054.4</v>
      </c>
      <c r="BS28" s="19">
        <f>SUM(BG28:BR28)</f>
        <v>60756.6</v>
      </c>
      <c r="BU28" s="6">
        <f>SUM(BG28:BO28)-SUM(C28:K28)</f>
        <v>-430.0</v>
      </c>
      <c r="BV28" s="6">
        <f>SUM(BG28:BO28)-SUM(C51:K51)</f>
        <v>-2792.4000000000015</v>
      </c>
      <c r="BW28" s="6">
        <f>SUM(BG28:BO28)-SUM(C64:K64)</f>
        <v>-1464.4000000000015</v>
      </c>
      <c r="BY28" s="6">
        <f>SUM(BP28:BR28)-SUM(L28:N28)</f>
        <v>-750.0</v>
      </c>
      <c r="BZ28" s="6">
        <f>SUM(BP28:BR28)-SUM(L51:N51)</f>
        <v>-1450.9000000000015</v>
      </c>
      <c r="CA28" s="6">
        <f>SUM(BP28:BR28)-SUM(L64:N64)</f>
        <v>-1011.1999999999989</v>
      </c>
      <c r="CC28" s="6">
        <f>BS28-O28</f>
        <v>-1180.0</v>
      </c>
      <c r="CD28" s="6">
        <f>BS28-O51</f>
        <v>-4243.300000000003</v>
      </c>
      <c r="CE28" s="6">
        <f>BS28-O64</f>
        <v>-2475.5999999999985</v>
      </c>
    </row>
    <row r="29">
      <c r="B29" s="5" t="inlineStr">
        <is>
          <t>Gross Margin</t>
        </is>
      </c>
      <c r="C29" s="6" t="n">
        <v>1404.5</v>
      </c>
      <c r="D29" s="6" t="n">
        <v>1379.7</v>
      </c>
      <c r="E29" s="6" t="n">
        <v>1452.2</v>
      </c>
      <c r="F29" s="6" t="n">
        <v>1580.2</v>
      </c>
      <c r="G29" s="6" t="n">
        <v>1443.8</v>
      </c>
      <c r="H29" s="6" t="n">
        <v>1531.1</v>
      </c>
      <c r="I29" s="6" t="n">
        <v>1505.3</v>
      </c>
      <c r="J29" s="6" t="n">
        <v>1448</v>
      </c>
      <c r="K29" s="6" t="n">
        <v>1456.5</v>
      </c>
      <c r="L29" s="6" t="n">
        <v>1543.4</v>
      </c>
      <c r="M29" s="6" t="n">
        <v>1413.4</v>
      </c>
      <c r="N29" s="6" t="n">
        <v>1514.6</v>
      </c>
      <c r="O29" s="19">
        <f>SUM(C29:N29)</f>
        <v>17672.699999999997</v>
      </c>
      <c r="Q29" s="6" t="n">
        <v>1404.5</v>
      </c>
      <c r="R29" s="6" t="n">
        <v>1379.7</v>
      </c>
      <c r="S29" s="6" t="n">
        <v>1452.2</v>
      </c>
      <c r="T29" s="6" t="n">
        <v>1580.2</v>
      </c>
      <c r="U29" s="6" t="n">
        <v>1443.8</v>
      </c>
      <c r="V29" s="6" t="n">
        <v>1531.1</v>
      </c>
      <c r="W29" s="6" t="n">
        <v>1505.3</v>
      </c>
      <c r="X29" s="6" t="n">
        <v>1448</v>
      </c>
      <c r="Y29" s="6" t="n">
        <v>1456.5</v>
      </c>
      <c r="Z29" s="6" t="n">
        <v>1543.4</v>
      </c>
      <c r="AA29" s="6" t="n">
        <v>1413.4</v>
      </c>
      <c r="AB29" s="6" t="n">
        <v>1514.6</v>
      </c>
      <c r="AC29" s="19">
        <f>SUM(Q29:AB29)</f>
        <v>17672.699999999997</v>
      </c>
      <c r="AE29" s="6">
        <f>Q29-C29</f>
        <v>0.0</v>
      </c>
      <c r="AF29" s="6">
        <f>R29-D29</f>
        <v>0.0</v>
      </c>
      <c r="AG29" s="6">
        <f>S29-E29</f>
        <v>0.0</v>
      </c>
      <c r="AH29" s="6">
        <f>T29-F29</f>
        <v>0.0</v>
      </c>
      <c r="AI29" s="6">
        <f>U29-G29</f>
        <v>0.0</v>
      </c>
      <c r="AJ29" s="6">
        <f>V29-H29</f>
        <v>0.0</v>
      </c>
      <c r="AK29" s="6">
        <f>W29-I29</f>
        <v>0.0</v>
      </c>
      <c r="AL29" s="6">
        <f>X29-J29</f>
        <v>0.0</v>
      </c>
      <c r="AM29" s="6">
        <f>Y29-K29</f>
        <v>0.0</v>
      </c>
      <c r="AN29" s="6">
        <f>Z29-L29</f>
        <v>0.0</v>
      </c>
      <c r="AO29" s="6">
        <f>AA29-M29</f>
        <v>0.0</v>
      </c>
      <c r="AP29" s="6">
        <f>AB29-N29</f>
        <v>0.0</v>
      </c>
      <c r="AQ29" s="19">
        <f>SUM(AE29:AP29)</f>
        <v>0.0</v>
      </c>
      <c r="AS29" s="6">
        <f>'Granite-Adj'!C36+'Granite-Adj'!C77</f>
        <v>0.0</v>
      </c>
      <c r="AT29" s="6">
        <f>'Granite-Adj'!D36+'Granite-Adj'!D77</f>
        <v>0.0</v>
      </c>
      <c r="AU29" s="6">
        <f>'Granite-Adj'!E36+'Granite-Adj'!E77</f>
        <v>0.0</v>
      </c>
      <c r="AV29" s="6">
        <f>'Granite-Adj'!F36+'Granite-Adj'!F77</f>
        <v>0.0</v>
      </c>
      <c r="AW29" s="6">
        <f>'Granite-Adj'!G36+'Granite-Adj'!G77</f>
        <v>0.0</v>
      </c>
      <c r="AX29" s="6">
        <f>'Granite-Adj'!H36+'Granite-Adj'!H77</f>
        <v>0.0</v>
      </c>
      <c r="AY29" s="6">
        <f>'Granite-Adj'!I36+'Granite-Adj'!I77</f>
        <v>0.0</v>
      </c>
      <c r="AZ29" s="6">
        <f>'Granite-Adj'!J36+'Granite-Adj'!J77</f>
        <v>0.0</v>
      </c>
      <c r="BA29" s="6">
        <f>'Granite-Adj'!K36+'Granite-Adj'!K77</f>
        <v>-265.0</v>
      </c>
      <c r="BB29" s="6">
        <f>'Granite-Adj'!L36+'Granite-Adj'!L77</f>
        <v>-127.0</v>
      </c>
      <c r="BC29" s="6">
        <f>'Granite-Adj'!M36+'Granite-Adj'!M77</f>
        <v>-102.0</v>
      </c>
      <c r="BD29" s="6">
        <f>'Granite-Adj'!N36+'Granite-Adj'!N77</f>
        <v>-31.0</v>
      </c>
      <c r="BE29" s="19">
        <f>SUM(AS29:BD29)</f>
        <v>-525.0</v>
      </c>
      <c r="BG29" s="6">
        <f>C29+AE29+AS29</f>
        <v>1404.5</v>
      </c>
      <c r="BH29" s="6">
        <f>D29+AF29+AT29</f>
        <v>1379.7</v>
      </c>
      <c r="BI29" s="6">
        <f>E29+AG29+AU29</f>
        <v>1452.2</v>
      </c>
      <c r="BJ29" s="6">
        <f>F29+AH29+AV29</f>
        <v>1580.2</v>
      </c>
      <c r="BK29" s="6">
        <f>G29+AI29+AW29</f>
        <v>1443.8</v>
      </c>
      <c r="BL29" s="6">
        <f>H29+AJ29+AX29</f>
        <v>1531.1</v>
      </c>
      <c r="BM29" s="6">
        <f>I29+AK29+AY29</f>
        <v>1505.3</v>
      </c>
      <c r="BN29" s="6">
        <f>J29+AL29+AZ29</f>
        <v>1448.0</v>
      </c>
      <c r="BO29" s="6">
        <f>K29+AM29+BA29</f>
        <v>1191.5</v>
      </c>
      <c r="BP29" s="6">
        <f>L29+AN29+BB29</f>
        <v>1416.4</v>
      </c>
      <c r="BQ29" s="6">
        <f>M29+AO29+BC29</f>
        <v>1311.4</v>
      </c>
      <c r="BR29" s="6">
        <f>N29+AP29+BD29</f>
        <v>1483.6</v>
      </c>
      <c r="BS29" s="19">
        <f>SUM(BG29:BR29)</f>
        <v>17147.699999999997</v>
      </c>
      <c r="BU29" s="6">
        <f>SUM(BG29:BO29)-SUM(C29:K29)</f>
        <v>-265.0</v>
      </c>
      <c r="BV29" s="6">
        <f>SUM(BG29:BO29)-SUM(C52:K52)</f>
        <v>-1639.9000000000015</v>
      </c>
      <c r="BW29" s="6">
        <f>SUM(BG29:BO29)-SUM(C65:K65)</f>
        <v>-1517.300000000001</v>
      </c>
      <c r="BY29" s="6">
        <f>SUM(BP29:BR29)-SUM(L29:N29)</f>
        <v>-260.0</v>
      </c>
      <c r="BZ29" s="6">
        <f>SUM(BP29:BR29)-SUM(L52:N52)</f>
        <v>-712.2000000000007</v>
      </c>
      <c r="CA29" s="6">
        <f>SUM(BP29:BR29)-SUM(L65:N65)</f>
        <v>-668.9000000000005</v>
      </c>
      <c r="CC29" s="6">
        <f>BS29-O29</f>
        <v>-525.0</v>
      </c>
      <c r="CD29" s="6">
        <f>BS29-O52</f>
        <v>-2352.100000000002</v>
      </c>
      <c r="CE29" s="6">
        <f>BS29-O65</f>
        <v>-2186.2000000000044</v>
      </c>
    </row>
    <row r="30">
      <c r="B30" s="5" t="inlineStr">
        <is>
          <t>Op Costs</t>
        </is>
      </c>
      <c r="C30" s="6" t="n">
        <v>-1046.8</v>
      </c>
      <c r="D30" s="6" t="n">
        <v>-1032.5</v>
      </c>
      <c r="E30" s="6" t="n">
        <v>-1116.8</v>
      </c>
      <c r="F30" s="6" t="n">
        <v>-1197.6</v>
      </c>
      <c r="G30" s="6" t="n">
        <v>-1093.4</v>
      </c>
      <c r="H30" s="6" t="n">
        <v>-1144.4</v>
      </c>
      <c r="I30" s="6" t="n">
        <v>-1133.5</v>
      </c>
      <c r="J30" s="6" t="n">
        <v>-1230.7</v>
      </c>
      <c r="K30" s="6" t="n">
        <v>-995.8</v>
      </c>
      <c r="L30" s="6" t="n">
        <v>-1164.1</v>
      </c>
      <c r="M30" s="6" t="n">
        <v>-1054.3</v>
      </c>
      <c r="N30" s="6" t="n">
        <v>-1141.1</v>
      </c>
      <c r="O30" s="19">
        <f>SUM(C30:N30)</f>
        <v>-13351.0</v>
      </c>
      <c r="Q30" s="6" t="n">
        <v>-1046.8</v>
      </c>
      <c r="R30" s="6" t="n">
        <v>-1032.5</v>
      </c>
      <c r="S30" s="6" t="n">
        <v>-1116.8</v>
      </c>
      <c r="T30" s="6" t="n">
        <v>-1197.6</v>
      </c>
      <c r="U30" s="6" t="n">
        <v>-1093.4</v>
      </c>
      <c r="V30" s="6" t="n">
        <v>-1144.4</v>
      </c>
      <c r="W30" s="6" t="n">
        <v>-1133.5</v>
      </c>
      <c r="X30" s="6" t="n">
        <v>-1230.7</v>
      </c>
      <c r="Y30" s="6" t="n">
        <v>-995.8</v>
      </c>
      <c r="Z30" s="6" t="n">
        <v>-1164.1</v>
      </c>
      <c r="AA30" s="6" t="n">
        <v>-1054.3</v>
      </c>
      <c r="AB30" s="6" t="n">
        <v>-1141.1</v>
      </c>
      <c r="AC30" s="19">
        <f>SUM(Q30:AB30)</f>
        <v>-13351.0</v>
      </c>
      <c r="AE30" s="6">
        <f>Q30-C30</f>
        <v>0.0</v>
      </c>
      <c r="AF30" s="6">
        <f>R30-D30</f>
        <v>0.0</v>
      </c>
      <c r="AG30" s="6">
        <f>S30-E30</f>
        <v>0.0</v>
      </c>
      <c r="AH30" s="6">
        <f>T30-F30</f>
        <v>0.0</v>
      </c>
      <c r="AI30" s="6">
        <f>U30-G30</f>
        <v>0.0</v>
      </c>
      <c r="AJ30" s="6">
        <f>V30-H30</f>
        <v>0.0</v>
      </c>
      <c r="AK30" s="6">
        <f>W30-I30</f>
        <v>0.0</v>
      </c>
      <c r="AL30" s="6">
        <f>X30-J30</f>
        <v>0.0</v>
      </c>
      <c r="AM30" s="6">
        <f>Y30-K30</f>
        <v>0.0</v>
      </c>
      <c r="AN30" s="6">
        <f>Z30-L30</f>
        <v>0.0</v>
      </c>
      <c r="AO30" s="6">
        <f>AA30-M30</f>
        <v>0.0</v>
      </c>
      <c r="AP30" s="6">
        <f>AB30-N30</f>
        <v>0.0</v>
      </c>
      <c r="AQ30" s="19">
        <f>SUM(AE30:AP30)</f>
        <v>0.0</v>
      </c>
      <c r="AS30" s="6">
        <f>-'Granite-Adj'!C58-'Granite-Adj'!C84</f>
        <v>0.0</v>
      </c>
      <c r="AT30" s="6">
        <f>-'Granite-Adj'!D58-'Granite-Adj'!D84</f>
        <v>0.0</v>
      </c>
      <c r="AU30" s="6">
        <f>-'Granite-Adj'!E58-'Granite-Adj'!E84</f>
        <v>0.0</v>
      </c>
      <c r="AV30" s="6">
        <f>-'Granite-Adj'!F58-'Granite-Adj'!F84</f>
        <v>0.0</v>
      </c>
      <c r="AW30" s="6">
        <f>-'Granite-Adj'!G58-'Granite-Adj'!G84</f>
        <v>0.0</v>
      </c>
      <c r="AX30" s="6">
        <f>-'Granite-Adj'!H58-'Granite-Adj'!H84</f>
        <v>0.0</v>
      </c>
      <c r="AY30" s="6">
        <f>-'Granite-Adj'!I58-'Granite-Adj'!I84</f>
        <v>0.0</v>
      </c>
      <c r="AZ30" s="6">
        <f>-'Granite-Adj'!J58-'Granite-Adj'!J84</f>
        <v>0.0</v>
      </c>
      <c r="BA30" s="6">
        <f>-'Granite-Adj'!K58-'Granite-Adj'!K84</f>
        <v>42.0</v>
      </c>
      <c r="BB30" s="6">
        <f>-'Granite-Adj'!L58-'Granite-Adj'!L84</f>
        <v>44.0</v>
      </c>
      <c r="BC30" s="6">
        <f>-'Granite-Adj'!M58-'Granite-Adj'!M84</f>
        <v>41.0</v>
      </c>
      <c r="BD30" s="6">
        <f>-'Granite-Adj'!N58-'Granite-Adj'!N84</f>
        <v>47.0</v>
      </c>
      <c r="BE30" s="19">
        <f>SUM(AS30:BD30)</f>
        <v>174.0</v>
      </c>
      <c r="BG30" s="6">
        <f>C30+AE30+AS30</f>
        <v>-1046.8</v>
      </c>
      <c r="BH30" s="6">
        <f>D30+AF30+AT30</f>
        <v>-1032.5</v>
      </c>
      <c r="BI30" s="6">
        <f>E30+AG30+AU30</f>
        <v>-1116.8</v>
      </c>
      <c r="BJ30" s="6">
        <f>F30+AH30+AV30</f>
        <v>-1197.6</v>
      </c>
      <c r="BK30" s="6">
        <f>G30+AI30+AW30</f>
        <v>-1093.4</v>
      </c>
      <c r="BL30" s="6">
        <f>H30+AJ30+AX30</f>
        <v>-1144.4</v>
      </c>
      <c r="BM30" s="6">
        <f>I30+AK30+AY30</f>
        <v>-1133.5</v>
      </c>
      <c r="BN30" s="6">
        <f>J30+AL30+AZ30</f>
        <v>-1230.7</v>
      </c>
      <c r="BO30" s="6">
        <f>K30+AM30+BA30</f>
        <v>-953.8</v>
      </c>
      <c r="BP30" s="6">
        <f>L30+AN30+BB30</f>
        <v>-1120.1</v>
      </c>
      <c r="BQ30" s="6">
        <f>M30+AO30+BC30</f>
        <v>-1013.3</v>
      </c>
      <c r="BR30" s="6">
        <f>N30+AP30+BD30</f>
        <v>-1094.1</v>
      </c>
      <c r="BS30" s="19">
        <f>SUM(BG30:BR30)</f>
        <v>-13177.0</v>
      </c>
      <c r="BU30" s="6">
        <f>SUM(BG30:BO30)-SUM(C30:K30)</f>
        <v>42.0</v>
      </c>
      <c r="BV30" s="6">
        <f>SUM(BG30:BO30)-SUM(C53:K53)</f>
        <v>254.5</v>
      </c>
      <c r="BW30" s="6">
        <f>SUM(BG30:BO30)-SUM(C66:K66)</f>
        <v>48.399999999999636</v>
      </c>
      <c r="BY30" s="6">
        <f>SUM(BP30:BR30)-SUM(L30:N30)</f>
        <v>132.0</v>
      </c>
      <c r="BZ30" s="6">
        <f>SUM(BP30:BR30)-SUM(L53:N53)</f>
        <v>219.70000000000027</v>
      </c>
      <c r="CA30" s="6">
        <f>SUM(BP30:BR30)-SUM(L66:N66)</f>
        <v>161.40000000000055</v>
      </c>
      <c r="CC30" s="6">
        <f>BS30-O30</f>
        <v>174.0</v>
      </c>
      <c r="CD30" s="6">
        <f>BS30-O53</f>
        <v>474.2000000000007</v>
      </c>
      <c r="CE30" s="6">
        <f>BS30-O66</f>
        <v>209.79999999999927</v>
      </c>
    </row>
    <row r="31">
      <c r="B31" s="2" t="inlineStr">
        <is>
          <t>PBITA</t>
        </is>
      </c>
      <c r="C31" s="6">
        <f>C29+C30</f>
        <v>357.70000000000005</v>
      </c>
      <c r="D31" s="6">
        <f>D29+D30</f>
        <v>347.20000000000005</v>
      </c>
      <c r="E31" s="6">
        <f>E29+E30</f>
        <v>335.4000000000001</v>
      </c>
      <c r="F31" s="6">
        <f>F29+F30</f>
        <v>382.60000000000014</v>
      </c>
      <c r="G31" s="6">
        <f>G29+G30</f>
        <v>350.39999999999986</v>
      </c>
      <c r="H31" s="6">
        <f>H29+H30</f>
        <v>386.6999999999998</v>
      </c>
      <c r="I31" s="6">
        <f>I29+I30</f>
        <v>371.79999999999995</v>
      </c>
      <c r="J31" s="6">
        <f>J29+J30</f>
        <v>217.29999999999995</v>
      </c>
      <c r="K31" s="6">
        <f>K29+K30</f>
        <v>460.70000000000005</v>
      </c>
      <c r="L31" s="6">
        <f>L29+L30</f>
        <v>379.3000000000002</v>
      </c>
      <c r="M31" s="6">
        <f>M29+M30</f>
        <v>359.10000000000014</v>
      </c>
      <c r="N31" s="6">
        <f>N29+N30</f>
        <v>373.5</v>
      </c>
      <c r="O31" s="19">
        <f>SUM(C31:N31)</f>
        <v>4321.700000000001</v>
      </c>
      <c r="Q31" s="6">
        <f>Q29+Q30</f>
        <v>357.70000000000005</v>
      </c>
      <c r="R31" s="6">
        <f>R29+R30</f>
        <v>347.20000000000005</v>
      </c>
      <c r="S31" s="6">
        <f>S29+S30</f>
        <v>335.4000000000001</v>
      </c>
      <c r="T31" s="6">
        <f>T29+T30</f>
        <v>382.60000000000014</v>
      </c>
      <c r="U31" s="6">
        <f>U29+U30</f>
        <v>350.39999999999986</v>
      </c>
      <c r="V31" s="6">
        <f>V29+V30</f>
        <v>386.6999999999998</v>
      </c>
      <c r="W31" s="6">
        <f>W29+W30</f>
        <v>371.79999999999995</v>
      </c>
      <c r="X31" s="6">
        <f>X29+X30</f>
        <v>217.29999999999995</v>
      </c>
      <c r="Y31" s="6">
        <f>Y29+Y30</f>
        <v>460.70000000000005</v>
      </c>
      <c r="Z31" s="6">
        <f>Z29+Z30</f>
        <v>379.3000000000002</v>
      </c>
      <c r="AA31" s="6">
        <f>AA29+AA30</f>
        <v>359.10000000000014</v>
      </c>
      <c r="AB31" s="6">
        <f>AB29+AB30</f>
        <v>373.5</v>
      </c>
      <c r="AC31" s="19">
        <f>SUM(Q31:AB31)</f>
        <v>4321.700000000001</v>
      </c>
      <c r="AE31" s="6">
        <f>AE29+AE30</f>
        <v>0.0</v>
      </c>
      <c r="AF31" s="6">
        <f>AF29+AF30</f>
        <v>0.0</v>
      </c>
      <c r="AG31" s="6">
        <f>AG29+AG30</f>
        <v>0.0</v>
      </c>
      <c r="AH31" s="6">
        <f>AH29+AH30</f>
        <v>0.0</v>
      </c>
      <c r="AI31" s="6">
        <f>AI29+AI30</f>
        <v>0.0</v>
      </c>
      <c r="AJ31" s="6">
        <f>AJ29+AJ30</f>
        <v>0.0</v>
      </c>
      <c r="AK31" s="6">
        <f>AK29+AK30</f>
        <v>0.0</v>
      </c>
      <c r="AL31" s="6">
        <f>AL29+AL30</f>
        <v>0.0</v>
      </c>
      <c r="AM31" s="6">
        <f>AM29+AM30</f>
        <v>0.0</v>
      </c>
      <c r="AN31" s="6">
        <f>AN29+AN30</f>
        <v>0.0</v>
      </c>
      <c r="AO31" s="6">
        <f>AO29+AO30</f>
        <v>0.0</v>
      </c>
      <c r="AP31" s="6">
        <f>AP29+AP30</f>
        <v>0.0</v>
      </c>
      <c r="AQ31" s="19">
        <f>SUM(AE31:AP31)</f>
        <v>0.0</v>
      </c>
      <c r="AS31" s="6">
        <f>AS29+AS30</f>
        <v>0.0</v>
      </c>
      <c r="AT31" s="6">
        <f>AT29+AT30</f>
        <v>0.0</v>
      </c>
      <c r="AU31" s="6">
        <f>AU29+AU30</f>
        <v>0.0</v>
      </c>
      <c r="AV31" s="6">
        <f>AV29+AV30</f>
        <v>0.0</v>
      </c>
      <c r="AW31" s="6">
        <f>AW29+AW30</f>
        <v>0.0</v>
      </c>
      <c r="AX31" s="6">
        <f>AX29+AX30</f>
        <v>0.0</v>
      </c>
      <c r="AY31" s="6">
        <f>AY29+AY30</f>
        <v>0.0</v>
      </c>
      <c r="AZ31" s="6">
        <f>AZ29+AZ30</f>
        <v>0.0</v>
      </c>
      <c r="BA31" s="6">
        <f>BA29+BA30</f>
        <v>-223.0</v>
      </c>
      <c r="BB31" s="6">
        <f>BB29+BB30</f>
        <v>-83.0</v>
      </c>
      <c r="BC31" s="6">
        <f>BC29+BC30</f>
        <v>-61.0</v>
      </c>
      <c r="BD31" s="6">
        <f>BD29+BD30</f>
        <v>16.0</v>
      </c>
      <c r="BE31" s="19">
        <f>SUM(AS31:BD31)</f>
        <v>-351.0</v>
      </c>
      <c r="BG31" s="6">
        <f>BG29+BG30</f>
        <v>357.70000000000005</v>
      </c>
      <c r="BH31" s="6">
        <f>BH29+BH30</f>
        <v>347.20000000000005</v>
      </c>
      <c r="BI31" s="6">
        <f>BI29+BI30</f>
        <v>335.4000000000001</v>
      </c>
      <c r="BJ31" s="6">
        <f>BJ29+BJ30</f>
        <v>382.60000000000014</v>
      </c>
      <c r="BK31" s="6">
        <f>BK29+BK30</f>
        <v>350.39999999999986</v>
      </c>
      <c r="BL31" s="6">
        <f>BL29+BL30</f>
        <v>386.6999999999998</v>
      </c>
      <c r="BM31" s="6">
        <f>BM29+BM30</f>
        <v>371.79999999999995</v>
      </c>
      <c r="BN31" s="6">
        <f>BN29+BN30</f>
        <v>217.29999999999995</v>
      </c>
      <c r="BO31" s="6">
        <f>BO29+BO30</f>
        <v>237.70000000000005</v>
      </c>
      <c r="BP31" s="6">
        <f>BP29+BP30</f>
        <v>296.3000000000002</v>
      </c>
      <c r="BQ31" s="6">
        <f>BQ29+BQ30</f>
        <v>298.10000000000014</v>
      </c>
      <c r="BR31" s="6">
        <f>BR29+BR30</f>
        <v>389.5</v>
      </c>
      <c r="BS31" s="19">
        <f>SUM(BG31:BR31)</f>
        <v>3970.7000000000007</v>
      </c>
      <c r="BU31" s="6">
        <f>SUM(BG31:BO31)-SUM(C31:K31)</f>
        <v>-223.0</v>
      </c>
      <c r="BV31" s="6">
        <f>SUM(BG31:BO31)-SUM(C54:K54)</f>
        <v>-1385.4000000000005</v>
      </c>
      <c r="BW31" s="6">
        <f>SUM(BG31:BO31)-SUM(C67:K67)</f>
        <v>-1468.8999999999996</v>
      </c>
      <c r="BY31" s="6">
        <f>SUM(BP31:BR31)-SUM(L31:N31)</f>
        <v>-128.0</v>
      </c>
      <c r="BZ31" s="6">
        <f>SUM(BP31:BR31)-SUM(L54:N54)</f>
        <v>-492.4999999999998</v>
      </c>
      <c r="CA31" s="6">
        <f>SUM(BP31:BR31)-SUM(L67:N67)</f>
        <v>-507.49999999999955</v>
      </c>
      <c r="CC31" s="6">
        <f>BS31-O31</f>
        <v>-351.0</v>
      </c>
      <c r="CD31" s="6">
        <f>BS31-O54</f>
        <v>-1877.9000000000005</v>
      </c>
      <c r="CE31" s="6">
        <f>BS31-O67</f>
        <v>-1976.3999999999996</v>
      </c>
    </row>
    <row r="35">
      <c r="B35" s="5" t="inlineStr">
        <is>
          <t>GM %</t>
        </is>
      </c>
      <c r="C35" s="12">
        <f>IFERROR(C29/C28,0)</f>
        <v>0.28788406747699186</v>
      </c>
      <c r="D35" s="12">
        <f>IFERROR(D29/D28,0)</f>
        <v>0.28653610516915534</v>
      </c>
      <c r="E35" s="12">
        <f>IFERROR(E29/E28,0)</f>
        <v>0.2851588579507521</v>
      </c>
      <c r="F35" s="12">
        <f>IFERROR(F29/F28,0)</f>
        <v>0.2822088080865807</v>
      </c>
      <c r="G35" s="12">
        <f>IFERROR(G29/G28,0)</f>
        <v>0.2877413954600713</v>
      </c>
      <c r="H35" s="12">
        <f>IFERROR(H29/H28,0)</f>
        <v>0.2875197175692932</v>
      </c>
      <c r="I35" s="12">
        <f>IFERROR(I29/I28,0)</f>
        <v>0.2854190367842245</v>
      </c>
      <c r="J35" s="12">
        <f>IFERROR(J29/J28,0)</f>
        <v>0.2824208616956954</v>
      </c>
      <c r="K35" s="12">
        <f>IFERROR(K29/K28,0)</f>
        <v>0.28585166722273464</v>
      </c>
      <c r="L35" s="12">
        <f>IFERROR(L29/L28,0)</f>
        <v>0.2836298147603646</v>
      </c>
      <c r="M35" s="12">
        <f>IFERROR(M29/M28,0)</f>
        <v>0.28753941613264167</v>
      </c>
      <c r="N35" s="12">
        <f>IFERROR(N29/N28,0)</f>
        <v>0.28287016285671596</v>
      </c>
      <c r="O35" s="12">
        <f>IFERROR(O29/O28,0)</f>
        <v>0.28533532676963214</v>
      </c>
      <c r="Q35" s="12">
        <f>IFERROR(Q29/Q28,0)</f>
        <v>0.28788406747699186</v>
      </c>
      <c r="R35" s="12">
        <f>IFERROR(R29/R28,0)</f>
        <v>0.28653610516915534</v>
      </c>
      <c r="S35" s="12">
        <f>IFERROR(S29/S28,0)</f>
        <v>0.2851588579507521</v>
      </c>
      <c r="T35" s="12">
        <f>IFERROR(T29/T28,0)</f>
        <v>0.2822088080865807</v>
      </c>
      <c r="U35" s="12">
        <f>IFERROR(U29/U28,0)</f>
        <v>0.2877413954600713</v>
      </c>
      <c r="V35" s="12">
        <f>IFERROR(V29/V28,0)</f>
        <v>0.2875197175692932</v>
      </c>
      <c r="W35" s="12">
        <f>IFERROR(W29/W28,0)</f>
        <v>0.2854190367842245</v>
      </c>
      <c r="X35" s="12">
        <f>IFERROR(X29/X28,0)</f>
        <v>0.2824208616956954</v>
      </c>
      <c r="Y35" s="12">
        <f>IFERROR(Y29/Y28,0)</f>
        <v>0.28585166722273464</v>
      </c>
      <c r="Z35" s="12">
        <f>IFERROR(Z29/Z28,0)</f>
        <v>0.2836298147603646</v>
      </c>
      <c r="AA35" s="12">
        <f>IFERROR(AA29/AA28,0)</f>
        <v>0.28753941613264167</v>
      </c>
      <c r="AB35" s="12">
        <f>IFERROR(AB29/AB28,0)</f>
        <v>0.28287016285671596</v>
      </c>
      <c r="AC35" s="12">
        <f>IFERROR(AC29/AC28,0)</f>
        <v>0.28533532676963214</v>
      </c>
      <c r="AE35" s="12">
        <f>IFERROR(AE29/AE28,0)</f>
        <v>0.0</v>
      </c>
      <c r="AF35" s="12">
        <f>IFERROR(AF29/AF28,0)</f>
        <v>0.0</v>
      </c>
      <c r="AG35" s="12">
        <f>IFERROR(AG29/AG28,0)</f>
        <v>0.0</v>
      </c>
      <c r="AH35" s="12">
        <f>IFERROR(AH29/AH28,0)</f>
        <v>0.0</v>
      </c>
      <c r="AI35" s="12">
        <f>IFERROR(AI29/AI28,0)</f>
        <v>0.0</v>
      </c>
      <c r="AJ35" s="12">
        <f>IFERROR(AJ29/AJ28,0)</f>
        <v>0.0</v>
      </c>
      <c r="AK35" s="12">
        <f>IFERROR(AK29/AK28,0)</f>
        <v>0.0</v>
      </c>
      <c r="AL35" s="12">
        <f>IFERROR(AL29/AL28,0)</f>
        <v>0.0</v>
      </c>
      <c r="AM35" s="12">
        <f>IFERROR(AM29/AM28,0)</f>
        <v>0.0</v>
      </c>
      <c r="AN35" s="12">
        <f>IFERROR(AN29/AN28,0)</f>
        <v>0.0</v>
      </c>
      <c r="AO35" s="12">
        <f>IFERROR(AO29/AO28,0)</f>
        <v>0.0</v>
      </c>
      <c r="AP35" s="12">
        <f>IFERROR(AP29/AP28,0)</f>
        <v>0.0</v>
      </c>
      <c r="AQ35" s="12">
        <f>IFERROR(AQ29/AQ28,0)</f>
        <v>0.0</v>
      </c>
      <c r="AS35" s="12">
        <f>IFERROR(AS29/AS28,0)</f>
        <v>0.0</v>
      </c>
      <c r="AT35" s="12">
        <f>IFERROR(AT29/AT28,0)</f>
        <v>0.0</v>
      </c>
      <c r="AU35" s="12">
        <f>IFERROR(AU29/AU28,0)</f>
        <v>0.0</v>
      </c>
      <c r="AV35" s="12">
        <f>IFERROR(AV29/AV28,0)</f>
        <v>0.0</v>
      </c>
      <c r="AW35" s="12">
        <f>IFERROR(AW29/AW28,0)</f>
        <v>0.0</v>
      </c>
      <c r="AX35" s="12">
        <f>IFERROR(AX29/AX28,0)</f>
        <v>0.0</v>
      </c>
      <c r="AY35" s="12">
        <f>IFERROR(AY29/AY28,0)</f>
        <v>0.0</v>
      </c>
      <c r="AZ35" s="12">
        <f>IFERROR(AZ29/AZ28,0)</f>
        <v>0.0</v>
      </c>
      <c r="BA35" s="12">
        <f>IFERROR(BA29/BA28,0)</f>
        <v>0.6162790697674418</v>
      </c>
      <c r="BB35" s="12">
        <f>IFERROR(BB29/BB28,0)</f>
        <v>0.508</v>
      </c>
      <c r="BC35" s="12">
        <f>IFERROR(BC29/BC28,0)</f>
        <v>0.51</v>
      </c>
      <c r="BD35" s="12">
        <f>IFERROR(BD29/BD28,0)</f>
        <v>0.10333333333333333</v>
      </c>
      <c r="BE35" s="12">
        <f>IFERROR(BE29/BE28,0)</f>
        <v>0.4449152542372881</v>
      </c>
      <c r="BG35" s="12">
        <f>IFERROR(BG29/BG28,0)</f>
        <v>0.28788406747699186</v>
      </c>
      <c r="BH35" s="12">
        <f>IFERROR(BH29/BH28,0)</f>
        <v>0.28653610516915534</v>
      </c>
      <c r="BI35" s="12">
        <f>IFERROR(BI29/BI28,0)</f>
        <v>0.2851588579507521</v>
      </c>
      <c r="BJ35" s="12">
        <f>IFERROR(BJ29/BJ28,0)</f>
        <v>0.2822088080865807</v>
      </c>
      <c r="BK35" s="12">
        <f>IFERROR(BK29/BK28,0)</f>
        <v>0.2877413954600713</v>
      </c>
      <c r="BL35" s="12">
        <f>IFERROR(BL29/BL28,0)</f>
        <v>0.2875197175692932</v>
      </c>
      <c r="BM35" s="12">
        <f>IFERROR(BM29/BM28,0)</f>
        <v>0.2854190367842245</v>
      </c>
      <c r="BN35" s="12">
        <f>IFERROR(BN29/BN28,0)</f>
        <v>0.2824208616956954</v>
      </c>
      <c r="BO35" s="12">
        <f>IFERROR(BO29/BO28,0)</f>
        <v>0.25539622317964544</v>
      </c>
      <c r="BP35" s="12">
        <f>IFERROR(BP29/BP28,0)</f>
        <v>0.27282533323060326</v>
      </c>
      <c r="BQ35" s="12">
        <f>IFERROR(BQ29/BQ28,0)</f>
        <v>0.2781041246951543</v>
      </c>
      <c r="BR35" s="12">
        <f>IFERROR(BR29/BR28,0)</f>
        <v>0.2935264324153213</v>
      </c>
      <c r="BS35" s="12">
        <f>IFERROR(BS29/BS28,0)</f>
        <v>0.28223600398968995</v>
      </c>
    </row>
    <row r="36">
      <c r="B36" s="5" t="inlineStr">
        <is>
          <t>Op Cost %</t>
        </is>
      </c>
      <c r="C36" s="12">
        <f>IFERROR(C30/C28,0)</f>
        <v>-0.21456535552503742</v>
      </c>
      <c r="D36" s="12">
        <f>IFERROR(D30/D28,0)</f>
        <v>-0.2144296068617474</v>
      </c>
      <c r="E36" s="12">
        <f>IFERROR(E30/E28,0)</f>
        <v>-0.21929859011114164</v>
      </c>
      <c r="F36" s="12">
        <f>IFERROR(F30/F28,0)</f>
        <v>-0.21388005857770476</v>
      </c>
      <c r="G36" s="12">
        <f>IFERROR(G30/G28,0)</f>
        <v>-0.2179086035434562</v>
      </c>
      <c r="H36" s="12">
        <f>IFERROR(H30/H28,0)</f>
        <v>-0.21490272665815371</v>
      </c>
      <c r="I36" s="12">
        <f>IFERROR(I30/I28,0)</f>
        <v>-0.21492226014410315</v>
      </c>
      <c r="J36" s="12">
        <f>IFERROR(J30/J28,0)</f>
        <v>-0.24003822823818532</v>
      </c>
      <c r="K36" s="12">
        <f>IFERROR(K30/K28,0)</f>
        <v>-0.19543500873353872</v>
      </c>
      <c r="L36" s="12">
        <f>IFERROR(L30/L28,0)</f>
        <v>-0.21392605116142308</v>
      </c>
      <c r="M36" s="12">
        <f>IFERROR(M30/M28,0)</f>
        <v>-0.2144847930017292</v>
      </c>
      <c r="N36" s="12">
        <f>IFERROR(N30/N28,0)</f>
        <v>-0.21311444793067383</v>
      </c>
      <c r="O36" s="12">
        <f>IFERROR(O30/O28,0)</f>
        <v>-0.215559136278065</v>
      </c>
      <c r="Q36" s="12">
        <f>IFERROR(Q30/Q28,0)</f>
        <v>-0.21456535552503742</v>
      </c>
      <c r="R36" s="12">
        <f>IFERROR(R30/R28,0)</f>
        <v>-0.2144296068617474</v>
      </c>
      <c r="S36" s="12">
        <f>IFERROR(S30/S28,0)</f>
        <v>-0.21929859011114164</v>
      </c>
      <c r="T36" s="12">
        <f>IFERROR(T30/T28,0)</f>
        <v>-0.21388005857770476</v>
      </c>
      <c r="U36" s="12">
        <f>IFERROR(U30/U28,0)</f>
        <v>-0.2179086035434562</v>
      </c>
      <c r="V36" s="12">
        <f>IFERROR(V30/V28,0)</f>
        <v>-0.21490272665815371</v>
      </c>
      <c r="W36" s="12">
        <f>IFERROR(W30/W28,0)</f>
        <v>-0.21492226014410315</v>
      </c>
      <c r="X36" s="12">
        <f>IFERROR(X30/X28,0)</f>
        <v>-0.24003822823818532</v>
      </c>
      <c r="Y36" s="12">
        <f>IFERROR(Y30/Y28,0)</f>
        <v>-0.19543500873353872</v>
      </c>
      <c r="Z36" s="12">
        <f>IFERROR(Z30/Z28,0)</f>
        <v>-0.21392605116142308</v>
      </c>
      <c r="AA36" s="12">
        <f>IFERROR(AA30/AA28,0)</f>
        <v>-0.2144847930017292</v>
      </c>
      <c r="AB36" s="12">
        <f>IFERROR(AB30/AB28,0)</f>
        <v>-0.21311444793067383</v>
      </c>
      <c r="AC36" s="12">
        <f>IFERROR(AC30/AC28,0)</f>
        <v>-0.215559136278065</v>
      </c>
      <c r="AE36" s="12">
        <f>IFERROR(AE30/AE28,0)</f>
        <v>0.0</v>
      </c>
      <c r="AF36" s="12">
        <f>IFERROR(AF30/AF28,0)</f>
        <v>0.0</v>
      </c>
      <c r="AG36" s="12">
        <f>IFERROR(AG30/AG28,0)</f>
        <v>0.0</v>
      </c>
      <c r="AH36" s="12">
        <f>IFERROR(AH30/AH28,0)</f>
        <v>0.0</v>
      </c>
      <c r="AI36" s="12">
        <f>IFERROR(AI30/AI28,0)</f>
        <v>0.0</v>
      </c>
      <c r="AJ36" s="12">
        <f>IFERROR(AJ30/AJ28,0)</f>
        <v>0.0</v>
      </c>
      <c r="AK36" s="12">
        <f>IFERROR(AK30/AK28,0)</f>
        <v>0.0</v>
      </c>
      <c r="AL36" s="12">
        <f>IFERROR(AL30/AL28,0)</f>
        <v>0.0</v>
      </c>
      <c r="AM36" s="12">
        <f>IFERROR(AM30/AM28,0)</f>
        <v>0.0</v>
      </c>
      <c r="AN36" s="12">
        <f>IFERROR(AN30/AN28,0)</f>
        <v>0.0</v>
      </c>
      <c r="AO36" s="12">
        <f>IFERROR(AO30/AO28,0)</f>
        <v>0.0</v>
      </c>
      <c r="AP36" s="12">
        <f>IFERROR(AP30/AP28,0)</f>
        <v>0.0</v>
      </c>
      <c r="AQ36" s="12">
        <f>IFERROR(AQ30/AQ28,0)</f>
        <v>0.0</v>
      </c>
      <c r="AS36" s="12">
        <f>IFERROR(AS30/AS28,0)</f>
        <v>0.0</v>
      </c>
      <c r="AT36" s="12">
        <f>IFERROR(AT30/AT28,0)</f>
        <v>0.0</v>
      </c>
      <c r="AU36" s="12">
        <f>IFERROR(AU30/AU28,0)</f>
        <v>0.0</v>
      </c>
      <c r="AV36" s="12">
        <f>IFERROR(AV30/AV28,0)</f>
        <v>0.0</v>
      </c>
      <c r="AW36" s="12">
        <f>IFERROR(AW30/AW28,0)</f>
        <v>0.0</v>
      </c>
      <c r="AX36" s="12">
        <f>IFERROR(AX30/AX28,0)</f>
        <v>0.0</v>
      </c>
      <c r="AY36" s="12">
        <f>IFERROR(AY30/AY28,0)</f>
        <v>0.0</v>
      </c>
      <c r="AZ36" s="12">
        <f>IFERROR(AZ30/AZ28,0)</f>
        <v>0.0</v>
      </c>
      <c r="BA36" s="12">
        <f>IFERROR(BA30/BA28,0)</f>
        <v>-0.09767441860465116</v>
      </c>
      <c r="BB36" s="12">
        <f>IFERROR(BB30/BB28,0)</f>
        <v>-0.176</v>
      </c>
      <c r="BC36" s="12">
        <f>IFERROR(BC30/BC28,0)</f>
        <v>-0.205</v>
      </c>
      <c r="BD36" s="12">
        <f>IFERROR(BD30/BD28,0)</f>
        <v>-0.15666666666666668</v>
      </c>
      <c r="BE36" s="12">
        <f>IFERROR(BE30/BE28,0)</f>
        <v>-0.14745762711864407</v>
      </c>
      <c r="BG36" s="12">
        <f>IFERROR(BG30/BG28,0)</f>
        <v>-0.21456535552503742</v>
      </c>
      <c r="BH36" s="12">
        <f>IFERROR(BH30/BH28,0)</f>
        <v>-0.2144296068617474</v>
      </c>
      <c r="BI36" s="12">
        <f>IFERROR(BI30/BI28,0)</f>
        <v>-0.21929859011114164</v>
      </c>
      <c r="BJ36" s="12">
        <f>IFERROR(BJ30/BJ28,0)</f>
        <v>-0.21388005857770476</v>
      </c>
      <c r="BK36" s="12">
        <f>IFERROR(BK30/BK28,0)</f>
        <v>-0.2179086035434562</v>
      </c>
      <c r="BL36" s="12">
        <f>IFERROR(BL30/BL28,0)</f>
        <v>-0.21490272665815371</v>
      </c>
      <c r="BM36" s="12">
        <f>IFERROR(BM30/BM28,0)</f>
        <v>-0.21492226014410315</v>
      </c>
      <c r="BN36" s="12">
        <f>IFERROR(BN30/BN28,0)</f>
        <v>-0.24003822823818532</v>
      </c>
      <c r="BO36" s="12">
        <f>IFERROR(BO30/BO28,0)</f>
        <v>-0.2044455876363792</v>
      </c>
      <c r="BP36" s="12">
        <f>IFERROR(BP30/BP28,0)</f>
        <v>-0.21575236921180366</v>
      </c>
      <c r="BQ36" s="12">
        <f>IFERROR(BQ30/BQ28,0)</f>
        <v>-0.214887074541406</v>
      </c>
      <c r="BR36" s="12">
        <f>IFERROR(BR30/BR28,0)</f>
        <v>-0.21646486229819564</v>
      </c>
      <c r="BS36" s="12">
        <f>IFERROR(BS30/BS28,0)</f>
        <v>-0.21688178732845487</v>
      </c>
    </row>
    <row r="37">
      <c r="B37" s="5" t="inlineStr">
        <is>
          <t>PBITA %</t>
        </is>
      </c>
      <c r="C37" s="12">
        <f>IFERROR(C31/C28,0)</f>
        <v>0.07331871195195443</v>
      </c>
      <c r="D37" s="12">
        <f>IFERROR(D31/D28,0)</f>
        <v>0.07210649830740795</v>
      </c>
      <c r="E37" s="12">
        <f>IFERROR(E31/E28,0)</f>
        <v>0.06586026783961042</v>
      </c>
      <c r="F37" s="12">
        <f>IFERROR(F31/F28,0)</f>
        <v>0.06832874950887598</v>
      </c>
      <c r="G37" s="12">
        <f>IFERROR(G31/G28,0)</f>
        <v>0.06983279191661516</v>
      </c>
      <c r="H37" s="12">
        <f>IFERROR(H31/H28,0)</f>
        <v>0.07261699091113946</v>
      </c>
      <c r="I37" s="12">
        <f>IFERROR(I31/I28,0)</f>
        <v>0.07049677664012134</v>
      </c>
      <c r="J37" s="12">
        <f>IFERROR(J31/J28,0)</f>
        <v>0.04238263345751008</v>
      </c>
      <c r="K37" s="12">
        <f>IFERROR(K31/K28,0)</f>
        <v>0.09041665848919593</v>
      </c>
      <c r="L37" s="12">
        <f>IFERROR(L31/L28,0)</f>
        <v>0.06970376359894152</v>
      </c>
      <c r="M37" s="12">
        <f>IFERROR(M31/M28,0)</f>
        <v>0.07305462313091245</v>
      </c>
      <c r="N37" s="12">
        <f>IFERROR(N31/N28,0)</f>
        <v>0.06975571492604214</v>
      </c>
      <c r="O37" s="12">
        <f>IFERROR(O31/O28,0)</f>
        <v>0.06977619049156719</v>
      </c>
      <c r="Q37" s="12">
        <f>IFERROR(Q31/Q28,0)</f>
        <v>0.07331871195195443</v>
      </c>
      <c r="R37" s="12">
        <f>IFERROR(R31/R28,0)</f>
        <v>0.07210649830740795</v>
      </c>
      <c r="S37" s="12">
        <f>IFERROR(S31/S28,0)</f>
        <v>0.06586026783961042</v>
      </c>
      <c r="T37" s="12">
        <f>IFERROR(T31/T28,0)</f>
        <v>0.06832874950887598</v>
      </c>
      <c r="U37" s="12">
        <f>IFERROR(U31/U28,0)</f>
        <v>0.06983279191661516</v>
      </c>
      <c r="V37" s="12">
        <f>IFERROR(V31/V28,0)</f>
        <v>0.07261699091113946</v>
      </c>
      <c r="W37" s="12">
        <f>IFERROR(W31/W28,0)</f>
        <v>0.07049677664012134</v>
      </c>
      <c r="X37" s="12">
        <f>IFERROR(X31/X28,0)</f>
        <v>0.04238263345751008</v>
      </c>
      <c r="Y37" s="12">
        <f>IFERROR(Y31/Y28,0)</f>
        <v>0.09041665848919593</v>
      </c>
      <c r="Z37" s="12">
        <f>IFERROR(Z31/Z28,0)</f>
        <v>0.06970376359894152</v>
      </c>
      <c r="AA37" s="12">
        <f>IFERROR(AA31/AA28,0)</f>
        <v>0.07305462313091245</v>
      </c>
      <c r="AB37" s="12">
        <f>IFERROR(AB31/AB28,0)</f>
        <v>0.06975571492604214</v>
      </c>
      <c r="AC37" s="12">
        <f>IFERROR(AC31/AC28,0)</f>
        <v>0.06977619049156719</v>
      </c>
      <c r="AE37" s="12">
        <f>IFERROR(AE31/AE28,0)</f>
        <v>0.0</v>
      </c>
      <c r="AF37" s="12">
        <f>IFERROR(AF31/AF28,0)</f>
        <v>0.0</v>
      </c>
      <c r="AG37" s="12">
        <f>IFERROR(AG31/AG28,0)</f>
        <v>0.0</v>
      </c>
      <c r="AH37" s="12">
        <f>IFERROR(AH31/AH28,0)</f>
        <v>0.0</v>
      </c>
      <c r="AI37" s="12">
        <f>IFERROR(AI31/AI28,0)</f>
        <v>0.0</v>
      </c>
      <c r="AJ37" s="12">
        <f>IFERROR(AJ31/AJ28,0)</f>
        <v>0.0</v>
      </c>
      <c r="AK37" s="12">
        <f>IFERROR(AK31/AK28,0)</f>
        <v>0.0</v>
      </c>
      <c r="AL37" s="12">
        <f>IFERROR(AL31/AL28,0)</f>
        <v>0.0</v>
      </c>
      <c r="AM37" s="12">
        <f>IFERROR(AM31/AM28,0)</f>
        <v>0.0</v>
      </c>
      <c r="AN37" s="12">
        <f>IFERROR(AN31/AN28,0)</f>
        <v>0.0</v>
      </c>
      <c r="AO37" s="12">
        <f>IFERROR(AO31/AO28,0)</f>
        <v>0.0</v>
      </c>
      <c r="AP37" s="12">
        <f>IFERROR(AP31/AP28,0)</f>
        <v>0.0</v>
      </c>
      <c r="AQ37" s="12">
        <f>IFERROR(AQ31/AQ28,0)</f>
        <v>0.0</v>
      </c>
      <c r="AS37" s="12">
        <f>IFERROR(AS31/AS28,0)</f>
        <v>0.0</v>
      </c>
      <c r="AT37" s="12">
        <f>IFERROR(AT31/AT28,0)</f>
        <v>0.0</v>
      </c>
      <c r="AU37" s="12">
        <f>IFERROR(AU31/AU28,0)</f>
        <v>0.0</v>
      </c>
      <c r="AV37" s="12">
        <f>IFERROR(AV31/AV28,0)</f>
        <v>0.0</v>
      </c>
      <c r="AW37" s="12">
        <f>IFERROR(AW31/AW28,0)</f>
        <v>0.0</v>
      </c>
      <c r="AX37" s="12">
        <f>IFERROR(AX31/AX28,0)</f>
        <v>0.0</v>
      </c>
      <c r="AY37" s="12">
        <f>IFERROR(AY31/AY28,0)</f>
        <v>0.0</v>
      </c>
      <c r="AZ37" s="12">
        <f>IFERROR(AZ31/AZ28,0)</f>
        <v>0.0</v>
      </c>
      <c r="BA37" s="12">
        <f>IFERROR(BA31/BA28,0)</f>
        <v>0.5186046511627908</v>
      </c>
      <c r="BB37" s="12">
        <f>IFERROR(BB31/BB28,0)</f>
        <v>0.332</v>
      </c>
      <c r="BC37" s="12">
        <f>IFERROR(BC31/BC28,0)</f>
        <v>0.305</v>
      </c>
      <c r="BD37" s="12">
        <f>IFERROR(BD31/BD28,0)</f>
        <v>-0.05333333333333334</v>
      </c>
      <c r="BE37" s="12">
        <f>IFERROR(BE31/BE28,0)</f>
        <v>0.29745762711864404</v>
      </c>
      <c r="BG37" s="12">
        <f>IFERROR(BG31/BG28,0)</f>
        <v>0.07331871195195443</v>
      </c>
      <c r="BH37" s="12">
        <f>IFERROR(BH31/BH28,0)</f>
        <v>0.07210649830740795</v>
      </c>
      <c r="BI37" s="12">
        <f>IFERROR(BI31/BI28,0)</f>
        <v>0.06586026783961042</v>
      </c>
      <c r="BJ37" s="12">
        <f>IFERROR(BJ31/BJ28,0)</f>
        <v>0.06832874950887598</v>
      </c>
      <c r="BK37" s="12">
        <f>IFERROR(BK31/BK28,0)</f>
        <v>0.06983279191661516</v>
      </c>
      <c r="BL37" s="12">
        <f>IFERROR(BL31/BL28,0)</f>
        <v>0.07261699091113946</v>
      </c>
      <c r="BM37" s="12">
        <f>IFERROR(BM31/BM28,0)</f>
        <v>0.07049677664012134</v>
      </c>
      <c r="BN37" s="12">
        <f>IFERROR(BN31/BN28,0)</f>
        <v>0.04238263345751008</v>
      </c>
      <c r="BO37" s="12">
        <f>IFERROR(BO31/BO28,0)</f>
        <v>0.05095063554326625</v>
      </c>
      <c r="BP37" s="12">
        <f>IFERROR(BP31/BP28,0)</f>
        <v>0.05707296401879963</v>
      </c>
      <c r="BQ37" s="12">
        <f>IFERROR(BQ31/BQ28,0)</f>
        <v>0.0632170501537483</v>
      </c>
      <c r="BR37" s="12">
        <f>IFERROR(BR31/BR28,0)</f>
        <v>0.07706157011712568</v>
      </c>
      <c r="BS37" s="12">
        <f>IFERROR(BS31/BS28,0)</f>
        <v>0.06535421666123517</v>
      </c>
    </row>
    <row r="38">
      <c r="B38" s="5" t="inlineStr">
        <is>
          <t>Sales/Day</t>
        </is>
      </c>
      <c r="C38" s="6">
        <f>IFERROR(C28/21,0)</f>
        <v>232.3190476190476</v>
      </c>
      <c r="D38" s="6">
        <f>IFERROR(D28/20,0)</f>
        <v>240.75500000000002</v>
      </c>
      <c r="E38" s="6">
        <f>IFERROR(E28/22,0)</f>
        <v>231.4818181818182</v>
      </c>
      <c r="F38" s="6">
        <f>IFERROR(F28/22,0)</f>
        <v>254.5181818181818</v>
      </c>
      <c r="G38" s="6">
        <f>IFERROR(G28/20,0)</f>
        <v>250.885</v>
      </c>
      <c r="H38" s="6">
        <f>IFERROR(H28/22,0)</f>
        <v>242.05454545454543</v>
      </c>
      <c r="I38" s="6">
        <f>IFERROR(I28/22,0)</f>
        <v>239.72727272727272</v>
      </c>
      <c r="J38" s="6">
        <f>IFERROR(J28/21,0)</f>
        <v>244.14761904761906</v>
      </c>
      <c r="K38" s="6">
        <f>IFERROR(K28/21,0)</f>
        <v>242.63333333333335</v>
      </c>
      <c r="L38" s="6">
        <f>IFERROR(L28/22,0)</f>
        <v>247.34545454545457</v>
      </c>
      <c r="M38" s="6">
        <f>IFERROR(M28/19,0)</f>
        <v>258.7105263157895</v>
      </c>
      <c r="N38" s="6">
        <f>IFERROR(N28/22,0)</f>
        <v>243.38181818181818</v>
      </c>
      <c r="O38" s="6">
        <f>IFERROR(O28/254,0)</f>
        <v>243.84488188976377</v>
      </c>
      <c r="Q38" s="6">
        <f>IFERROR(Q28/21,0)</f>
        <v>232.3190476190476</v>
      </c>
      <c r="R38" s="6">
        <f>IFERROR(R28/20,0)</f>
        <v>240.75500000000002</v>
      </c>
      <c r="S38" s="6">
        <f>IFERROR(S28/22,0)</f>
        <v>231.4818181818182</v>
      </c>
      <c r="T38" s="6">
        <f>IFERROR(T28/22,0)</f>
        <v>254.5181818181818</v>
      </c>
      <c r="U38" s="6">
        <f>IFERROR(U28/20,0)</f>
        <v>250.885</v>
      </c>
      <c r="V38" s="6">
        <f>IFERROR(V28/22,0)</f>
        <v>242.05454545454543</v>
      </c>
      <c r="W38" s="6">
        <f>IFERROR(W28/22,0)</f>
        <v>239.72727272727272</v>
      </c>
      <c r="X38" s="6">
        <f>IFERROR(X28/21,0)</f>
        <v>244.14761904761906</v>
      </c>
      <c r="Y38" s="6">
        <f>IFERROR(Y28/21,0)</f>
        <v>242.63333333333335</v>
      </c>
      <c r="Z38" s="6">
        <f>IFERROR(Z28/22,0)</f>
        <v>247.34545454545457</v>
      </c>
      <c r="AA38" s="6">
        <f>IFERROR(AA28/19,0)</f>
        <v>258.7105263157895</v>
      </c>
      <c r="AB38" s="6">
        <f>IFERROR(AB28/22,0)</f>
        <v>243.38181818181818</v>
      </c>
      <c r="AC38" s="6">
        <f>IFERROR(AC28/254,0)</f>
        <v>243.84488188976377</v>
      </c>
      <c r="AE38" s="6">
        <f>IFERROR(AE28/21,0)</f>
        <v>0.0</v>
      </c>
      <c r="AF38" s="6">
        <f>IFERROR(AF28/20,0)</f>
        <v>0.0</v>
      </c>
      <c r="AG38" s="6">
        <f>IFERROR(AG28/22,0)</f>
        <v>0.0</v>
      </c>
      <c r="AH38" s="6">
        <f>IFERROR(AH28/22,0)</f>
        <v>0.0</v>
      </c>
      <c r="AI38" s="6">
        <f>IFERROR(AI28/20,0)</f>
        <v>0.0</v>
      </c>
      <c r="AJ38" s="6">
        <f>IFERROR(AJ28/22,0)</f>
        <v>0.0</v>
      </c>
      <c r="AK38" s="6">
        <f>IFERROR(AK28/22,0)</f>
        <v>0.0</v>
      </c>
      <c r="AL38" s="6">
        <f>IFERROR(AL28/21,0)</f>
        <v>0.0</v>
      </c>
      <c r="AM38" s="6">
        <f>IFERROR(AM28/21,0)</f>
        <v>0.0</v>
      </c>
      <c r="AN38" s="6">
        <f>IFERROR(AN28/22,0)</f>
        <v>0.0</v>
      </c>
      <c r="AO38" s="6">
        <f>IFERROR(AO28/19,0)</f>
        <v>0.0</v>
      </c>
      <c r="AP38" s="6">
        <f>IFERROR(AP28/22,0)</f>
        <v>0.0</v>
      </c>
      <c r="AQ38" s="6">
        <f>IFERROR(AQ28/254,0)</f>
        <v>0.0</v>
      </c>
      <c r="AS38" s="6">
        <f>IFERROR(AS28/21,0)</f>
        <v>0.0</v>
      </c>
      <c r="AT38" s="6">
        <f>IFERROR(AT28/20,0)</f>
        <v>0.0</v>
      </c>
      <c r="AU38" s="6">
        <f>IFERROR(AU28/22,0)</f>
        <v>0.0</v>
      </c>
      <c r="AV38" s="6">
        <f>IFERROR(AV28/22,0)</f>
        <v>0.0</v>
      </c>
      <c r="AW38" s="6">
        <f>IFERROR(AW28/20,0)</f>
        <v>0.0</v>
      </c>
      <c r="AX38" s="6">
        <f>IFERROR(AX28/22,0)</f>
        <v>0.0</v>
      </c>
      <c r="AY38" s="6">
        <f>IFERROR(AY28/22,0)</f>
        <v>0.0</v>
      </c>
      <c r="AZ38" s="6">
        <f>IFERROR(AZ28/21,0)</f>
        <v>0.0</v>
      </c>
      <c r="BA38" s="6">
        <f>IFERROR(BA28/21,0)</f>
        <v>-20.476190476190474</v>
      </c>
      <c r="BB38" s="6">
        <f>IFERROR(BB28/22,0)</f>
        <v>-11.363636363636363</v>
      </c>
      <c r="BC38" s="6">
        <f>IFERROR(BC28/19,0)</f>
        <v>-10.526315789473685</v>
      </c>
      <c r="BD38" s="6">
        <f>IFERROR(BD28/22,0)</f>
        <v>-13.636363636363637</v>
      </c>
      <c r="BE38" s="6">
        <f>IFERROR(BE28/254,0)</f>
        <v>-4.645669291338582</v>
      </c>
      <c r="BG38" s="6">
        <f>IFERROR(BG28/21,0)</f>
        <v>232.3190476190476</v>
      </c>
      <c r="BH38" s="6">
        <f>IFERROR(BH28/20,0)</f>
        <v>240.75500000000002</v>
      </c>
      <c r="BI38" s="6">
        <f>IFERROR(BI28/22,0)</f>
        <v>231.4818181818182</v>
      </c>
      <c r="BJ38" s="6">
        <f>IFERROR(BJ28/22,0)</f>
        <v>254.5181818181818</v>
      </c>
      <c r="BK38" s="6">
        <f>IFERROR(BK28/20,0)</f>
        <v>250.885</v>
      </c>
      <c r="BL38" s="6">
        <f>IFERROR(BL28/22,0)</f>
        <v>242.05454545454543</v>
      </c>
      <c r="BM38" s="6">
        <f>IFERROR(BM28/22,0)</f>
        <v>239.72727272727272</v>
      </c>
      <c r="BN38" s="6">
        <f>IFERROR(BN28/21,0)</f>
        <v>244.14761904761906</v>
      </c>
      <c r="BO38" s="6">
        <f>IFERROR(BO28/21,0)</f>
        <v>222.15714285714287</v>
      </c>
      <c r="BP38" s="6">
        <f>IFERROR(BP28/22,0)</f>
        <v>235.9818181818182</v>
      </c>
      <c r="BQ38" s="6">
        <f>IFERROR(BQ28/19,0)</f>
        <v>248.18421052631578</v>
      </c>
      <c r="BR38" s="6">
        <f>IFERROR(BR28/22,0)</f>
        <v>229.74545454545452</v>
      </c>
      <c r="BS38" s="6">
        <f>IFERROR(BS28/254,0)</f>
        <v>239.1992125984252</v>
      </c>
    </row>
    <row r="40">
      <c r="B40" s="5" t="inlineStr">
        <is>
          <t>Net Inventory</t>
        </is>
      </c>
      <c r="C40" s="6" t="n">
        <v>8938.200000000001</v>
      </c>
      <c r="D40" s="6" t="n">
        <v>8677.6</v>
      </c>
      <c r="E40" s="6" t="n">
        <v>9094.9</v>
      </c>
      <c r="F40" s="6" t="n">
        <v>10143</v>
      </c>
      <c r="G40" s="6" t="n">
        <v>8777.799999999999</v>
      </c>
      <c r="H40" s="6" t="n">
        <v>8884.799999999999</v>
      </c>
      <c r="I40" s="6" t="n">
        <v>8549.700000000001</v>
      </c>
      <c r="J40" s="6" t="n">
        <v>8121.8</v>
      </c>
      <c r="K40" s="6" t="n">
        <v>7734</v>
      </c>
      <c r="L40" s="6" t="n">
        <v>8363.200000000001</v>
      </c>
      <c r="M40" s="6" t="n">
        <v>7509.9</v>
      </c>
      <c r="N40" s="6" t="n">
        <v>7719.4</v>
      </c>
      <c r="O40" s="6">
        <f>N40</f>
        <v>7719.4</v>
      </c>
      <c r="Q40" s="6" t="n">
        <v>8938.200000000001</v>
      </c>
      <c r="R40" s="6" t="n">
        <v>8677.6</v>
      </c>
      <c r="S40" s="6" t="n">
        <v>9094.9</v>
      </c>
      <c r="T40" s="6" t="n">
        <v>10143</v>
      </c>
      <c r="U40" s="6" t="n">
        <v>8777.799999999999</v>
      </c>
      <c r="V40" s="6" t="n">
        <v>8884.799999999999</v>
      </c>
      <c r="W40" s="6" t="n">
        <v>8549.700000000001</v>
      </c>
      <c r="X40" s="6" t="n">
        <v>8121.8</v>
      </c>
      <c r="Y40" s="6" t="n">
        <v>7734</v>
      </c>
      <c r="Z40" s="6" t="n">
        <v>8363.200000000001</v>
      </c>
      <c r="AA40" s="6" t="n">
        <v>7509.9</v>
      </c>
      <c r="AB40" s="6" t="n">
        <v>7719.4</v>
      </c>
      <c r="AC40" s="6">
        <f>AB40</f>
        <v>7719.4</v>
      </c>
      <c r="AE40" s="6">
        <f>Q40-C40</f>
        <v>0.0</v>
      </c>
      <c r="AF40" s="6">
        <f>R40-D40</f>
        <v>0.0</v>
      </c>
      <c r="AG40" s="6">
        <f>S40-E40</f>
        <v>0.0</v>
      </c>
      <c r="AH40" s="6">
        <f>T40-F40</f>
        <v>0.0</v>
      </c>
      <c r="AI40" s="6">
        <f>U40-G40</f>
        <v>0.0</v>
      </c>
      <c r="AJ40" s="6">
        <f>V40-H40</f>
        <v>0.0</v>
      </c>
      <c r="AK40" s="6">
        <f>W40-I40</f>
        <v>0.0</v>
      </c>
      <c r="AL40" s="6">
        <f>X40-J40</f>
        <v>0.0</v>
      </c>
      <c r="AM40" s="6">
        <f>Y40-K40</f>
        <v>0.0</v>
      </c>
      <c r="AN40" s="6">
        <f>Z40-L40</f>
        <v>0.0</v>
      </c>
      <c r="AO40" s="6">
        <f>AA40-M40</f>
        <v>0.0</v>
      </c>
      <c r="AP40" s="6">
        <f>AB40-N40</f>
        <v>0.0</v>
      </c>
      <c r="AQ40" s="6">
        <f>AP40</f>
        <v>0.0</v>
      </c>
      <c r="AS40" s="6">
        <f>'Granite-Adj'!C90</f>
        <v>0.0</v>
      </c>
      <c r="AT40" s="6">
        <f>'Granite-Adj'!D90</f>
        <v>0.0</v>
      </c>
      <c r="AU40" s="6">
        <f>'Granite-Adj'!E90</f>
        <v>0.0</v>
      </c>
      <c r="AV40" s="6">
        <f>'Granite-Adj'!F90</f>
        <v>0.0</v>
      </c>
      <c r="AW40" s="6">
        <f>'Granite-Adj'!G90</f>
        <v>0.0</v>
      </c>
      <c r="AX40" s="6">
        <f>'Granite-Adj'!H90</f>
        <v>0.0</v>
      </c>
      <c r="AY40" s="6">
        <f>'Granite-Adj'!I90</f>
        <v>0.0</v>
      </c>
      <c r="AZ40" s="6">
        <f>'Granite-Adj'!J90</f>
        <v>0.0</v>
      </c>
      <c r="BA40" s="6">
        <f>'Granite-Adj'!K90</f>
        <v>400.0</v>
      </c>
      <c r="BB40" s="6">
        <f>'Granite-Adj'!L90</f>
        <v>600.0</v>
      </c>
      <c r="BC40" s="6">
        <f>'Granite-Adj'!M90</f>
        <v>300.0</v>
      </c>
      <c r="BD40" s="6">
        <f>'Granite-Adj'!N90</f>
        <v>0.0</v>
      </c>
      <c r="BE40" s="6">
        <f>BD40</f>
        <v>0.0</v>
      </c>
      <c r="BG40" s="6">
        <f>C40+AE40+AS40</f>
        <v>8938.2</v>
      </c>
      <c r="BH40" s="6">
        <f>D40+AF40+AT40</f>
        <v>8677.6</v>
      </c>
      <c r="BI40" s="6">
        <f>E40+AG40+AU40</f>
        <v>9094.9</v>
      </c>
      <c r="BJ40" s="6">
        <f>F40+AH40+AV40</f>
        <v>10143.0</v>
      </c>
      <c r="BK40" s="6">
        <f>G40+AI40+AW40</f>
        <v>8777.8</v>
      </c>
      <c r="BL40" s="6">
        <f>H40+AJ40+AX40</f>
        <v>8884.8</v>
      </c>
      <c r="BM40" s="6">
        <f>I40+AK40+AY40</f>
        <v>8549.7</v>
      </c>
      <c r="BN40" s="6">
        <f>J40+AL40+AZ40</f>
        <v>8121.8</v>
      </c>
      <c r="BO40" s="6">
        <f>K40+AM40+BA40</f>
        <v>8134.0</v>
      </c>
      <c r="BP40" s="6">
        <f>L40+AN40+BB40</f>
        <v>8963.2</v>
      </c>
      <c r="BQ40" s="6">
        <f>M40+AO40+BC40</f>
        <v>7809.9</v>
      </c>
      <c r="BR40" s="6">
        <f>N40+AP40+BD40</f>
        <v>7719.4</v>
      </c>
      <c r="BS40" s="6">
        <f>BR40</f>
        <v>7719.4</v>
      </c>
    </row>
    <row r="41">
      <c r="B41" s="5" t="inlineStr">
        <is>
          <t>Trade Receivables</t>
        </is>
      </c>
      <c r="C41" s="6" t="n">
        <v>7399.4</v>
      </c>
      <c r="D41" s="6" t="n">
        <v>7302.9</v>
      </c>
      <c r="E41" s="6" t="n">
        <v>7723.8</v>
      </c>
      <c r="F41" s="6" t="n">
        <v>8492.4</v>
      </c>
      <c r="G41" s="6" t="n">
        <v>7610.2</v>
      </c>
      <c r="H41" s="6" t="n">
        <v>8076.6</v>
      </c>
      <c r="I41" s="6" t="n">
        <v>7998.9</v>
      </c>
      <c r="J41" s="6" t="n">
        <v>7776.1</v>
      </c>
      <c r="K41" s="6" t="n">
        <v>7075.7</v>
      </c>
      <c r="L41" s="6" t="n">
        <v>7873.9</v>
      </c>
      <c r="M41" s="6" t="n">
        <v>7151.8</v>
      </c>
      <c r="N41" s="6" t="n">
        <v>7665.8</v>
      </c>
      <c r="O41" s="6">
        <f>N41</f>
        <v>7665.8</v>
      </c>
      <c r="Q41" s="6" t="n">
        <v>7399.4</v>
      </c>
      <c r="R41" s="6" t="n">
        <v>7302.9</v>
      </c>
      <c r="S41" s="6" t="n">
        <v>7723.8</v>
      </c>
      <c r="T41" s="6" t="n">
        <v>8492.4</v>
      </c>
      <c r="U41" s="6" t="n">
        <v>7610.2</v>
      </c>
      <c r="V41" s="6" t="n">
        <v>8076.6</v>
      </c>
      <c r="W41" s="6" t="n">
        <v>7998.9</v>
      </c>
      <c r="X41" s="6" t="n">
        <v>7776.1</v>
      </c>
      <c r="Y41" s="6" t="n">
        <v>7075.7</v>
      </c>
      <c r="Z41" s="6" t="n">
        <v>7873.9</v>
      </c>
      <c r="AA41" s="6" t="n">
        <v>7151.8</v>
      </c>
      <c r="AB41" s="6" t="n">
        <v>7665.8</v>
      </c>
      <c r="AC41" s="6">
        <f>AB41</f>
        <v>7665.8</v>
      </c>
      <c r="AE41" s="6">
        <f>Q41-C41</f>
        <v>0.0</v>
      </c>
      <c r="AF41" s="6">
        <f>R41-D41</f>
        <v>0.0</v>
      </c>
      <c r="AG41" s="6">
        <f>S41-E41</f>
        <v>0.0</v>
      </c>
      <c r="AH41" s="6">
        <f>T41-F41</f>
        <v>0.0</v>
      </c>
      <c r="AI41" s="6">
        <f>U41-G41</f>
        <v>0.0</v>
      </c>
      <c r="AJ41" s="6">
        <f>V41-H41</f>
        <v>0.0</v>
      </c>
      <c r="AK41" s="6">
        <f>W41-I41</f>
        <v>0.0</v>
      </c>
      <c r="AL41" s="6">
        <f>X41-J41</f>
        <v>0.0</v>
      </c>
      <c r="AM41" s="6">
        <f>Y41-K41</f>
        <v>0.0</v>
      </c>
      <c r="AN41" s="6">
        <f>Z41-L41</f>
        <v>0.0</v>
      </c>
      <c r="AO41" s="6">
        <f>AA41-M41</f>
        <v>0.0</v>
      </c>
      <c r="AP41" s="6">
        <f>AB41-N41</f>
        <v>0.0</v>
      </c>
      <c r="AQ41" s="6">
        <f>AP41</f>
        <v>0.0</v>
      </c>
      <c r="AS41" s="6">
        <f>'Granite-Adj'!C91</f>
        <v>0.0</v>
      </c>
      <c r="AT41" s="6">
        <f>'Granite-Adj'!D91</f>
        <v>0.0</v>
      </c>
      <c r="AU41" s="6">
        <f>'Granite-Adj'!E91</f>
        <v>0.0</v>
      </c>
      <c r="AV41" s="6">
        <f>'Granite-Adj'!F91</f>
        <v>0.0</v>
      </c>
      <c r="AW41" s="6">
        <f>'Granite-Adj'!G91</f>
        <v>0.0</v>
      </c>
      <c r="AX41" s="6">
        <f>'Granite-Adj'!H91</f>
        <v>0.0</v>
      </c>
      <c r="AY41" s="6">
        <f>'Granite-Adj'!I91</f>
        <v>0.0</v>
      </c>
      <c r="AZ41" s="6">
        <f>'Granite-Adj'!J91</f>
        <v>0.0</v>
      </c>
      <c r="BA41" s="6">
        <f>'Granite-Adj'!K91</f>
        <v>0.0</v>
      </c>
      <c r="BB41" s="6">
        <f>'Granite-Adj'!L91</f>
        <v>0.0</v>
      </c>
      <c r="BC41" s="6">
        <f>'Granite-Adj'!M91</f>
        <v>0.0</v>
      </c>
      <c r="BD41" s="6">
        <f>'Granite-Adj'!N91</f>
        <v>0.0</v>
      </c>
      <c r="BE41" s="6">
        <f>BD41</f>
        <v>0.0</v>
      </c>
      <c r="BG41" s="6">
        <f>C41+AE41+AS41</f>
        <v>7399.4</v>
      </c>
      <c r="BH41" s="6">
        <f>D41+AF41+AT41</f>
        <v>7302.9</v>
      </c>
      <c r="BI41" s="6">
        <f>E41+AG41+AU41</f>
        <v>7723.8</v>
      </c>
      <c r="BJ41" s="6">
        <f>F41+AH41+AV41</f>
        <v>8492.4</v>
      </c>
      <c r="BK41" s="6">
        <f>G41+AI41+AW41</f>
        <v>7610.2</v>
      </c>
      <c r="BL41" s="6">
        <f>H41+AJ41+AX41</f>
        <v>8076.6</v>
      </c>
      <c r="BM41" s="6">
        <f>I41+AK41+AY41</f>
        <v>7998.9</v>
      </c>
      <c r="BN41" s="6">
        <f>J41+AL41+AZ41</f>
        <v>7776.1</v>
      </c>
      <c r="BO41" s="6">
        <f>K41+AM41+BA41</f>
        <v>7075.7</v>
      </c>
      <c r="BP41" s="6">
        <f>L41+AN41+BB41</f>
        <v>7873.9</v>
      </c>
      <c r="BQ41" s="6">
        <f>M41+AO41+BC41</f>
        <v>7151.8</v>
      </c>
      <c r="BR41" s="6">
        <f>N41+AP41+BD41</f>
        <v>7665.8</v>
      </c>
      <c r="BS41" s="6">
        <f>BR41</f>
        <v>7665.8</v>
      </c>
    </row>
    <row r="42">
      <c r="B42" s="5" t="inlineStr">
        <is>
          <t>Other Receivables</t>
        </is>
      </c>
      <c r="C42" s="6" t="n">
        <v>73.2</v>
      </c>
      <c r="D42" s="6" t="n">
        <v>72.2</v>
      </c>
      <c r="E42" s="6" t="n">
        <v>76.40000000000001</v>
      </c>
      <c r="F42" s="6" t="n">
        <v>84</v>
      </c>
      <c r="G42" s="6" t="n">
        <v>75.3</v>
      </c>
      <c r="H42" s="6" t="n">
        <v>79.90000000000001</v>
      </c>
      <c r="I42" s="6" t="n">
        <v>79.09999999999999</v>
      </c>
      <c r="J42" s="6" t="n">
        <v>76.90000000000001</v>
      </c>
      <c r="K42" s="6" t="n">
        <v>70</v>
      </c>
      <c r="L42" s="6" t="n">
        <v>77.90000000000001</v>
      </c>
      <c r="M42" s="6" t="n">
        <v>70.7</v>
      </c>
      <c r="N42" s="6" t="n">
        <v>75.8</v>
      </c>
      <c r="O42" s="6">
        <f>N42</f>
        <v>75.8</v>
      </c>
      <c r="Q42" s="6" t="n">
        <v>73.2</v>
      </c>
      <c r="R42" s="6" t="n">
        <v>72.2</v>
      </c>
      <c r="S42" s="6" t="n">
        <v>76.40000000000001</v>
      </c>
      <c r="T42" s="6" t="n">
        <v>84</v>
      </c>
      <c r="U42" s="6" t="n">
        <v>75.3</v>
      </c>
      <c r="V42" s="6" t="n">
        <v>79.90000000000001</v>
      </c>
      <c r="W42" s="6" t="n">
        <v>79.09999999999999</v>
      </c>
      <c r="X42" s="6" t="n">
        <v>76.90000000000001</v>
      </c>
      <c r="Y42" s="6" t="n">
        <v>70</v>
      </c>
      <c r="Z42" s="6" t="n">
        <v>77.90000000000001</v>
      </c>
      <c r="AA42" s="6" t="n">
        <v>70.7</v>
      </c>
      <c r="AB42" s="6" t="n">
        <v>75.8</v>
      </c>
      <c r="AC42" s="6">
        <f>AB42</f>
        <v>75.8</v>
      </c>
      <c r="AE42" s="6">
        <f>Q42-C42</f>
        <v>0.0</v>
      </c>
      <c r="AF42" s="6">
        <f>R42-D42</f>
        <v>0.0</v>
      </c>
      <c r="AG42" s="6">
        <f>S42-E42</f>
        <v>0.0</v>
      </c>
      <c r="AH42" s="6">
        <f>T42-F42</f>
        <v>0.0</v>
      </c>
      <c r="AI42" s="6">
        <f>U42-G42</f>
        <v>0.0</v>
      </c>
      <c r="AJ42" s="6">
        <f>V42-H42</f>
        <v>0.0</v>
      </c>
      <c r="AK42" s="6">
        <f>W42-I42</f>
        <v>0.0</v>
      </c>
      <c r="AL42" s="6">
        <f>X42-J42</f>
        <v>0.0</v>
      </c>
      <c r="AM42" s="6">
        <f>Y42-K42</f>
        <v>0.0</v>
      </c>
      <c r="AN42" s="6">
        <f>Z42-L42</f>
        <v>0.0</v>
      </c>
      <c r="AO42" s="6">
        <f>AA42-M42</f>
        <v>0.0</v>
      </c>
      <c r="AP42" s="6">
        <f>AB42-N42</f>
        <v>0.0</v>
      </c>
      <c r="AQ42" s="6">
        <f>AP42</f>
        <v>0.0</v>
      </c>
      <c r="AS42" s="6">
        <f>'Granite-Adj'!C92</f>
        <v>0.0</v>
      </c>
      <c r="AT42" s="6">
        <f>'Granite-Adj'!D92</f>
        <v>0.0</v>
      </c>
      <c r="AU42" s="6">
        <f>'Granite-Adj'!E92</f>
        <v>0.0</v>
      </c>
      <c r="AV42" s="6">
        <f>'Granite-Adj'!F92</f>
        <v>0.0</v>
      </c>
      <c r="AW42" s="6">
        <f>'Granite-Adj'!G92</f>
        <v>0.0</v>
      </c>
      <c r="AX42" s="6">
        <f>'Granite-Adj'!H92</f>
        <v>0.0</v>
      </c>
      <c r="AY42" s="6">
        <f>'Granite-Adj'!I92</f>
        <v>0.0</v>
      </c>
      <c r="AZ42" s="6">
        <f>'Granite-Adj'!J92</f>
        <v>0.0</v>
      </c>
      <c r="BA42" s="6">
        <f>'Granite-Adj'!K92</f>
        <v>0.0</v>
      </c>
      <c r="BB42" s="6">
        <f>'Granite-Adj'!L92</f>
        <v>0.0</v>
      </c>
      <c r="BC42" s="6">
        <f>'Granite-Adj'!M92</f>
        <v>0.0</v>
      </c>
      <c r="BD42" s="6">
        <f>'Granite-Adj'!N92</f>
        <v>0.0</v>
      </c>
      <c r="BE42" s="6">
        <f>BD42</f>
        <v>0.0</v>
      </c>
      <c r="BG42" s="6">
        <f>C42+AE42+AS42</f>
        <v>73.2</v>
      </c>
      <c r="BH42" s="6">
        <f>D42+AF42+AT42</f>
        <v>72.2</v>
      </c>
      <c r="BI42" s="6">
        <f>E42+AG42+AU42</f>
        <v>76.4</v>
      </c>
      <c r="BJ42" s="6">
        <f>F42+AH42+AV42</f>
        <v>84.0</v>
      </c>
      <c r="BK42" s="6">
        <f>G42+AI42+AW42</f>
        <v>75.3</v>
      </c>
      <c r="BL42" s="6">
        <f>H42+AJ42+AX42</f>
        <v>79.9</v>
      </c>
      <c r="BM42" s="6">
        <f>I42+AK42+AY42</f>
        <v>79.1</v>
      </c>
      <c r="BN42" s="6">
        <f>J42+AL42+AZ42</f>
        <v>76.9</v>
      </c>
      <c r="BO42" s="6">
        <f>K42+AM42+BA42</f>
        <v>70.0</v>
      </c>
      <c r="BP42" s="6">
        <f>L42+AN42+BB42</f>
        <v>77.9</v>
      </c>
      <c r="BQ42" s="6">
        <f>M42+AO42+BC42</f>
        <v>70.7</v>
      </c>
      <c r="BR42" s="6">
        <f>N42+AP42+BD42</f>
        <v>75.8</v>
      </c>
      <c r="BS42" s="6">
        <f>BR42</f>
        <v>75.8</v>
      </c>
    </row>
    <row r="43">
      <c r="B43" s="5" t="inlineStr">
        <is>
          <t>Trade Payables</t>
        </is>
      </c>
      <c r="C43" s="6" t="n">
        <v>-4979.7</v>
      </c>
      <c r="D43" s="6" t="n">
        <v>-4924.1</v>
      </c>
      <c r="E43" s="6" t="n">
        <v>-5217.9</v>
      </c>
      <c r="F43" s="6" t="n">
        <v>-5760.9</v>
      </c>
      <c r="G43" s="6" t="n">
        <v>-5122.6</v>
      </c>
      <c r="H43" s="6" t="n">
        <v>-5438.2</v>
      </c>
      <c r="I43" s="6" t="n">
        <v>-5401.8</v>
      </c>
      <c r="J43" s="6" t="n">
        <v>-5273.4</v>
      </c>
      <c r="K43" s="6" t="n">
        <v>-4979.1</v>
      </c>
      <c r="L43" s="6" t="n">
        <v>-5411.1</v>
      </c>
      <c r="M43" s="6" t="n">
        <v>-4879.2</v>
      </c>
      <c r="N43" s="6" t="n">
        <v>-5118.1</v>
      </c>
      <c r="O43" s="6">
        <f>N43</f>
        <v>-5118.1</v>
      </c>
      <c r="Q43" s="6" t="n">
        <v>-4979.7</v>
      </c>
      <c r="R43" s="6" t="n">
        <v>-4924.1</v>
      </c>
      <c r="S43" s="6" t="n">
        <v>-5217.9</v>
      </c>
      <c r="T43" s="6" t="n">
        <v>-5760.9</v>
      </c>
      <c r="U43" s="6" t="n">
        <v>-5122.6</v>
      </c>
      <c r="V43" s="6" t="n">
        <v>-5438.2</v>
      </c>
      <c r="W43" s="6" t="n">
        <v>-5401.8</v>
      </c>
      <c r="X43" s="6" t="n">
        <v>-5273.4</v>
      </c>
      <c r="Y43" s="6" t="n">
        <v>-4979.1</v>
      </c>
      <c r="Z43" s="6" t="n">
        <v>-5411.1</v>
      </c>
      <c r="AA43" s="6" t="n">
        <v>-4879.2</v>
      </c>
      <c r="AB43" s="6" t="n">
        <v>-5118.1</v>
      </c>
      <c r="AC43" s="6">
        <f>AB43</f>
        <v>-5118.1</v>
      </c>
      <c r="AE43" s="6">
        <f>Q43-C43</f>
        <v>0.0</v>
      </c>
      <c r="AF43" s="6">
        <f>R43-D43</f>
        <v>0.0</v>
      </c>
      <c r="AG43" s="6">
        <f>S43-E43</f>
        <v>0.0</v>
      </c>
      <c r="AH43" s="6">
        <f>T43-F43</f>
        <v>0.0</v>
      </c>
      <c r="AI43" s="6">
        <f>U43-G43</f>
        <v>0.0</v>
      </c>
      <c r="AJ43" s="6">
        <f>V43-H43</f>
        <v>0.0</v>
      </c>
      <c r="AK43" s="6">
        <f>W43-I43</f>
        <v>0.0</v>
      </c>
      <c r="AL43" s="6">
        <f>X43-J43</f>
        <v>0.0</v>
      </c>
      <c r="AM43" s="6">
        <f>Y43-K43</f>
        <v>0.0</v>
      </c>
      <c r="AN43" s="6">
        <f>Z43-L43</f>
        <v>0.0</v>
      </c>
      <c r="AO43" s="6">
        <f>AA43-M43</f>
        <v>0.0</v>
      </c>
      <c r="AP43" s="6">
        <f>AB43-N43</f>
        <v>0.0</v>
      </c>
      <c r="AQ43" s="6">
        <f>AP43</f>
        <v>0.0</v>
      </c>
      <c r="AS43" s="6">
        <f>'Granite-Adj'!C93</f>
        <v>0.0</v>
      </c>
      <c r="AT43" s="6">
        <f>'Granite-Adj'!D93</f>
        <v>0.0</v>
      </c>
      <c r="AU43" s="6">
        <f>'Granite-Adj'!E93</f>
        <v>0.0</v>
      </c>
      <c r="AV43" s="6">
        <f>'Granite-Adj'!F93</f>
        <v>0.0</v>
      </c>
      <c r="AW43" s="6">
        <f>'Granite-Adj'!G93</f>
        <v>0.0</v>
      </c>
      <c r="AX43" s="6">
        <f>'Granite-Adj'!H93</f>
        <v>0.0</v>
      </c>
      <c r="AY43" s="6">
        <f>'Granite-Adj'!I93</f>
        <v>0.0</v>
      </c>
      <c r="AZ43" s="6">
        <f>'Granite-Adj'!J93</f>
        <v>0.0</v>
      </c>
      <c r="BA43" s="6">
        <f>'Granite-Adj'!K93</f>
        <v>0.0</v>
      </c>
      <c r="BB43" s="6">
        <f>'Granite-Adj'!L93</f>
        <v>0.0</v>
      </c>
      <c r="BC43" s="6">
        <f>'Granite-Adj'!M93</f>
        <v>0.0</v>
      </c>
      <c r="BD43" s="6">
        <f>'Granite-Adj'!N93</f>
        <v>0.0</v>
      </c>
      <c r="BE43" s="6">
        <f>BD43</f>
        <v>0.0</v>
      </c>
      <c r="BG43" s="6">
        <f>C43+AE43+AS43</f>
        <v>-4979.7</v>
      </c>
      <c r="BH43" s="6">
        <f>D43+AF43+AT43</f>
        <v>-4924.1</v>
      </c>
      <c r="BI43" s="6">
        <f>E43+AG43+AU43</f>
        <v>-5217.9</v>
      </c>
      <c r="BJ43" s="6">
        <f>F43+AH43+AV43</f>
        <v>-5760.9</v>
      </c>
      <c r="BK43" s="6">
        <f>G43+AI43+AW43</f>
        <v>-5122.6</v>
      </c>
      <c r="BL43" s="6">
        <f>H43+AJ43+AX43</f>
        <v>-5438.2</v>
      </c>
      <c r="BM43" s="6">
        <f>I43+AK43+AY43</f>
        <v>-5401.8</v>
      </c>
      <c r="BN43" s="6">
        <f>J43+AL43+AZ43</f>
        <v>-5273.4</v>
      </c>
      <c r="BO43" s="6">
        <f>K43+AM43+BA43</f>
        <v>-4979.1</v>
      </c>
      <c r="BP43" s="6">
        <f>L43+AN43+BB43</f>
        <v>-5411.1</v>
      </c>
      <c r="BQ43" s="6">
        <f>M43+AO43+BC43</f>
        <v>-4879.2</v>
      </c>
      <c r="BR43" s="6">
        <f>N43+AP43+BD43</f>
        <v>-5118.1</v>
      </c>
      <c r="BS43" s="6">
        <f>BR43</f>
        <v>-5118.1</v>
      </c>
    </row>
    <row r="44">
      <c r="B44" s="5" t="inlineStr">
        <is>
          <t>Other Payables</t>
        </is>
      </c>
      <c r="C44" s="6" t="n">
        <v>-146.4</v>
      </c>
      <c r="D44" s="6" t="n">
        <v>-144.5</v>
      </c>
      <c r="E44" s="6" t="n">
        <v>-152.8</v>
      </c>
      <c r="F44" s="6" t="n">
        <v>-168</v>
      </c>
      <c r="G44" s="6" t="n">
        <v>-150.5</v>
      </c>
      <c r="H44" s="6" t="n">
        <v>-159.8</v>
      </c>
      <c r="I44" s="6" t="n">
        <v>-158.2</v>
      </c>
      <c r="J44" s="6" t="n">
        <v>-153.8</v>
      </c>
      <c r="K44" s="6" t="n">
        <v>-140</v>
      </c>
      <c r="L44" s="6" t="n">
        <v>-155.7</v>
      </c>
      <c r="M44" s="6" t="n">
        <v>-141.5</v>
      </c>
      <c r="N44" s="6" t="n">
        <v>-151.6</v>
      </c>
      <c r="O44" s="6">
        <f>N44</f>
        <v>-151.6</v>
      </c>
      <c r="Q44" s="6" t="n">
        <v>-146.4</v>
      </c>
      <c r="R44" s="6" t="n">
        <v>-144.5</v>
      </c>
      <c r="S44" s="6" t="n">
        <v>-152.8</v>
      </c>
      <c r="T44" s="6" t="n">
        <v>-168</v>
      </c>
      <c r="U44" s="6" t="n">
        <v>-150.5</v>
      </c>
      <c r="V44" s="6" t="n">
        <v>-159.8</v>
      </c>
      <c r="W44" s="6" t="n">
        <v>-158.2</v>
      </c>
      <c r="X44" s="6" t="n">
        <v>-153.8</v>
      </c>
      <c r="Y44" s="6" t="n">
        <v>-140</v>
      </c>
      <c r="Z44" s="6" t="n">
        <v>-155.7</v>
      </c>
      <c r="AA44" s="6" t="n">
        <v>-141.5</v>
      </c>
      <c r="AB44" s="6" t="n">
        <v>-151.6</v>
      </c>
      <c r="AC44" s="6">
        <f>AB44</f>
        <v>-151.6</v>
      </c>
      <c r="AE44" s="6">
        <f>Q44-C44</f>
        <v>0.0</v>
      </c>
      <c r="AF44" s="6">
        <f>R44-D44</f>
        <v>0.0</v>
      </c>
      <c r="AG44" s="6">
        <f>S44-E44</f>
        <v>0.0</v>
      </c>
      <c r="AH44" s="6">
        <f>T44-F44</f>
        <v>0.0</v>
      </c>
      <c r="AI44" s="6">
        <f>U44-G44</f>
        <v>0.0</v>
      </c>
      <c r="AJ44" s="6">
        <f>V44-H44</f>
        <v>0.0</v>
      </c>
      <c r="AK44" s="6">
        <f>W44-I44</f>
        <v>0.0</v>
      </c>
      <c r="AL44" s="6">
        <f>X44-J44</f>
        <v>0.0</v>
      </c>
      <c r="AM44" s="6">
        <f>Y44-K44</f>
        <v>0.0</v>
      </c>
      <c r="AN44" s="6">
        <f>Z44-L44</f>
        <v>0.0</v>
      </c>
      <c r="AO44" s="6">
        <f>AA44-M44</f>
        <v>0.0</v>
      </c>
      <c r="AP44" s="6">
        <f>AB44-N44</f>
        <v>0.0</v>
      </c>
      <c r="AQ44" s="6">
        <f>AP44</f>
        <v>0.0</v>
      </c>
      <c r="AS44" s="6">
        <f>'Granite-Adj'!C94</f>
        <v>0.0</v>
      </c>
      <c r="AT44" s="6">
        <f>'Granite-Adj'!D94</f>
        <v>0.0</v>
      </c>
      <c r="AU44" s="6">
        <f>'Granite-Adj'!E94</f>
        <v>0.0</v>
      </c>
      <c r="AV44" s="6">
        <f>'Granite-Adj'!F94</f>
        <v>0.0</v>
      </c>
      <c r="AW44" s="6">
        <f>'Granite-Adj'!G94</f>
        <v>0.0</v>
      </c>
      <c r="AX44" s="6">
        <f>'Granite-Adj'!H94</f>
        <v>0.0</v>
      </c>
      <c r="AY44" s="6">
        <f>'Granite-Adj'!I94</f>
        <v>0.0</v>
      </c>
      <c r="AZ44" s="6">
        <f>'Granite-Adj'!J94</f>
        <v>0.0</v>
      </c>
      <c r="BA44" s="6">
        <f>'Granite-Adj'!K94</f>
        <v>0.0</v>
      </c>
      <c r="BB44" s="6">
        <f>'Granite-Adj'!L94</f>
        <v>0.0</v>
      </c>
      <c r="BC44" s="6">
        <f>'Granite-Adj'!M94</f>
        <v>0.0</v>
      </c>
      <c r="BD44" s="6">
        <f>'Granite-Adj'!N94</f>
        <v>0.0</v>
      </c>
      <c r="BE44" s="6">
        <f>BD44</f>
        <v>0.0</v>
      </c>
      <c r="BG44" s="6">
        <f>C44+AE44+AS44</f>
        <v>-146.4</v>
      </c>
      <c r="BH44" s="6">
        <f>D44+AF44+AT44</f>
        <v>-144.5</v>
      </c>
      <c r="BI44" s="6">
        <f>E44+AG44+AU44</f>
        <v>-152.8</v>
      </c>
      <c r="BJ44" s="6">
        <f>F44+AH44+AV44</f>
        <v>-168.0</v>
      </c>
      <c r="BK44" s="6">
        <f>G44+AI44+AW44</f>
        <v>-150.5</v>
      </c>
      <c r="BL44" s="6">
        <f>H44+AJ44+AX44</f>
        <v>-159.8</v>
      </c>
      <c r="BM44" s="6">
        <f>I44+AK44+AY44</f>
        <v>-158.2</v>
      </c>
      <c r="BN44" s="6">
        <f>J44+AL44+AZ44</f>
        <v>-153.8</v>
      </c>
      <c r="BO44" s="6">
        <f>K44+AM44+BA44</f>
        <v>-140.0</v>
      </c>
      <c r="BP44" s="6">
        <f>L44+AN44+BB44</f>
        <v>-155.7</v>
      </c>
      <c r="BQ44" s="6">
        <f>M44+AO44+BC44</f>
        <v>-141.5</v>
      </c>
      <c r="BR44" s="6">
        <f>N44+AP44+BD44</f>
        <v>-151.6</v>
      </c>
      <c r="BS44" s="6">
        <f>BR44</f>
        <v>-151.6</v>
      </c>
    </row>
    <row r="45">
      <c r="B45" s="2" t="inlineStr">
        <is>
          <t>Total working capital</t>
        </is>
      </c>
      <c r="C45" s="6">
        <f>SUM(C40:C44)</f>
        <v>11284.699999999999</v>
      </c>
      <c r="D45" s="6">
        <f>SUM(D40:D44)</f>
        <v>10984.1</v>
      </c>
      <c r="E45" s="6">
        <f>SUM(E40:E44)</f>
        <v>11524.400000000003</v>
      </c>
      <c r="F45" s="6">
        <f>SUM(F40:F44)</f>
        <v>12790.500000000002</v>
      </c>
      <c r="G45" s="6">
        <f>SUM(G40:G44)</f>
        <v>11190.199999999999</v>
      </c>
      <c r="H45" s="6">
        <f>SUM(H40:H44)</f>
        <v>11443.300000000003</v>
      </c>
      <c r="I45" s="6">
        <f>SUM(I40:I44)</f>
        <v>11067.699999999997</v>
      </c>
      <c r="J45" s="6">
        <f>SUM(J40:J44)</f>
        <v>10547.600000000002</v>
      </c>
      <c r="K45" s="6">
        <f>SUM(K40:K44)</f>
        <v>9760.6</v>
      </c>
      <c r="L45" s="6">
        <f>SUM(L40:L44)</f>
        <v>10748.199999999999</v>
      </c>
      <c r="M45" s="6">
        <f>SUM(M40:M44)</f>
        <v>9711.7</v>
      </c>
      <c r="N45" s="6">
        <f>SUM(N40:N44)</f>
        <v>10191.3</v>
      </c>
      <c r="O45" s="6">
        <f>N45</f>
        <v>10191.3</v>
      </c>
      <c r="Q45" s="6">
        <f>SUM(Q40:Q44)</f>
        <v>11284.699999999999</v>
      </c>
      <c r="R45" s="6">
        <f>SUM(R40:R44)</f>
        <v>10984.1</v>
      </c>
      <c r="S45" s="6">
        <f>SUM(S40:S44)</f>
        <v>11524.400000000003</v>
      </c>
      <c r="T45" s="6">
        <f>SUM(T40:T44)</f>
        <v>12790.500000000002</v>
      </c>
      <c r="U45" s="6">
        <f>SUM(U40:U44)</f>
        <v>11190.199999999999</v>
      </c>
      <c r="V45" s="6">
        <f>SUM(V40:V44)</f>
        <v>11443.300000000003</v>
      </c>
      <c r="W45" s="6">
        <f>SUM(W40:W44)</f>
        <v>11067.699999999997</v>
      </c>
      <c r="X45" s="6">
        <f>SUM(X40:X44)</f>
        <v>10547.600000000002</v>
      </c>
      <c r="Y45" s="6">
        <f>SUM(Y40:Y44)</f>
        <v>9760.6</v>
      </c>
      <c r="Z45" s="6">
        <f>SUM(Z40:Z44)</f>
        <v>10748.199999999999</v>
      </c>
      <c r="AA45" s="6">
        <f>SUM(AA40:AA44)</f>
        <v>9711.7</v>
      </c>
      <c r="AB45" s="6">
        <f>SUM(AB40:AB44)</f>
        <v>10191.3</v>
      </c>
      <c r="AC45" s="6">
        <f>AB45</f>
        <v>10191.3</v>
      </c>
      <c r="AE45" s="6">
        <f>SUM(AE40:AE44)</f>
        <v>0.0</v>
      </c>
      <c r="AF45" s="6">
        <f>SUM(AF40:AF44)</f>
        <v>0.0</v>
      </c>
      <c r="AG45" s="6">
        <f>SUM(AG40:AG44)</f>
        <v>0.0</v>
      </c>
      <c r="AH45" s="6">
        <f>SUM(AH40:AH44)</f>
        <v>0.0</v>
      </c>
      <c r="AI45" s="6">
        <f>SUM(AI40:AI44)</f>
        <v>0.0</v>
      </c>
      <c r="AJ45" s="6">
        <f>SUM(AJ40:AJ44)</f>
        <v>0.0</v>
      </c>
      <c r="AK45" s="6">
        <f>SUM(AK40:AK44)</f>
        <v>0.0</v>
      </c>
      <c r="AL45" s="6">
        <f>SUM(AL40:AL44)</f>
        <v>0.0</v>
      </c>
      <c r="AM45" s="6">
        <f>SUM(AM40:AM44)</f>
        <v>0.0</v>
      </c>
      <c r="AN45" s="6">
        <f>SUM(AN40:AN44)</f>
        <v>0.0</v>
      </c>
      <c r="AO45" s="6">
        <f>SUM(AO40:AO44)</f>
        <v>0.0</v>
      </c>
      <c r="AP45" s="6">
        <f>SUM(AP40:AP44)</f>
        <v>0.0</v>
      </c>
      <c r="AQ45" s="6">
        <f>AP45</f>
        <v>0.0</v>
      </c>
      <c r="AS45" s="6">
        <f>SUM(AS40:AS44)</f>
        <v>0.0</v>
      </c>
      <c r="AT45" s="6">
        <f>SUM(AT40:AT44)</f>
        <v>0.0</v>
      </c>
      <c r="AU45" s="6">
        <f>SUM(AU40:AU44)</f>
        <v>0.0</v>
      </c>
      <c r="AV45" s="6">
        <f>SUM(AV40:AV44)</f>
        <v>0.0</v>
      </c>
      <c r="AW45" s="6">
        <f>SUM(AW40:AW44)</f>
        <v>0.0</v>
      </c>
      <c r="AX45" s="6">
        <f>SUM(AX40:AX44)</f>
        <v>0.0</v>
      </c>
      <c r="AY45" s="6">
        <f>SUM(AY40:AY44)</f>
        <v>0.0</v>
      </c>
      <c r="AZ45" s="6">
        <f>SUM(AZ40:AZ44)</f>
        <v>0.0</v>
      </c>
      <c r="BA45" s="6">
        <f>SUM(BA40:BA44)</f>
        <v>400.0</v>
      </c>
      <c r="BB45" s="6">
        <f>SUM(BB40:BB44)</f>
        <v>600.0</v>
      </c>
      <c r="BC45" s="6">
        <f>SUM(BC40:BC44)</f>
        <v>300.0</v>
      </c>
      <c r="BD45" s="6">
        <f>SUM(BD40:BD44)</f>
        <v>0.0</v>
      </c>
      <c r="BE45" s="6">
        <f>BD45</f>
        <v>0.0</v>
      </c>
      <c r="BG45" s="6">
        <f>SUM(BG40:BG44)</f>
        <v>11284.699999999999</v>
      </c>
      <c r="BH45" s="6">
        <f>SUM(BH40:BH44)</f>
        <v>10984.1</v>
      </c>
      <c r="BI45" s="6">
        <f>SUM(BI40:BI44)</f>
        <v>11524.400000000003</v>
      </c>
      <c r="BJ45" s="6">
        <f>SUM(BJ40:BJ44)</f>
        <v>12790.500000000002</v>
      </c>
      <c r="BK45" s="6">
        <f>SUM(BK40:BK44)</f>
        <v>11190.199999999999</v>
      </c>
      <c r="BL45" s="6">
        <f>SUM(BL40:BL44)</f>
        <v>11443.300000000003</v>
      </c>
      <c r="BM45" s="6">
        <f>SUM(BM40:BM44)</f>
        <v>11067.699999999997</v>
      </c>
      <c r="BN45" s="6">
        <f>SUM(BN40:BN44)</f>
        <v>10547.600000000002</v>
      </c>
      <c r="BO45" s="6">
        <f>SUM(BO40:BO44)</f>
        <v>10160.6</v>
      </c>
      <c r="BP45" s="6">
        <f>SUM(BP40:BP44)</f>
        <v>11348.199999999999</v>
      </c>
      <c r="BQ45" s="6">
        <f>SUM(BQ40:BQ44)</f>
        <v>10011.7</v>
      </c>
      <c r="BR45" s="6">
        <f>SUM(BR40:BR44)</f>
        <v>10191.3</v>
      </c>
      <c r="BS45" s="6">
        <f>BR45</f>
        <v>10191.3</v>
      </c>
    </row>
    <row r="46">
      <c r="B46" s="5" t="inlineStr">
        <is>
          <t>Working capital/sales (monthly)</t>
        </is>
      </c>
      <c r="C46" s="12">
        <f>IFERROR(C45/(C28*12),0)</f>
        <v>0.1927545589330491</v>
      </c>
      <c r="D46" s="12">
        <f>IFERROR(D45/(D28*12),0)</f>
        <v>0.19009816341647456</v>
      </c>
      <c r="E46" s="12">
        <f>IFERROR(E45/(E28*12),0)</f>
        <v>0.18858081660972134</v>
      </c>
      <c r="F46" s="12">
        <f>IFERROR(F45/(F28*12),0)</f>
        <v>0.19035521663035332</v>
      </c>
      <c r="G46" s="12">
        <f>IFERROR(G45/(G28*12),0)</f>
        <v>0.18584544047405518</v>
      </c>
      <c r="H46" s="12">
        <f>IFERROR(H45/(H28*12),0)</f>
        <v>0.17907465134329859</v>
      </c>
      <c r="I46" s="12">
        <f>IFERROR(I45/(I28*12),0)</f>
        <v>0.17487833396536465</v>
      </c>
      <c r="J46" s="12">
        <f>IFERROR(J45/(J28*12),0)</f>
        <v>0.17143544433825492</v>
      </c>
      <c r="K46" s="12">
        <f>IFERROR(K45/(K28*12),0)</f>
        <v>0.15963404182939833</v>
      </c>
      <c r="L46" s="12">
        <f>IFERROR(L45/(L28*12),0)</f>
        <v>0.16459926002156225</v>
      </c>
      <c r="M46" s="12">
        <f>IFERROR(M45/(M28*12),0)</f>
        <v>0.16464415284982878</v>
      </c>
      <c r="N46" s="12">
        <f>IFERROR(N45/(N28*12),0)</f>
        <v>0.15861254295532645</v>
      </c>
      <c r="Q46" s="12">
        <f>IFERROR(Q45/(Q28*12),0)</f>
        <v>0.1927545589330491</v>
      </c>
      <c r="R46" s="12">
        <f>IFERROR(R45/(R28*12),0)</f>
        <v>0.19009816341647456</v>
      </c>
      <c r="S46" s="12">
        <f>IFERROR(S45/(S28*12),0)</f>
        <v>0.18858081660972134</v>
      </c>
      <c r="T46" s="12">
        <f>IFERROR(T45/(T28*12),0)</f>
        <v>0.19035521663035332</v>
      </c>
      <c r="U46" s="12">
        <f>IFERROR(U45/(U28*12),0)</f>
        <v>0.18584544047405518</v>
      </c>
      <c r="V46" s="12">
        <f>IFERROR(V45/(V28*12),0)</f>
        <v>0.17907465134329859</v>
      </c>
      <c r="W46" s="12">
        <f>IFERROR(W45/(W28*12),0)</f>
        <v>0.17487833396536465</v>
      </c>
      <c r="X46" s="12">
        <f>IFERROR(X45/(X28*12),0)</f>
        <v>0.17143544433825492</v>
      </c>
      <c r="Y46" s="12">
        <f>IFERROR(Y45/(Y28*12),0)</f>
        <v>0.15963404182939833</v>
      </c>
      <c r="Z46" s="12">
        <f>IFERROR(Z45/(Z28*12),0)</f>
        <v>0.16459926002156225</v>
      </c>
      <c r="AA46" s="12">
        <f>IFERROR(AA45/(AA28*12),0)</f>
        <v>0.16464415284982878</v>
      </c>
      <c r="AB46" s="12">
        <f>IFERROR(AB45/(AB28*12),0)</f>
        <v>0.15861254295532645</v>
      </c>
      <c r="AE46" s="12">
        <f>IFERROR(AE45/(AE28*12),0)</f>
        <v>0.0</v>
      </c>
      <c r="AF46" s="12">
        <f>IFERROR(AF45/(AF28*12),0)</f>
        <v>0.0</v>
      </c>
      <c r="AG46" s="12">
        <f>IFERROR(AG45/(AG28*12),0)</f>
        <v>0.0</v>
      </c>
      <c r="AH46" s="12">
        <f>IFERROR(AH45/(AH28*12),0)</f>
        <v>0.0</v>
      </c>
      <c r="AI46" s="12">
        <f>IFERROR(AI45/(AI28*12),0)</f>
        <v>0.0</v>
      </c>
      <c r="AJ46" s="12">
        <f>IFERROR(AJ45/(AJ28*12),0)</f>
        <v>0.0</v>
      </c>
      <c r="AK46" s="12">
        <f>IFERROR(AK45/(AK28*12),0)</f>
        <v>0.0</v>
      </c>
      <c r="AL46" s="12">
        <f>IFERROR(AL45/(AL28*12),0)</f>
        <v>0.0</v>
      </c>
      <c r="AM46" s="12">
        <f>IFERROR(AM45/(AM28*12),0)</f>
        <v>0.0</v>
      </c>
      <c r="AN46" s="12">
        <f>IFERROR(AN45/(AN28*12),0)</f>
        <v>0.0</v>
      </c>
      <c r="AO46" s="12">
        <f>IFERROR(AO45/(AO28*12),0)</f>
        <v>0.0</v>
      </c>
      <c r="AP46" s="12">
        <f>IFERROR(AP45/(AP28*12),0)</f>
        <v>0.0</v>
      </c>
      <c r="AS46" s="12">
        <f>IFERROR(AS45/(AS28*12),0)</f>
        <v>0.0</v>
      </c>
      <c r="AT46" s="12">
        <f>IFERROR(AT45/(AT28*12),0)</f>
        <v>0.0</v>
      </c>
      <c r="AU46" s="12">
        <f>IFERROR(AU45/(AU28*12),0)</f>
        <v>0.0</v>
      </c>
      <c r="AV46" s="12">
        <f>IFERROR(AV45/(AV28*12),0)</f>
        <v>0.0</v>
      </c>
      <c r="AW46" s="12">
        <f>IFERROR(AW45/(AW28*12),0)</f>
        <v>0.0</v>
      </c>
      <c r="AX46" s="12">
        <f>IFERROR(AX45/(AX28*12),0)</f>
        <v>0.0</v>
      </c>
      <c r="AY46" s="12">
        <f>IFERROR(AY45/(AY28*12),0)</f>
        <v>0.0</v>
      </c>
      <c r="AZ46" s="12">
        <f>IFERROR(AZ45/(AZ28*12),0)</f>
        <v>0.0</v>
      </c>
      <c r="BA46" s="12">
        <f>IFERROR(BA45/(BA28*12),0)</f>
        <v>-0.07751937984496124</v>
      </c>
      <c r="BB46" s="12">
        <f>IFERROR(BB45/(BB28*12),0)</f>
        <v>-0.2</v>
      </c>
      <c r="BC46" s="12">
        <f>IFERROR(BC45/(BC28*12),0)</f>
        <v>-0.125</v>
      </c>
      <c r="BD46" s="12">
        <f>IFERROR(BD45/(BD28*12),0)</f>
        <v>0.0</v>
      </c>
      <c r="BG46" s="12">
        <f>IFERROR(BG45/(BG28*12),0)</f>
        <v>0.1927545589330491</v>
      </c>
      <c r="BH46" s="12">
        <f>IFERROR(BH45/(BH28*12),0)</f>
        <v>0.19009816341647456</v>
      </c>
      <c r="BI46" s="12">
        <f>IFERROR(BI45/(BI28*12),0)</f>
        <v>0.18858081660972134</v>
      </c>
      <c r="BJ46" s="12">
        <f>IFERROR(BJ45/(BJ28*12),0)</f>
        <v>0.19035521663035332</v>
      </c>
      <c r="BK46" s="12">
        <f>IFERROR(BK45/(BK28*12),0)</f>
        <v>0.18584544047405518</v>
      </c>
      <c r="BL46" s="12">
        <f>IFERROR(BL45/(BL28*12),0)</f>
        <v>0.17907465134329859</v>
      </c>
      <c r="BM46" s="12">
        <f>IFERROR(BM45/(BM28*12),0)</f>
        <v>0.17487833396536465</v>
      </c>
      <c r="BN46" s="12">
        <f>IFERROR(BN45/(BN28*12),0)</f>
        <v>0.17143544433825492</v>
      </c>
      <c r="BO46" s="12">
        <f>IFERROR(BO45/(BO28*12),0)</f>
        <v>0.18149243707085647</v>
      </c>
      <c r="BP46" s="12">
        <f>IFERROR(BP45/(BP28*12),0)</f>
        <v>0.18215643218532498</v>
      </c>
      <c r="BQ46" s="12">
        <f>IFERROR(BQ45/(BQ28*12),0)</f>
        <v>0.17692892234828403</v>
      </c>
      <c r="BR46" s="12">
        <f>IFERROR(BR45/(BR28*12),0)</f>
        <v>0.16802686767964545</v>
      </c>
    </row>
    <row r="49">
      <c r="B49" s="8" t="inlineStr">
        <is>
          <t>Budget 2026</t>
        </is>
      </c>
    </row>
    <row r="50">
      <c r="C50" s="20" t="inlineStr">
        <is>
          <t>January</t>
        </is>
      </c>
      <c r="D50" s="20" t="inlineStr">
        <is>
          <t>February</t>
        </is>
      </c>
      <c r="E50" s="20" t="inlineStr">
        <is>
          <t>March</t>
        </is>
      </c>
      <c r="F50" s="20" t="inlineStr">
        <is>
          <t>April</t>
        </is>
      </c>
      <c r="G50" s="20" t="inlineStr">
        <is>
          <t>May</t>
        </is>
      </c>
      <c r="H50" s="20" t="inlineStr">
        <is>
          <t>June</t>
        </is>
      </c>
      <c r="I50" s="20" t="inlineStr">
        <is>
          <t>July</t>
        </is>
      </c>
      <c r="J50" s="20" t="inlineStr">
        <is>
          <t>August</t>
        </is>
      </c>
      <c r="K50" s="20" t="inlineStr">
        <is>
          <t>September</t>
        </is>
      </c>
      <c r="L50" s="20" t="inlineStr">
        <is>
          <t>October</t>
        </is>
      </c>
      <c r="M50" s="20" t="inlineStr">
        <is>
          <t>November</t>
        </is>
      </c>
      <c r="N50" s="20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6" t="n">
        <v>5145.9</v>
      </c>
      <c r="D51" s="6" t="n">
        <v>5037.5</v>
      </c>
      <c r="E51" s="6" t="n">
        <v>5416.6</v>
      </c>
      <c r="F51" s="6" t="n">
        <v>5849.9</v>
      </c>
      <c r="G51" s="6" t="n">
        <v>5308.4</v>
      </c>
      <c r="H51" s="6" t="n">
        <v>5579.2</v>
      </c>
      <c r="I51" s="6" t="n">
        <v>5525</v>
      </c>
      <c r="J51" s="6" t="n">
        <v>5416.7</v>
      </c>
      <c r="K51" s="6" t="n">
        <v>5308.3</v>
      </c>
      <c r="L51" s="6" t="n">
        <v>5687.4</v>
      </c>
      <c r="M51" s="6" t="n">
        <v>5145.8</v>
      </c>
      <c r="N51" s="6" t="n">
        <v>5579.2</v>
      </c>
      <c r="O51" s="6">
        <f>SUM(C51:N51)</f>
        <v>64999.9</v>
      </c>
    </row>
    <row r="52">
      <c r="B52" t="inlineStr">
        <is>
          <t>Gross Margin</t>
        </is>
      </c>
      <c r="C52" s="6" t="n">
        <v>1543.8</v>
      </c>
      <c r="D52" s="6" t="n">
        <v>1511.3</v>
      </c>
      <c r="E52" s="6" t="n">
        <v>1624.9</v>
      </c>
      <c r="F52" s="6" t="n">
        <v>1754.9</v>
      </c>
      <c r="G52" s="6" t="n">
        <v>1592.6</v>
      </c>
      <c r="H52" s="6" t="n">
        <v>1673.7</v>
      </c>
      <c r="I52" s="6" t="n">
        <v>1657.5</v>
      </c>
      <c r="J52" s="6" t="n">
        <v>1625</v>
      </c>
      <c r="K52" s="6" t="n">
        <v>1592.5</v>
      </c>
      <c r="L52" s="6" t="n">
        <v>1706.3</v>
      </c>
      <c r="M52" s="6" t="n">
        <v>1543.7</v>
      </c>
      <c r="N52" s="6" t="n">
        <v>1673.6</v>
      </c>
      <c r="O52" s="6">
        <f>SUM(C52:N52)</f>
        <v>19499.8</v>
      </c>
    </row>
    <row r="53">
      <c r="B53" t="inlineStr">
        <is>
          <t>Op Costs</t>
        </is>
      </c>
      <c r="C53" s="6" t="n">
        <v>-1080.6</v>
      </c>
      <c r="D53" s="6" t="n">
        <v>-1057.9</v>
      </c>
      <c r="E53" s="6" t="n">
        <v>-1137.8</v>
      </c>
      <c r="F53" s="6" t="n">
        <v>-1228.4</v>
      </c>
      <c r="G53" s="6" t="n">
        <v>-1114.5</v>
      </c>
      <c r="H53" s="6" t="n">
        <v>-1172.1</v>
      </c>
      <c r="I53" s="6" t="n">
        <v>-1160.4</v>
      </c>
      <c r="J53" s="6" t="n">
        <v>-1137.8</v>
      </c>
      <c r="K53" s="6" t="n">
        <v>-1114.5</v>
      </c>
      <c r="L53" s="6" t="n">
        <v>-1194.5</v>
      </c>
      <c r="M53" s="6" t="n">
        <v>-1080.6</v>
      </c>
      <c r="N53" s="6" t="n">
        <v>-1172.1</v>
      </c>
      <c r="O53" s="6">
        <f>SUM(C53:N53)</f>
        <v>-13651.2</v>
      </c>
    </row>
    <row r="54">
      <c r="B54" t="inlineStr">
        <is>
          <t>PBITA</t>
        </is>
      </c>
      <c r="C54" s="6">
        <f>C52+C53</f>
        <v>463.20000000000005</v>
      </c>
      <c r="D54" s="6">
        <f>D52+D53</f>
        <v>453.39999999999986</v>
      </c>
      <c r="E54" s="6">
        <f>E52+E53</f>
        <v>487.10000000000014</v>
      </c>
      <c r="F54" s="6">
        <f>F52+F53</f>
        <v>526.5</v>
      </c>
      <c r="G54" s="6">
        <f>G52+G53</f>
        <v>478.0999999999999</v>
      </c>
      <c r="H54" s="6">
        <f>H52+H53</f>
        <v>501.60000000000014</v>
      </c>
      <c r="I54" s="6">
        <f>I52+I53</f>
        <v>497.0999999999999</v>
      </c>
      <c r="J54" s="6">
        <f>J52+J53</f>
        <v>487.20000000000005</v>
      </c>
      <c r="K54" s="6">
        <f>K52+K53</f>
        <v>478.0</v>
      </c>
      <c r="L54" s="6">
        <f>L52+L53</f>
        <v>511.79999999999995</v>
      </c>
      <c r="M54" s="6">
        <f>M52+M53</f>
        <v>463.10000000000014</v>
      </c>
      <c r="N54" s="6">
        <f>N52+N53</f>
        <v>501.5</v>
      </c>
      <c r="O54" s="6">
        <f>SUM(C54:N54)</f>
        <v>5848.600000000001</v>
      </c>
    </row>
    <row r="55">
      <c r="B55" t="inlineStr">
        <is>
          <t>Net Inventory</t>
        </is>
      </c>
      <c r="C55" s="6" t="n">
        <v>9246.9</v>
      </c>
      <c r="D55" s="6" t="n">
        <v>8942</v>
      </c>
      <c r="E55" s="6" t="n">
        <v>9593.299999999999</v>
      </c>
      <c r="F55" s="6" t="n">
        <v>10290.1</v>
      </c>
      <c r="G55" s="6" t="n">
        <v>9442.9</v>
      </c>
      <c r="H55" s="6" t="n">
        <v>9805.700000000001</v>
      </c>
      <c r="I55" s="6" t="n">
        <v>9815.4</v>
      </c>
      <c r="J55" s="6" t="n">
        <v>9657.5</v>
      </c>
      <c r="K55" s="6" t="n">
        <v>9445.4</v>
      </c>
      <c r="L55" s="6" t="n">
        <v>10095.4</v>
      </c>
      <c r="M55" s="6" t="n">
        <v>9027.700000000001</v>
      </c>
      <c r="N55" s="6" t="n">
        <v>9790.9</v>
      </c>
      <c r="O55" s="6">
        <f>N55</f>
        <v>9790.9</v>
      </c>
    </row>
    <row r="56">
      <c r="B56" t="inlineStr">
        <is>
          <t>Trade Receivables</t>
        </is>
      </c>
      <c r="C56" s="6" t="n">
        <v>7718.8</v>
      </c>
      <c r="D56" s="6" t="n">
        <v>7556.2</v>
      </c>
      <c r="E56" s="6" t="n">
        <v>8124.9</v>
      </c>
      <c r="F56" s="6" t="n">
        <v>8774.9</v>
      </c>
      <c r="G56" s="6" t="n">
        <v>7962.6</v>
      </c>
      <c r="H56" s="6" t="n">
        <v>8368.799999999999</v>
      </c>
      <c r="I56" s="6" t="n">
        <v>8287.5</v>
      </c>
      <c r="J56" s="6" t="n">
        <v>8125.1</v>
      </c>
      <c r="K56" s="6" t="n">
        <v>7962.4</v>
      </c>
      <c r="L56" s="6" t="n">
        <v>8531.1</v>
      </c>
      <c r="M56" s="6" t="n">
        <v>7718.7</v>
      </c>
      <c r="N56" s="6" t="n">
        <v>8368.799999999999</v>
      </c>
      <c r="O56" s="6">
        <f>N56</f>
        <v>8368.8</v>
      </c>
    </row>
    <row r="57">
      <c r="B57" t="inlineStr">
        <is>
          <t>Other Receivables</t>
        </is>
      </c>
      <c r="C57" s="6" t="n">
        <v>77.2</v>
      </c>
      <c r="D57" s="6" t="n">
        <v>75.59999999999999</v>
      </c>
      <c r="E57" s="6" t="n">
        <v>81.2</v>
      </c>
      <c r="F57" s="6" t="n">
        <v>87.7</v>
      </c>
      <c r="G57" s="6" t="n">
        <v>79.59999999999999</v>
      </c>
      <c r="H57" s="6" t="n">
        <v>83.7</v>
      </c>
      <c r="I57" s="6" t="n">
        <v>82.90000000000001</v>
      </c>
      <c r="J57" s="6" t="n">
        <v>81.3</v>
      </c>
      <c r="K57" s="6" t="n">
        <v>79.59999999999999</v>
      </c>
      <c r="L57" s="6" t="n">
        <v>85.3</v>
      </c>
      <c r="M57" s="6" t="n">
        <v>77.2</v>
      </c>
      <c r="N57" s="6" t="n">
        <v>83.7</v>
      </c>
      <c r="O57" s="6">
        <f>N57</f>
        <v>83.7</v>
      </c>
    </row>
    <row r="58">
      <c r="B58" t="inlineStr">
        <is>
          <t>Trade Payables</t>
        </is>
      </c>
      <c r="C58" s="6" t="n">
        <v>-5042.9</v>
      </c>
      <c r="D58" s="6" t="n">
        <v>-4936.7</v>
      </c>
      <c r="E58" s="6" t="n">
        <v>-5308.4</v>
      </c>
      <c r="F58" s="6" t="n">
        <v>-5733</v>
      </c>
      <c r="G58" s="6" t="n">
        <v>-5202.1</v>
      </c>
      <c r="H58" s="6" t="n">
        <v>-5467.7</v>
      </c>
      <c r="I58" s="6" t="n">
        <v>-5414.5</v>
      </c>
      <c r="J58" s="6" t="n">
        <v>-5308.4</v>
      </c>
      <c r="K58" s="6" t="n">
        <v>-5202.1</v>
      </c>
      <c r="L58" s="6" t="n">
        <v>-5573.5</v>
      </c>
      <c r="M58" s="6" t="n">
        <v>-5042.9</v>
      </c>
      <c r="N58" s="6" t="n">
        <v>-5467.8</v>
      </c>
      <c r="O58" s="6">
        <f>N58</f>
        <v>-5467.8</v>
      </c>
    </row>
    <row r="59">
      <c r="B59" t="inlineStr">
        <is>
          <t>Other Payables</t>
        </is>
      </c>
      <c r="C59" s="6" t="n">
        <v>-154.4</v>
      </c>
      <c r="D59" s="6" t="n">
        <v>-151.1</v>
      </c>
      <c r="E59" s="6" t="n">
        <v>-162.5</v>
      </c>
      <c r="F59" s="6" t="n">
        <v>-175.5</v>
      </c>
      <c r="G59" s="6" t="n">
        <v>-159.3</v>
      </c>
      <c r="H59" s="6" t="n">
        <v>-167.4</v>
      </c>
      <c r="I59" s="6" t="n">
        <v>-165.8</v>
      </c>
      <c r="J59" s="6" t="n">
        <v>-162.5</v>
      </c>
      <c r="K59" s="6" t="n">
        <v>-159.2</v>
      </c>
      <c r="L59" s="6" t="n">
        <v>-170.6</v>
      </c>
      <c r="M59" s="6" t="n">
        <v>-154.4</v>
      </c>
      <c r="N59" s="6" t="n">
        <v>-167.4</v>
      </c>
      <c r="O59" s="6">
        <f>N59</f>
        <v>-167.4</v>
      </c>
    </row>
    <row r="60">
      <c r="B60" t="inlineStr">
        <is>
          <t>Total working capital</t>
        </is>
      </c>
      <c r="C60" s="6">
        <f>SUM(C55:C59)</f>
        <v>11845.600000000002</v>
      </c>
      <c r="D60" s="6">
        <f>SUM(D55:D59)</f>
        <v>11485.999999999998</v>
      </c>
      <c r="E60" s="6">
        <f>SUM(E55:E59)</f>
        <v>12328.499999999998</v>
      </c>
      <c r="F60" s="6">
        <f>SUM(F55:F59)</f>
        <v>13244.2</v>
      </c>
      <c r="G60" s="6">
        <f>SUM(G55:G59)</f>
        <v>12123.699999999999</v>
      </c>
      <c r="H60" s="6">
        <f>SUM(H55:H59)</f>
        <v>12623.1</v>
      </c>
      <c r="I60" s="6">
        <f>SUM(I55:I59)</f>
        <v>12605.500000000004</v>
      </c>
      <c r="J60" s="6">
        <f>SUM(J55:J59)</f>
        <v>12392.999999999998</v>
      </c>
      <c r="K60" s="6">
        <f>SUM(K55:K59)</f>
        <v>12126.099999999997</v>
      </c>
      <c r="L60" s="6">
        <f>SUM(L55:L59)</f>
        <v>12967.699999999999</v>
      </c>
      <c r="M60" s="6">
        <f>SUM(M55:M59)</f>
        <v>11626.300000000003</v>
      </c>
      <c r="N60" s="6">
        <f>SUM(N55:N59)</f>
        <v>12608.199999999999</v>
      </c>
      <c r="O60" s="6">
        <f>N60</f>
        <v>12608.199999999999</v>
      </c>
    </row>
    <row r="62">
      <c r="B62" s="8" t="inlineStr">
        <is>
          <t>2025 Actual</t>
        </is>
      </c>
    </row>
    <row r="63">
      <c r="C63" s="20" t="inlineStr">
        <is>
          <t>January</t>
        </is>
      </c>
      <c r="D63" s="20" t="inlineStr">
        <is>
          <t>February</t>
        </is>
      </c>
      <c r="E63" s="20" t="inlineStr">
        <is>
          <t>March</t>
        </is>
      </c>
      <c r="F63" s="20" t="inlineStr">
        <is>
          <t>April</t>
        </is>
      </c>
      <c r="G63" s="20" t="inlineStr">
        <is>
          <t>May</t>
        </is>
      </c>
      <c r="H63" s="20" t="inlineStr">
        <is>
          <t>June</t>
        </is>
      </c>
      <c r="I63" s="20" t="inlineStr">
        <is>
          <t>July</t>
        </is>
      </c>
      <c r="J63" s="20" t="inlineStr">
        <is>
          <t>August</t>
        </is>
      </c>
      <c r="K63" s="20" t="inlineStr">
        <is>
          <t>September</t>
        </is>
      </c>
      <c r="L63" s="20" t="inlineStr">
        <is>
          <t>October</t>
        </is>
      </c>
      <c r="M63" s="20" t="inlineStr">
        <is>
          <t>November</t>
        </is>
      </c>
      <c r="N63" s="20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6" t="n">
        <v>5026.5</v>
      </c>
      <c r="D64" s="6" t="n">
        <v>4931.5</v>
      </c>
      <c r="E64" s="6" t="n">
        <v>5216</v>
      </c>
      <c r="F64" s="6" t="n">
        <v>5758.2</v>
      </c>
      <c r="G64" s="6" t="n">
        <v>5054.5</v>
      </c>
      <c r="H64" s="6" t="n">
        <v>5461.9</v>
      </c>
      <c r="I64" s="6" t="n">
        <v>5399.4</v>
      </c>
      <c r="J64" s="6" t="n">
        <v>5188.1</v>
      </c>
      <c r="K64" s="6" t="n">
        <v>5223.4</v>
      </c>
      <c r="L64" s="6" t="n">
        <v>5444.6</v>
      </c>
      <c r="M64" s="6" t="n">
        <v>5021.7</v>
      </c>
      <c r="N64" s="6" t="n">
        <v>5506.4</v>
      </c>
      <c r="O64" s="6">
        <f>SUM(C64:N64)</f>
        <v>63232.2</v>
      </c>
    </row>
    <row r="65">
      <c r="B65" t="inlineStr">
        <is>
          <t>Gross Margin</t>
        </is>
      </c>
      <c r="C65" s="6" t="n">
        <v>1544.4</v>
      </c>
      <c r="D65" s="6" t="n">
        <v>1517.7</v>
      </c>
      <c r="E65" s="6" t="n">
        <v>1594.6</v>
      </c>
      <c r="F65" s="6" t="n">
        <v>1761.5</v>
      </c>
      <c r="G65" s="6" t="n">
        <v>1553.8</v>
      </c>
      <c r="H65" s="6" t="n">
        <v>1660.5</v>
      </c>
      <c r="I65" s="6" t="n">
        <v>1640.1</v>
      </c>
      <c r="J65" s="6" t="n">
        <v>1601</v>
      </c>
      <c r="K65" s="6" t="n">
        <v>1580</v>
      </c>
      <c r="L65" s="6" t="n">
        <v>1641.8</v>
      </c>
      <c r="M65" s="6" t="n">
        <v>1545.5</v>
      </c>
      <c r="N65" s="6" t="n">
        <v>1693</v>
      </c>
      <c r="O65" s="6">
        <f>SUM(C65:N65)</f>
        <v>19333.9</v>
      </c>
    </row>
    <row r="66">
      <c r="B66" t="inlineStr">
        <is>
          <t>Op Costs</t>
        </is>
      </c>
      <c r="C66" s="6" t="n">
        <v>-1067.2</v>
      </c>
      <c r="D66" s="6" t="n">
        <v>-1031.7</v>
      </c>
      <c r="E66" s="6" t="n">
        <v>-1121.3</v>
      </c>
      <c r="F66" s="6" t="n">
        <v>-1191.2</v>
      </c>
      <c r="G66" s="6" t="n">
        <v>-1090.8</v>
      </c>
      <c r="H66" s="6" t="n">
        <v>-1149.8</v>
      </c>
      <c r="I66" s="6" t="n">
        <v>-1130.7</v>
      </c>
      <c r="J66" s="6" t="n">
        <v>-1120.6</v>
      </c>
      <c r="K66" s="6" t="n">
        <v>-1094.6</v>
      </c>
      <c r="L66" s="6" t="n">
        <v>-1174.1</v>
      </c>
      <c r="M66" s="6" t="n">
        <v>-1061.9</v>
      </c>
      <c r="N66" s="6" t="n">
        <v>-1152.9</v>
      </c>
      <c r="O66" s="6">
        <f>SUM(C66:N66)</f>
        <v>-13386.8</v>
      </c>
    </row>
    <row r="67">
      <c r="B67" t="inlineStr">
        <is>
          <t>PBITA</t>
        </is>
      </c>
      <c r="C67" s="6">
        <f>C65+C66</f>
        <v>477.20000000000005</v>
      </c>
      <c r="D67" s="6">
        <f>D65+D66</f>
        <v>486.0</v>
      </c>
      <c r="E67" s="6">
        <f>E65+E66</f>
        <v>473.29999999999995</v>
      </c>
      <c r="F67" s="6">
        <f>F65+F66</f>
        <v>570.3</v>
      </c>
      <c r="G67" s="6">
        <f>G65+G66</f>
        <v>463.0</v>
      </c>
      <c r="H67" s="6">
        <f>H65+H66</f>
        <v>510.70000000000005</v>
      </c>
      <c r="I67" s="6">
        <f>I65+I66</f>
        <v>509.39999999999986</v>
      </c>
      <c r="J67" s="6">
        <f>J65+J66</f>
        <v>480.4000000000001</v>
      </c>
      <c r="K67" s="6">
        <f>K65+K66</f>
        <v>485.4000000000001</v>
      </c>
      <c r="L67" s="6">
        <f>L65+L66</f>
        <v>467.70000000000005</v>
      </c>
      <c r="M67" s="6">
        <f>M65+M66</f>
        <v>483.5999999999999</v>
      </c>
      <c r="N67" s="6">
        <f>N65+N66</f>
        <v>540.0999999999999</v>
      </c>
      <c r="O67" s="6">
        <f>SUM(C67:N67)</f>
        <v>5947.1</v>
      </c>
    </row>
    <row r="68">
      <c r="B68" t="inlineStr">
        <is>
          <t>Net Inventory</t>
        </is>
      </c>
      <c r="C68" s="6" t="n">
        <v>9691</v>
      </c>
      <c r="D68" s="6" t="n">
        <v>9555.5</v>
      </c>
      <c r="E68" s="6" t="n">
        <v>10317.3</v>
      </c>
      <c r="F68" s="6" t="n">
        <v>11126.5</v>
      </c>
      <c r="G68" s="6" t="n">
        <v>9699.5</v>
      </c>
      <c r="H68" s="6" t="n">
        <v>10772.5</v>
      </c>
      <c r="I68" s="6" t="n">
        <v>10687.3</v>
      </c>
      <c r="J68" s="6" t="n">
        <v>10108.8</v>
      </c>
      <c r="K68" s="6" t="n">
        <v>10253.9</v>
      </c>
      <c r="L68" s="6" t="n">
        <v>10729.5</v>
      </c>
      <c r="M68" s="6" t="n">
        <v>9904.5</v>
      </c>
      <c r="N68" s="6" t="n">
        <v>10745.7</v>
      </c>
      <c r="O68" s="6">
        <f>N68</f>
        <v>10745.7</v>
      </c>
    </row>
    <row r="69">
      <c r="B69" t="inlineStr">
        <is>
          <t>Trade Receivables</t>
        </is>
      </c>
      <c r="C69" s="6" t="n">
        <v>7707.3</v>
      </c>
      <c r="D69" s="6" t="n">
        <v>7561.6</v>
      </c>
      <c r="E69" s="6" t="n">
        <v>7997.9</v>
      </c>
      <c r="F69" s="6" t="n">
        <v>8829.200000000001</v>
      </c>
      <c r="G69" s="6" t="n">
        <v>7750.2</v>
      </c>
      <c r="H69" s="6" t="n">
        <v>8374.9</v>
      </c>
      <c r="I69" s="6" t="n">
        <v>8279.1</v>
      </c>
      <c r="J69" s="6" t="n">
        <v>7955.1</v>
      </c>
      <c r="K69" s="6" t="n">
        <v>8009.2</v>
      </c>
      <c r="L69" s="6" t="n">
        <v>8348.4</v>
      </c>
      <c r="M69" s="6" t="n">
        <v>7699.9</v>
      </c>
      <c r="N69" s="6" t="n">
        <v>8443.1</v>
      </c>
      <c r="O69" s="6">
        <f>N69</f>
        <v>8443.1</v>
      </c>
    </row>
    <row r="70">
      <c r="B70" t="inlineStr">
        <is>
          <t>Other Receivables</t>
        </is>
      </c>
      <c r="C70" s="6" t="n">
        <v>75.40000000000001</v>
      </c>
      <c r="D70" s="6" t="n">
        <v>74</v>
      </c>
      <c r="E70" s="6" t="n">
        <v>78.2</v>
      </c>
      <c r="F70" s="6" t="n">
        <v>86.40000000000001</v>
      </c>
      <c r="G70" s="6" t="n">
        <v>75.8</v>
      </c>
      <c r="H70" s="6" t="n">
        <v>81.90000000000001</v>
      </c>
      <c r="I70" s="6" t="n">
        <v>81</v>
      </c>
      <c r="J70" s="6" t="n">
        <v>77.8</v>
      </c>
      <c r="K70" s="6" t="n">
        <v>78.40000000000001</v>
      </c>
      <c r="L70" s="6" t="n">
        <v>81.7</v>
      </c>
      <c r="M70" s="6" t="n">
        <v>75.3</v>
      </c>
      <c r="N70" s="6" t="n">
        <v>82.59999999999999</v>
      </c>
      <c r="O70" s="6">
        <f>N70</f>
        <v>82.6</v>
      </c>
    </row>
    <row r="71">
      <c r="B71" t="inlineStr">
        <is>
          <t>Trade Payables</t>
        </is>
      </c>
      <c r="C71" s="6" t="n">
        <v>-4758.9</v>
      </c>
      <c r="D71" s="6" t="n">
        <v>-4665.5</v>
      </c>
      <c r="E71" s="6" t="n">
        <v>-4949.2</v>
      </c>
      <c r="F71" s="6" t="n">
        <v>-5462.2</v>
      </c>
      <c r="G71" s="6" t="n">
        <v>-4784.3</v>
      </c>
      <c r="H71" s="6" t="n">
        <v>-5195.2</v>
      </c>
      <c r="I71" s="6" t="n">
        <v>-5137.7</v>
      </c>
      <c r="J71" s="6" t="n">
        <v>-4902.4</v>
      </c>
      <c r="K71" s="6" t="n">
        <v>-4979.3</v>
      </c>
      <c r="L71" s="6" t="n">
        <v>-5197.2</v>
      </c>
      <c r="M71" s="6" t="n">
        <v>-4750.8</v>
      </c>
      <c r="N71" s="6" t="n">
        <v>-5211.6</v>
      </c>
      <c r="O71" s="6">
        <f>N71</f>
        <v>-5211.6</v>
      </c>
    </row>
    <row r="72">
      <c r="B72" t="inlineStr">
        <is>
          <t>Other Payables</t>
        </is>
      </c>
      <c r="C72" s="6" t="n">
        <v>-150.8</v>
      </c>
      <c r="D72" s="6" t="n">
        <v>-147.9</v>
      </c>
      <c r="E72" s="6" t="n">
        <v>-156.5</v>
      </c>
      <c r="F72" s="6" t="n">
        <v>-172.7</v>
      </c>
      <c r="G72" s="6" t="n">
        <v>-151.6</v>
      </c>
      <c r="H72" s="6" t="n">
        <v>-163.9</v>
      </c>
      <c r="I72" s="6" t="n">
        <v>-162</v>
      </c>
      <c r="J72" s="6" t="n">
        <v>-155.6</v>
      </c>
      <c r="K72" s="6" t="n">
        <v>-156.7</v>
      </c>
      <c r="L72" s="6" t="n">
        <v>-163.3</v>
      </c>
      <c r="M72" s="6" t="n">
        <v>-150.7</v>
      </c>
      <c r="N72" s="6" t="n">
        <v>-165.2</v>
      </c>
      <c r="O72" s="6">
        <f>N72</f>
        <v>-165.2</v>
      </c>
    </row>
    <row r="73">
      <c r="B73" t="inlineStr">
        <is>
          <t>Total working capital</t>
        </is>
      </c>
      <c r="C73" s="6">
        <f>SUM(C68:C72)</f>
        <v>12564.000000000002</v>
      </c>
      <c r="D73" s="6">
        <f>SUM(D68:D72)</f>
        <v>12377.699999999999</v>
      </c>
      <c r="E73" s="6">
        <f>SUM(E68:E72)</f>
        <v>13287.699999999997</v>
      </c>
      <c r="F73" s="6">
        <f>SUM(F68:F72)</f>
        <v>14407.2</v>
      </c>
      <c r="G73" s="6">
        <f>SUM(G68:G72)</f>
        <v>12589.6</v>
      </c>
      <c r="H73" s="6">
        <f>SUM(H68:H72)</f>
        <v>13870.200000000003</v>
      </c>
      <c r="I73" s="6">
        <f>SUM(I68:I72)</f>
        <v>13747.7</v>
      </c>
      <c r="J73" s="6">
        <f>SUM(J68:J72)</f>
        <v>13083.7</v>
      </c>
      <c r="K73" s="6">
        <f>SUM(K68:K72)</f>
        <v>13205.5</v>
      </c>
      <c r="L73" s="6">
        <f>SUM(L68:L72)</f>
        <v>13799.100000000002</v>
      </c>
      <c r="M73" s="6">
        <f>SUM(M68:M72)</f>
        <v>12778.2</v>
      </c>
      <c r="N73" s="6">
        <f>SUM(N68:N72)</f>
        <v>13894.6</v>
      </c>
      <c r="O73" s="6">
        <f>N73</f>
        <v>13894.6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Hollis Rainwear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2" t="inlineStr">
        <is>
          <t>Sales</t>
        </is>
      </c>
      <c r="C8" s="6">
        <f>'Hollis'!BU28</f>
        <v>1655.0</v>
      </c>
      <c r="D8" s="6">
        <f>'Hollis'!BV28</f>
        <v>2592.5</v>
      </c>
      <c r="E8" s="6">
        <f>'Hollis'!BW28</f>
        <v>6538.400000000009</v>
      </c>
      <c r="F8" s="6">
        <f>'Hollis'!BY28</f>
        <v>-1235.0</v>
      </c>
      <c r="G8" s="6">
        <f>'Hollis'!BZ28</f>
        <v>-811.9000000000015</v>
      </c>
      <c r="H8" s="6">
        <f>'Hollis'!CA28</f>
        <v>308.8999999999978</v>
      </c>
      <c r="I8" s="6">
        <f>'Hollis'!CC28</f>
        <v>420.0</v>
      </c>
      <c r="J8" s="6">
        <f>'Hollis'!CD28</f>
        <v>1780.5999999999913</v>
      </c>
      <c r="K8" s="6">
        <f>'Hollis'!CE28</f>
        <v>6847.300000000003</v>
      </c>
    </row>
    <row r="10">
      <c r="B10" s="2" t="inlineStr">
        <is>
          <t>Gross Margin</t>
        </is>
      </c>
      <c r="C10" s="6">
        <f>'Hollis'!BU29</f>
        <v>242.0</v>
      </c>
      <c r="D10" s="6">
        <f>'Hollis'!BV29</f>
        <v>207.49999999999636</v>
      </c>
      <c r="E10" s="6">
        <f>'Hollis'!BW29</f>
        <v>1309.9999999999964</v>
      </c>
      <c r="F10" s="6">
        <f>'Hollis'!BY29</f>
        <v>6.0</v>
      </c>
      <c r="G10" s="6">
        <f>'Hollis'!BZ29</f>
        <v>50.00000000000091</v>
      </c>
      <c r="H10" s="6">
        <f>'Hollis'!CA29</f>
        <v>357.90000000000055</v>
      </c>
      <c r="I10" s="6">
        <f>'Hollis'!CC29</f>
        <v>248.0</v>
      </c>
      <c r="J10" s="6">
        <f>'Hollis'!CD29</f>
        <v>257.4999999999927</v>
      </c>
      <c r="K10" s="6">
        <f>'Hollis'!CE29</f>
        <v>1667.8999999999942</v>
      </c>
    </row>
    <row r="12">
      <c r="B12" s="2" t="inlineStr">
        <is>
          <t>Op Costs</t>
        </is>
      </c>
      <c r="C12" s="6">
        <f>'Hollis'!BU30</f>
        <v>39.0</v>
      </c>
      <c r="D12" s="6">
        <f>'Hollis'!BV30</f>
        <v>215.70000000000073</v>
      </c>
      <c r="E12" s="6">
        <f>'Hollis'!BW30</f>
        <v>-267.1999999999989</v>
      </c>
      <c r="F12" s="6">
        <f>'Hollis'!BY30</f>
        <v>507.0</v>
      </c>
      <c r="G12" s="6">
        <f>'Hollis'!BZ30</f>
        <v>635.2999999999993</v>
      </c>
      <c r="H12" s="6">
        <f>'Hollis'!CA30</f>
        <v>463.59999999999945</v>
      </c>
      <c r="I12" s="6">
        <f>'Hollis'!CC30</f>
        <v>546.0</v>
      </c>
      <c r="J12" s="6">
        <f>'Hollis'!CD30</f>
        <v>851.0</v>
      </c>
      <c r="K12" s="6">
        <f>'Hollis'!CE30</f>
        <v>196.39999999999782</v>
      </c>
    </row>
    <row r="14">
      <c r="B14" s="2" t="inlineStr">
        <is>
          <t>PBITA</t>
        </is>
      </c>
      <c r="C14" s="6">
        <f>'Hollis'!BU31</f>
        <v>281.0</v>
      </c>
      <c r="D14" s="6">
        <f>'Hollis'!BV31</f>
        <v>423.1999999999998</v>
      </c>
      <c r="E14" s="6">
        <f>'Hollis'!BW31</f>
        <v>1042.8000000000002</v>
      </c>
      <c r="F14" s="6">
        <f>'Hollis'!BY31</f>
        <v>513.0</v>
      </c>
      <c r="G14" s="6">
        <f>'Hollis'!BZ31</f>
        <v>685.3000000000002</v>
      </c>
      <c r="H14" s="6">
        <f>'Hollis'!CA31</f>
        <v>821.5</v>
      </c>
      <c r="I14" s="6">
        <f>'Hollis'!CC31</f>
        <v>794.0</v>
      </c>
      <c r="J14" s="6">
        <f>'Hollis'!CD31</f>
        <v>1108.5</v>
      </c>
      <c r="K14" s="6">
        <f>'Hollis'!CE31</f>
        <v>1864.2999999999993</v>
      </c>
    </row>
    <row r="17">
      <c r="B17" s="8" t="inlineStr">
        <is>
          <t>Commentary (business controller):</t>
        </is>
      </c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8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4" t="inlineStr">
        <is>
          <t>January</t>
        </is>
      </c>
      <c r="D4" s="4" t="inlineStr">
        <is>
          <t>February</t>
        </is>
      </c>
      <c r="E4" s="4" t="inlineStr">
        <is>
          <t>March</t>
        </is>
      </c>
      <c r="F4" s="4" t="inlineStr">
        <is>
          <t>April</t>
        </is>
      </c>
      <c r="G4" s="4" t="inlineStr">
        <is>
          <t>May</t>
        </is>
      </c>
      <c r="H4" s="4" t="inlineStr">
        <is>
          <t>June</t>
        </is>
      </c>
      <c r="I4" s="4" t="inlineStr">
        <is>
          <t>July</t>
        </is>
      </c>
      <c r="J4" s="4" t="inlineStr">
        <is>
          <t>August</t>
        </is>
      </c>
      <c r="K4" s="4" t="inlineStr">
        <is>
          <t>September</t>
        </is>
      </c>
      <c r="L4" s="4" t="inlineStr">
        <is>
          <t>October</t>
        </is>
      </c>
      <c r="M4" s="4" t="inlineStr">
        <is>
          <t>November</t>
        </is>
      </c>
      <c r="N4" s="4" t="inlineStr">
        <is>
          <t>December</t>
        </is>
      </c>
      <c r="O4" s="4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Dropship order timing - pulled forward from Q4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1" t="n">
        <v>1700</v>
      </c>
      <c r="L6" s="21" t="n">
        <v>-1000</v>
      </c>
      <c r="M6" s="21" t="n">
        <v>-700</v>
      </c>
      <c r="N6" s="21" t="n">
        <v>0</v>
      </c>
      <c r="O6" s="6">
        <f>SUM(C6:N6)</f>
        <v>0.0</v>
      </c>
    </row>
    <row r="7">
      <c r="B7" t="inlineStr">
        <is>
          <t>Year-end customer pull-forward - rainwear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21" t="n">
        <v>0</v>
      </c>
      <c r="L7" s="21" t="n">
        <v>0</v>
      </c>
      <c r="M7" s="21" t="n">
        <v>300</v>
      </c>
      <c r="N7" s="21" t="n">
        <v>300</v>
      </c>
      <c r="O7" s="6">
        <f>SUM(C7:N7)</f>
        <v>600.0</v>
      </c>
    </row>
    <row r="8">
      <c r="B8" t="inlineStr">
        <is>
          <t>Insert Adj. 3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6">
        <f>SUM(C8:N8)</f>
        <v>0.0</v>
      </c>
    </row>
    <row r="9">
      <c r="B9" t="inlineStr">
        <is>
          <t>Insert Adj. 4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6">
        <f>SUM(C9:N9)</f>
        <v>0.0</v>
      </c>
    </row>
    <row r="10">
      <c r="B10" t="inlineStr">
        <is>
          <t>Insert Adj. 5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6">
        <f>SUM(C10:N10)</f>
        <v>0.0</v>
      </c>
    </row>
    <row r="11">
      <c r="B11" t="inlineStr">
        <is>
          <t>Insert Adj. 6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6">
        <f>SUM(C11:N11)</f>
        <v>0.0</v>
      </c>
    </row>
    <row r="12">
      <c r="B12" t="inlineStr">
        <is>
          <t>Insert Adj. 7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6">
        <f>SUM(C12:N12)</f>
        <v>0.0</v>
      </c>
    </row>
    <row r="13">
      <c r="B13" t="inlineStr">
        <is>
          <t>Insert Adj. 8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6">
        <f>SUM(C13:N13)</f>
        <v>0.0</v>
      </c>
    </row>
    <row r="14">
      <c r="B14" s="2" t="inlineStr">
        <is>
          <t>Total Sales</t>
        </is>
      </c>
      <c r="C14" s="9">
        <f>SUM(C6:C13)</f>
        <v>0.0</v>
      </c>
      <c r="D14" s="9">
        <f>SUM(D6:D13)</f>
        <v>0.0</v>
      </c>
      <c r="E14" s="9">
        <f>SUM(E6:E13)</f>
        <v>0.0</v>
      </c>
      <c r="F14" s="9">
        <f>SUM(F6:F13)</f>
        <v>0.0</v>
      </c>
      <c r="G14" s="9">
        <f>SUM(G6:G13)</f>
        <v>0.0</v>
      </c>
      <c r="H14" s="9">
        <f>SUM(H6:H13)</f>
        <v>0.0</v>
      </c>
      <c r="I14" s="9">
        <f>SUM(I6:I13)</f>
        <v>0.0</v>
      </c>
      <c r="J14" s="9">
        <f>SUM(J6:J13)</f>
        <v>0.0</v>
      </c>
      <c r="K14" s="9">
        <f>SUM(K6:K13)</f>
        <v>1700.0</v>
      </c>
      <c r="L14" s="9">
        <f>SUM(L6:L13)</f>
        <v>-1000.0</v>
      </c>
      <c r="M14" s="9">
        <f>SUM(M6:M13)</f>
        <v>-400.0</v>
      </c>
      <c r="N14" s="9">
        <f>SUM(N6:N13)</f>
        <v>300.0</v>
      </c>
      <c r="O14" s="9">
        <f>SUM(O6:O13)</f>
        <v>600.0</v>
      </c>
    </row>
    <row r="16">
      <c r="B16" s="2" t="inlineStr">
        <is>
          <t>Gross Margin (%)</t>
        </is>
      </c>
    </row>
    <row r="17">
      <c r="B17" t="str">
        <f>B6</f>
        <v>Dropship order timing - pulled forward from Q4</v>
      </c>
      <c r="C17" s="12">
        <f>IFERROR(C28/C6,0)</f>
        <v>0.0</v>
      </c>
      <c r="D17" s="12">
        <f>IFERROR(D28/D6,0)</f>
        <v>0.0</v>
      </c>
      <c r="E17" s="12">
        <f>IFERROR(E28/E6,0)</f>
        <v>0.0</v>
      </c>
      <c r="F17" s="12">
        <f>IFERROR(F28/F6,0)</f>
        <v>0.0</v>
      </c>
      <c r="G17" s="12">
        <f>IFERROR(G28/G6,0)</f>
        <v>0.0</v>
      </c>
      <c r="H17" s="12">
        <f>IFERROR(H28/H6,0)</f>
        <v>0.0</v>
      </c>
      <c r="I17" s="12">
        <f>IFERROR(I28/I6,0)</f>
        <v>0.0</v>
      </c>
      <c r="J17" s="12">
        <f>IFERROR(J28/J6,0)</f>
        <v>0.0</v>
      </c>
      <c r="K17" s="12">
        <f>IFERROR(K28/K6,0)</f>
        <v>0.15</v>
      </c>
      <c r="L17" s="12">
        <f>IFERROR(L28/L6,0)</f>
        <v>0.15</v>
      </c>
      <c r="M17" s="12">
        <f>IFERROR(M28/M6,0)</f>
        <v>0.15</v>
      </c>
      <c r="N17" s="12">
        <f>IFERROR(N28/N6,0)</f>
        <v>0.0</v>
      </c>
      <c r="O17" s="12">
        <f>IFERROR(O28/O6,0)</f>
        <v>0.0</v>
      </c>
    </row>
    <row r="18">
      <c r="B18" t="str">
        <f>B7</f>
        <v>Year-end customer pull-forward - rainwear</v>
      </c>
      <c r="C18" s="12">
        <f>IFERROR(C29/C7,0)</f>
        <v>0.0</v>
      </c>
      <c r="D18" s="12">
        <f>IFERROR(D29/D7,0)</f>
        <v>0.0</v>
      </c>
      <c r="E18" s="12">
        <f>IFERROR(E29/E7,0)</f>
        <v>0.0</v>
      </c>
      <c r="F18" s="12">
        <f>IFERROR(F29/F7,0)</f>
        <v>0.0</v>
      </c>
      <c r="G18" s="12">
        <f>IFERROR(G29/G7,0)</f>
        <v>0.0</v>
      </c>
      <c r="H18" s="12">
        <f>IFERROR(H29/H7,0)</f>
        <v>0.0</v>
      </c>
      <c r="I18" s="12">
        <f>IFERROR(I29/I7,0)</f>
        <v>0.0</v>
      </c>
      <c r="J18" s="12">
        <f>IFERROR(J29/J7,0)</f>
        <v>0.0</v>
      </c>
      <c r="K18" s="12">
        <f>IFERROR(K29/K7,0)</f>
        <v>0.0</v>
      </c>
      <c r="L18" s="12">
        <f>IFERROR(L29/L7,0)</f>
        <v>0.0</v>
      </c>
      <c r="M18" s="12">
        <f>IFERROR(M29/M7,0)</f>
        <v>0.3</v>
      </c>
      <c r="N18" s="12">
        <f>IFERROR(N29/N7,0)</f>
        <v>0.7</v>
      </c>
      <c r="O18" s="12">
        <f>IFERROR(O29/O7,0)</f>
        <v>0.5</v>
      </c>
    </row>
    <row r="19">
      <c r="B19" t="str">
        <f>B8</f>
        <v>Insert Adj. 3</v>
      </c>
      <c r="C19" s="12">
        <f>IFERROR(C30/C8,0)</f>
        <v>0.0</v>
      </c>
      <c r="D19" s="12">
        <f>IFERROR(D30/D8,0)</f>
        <v>0.0</v>
      </c>
      <c r="E19" s="12">
        <f>IFERROR(E30/E8,0)</f>
        <v>0.0</v>
      </c>
      <c r="F19" s="12">
        <f>IFERROR(F30/F8,0)</f>
        <v>0.0</v>
      </c>
      <c r="G19" s="12">
        <f>IFERROR(G30/G8,0)</f>
        <v>0.0</v>
      </c>
      <c r="H19" s="12">
        <f>IFERROR(H30/H8,0)</f>
        <v>0.0</v>
      </c>
      <c r="I19" s="12">
        <f>IFERROR(I30/I8,0)</f>
        <v>0.0</v>
      </c>
      <c r="J19" s="12">
        <f>IFERROR(J30/J8,0)</f>
        <v>0.0</v>
      </c>
      <c r="K19" s="12">
        <f>IFERROR(K30/K8,0)</f>
        <v>0.0</v>
      </c>
      <c r="L19" s="12">
        <f>IFERROR(L30/L8,0)</f>
        <v>0.0</v>
      </c>
      <c r="M19" s="12">
        <f>IFERROR(M30/M8,0)</f>
        <v>0.0</v>
      </c>
      <c r="N19" s="12">
        <f>IFERROR(N30/N8,0)</f>
        <v>0.0</v>
      </c>
      <c r="O19" s="12">
        <f>IFERROR(O30/O8,0)</f>
        <v>0.0</v>
      </c>
    </row>
    <row r="20">
      <c r="B20" t="str">
        <f>B9</f>
        <v>Insert Adj. 4</v>
      </c>
      <c r="C20" s="12">
        <f>IFERROR(C31/C9,0)</f>
        <v>0.0</v>
      </c>
      <c r="D20" s="12">
        <f>IFERROR(D31/D9,0)</f>
        <v>0.0</v>
      </c>
      <c r="E20" s="12">
        <f>IFERROR(E31/E9,0)</f>
        <v>0.0</v>
      </c>
      <c r="F20" s="12">
        <f>IFERROR(F31/F9,0)</f>
        <v>0.0</v>
      </c>
      <c r="G20" s="12">
        <f>IFERROR(G31/G9,0)</f>
        <v>0.0</v>
      </c>
      <c r="H20" s="12">
        <f>IFERROR(H31/H9,0)</f>
        <v>0.0</v>
      </c>
      <c r="I20" s="12">
        <f>IFERROR(I31/I9,0)</f>
        <v>0.0</v>
      </c>
      <c r="J20" s="12">
        <f>IFERROR(J31/J9,0)</f>
        <v>0.0</v>
      </c>
      <c r="K20" s="12">
        <f>IFERROR(K31/K9,0)</f>
        <v>0.0</v>
      </c>
      <c r="L20" s="12">
        <f>IFERROR(L31/L9,0)</f>
        <v>0.0</v>
      </c>
      <c r="M20" s="12">
        <f>IFERROR(M31/M9,0)</f>
        <v>0.0</v>
      </c>
      <c r="N20" s="12">
        <f>IFERROR(N31/N9,0)</f>
        <v>0.0</v>
      </c>
      <c r="O20" s="12">
        <f>IFERROR(O31/O9,0)</f>
        <v>0.0</v>
      </c>
    </row>
    <row r="21">
      <c r="B21" t="str">
        <f>B10</f>
        <v>Insert Adj. 5</v>
      </c>
      <c r="C21" s="12">
        <f>IFERROR(C32/C10,0)</f>
        <v>0.0</v>
      </c>
      <c r="D21" s="12">
        <f>IFERROR(D32/D10,0)</f>
        <v>0.0</v>
      </c>
      <c r="E21" s="12">
        <f>IFERROR(E32/E10,0)</f>
        <v>0.0</v>
      </c>
      <c r="F21" s="12">
        <f>IFERROR(F32/F10,0)</f>
        <v>0.0</v>
      </c>
      <c r="G21" s="12">
        <f>IFERROR(G32/G10,0)</f>
        <v>0.0</v>
      </c>
      <c r="H21" s="12">
        <f>IFERROR(H32/H10,0)</f>
        <v>0.0</v>
      </c>
      <c r="I21" s="12">
        <f>IFERROR(I32/I10,0)</f>
        <v>0.0</v>
      </c>
      <c r="J21" s="12">
        <f>IFERROR(J32/J10,0)</f>
        <v>0.0</v>
      </c>
      <c r="K21" s="12">
        <f>IFERROR(K32/K10,0)</f>
        <v>0.0</v>
      </c>
      <c r="L21" s="12">
        <f>IFERROR(L32/L10,0)</f>
        <v>0.0</v>
      </c>
      <c r="M21" s="12">
        <f>IFERROR(M32/M10,0)</f>
        <v>0.0</v>
      </c>
      <c r="N21" s="12">
        <f>IFERROR(N32/N10,0)</f>
        <v>0.0</v>
      </c>
      <c r="O21" s="12">
        <f>IFERROR(O32/O10,0)</f>
        <v>0.0</v>
      </c>
    </row>
    <row r="22">
      <c r="B22" t="str">
        <f>B11</f>
        <v>Insert Adj. 6</v>
      </c>
      <c r="C22" s="12">
        <f>IFERROR(C33/C11,0)</f>
        <v>0.0</v>
      </c>
      <c r="D22" s="12">
        <f>IFERROR(D33/D11,0)</f>
        <v>0.0</v>
      </c>
      <c r="E22" s="12">
        <f>IFERROR(E33/E11,0)</f>
        <v>0.0</v>
      </c>
      <c r="F22" s="12">
        <f>IFERROR(F33/F11,0)</f>
        <v>0.0</v>
      </c>
      <c r="G22" s="12">
        <f>IFERROR(G33/G11,0)</f>
        <v>0.0</v>
      </c>
      <c r="H22" s="12">
        <f>IFERROR(H33/H11,0)</f>
        <v>0.0</v>
      </c>
      <c r="I22" s="12">
        <f>IFERROR(I33/I11,0)</f>
        <v>0.0</v>
      </c>
      <c r="J22" s="12">
        <f>IFERROR(J33/J11,0)</f>
        <v>0.0</v>
      </c>
      <c r="K22" s="12">
        <f>IFERROR(K33/K11,0)</f>
        <v>0.0</v>
      </c>
      <c r="L22" s="12">
        <f>IFERROR(L33/L11,0)</f>
        <v>0.0</v>
      </c>
      <c r="M22" s="12">
        <f>IFERROR(M33/M11,0)</f>
        <v>0.0</v>
      </c>
      <c r="N22" s="12">
        <f>IFERROR(N33/N11,0)</f>
        <v>0.0</v>
      </c>
      <c r="O22" s="12">
        <f>IFERROR(O33/O11,0)</f>
        <v>0.0</v>
      </c>
    </row>
    <row r="23">
      <c r="B23" t="str">
        <f>B12</f>
        <v>Insert Adj. 7</v>
      </c>
      <c r="C23" s="12">
        <f>IFERROR(C34/C12,0)</f>
        <v>0.0</v>
      </c>
      <c r="D23" s="12">
        <f>IFERROR(D34/D12,0)</f>
        <v>0.0</v>
      </c>
      <c r="E23" s="12">
        <f>IFERROR(E34/E12,0)</f>
        <v>0.0</v>
      </c>
      <c r="F23" s="12">
        <f>IFERROR(F34/F12,0)</f>
        <v>0.0</v>
      </c>
      <c r="G23" s="12">
        <f>IFERROR(G34/G12,0)</f>
        <v>0.0</v>
      </c>
      <c r="H23" s="12">
        <f>IFERROR(H34/H12,0)</f>
        <v>0.0</v>
      </c>
      <c r="I23" s="12">
        <f>IFERROR(I34/I12,0)</f>
        <v>0.0</v>
      </c>
      <c r="J23" s="12">
        <f>IFERROR(J34/J12,0)</f>
        <v>0.0</v>
      </c>
      <c r="K23" s="12">
        <f>IFERROR(K34/K12,0)</f>
        <v>0.0</v>
      </c>
      <c r="L23" s="12">
        <f>IFERROR(L34/L12,0)</f>
        <v>0.0</v>
      </c>
      <c r="M23" s="12">
        <f>IFERROR(M34/M12,0)</f>
        <v>0.0</v>
      </c>
      <c r="N23" s="12">
        <f>IFERROR(N34/N12,0)</f>
        <v>0.0</v>
      </c>
      <c r="O23" s="12">
        <f>IFERROR(O34/O12,0)</f>
        <v>0.0</v>
      </c>
    </row>
    <row r="24">
      <c r="B24" t="str">
        <f>B13</f>
        <v>Insert Adj. 8</v>
      </c>
      <c r="C24" s="12">
        <f>IFERROR(C35/C13,0)</f>
        <v>0.0</v>
      </c>
      <c r="D24" s="12">
        <f>IFERROR(D35/D13,0)</f>
        <v>0.0</v>
      </c>
      <c r="E24" s="12">
        <f>IFERROR(E35/E13,0)</f>
        <v>0.0</v>
      </c>
      <c r="F24" s="12">
        <f>IFERROR(F35/F13,0)</f>
        <v>0.0</v>
      </c>
      <c r="G24" s="12">
        <f>IFERROR(G35/G13,0)</f>
        <v>0.0</v>
      </c>
      <c r="H24" s="12">
        <f>IFERROR(H35/H13,0)</f>
        <v>0.0</v>
      </c>
      <c r="I24" s="12">
        <f>IFERROR(I35/I13,0)</f>
        <v>0.0</v>
      </c>
      <c r="J24" s="12">
        <f>IFERROR(J35/J13,0)</f>
        <v>0.0</v>
      </c>
      <c r="K24" s="12">
        <f>IFERROR(K35/K13,0)</f>
        <v>0.0</v>
      </c>
      <c r="L24" s="12">
        <f>IFERROR(L35/L13,0)</f>
        <v>0.0</v>
      </c>
      <c r="M24" s="12">
        <f>IFERROR(M35/M13,0)</f>
        <v>0.0</v>
      </c>
      <c r="N24" s="12">
        <f>IFERROR(N35/N13,0)</f>
        <v>0.0</v>
      </c>
      <c r="O24" s="12">
        <f>IFERROR(O35/O13,0)</f>
        <v>0.0</v>
      </c>
    </row>
    <row r="25">
      <c r="B25" s="2" t="inlineStr">
        <is>
          <t>Total Gross Margin (%)</t>
        </is>
      </c>
      <c r="C25" s="15">
        <f>IFERROR(C36/C14,0)</f>
        <v>0.0</v>
      </c>
      <c r="D25" s="15">
        <f>IFERROR(D36/D14,0)</f>
        <v>0.0</v>
      </c>
      <c r="E25" s="15">
        <f>IFERROR(E36/E14,0)</f>
        <v>0.0</v>
      </c>
      <c r="F25" s="15">
        <f>IFERROR(F36/F14,0)</f>
        <v>0.0</v>
      </c>
      <c r="G25" s="15">
        <f>IFERROR(G36/G14,0)</f>
        <v>0.0</v>
      </c>
      <c r="H25" s="15">
        <f>IFERROR(H36/H14,0)</f>
        <v>0.0</v>
      </c>
      <c r="I25" s="15">
        <f>IFERROR(I36/I14,0)</f>
        <v>0.0</v>
      </c>
      <c r="J25" s="15">
        <f>IFERROR(J36/J14,0)</f>
        <v>0.0</v>
      </c>
      <c r="K25" s="15">
        <f>IFERROR(K36/K14,0)</f>
        <v>0.15</v>
      </c>
      <c r="L25" s="15">
        <f>IFERROR(L36/L14,0)</f>
        <v>0.15</v>
      </c>
      <c r="M25" s="15">
        <f>IFERROR(M36/M14,0)</f>
        <v>0.0375</v>
      </c>
      <c r="N25" s="15">
        <f>IFERROR(N36/N14,0)</f>
        <v>0.7</v>
      </c>
      <c r="O25" s="15">
        <f>IFERROR(O36/O14,0)</f>
        <v>0.5</v>
      </c>
    </row>
    <row r="27">
      <c r="B27" s="2" t="inlineStr">
        <is>
          <t>Gross Margin ($)</t>
        </is>
      </c>
    </row>
    <row r="28">
      <c r="B28" t="inlineStr">
        <is>
          <t>Dropship order timing (c.15% GM)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21" t="n">
        <v>255</v>
      </c>
      <c r="L28" s="21" t="n">
        <v>-150</v>
      </c>
      <c r="M28" s="21" t="n">
        <v>-105</v>
      </c>
      <c r="N28" s="21" t="n">
        <v>0</v>
      </c>
      <c r="O28" s="6">
        <f>SUM(C28:N28)</f>
        <v>0.0</v>
      </c>
    </row>
    <row r="29">
      <c r="B29" t="inlineStr">
        <is>
          <t>Year-end pull-forward and slow-moving reserve release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21" t="n">
        <v>0</v>
      </c>
      <c r="L29" s="21" t="n">
        <v>0</v>
      </c>
      <c r="M29" s="21" t="n">
        <v>90</v>
      </c>
      <c r="N29" s="21" t="n">
        <v>210</v>
      </c>
      <c r="O29" s="6">
        <f>SUM(C29:N29)</f>
        <v>300.0</v>
      </c>
    </row>
    <row r="30">
      <c r="B30" t="inlineStr">
        <is>
          <t>Insert Adj. 3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6">
        <f>SUM(C30:N30)</f>
        <v>0.0</v>
      </c>
    </row>
    <row r="31">
      <c r="B31" t="inlineStr">
        <is>
          <t>Insert Adj. 4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6">
        <f>SUM(C31:N31)</f>
        <v>0.0</v>
      </c>
    </row>
    <row r="32">
      <c r="B32" t="inlineStr">
        <is>
          <t>Insert Adj. 5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6">
        <f>SUM(C32:N32)</f>
        <v>0.0</v>
      </c>
    </row>
    <row r="33">
      <c r="B33" t="inlineStr">
        <is>
          <t>Insert Adj. 6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6">
        <f>SUM(C33:N33)</f>
        <v>0.0</v>
      </c>
    </row>
    <row r="34">
      <c r="B34" t="inlineStr">
        <is>
          <t>Insert Adj. 7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6">
        <f>SUM(C34:N34)</f>
        <v>0.0</v>
      </c>
    </row>
    <row r="35">
      <c r="B35" t="inlineStr">
        <is>
          <t>Insert Adj. 8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6">
        <f>SUM(C35:N35)</f>
        <v>0.0</v>
      </c>
    </row>
    <row r="36">
      <c r="B36" s="2" t="inlineStr">
        <is>
          <t>Total Gross Margin ($)</t>
        </is>
      </c>
      <c r="C36" s="9">
        <f>SUM(C28:C35)</f>
        <v>0.0</v>
      </c>
      <c r="D36" s="9">
        <f>SUM(D28:D35)</f>
        <v>0.0</v>
      </c>
      <c r="E36" s="9">
        <f>SUM(E28:E35)</f>
        <v>0.0</v>
      </c>
      <c r="F36" s="9">
        <f>SUM(F28:F35)</f>
        <v>0.0</v>
      </c>
      <c r="G36" s="9">
        <f>SUM(G28:G35)</f>
        <v>0.0</v>
      </c>
      <c r="H36" s="9">
        <f>SUM(H28:H35)</f>
        <v>0.0</v>
      </c>
      <c r="I36" s="9">
        <f>SUM(I28:I35)</f>
        <v>0.0</v>
      </c>
      <c r="J36" s="9">
        <f>SUM(J28:J35)</f>
        <v>0.0</v>
      </c>
      <c r="K36" s="9">
        <f>SUM(K28:K35)</f>
        <v>255.0</v>
      </c>
      <c r="L36" s="9">
        <f>SUM(L28:L35)</f>
        <v>-150.0</v>
      </c>
      <c r="M36" s="9">
        <f>SUM(M28:M35)</f>
        <v>-15.0</v>
      </c>
      <c r="N36" s="9">
        <f>SUM(N28:N35)</f>
        <v>210.0</v>
      </c>
      <c r="O36" s="9">
        <f>SUM(O28:O35)</f>
        <v>300.0</v>
      </c>
    </row>
    <row r="38">
      <c r="B38" s="2" t="inlineStr">
        <is>
          <t>Op Costs (%)</t>
        </is>
      </c>
    </row>
    <row r="39">
      <c r="B39" t="str">
        <f>B6</f>
        <v>Dropship order timing - pulled forward from Q4</v>
      </c>
      <c r="C39" s="12">
        <f>IFERROR(C50/C6,0)</f>
        <v>0.0</v>
      </c>
      <c r="D39" s="12">
        <f>IFERROR(D50/D6,0)</f>
        <v>0.0</v>
      </c>
      <c r="E39" s="12">
        <f>IFERROR(E50/E6,0)</f>
        <v>0.0</v>
      </c>
      <c r="F39" s="12">
        <f>IFERROR(F50/F6,0)</f>
        <v>0.0</v>
      </c>
      <c r="G39" s="12">
        <f>IFERROR(G50/G6,0)</f>
        <v>0.0</v>
      </c>
      <c r="H39" s="12">
        <f>IFERROR(H50/H6,0)</f>
        <v>0.0</v>
      </c>
      <c r="I39" s="12">
        <f>IFERROR(I50/I6,0)</f>
        <v>0.0</v>
      </c>
      <c r="J39" s="12">
        <f>IFERROR(J50/J6,0)</f>
        <v>0.0</v>
      </c>
      <c r="K39" s="12">
        <f>IFERROR(K50/K6,0)</f>
        <v>-0.10588235294117647</v>
      </c>
      <c r="L39" s="12">
        <f>IFERROR(L50/L6,0)</f>
        <v>0.18</v>
      </c>
      <c r="M39" s="12">
        <f>IFERROR(M50/M6,0)</f>
        <v>0.2571428571428571</v>
      </c>
      <c r="N39" s="12">
        <f>IFERROR(N50/N6,0)</f>
        <v>0.0</v>
      </c>
      <c r="O39" s="12">
        <f>IFERROR(O50/O6,0)</f>
        <v>0.0</v>
      </c>
    </row>
    <row r="40">
      <c r="B40" t="str">
        <f>B7</f>
        <v>Year-end customer pull-forward - rainwear</v>
      </c>
      <c r="C40" s="12">
        <f>IFERROR(C51/C7,0)</f>
        <v>0.0</v>
      </c>
      <c r="D40" s="12">
        <f>IFERROR(D51/D7,0)</f>
        <v>0.0</v>
      </c>
      <c r="E40" s="12">
        <f>IFERROR(E51/E7,0)</f>
        <v>0.0</v>
      </c>
      <c r="F40" s="12">
        <f>IFERROR(F51/F7,0)</f>
        <v>0.0</v>
      </c>
      <c r="G40" s="12">
        <f>IFERROR(G51/G7,0)</f>
        <v>0.0</v>
      </c>
      <c r="H40" s="12">
        <f>IFERROR(H51/H7,0)</f>
        <v>0.0</v>
      </c>
      <c r="I40" s="12">
        <f>IFERROR(I51/I7,0)</f>
        <v>0.0</v>
      </c>
      <c r="J40" s="12">
        <f>IFERROR(J51/J7,0)</f>
        <v>0.0</v>
      </c>
      <c r="K40" s="12">
        <f>IFERROR(K51/K7,0)</f>
        <v>0.0</v>
      </c>
      <c r="L40" s="12">
        <f>IFERROR(L51/L7,0)</f>
        <v>0.0</v>
      </c>
      <c r="M40" s="12">
        <f>IFERROR(M51/M7,0)</f>
        <v>0.0</v>
      </c>
      <c r="N40" s="12">
        <f>IFERROR(N51/N7,0)</f>
        <v>0.0</v>
      </c>
      <c r="O40" s="12">
        <f>IFERROR(O51/O7,0)</f>
        <v>0.35</v>
      </c>
    </row>
    <row r="41">
      <c r="B41" t="str">
        <f>B8</f>
        <v>Insert Adj. 3</v>
      </c>
      <c r="C41" s="12">
        <f>IFERROR(C52/C8,0)</f>
        <v>0.0</v>
      </c>
      <c r="D41" s="12">
        <f>IFERROR(D52/D8,0)</f>
        <v>0.0</v>
      </c>
      <c r="E41" s="12">
        <f>IFERROR(E52/E8,0)</f>
        <v>0.0</v>
      </c>
      <c r="F41" s="12">
        <f>IFERROR(F52/F8,0)</f>
        <v>0.0</v>
      </c>
      <c r="G41" s="12">
        <f>IFERROR(G52/G8,0)</f>
        <v>0.0</v>
      </c>
      <c r="H41" s="12">
        <f>IFERROR(H52/H8,0)</f>
        <v>0.0</v>
      </c>
      <c r="I41" s="12">
        <f>IFERROR(I52/I8,0)</f>
        <v>0.0</v>
      </c>
      <c r="J41" s="12">
        <f>IFERROR(J52/J8,0)</f>
        <v>0.0</v>
      </c>
      <c r="K41" s="12">
        <f>IFERROR(K52/K8,0)</f>
        <v>0.0</v>
      </c>
      <c r="L41" s="12">
        <f>IFERROR(L52/L8,0)</f>
        <v>0.0</v>
      </c>
      <c r="M41" s="12">
        <f>IFERROR(M52/M8,0)</f>
        <v>0.0</v>
      </c>
      <c r="N41" s="12">
        <f>IFERROR(N52/N8,0)</f>
        <v>0.0</v>
      </c>
      <c r="O41" s="12">
        <f>IFERROR(O52/O8,0)</f>
        <v>0.0</v>
      </c>
    </row>
    <row r="42">
      <c r="B42" t="str">
        <f>B9</f>
        <v>Insert Adj. 4</v>
      </c>
      <c r="C42" s="12">
        <f>IFERROR(C53/C9,0)</f>
        <v>0.0</v>
      </c>
      <c r="D42" s="12">
        <f>IFERROR(D53/D9,0)</f>
        <v>0.0</v>
      </c>
      <c r="E42" s="12">
        <f>IFERROR(E53/E9,0)</f>
        <v>0.0</v>
      </c>
      <c r="F42" s="12">
        <f>IFERROR(F53/F9,0)</f>
        <v>0.0</v>
      </c>
      <c r="G42" s="12">
        <f>IFERROR(G53/G9,0)</f>
        <v>0.0</v>
      </c>
      <c r="H42" s="12">
        <f>IFERROR(H53/H9,0)</f>
        <v>0.0</v>
      </c>
      <c r="I42" s="12">
        <f>IFERROR(I53/I9,0)</f>
        <v>0.0</v>
      </c>
      <c r="J42" s="12">
        <f>IFERROR(J53/J9,0)</f>
        <v>0.0</v>
      </c>
      <c r="K42" s="12">
        <f>IFERROR(K53/K9,0)</f>
        <v>0.0</v>
      </c>
      <c r="L42" s="12">
        <f>IFERROR(L53/L9,0)</f>
        <v>0.0</v>
      </c>
      <c r="M42" s="12">
        <f>IFERROR(M53/M9,0)</f>
        <v>0.0</v>
      </c>
      <c r="N42" s="12">
        <f>IFERROR(N53/N9,0)</f>
        <v>0.0</v>
      </c>
      <c r="O42" s="12">
        <f>IFERROR(O53/O9,0)</f>
        <v>0.0</v>
      </c>
    </row>
    <row r="43">
      <c r="B43" t="str">
        <f>B10</f>
        <v>Insert Adj. 5</v>
      </c>
      <c r="C43" s="12">
        <f>IFERROR(C54/C10,0)</f>
        <v>0.0</v>
      </c>
      <c r="D43" s="12">
        <f>IFERROR(D54/D10,0)</f>
        <v>0.0</v>
      </c>
      <c r="E43" s="12">
        <f>IFERROR(E54/E10,0)</f>
        <v>0.0</v>
      </c>
      <c r="F43" s="12">
        <f>IFERROR(F54/F10,0)</f>
        <v>0.0</v>
      </c>
      <c r="G43" s="12">
        <f>IFERROR(G54/G10,0)</f>
        <v>0.0</v>
      </c>
      <c r="H43" s="12">
        <f>IFERROR(H54/H10,0)</f>
        <v>0.0</v>
      </c>
      <c r="I43" s="12">
        <f>IFERROR(I54/I10,0)</f>
        <v>0.0</v>
      </c>
      <c r="J43" s="12">
        <f>IFERROR(J54/J10,0)</f>
        <v>0.0</v>
      </c>
      <c r="K43" s="12">
        <f>IFERROR(K54/K10,0)</f>
        <v>0.0</v>
      </c>
      <c r="L43" s="12">
        <f>IFERROR(L54/L10,0)</f>
        <v>0.0</v>
      </c>
      <c r="M43" s="12">
        <f>IFERROR(M54/M10,0)</f>
        <v>0.0</v>
      </c>
      <c r="N43" s="12">
        <f>IFERROR(N54/N10,0)</f>
        <v>0.0</v>
      </c>
      <c r="O43" s="12">
        <f>IFERROR(O54/O10,0)</f>
        <v>0.0</v>
      </c>
    </row>
    <row r="44">
      <c r="B44" t="str">
        <f>B11</f>
        <v>Insert Adj. 6</v>
      </c>
      <c r="C44" s="12">
        <f>IFERROR(C55/C11,0)</f>
        <v>0.0</v>
      </c>
      <c r="D44" s="12">
        <f>IFERROR(D55/D11,0)</f>
        <v>0.0</v>
      </c>
      <c r="E44" s="12">
        <f>IFERROR(E55/E11,0)</f>
        <v>0.0</v>
      </c>
      <c r="F44" s="12">
        <f>IFERROR(F55/F11,0)</f>
        <v>0.0</v>
      </c>
      <c r="G44" s="12">
        <f>IFERROR(G55/G11,0)</f>
        <v>0.0</v>
      </c>
      <c r="H44" s="12">
        <f>IFERROR(H55/H11,0)</f>
        <v>0.0</v>
      </c>
      <c r="I44" s="12">
        <f>IFERROR(I55/I11,0)</f>
        <v>0.0</v>
      </c>
      <c r="J44" s="12">
        <f>IFERROR(J55/J11,0)</f>
        <v>0.0</v>
      </c>
      <c r="K44" s="12">
        <f>IFERROR(K55/K11,0)</f>
        <v>0.0</v>
      </c>
      <c r="L44" s="12">
        <f>IFERROR(L55/L11,0)</f>
        <v>0.0</v>
      </c>
      <c r="M44" s="12">
        <f>IFERROR(M55/M11,0)</f>
        <v>0.0</v>
      </c>
      <c r="N44" s="12">
        <f>IFERROR(N55/N11,0)</f>
        <v>0.0</v>
      </c>
      <c r="O44" s="12">
        <f>IFERROR(O55/O11,0)</f>
        <v>0.0</v>
      </c>
    </row>
    <row r="45">
      <c r="B45" t="str">
        <f>B12</f>
        <v>Insert Adj. 7</v>
      </c>
      <c r="C45" s="12">
        <f>IFERROR(C56/C12,0)</f>
        <v>0.0</v>
      </c>
      <c r="D45" s="12">
        <f>IFERROR(D56/D12,0)</f>
        <v>0.0</v>
      </c>
      <c r="E45" s="12">
        <f>IFERROR(E56/E12,0)</f>
        <v>0.0</v>
      </c>
      <c r="F45" s="12">
        <f>IFERROR(F56/F12,0)</f>
        <v>0.0</v>
      </c>
      <c r="G45" s="12">
        <f>IFERROR(G56/G12,0)</f>
        <v>0.0</v>
      </c>
      <c r="H45" s="12">
        <f>IFERROR(H56/H12,0)</f>
        <v>0.0</v>
      </c>
      <c r="I45" s="12">
        <f>IFERROR(I56/I12,0)</f>
        <v>0.0</v>
      </c>
      <c r="J45" s="12">
        <f>IFERROR(J56/J12,0)</f>
        <v>0.0</v>
      </c>
      <c r="K45" s="12">
        <f>IFERROR(K56/K12,0)</f>
        <v>0.0</v>
      </c>
      <c r="L45" s="12">
        <f>IFERROR(L56/L12,0)</f>
        <v>0.0</v>
      </c>
      <c r="M45" s="12">
        <f>IFERROR(M56/M12,0)</f>
        <v>0.0</v>
      </c>
      <c r="N45" s="12">
        <f>IFERROR(N56/N12,0)</f>
        <v>0.0</v>
      </c>
      <c r="O45" s="12">
        <f>IFERROR(O56/O12,0)</f>
        <v>0.0</v>
      </c>
    </row>
    <row r="46">
      <c r="B46" t="str">
        <f>B13</f>
        <v>Insert Adj. 8</v>
      </c>
      <c r="C46" s="12">
        <f>IFERROR(C57/C13,0)</f>
        <v>0.0</v>
      </c>
      <c r="D46" s="12">
        <f>IFERROR(D57/D13,0)</f>
        <v>0.0</v>
      </c>
      <c r="E46" s="12">
        <f>IFERROR(E57/E13,0)</f>
        <v>0.0</v>
      </c>
      <c r="F46" s="12">
        <f>IFERROR(F57/F13,0)</f>
        <v>0.0</v>
      </c>
      <c r="G46" s="12">
        <f>IFERROR(G57/G13,0)</f>
        <v>0.0</v>
      </c>
      <c r="H46" s="12">
        <f>IFERROR(H57/H13,0)</f>
        <v>0.0</v>
      </c>
      <c r="I46" s="12">
        <f>IFERROR(I57/I13,0)</f>
        <v>0.0</v>
      </c>
      <c r="J46" s="12">
        <f>IFERROR(J57/J13,0)</f>
        <v>0.0</v>
      </c>
      <c r="K46" s="12">
        <f>IFERROR(K57/K13,0)</f>
        <v>0.0</v>
      </c>
      <c r="L46" s="12">
        <f>IFERROR(L57/L13,0)</f>
        <v>0.0</v>
      </c>
      <c r="M46" s="12">
        <f>IFERROR(M57/M13,0)</f>
        <v>0.0</v>
      </c>
      <c r="N46" s="12">
        <f>IFERROR(N57/N13,0)</f>
        <v>0.0</v>
      </c>
      <c r="O46" s="12">
        <f>IFERROR(O57/O13,0)</f>
        <v>0.0</v>
      </c>
    </row>
    <row r="47">
      <c r="B47" s="2" t="inlineStr">
        <is>
          <t>Total Op Costs (%)</t>
        </is>
      </c>
      <c r="C47" s="15">
        <f>IFERROR(C58/C14,0)</f>
        <v>0.0</v>
      </c>
      <c r="D47" s="15">
        <f>IFERROR(D58/D14,0)</f>
        <v>0.0</v>
      </c>
      <c r="E47" s="15">
        <f>IFERROR(E58/E14,0)</f>
        <v>0.0</v>
      </c>
      <c r="F47" s="15">
        <f>IFERROR(F58/F14,0)</f>
        <v>0.0</v>
      </c>
      <c r="G47" s="15">
        <f>IFERROR(G58/G14,0)</f>
        <v>0.0</v>
      </c>
      <c r="H47" s="15">
        <f>IFERROR(H58/H14,0)</f>
        <v>0.0</v>
      </c>
      <c r="I47" s="15">
        <f>IFERROR(I58/I14,0)</f>
        <v>0.0</v>
      </c>
      <c r="J47" s="15">
        <f>IFERROR(J58/J14,0)</f>
        <v>0.0</v>
      </c>
      <c r="K47" s="15">
        <f>IFERROR(K58/K14,0)</f>
        <v>-0.01764705882352941</v>
      </c>
      <c r="L47" s="15">
        <f>IFERROR(L58/L14,0)</f>
        <v>0.12</v>
      </c>
      <c r="M47" s="15">
        <f>IFERROR(M58/M14,0)</f>
        <v>0.45</v>
      </c>
      <c r="N47" s="15">
        <f>IFERROR(N58/N14,0)</f>
        <v>-0.6</v>
      </c>
      <c r="O47" s="15">
        <f>IFERROR(O58/O14,0)</f>
        <v>-0.85</v>
      </c>
    </row>
    <row r="49">
      <c r="B49" s="2" t="inlineStr">
        <is>
          <t>Op Costs ($)</t>
        </is>
      </c>
    </row>
    <row r="50">
      <c r="B50" t="inlineStr">
        <is>
          <t>Restructuring plan savings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21" t="n">
        <v>-180</v>
      </c>
      <c r="L50" s="21" t="n">
        <v>-180</v>
      </c>
      <c r="M50" s="21" t="n">
        <v>-180</v>
      </c>
      <c r="N50" s="21" t="n">
        <v>-180</v>
      </c>
      <c r="O50" s="6">
        <f>SUM(C50:N50)</f>
        <v>-720.0</v>
      </c>
    </row>
    <row r="51">
      <c r="B51" t="inlineStr">
        <is>
          <t>Temp labor / OT - peak season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21" t="n">
        <v>150</v>
      </c>
      <c r="L51" s="21" t="n">
        <v>60</v>
      </c>
      <c r="M51" s="21" t="n">
        <v>0</v>
      </c>
      <c r="N51" s="21" t="n">
        <v>0</v>
      </c>
      <c r="O51" s="6">
        <f>SUM(C51:N51)</f>
        <v>210.0</v>
      </c>
    </row>
    <row r="52">
      <c r="B52" t="inlineStr">
        <is>
          <t>Insert Adj. 3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6">
        <f>SUM(C52:N52)</f>
        <v>0.0</v>
      </c>
    </row>
    <row r="53">
      <c r="B53" t="inlineStr">
        <is>
          <t>Insert Adj. 4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6">
        <f>SUM(C53:N53)</f>
        <v>0.0</v>
      </c>
    </row>
    <row r="54">
      <c r="B54" t="inlineStr">
        <is>
          <t>Insert Adj. 5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6">
        <f>SUM(C54:N54)</f>
        <v>0.0</v>
      </c>
    </row>
    <row r="55">
      <c r="B55" t="inlineStr">
        <is>
          <t>Insert Adj. 6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6">
        <f>SUM(C55:N55)</f>
        <v>0.0</v>
      </c>
    </row>
    <row r="56">
      <c r="B56" t="inlineStr">
        <is>
          <t>Insert Adj. 7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6">
        <f>SUM(C56:N56)</f>
        <v>0.0</v>
      </c>
    </row>
    <row r="57">
      <c r="B57" t="inlineStr">
        <is>
          <t>Insert Adj. 8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6">
        <f>SUM(C57:N57)</f>
        <v>0.0</v>
      </c>
    </row>
    <row r="58">
      <c r="B58" s="2" t="inlineStr">
        <is>
          <t>Total Op Costs ($)</t>
        </is>
      </c>
      <c r="C58" s="9">
        <f>SUM(C50:C57)</f>
        <v>0.0</v>
      </c>
      <c r="D58" s="9">
        <f>SUM(D50:D57)</f>
        <v>0.0</v>
      </c>
      <c r="E58" s="9">
        <f>SUM(E50:E57)</f>
        <v>0.0</v>
      </c>
      <c r="F58" s="9">
        <f>SUM(F50:F57)</f>
        <v>0.0</v>
      </c>
      <c r="G58" s="9">
        <f>SUM(G50:G57)</f>
        <v>0.0</v>
      </c>
      <c r="H58" s="9">
        <f>SUM(H50:H57)</f>
        <v>0.0</v>
      </c>
      <c r="I58" s="9">
        <f>SUM(I50:I57)</f>
        <v>0.0</v>
      </c>
      <c r="J58" s="9">
        <f>SUM(J50:J57)</f>
        <v>0.0</v>
      </c>
      <c r="K58" s="9">
        <f>SUM(K50:K57)</f>
        <v>-30.0</v>
      </c>
      <c r="L58" s="9">
        <f>SUM(L50:L57)</f>
        <v>-120.0</v>
      </c>
      <c r="M58" s="9">
        <f>SUM(M50:M57)</f>
        <v>-180.0</v>
      </c>
      <c r="N58" s="9">
        <f>SUM(N50:N57)</f>
        <v>-180.0</v>
      </c>
      <c r="O58" s="9">
        <f>SUM(O50:O57)</f>
        <v>-510.0</v>
      </c>
    </row>
    <row r="60">
      <c r="B60" s="2" t="inlineStr">
        <is>
          <t>PBITA</t>
        </is>
      </c>
    </row>
    <row r="61">
      <c r="B61" t="str">
        <f>B6</f>
        <v>Dropship order timing - pulled forward from Q4</v>
      </c>
      <c r="C61" s="6">
        <f>C28-C50</f>
        <v>0.0</v>
      </c>
      <c r="D61" s="6">
        <f>D28-D50</f>
        <v>0.0</v>
      </c>
      <c r="E61" s="6">
        <f>E28-E50</f>
        <v>0.0</v>
      </c>
      <c r="F61" s="6">
        <f>F28-F50</f>
        <v>0.0</v>
      </c>
      <c r="G61" s="6">
        <f>G28-G50</f>
        <v>0.0</v>
      </c>
      <c r="H61" s="6">
        <f>H28-H50</f>
        <v>0.0</v>
      </c>
      <c r="I61" s="6">
        <f>I28-I50</f>
        <v>0.0</v>
      </c>
      <c r="J61" s="6">
        <f>J28-J50</f>
        <v>0.0</v>
      </c>
      <c r="K61" s="6">
        <f>K28-K50</f>
        <v>435.0</v>
      </c>
      <c r="L61" s="6">
        <f>L28-L50</f>
        <v>30.0</v>
      </c>
      <c r="M61" s="6">
        <f>M28-M50</f>
        <v>75.0</v>
      </c>
      <c r="N61" s="6">
        <f>N28-N50</f>
        <v>180.0</v>
      </c>
      <c r="O61" s="6">
        <f>SUM(C61:N61)</f>
        <v>720.0</v>
      </c>
    </row>
    <row r="62">
      <c r="B62" t="str">
        <f>B7</f>
        <v>Year-end customer pull-forward - rainwear</v>
      </c>
      <c r="C62" s="6">
        <f>C29-C51</f>
        <v>0.0</v>
      </c>
      <c r="D62" s="6">
        <f>D29-D51</f>
        <v>0.0</v>
      </c>
      <c r="E62" s="6">
        <f>E29-E51</f>
        <v>0.0</v>
      </c>
      <c r="F62" s="6">
        <f>F29-F51</f>
        <v>0.0</v>
      </c>
      <c r="G62" s="6">
        <f>G29-G51</f>
        <v>0.0</v>
      </c>
      <c r="H62" s="6">
        <f>H29-H51</f>
        <v>0.0</v>
      </c>
      <c r="I62" s="6">
        <f>I29-I51</f>
        <v>0.0</v>
      </c>
      <c r="J62" s="6">
        <f>J29-J51</f>
        <v>0.0</v>
      </c>
      <c r="K62" s="6">
        <f>K29-K51</f>
        <v>-150.0</v>
      </c>
      <c r="L62" s="6">
        <f>L29-L51</f>
        <v>-60.0</v>
      </c>
      <c r="M62" s="6">
        <f>M29-M51</f>
        <v>90.0</v>
      </c>
      <c r="N62" s="6">
        <f>N29-N51</f>
        <v>210.0</v>
      </c>
      <c r="O62" s="6">
        <f>SUM(C62:N62)</f>
        <v>90.0</v>
      </c>
    </row>
    <row r="63">
      <c r="B63" t="str">
        <f>B8</f>
        <v>Insert Adj. 3</v>
      </c>
      <c r="C63" s="6">
        <f>C30-C52</f>
        <v>0.0</v>
      </c>
      <c r="D63" s="6">
        <f>D30-D52</f>
        <v>0.0</v>
      </c>
      <c r="E63" s="6">
        <f>E30-E52</f>
        <v>0.0</v>
      </c>
      <c r="F63" s="6">
        <f>F30-F52</f>
        <v>0.0</v>
      </c>
      <c r="G63" s="6">
        <f>G30-G52</f>
        <v>0.0</v>
      </c>
      <c r="H63" s="6">
        <f>H30-H52</f>
        <v>0.0</v>
      </c>
      <c r="I63" s="6">
        <f>I30-I52</f>
        <v>0.0</v>
      </c>
      <c r="J63" s="6">
        <f>J30-J52</f>
        <v>0.0</v>
      </c>
      <c r="K63" s="6">
        <f>K30-K52</f>
        <v>0.0</v>
      </c>
      <c r="L63" s="6">
        <f>L30-L52</f>
        <v>0.0</v>
      </c>
      <c r="M63" s="6">
        <f>M30-M52</f>
        <v>0.0</v>
      </c>
      <c r="N63" s="6">
        <f>N30-N52</f>
        <v>0.0</v>
      </c>
      <c r="O63" s="6">
        <f>SUM(C63:N63)</f>
        <v>0.0</v>
      </c>
    </row>
    <row r="64">
      <c r="B64" t="str">
        <f>B9</f>
        <v>Insert Adj. 4</v>
      </c>
      <c r="C64" s="6">
        <f>C31-C53</f>
        <v>0.0</v>
      </c>
      <c r="D64" s="6">
        <f>D31-D53</f>
        <v>0.0</v>
      </c>
      <c r="E64" s="6">
        <f>E31-E53</f>
        <v>0.0</v>
      </c>
      <c r="F64" s="6">
        <f>F31-F53</f>
        <v>0.0</v>
      </c>
      <c r="G64" s="6">
        <f>G31-G53</f>
        <v>0.0</v>
      </c>
      <c r="H64" s="6">
        <f>H31-H53</f>
        <v>0.0</v>
      </c>
      <c r="I64" s="6">
        <f>I31-I53</f>
        <v>0.0</v>
      </c>
      <c r="J64" s="6">
        <f>J31-J53</f>
        <v>0.0</v>
      </c>
      <c r="K64" s="6">
        <f>K31-K53</f>
        <v>0.0</v>
      </c>
      <c r="L64" s="6">
        <f>L31-L53</f>
        <v>0.0</v>
      </c>
      <c r="M64" s="6">
        <f>M31-M53</f>
        <v>0.0</v>
      </c>
      <c r="N64" s="6">
        <f>N31-N53</f>
        <v>0.0</v>
      </c>
      <c r="O64" s="6">
        <f>SUM(C64:N64)</f>
        <v>0.0</v>
      </c>
    </row>
    <row r="65">
      <c r="B65" t="str">
        <f>B10</f>
        <v>Insert Adj. 5</v>
      </c>
      <c r="C65" s="6">
        <f>C32-C54</f>
        <v>0.0</v>
      </c>
      <c r="D65" s="6">
        <f>D32-D54</f>
        <v>0.0</v>
      </c>
      <c r="E65" s="6">
        <f>E32-E54</f>
        <v>0.0</v>
      </c>
      <c r="F65" s="6">
        <f>F32-F54</f>
        <v>0.0</v>
      </c>
      <c r="G65" s="6">
        <f>G32-G54</f>
        <v>0.0</v>
      </c>
      <c r="H65" s="6">
        <f>H32-H54</f>
        <v>0.0</v>
      </c>
      <c r="I65" s="6">
        <f>I32-I54</f>
        <v>0.0</v>
      </c>
      <c r="J65" s="6">
        <f>J32-J54</f>
        <v>0.0</v>
      </c>
      <c r="K65" s="6">
        <f>K32-K54</f>
        <v>0.0</v>
      </c>
      <c r="L65" s="6">
        <f>L32-L54</f>
        <v>0.0</v>
      </c>
      <c r="M65" s="6">
        <f>M32-M54</f>
        <v>0.0</v>
      </c>
      <c r="N65" s="6">
        <f>N32-N54</f>
        <v>0.0</v>
      </c>
      <c r="O65" s="6">
        <f>SUM(C65:N65)</f>
        <v>0.0</v>
      </c>
    </row>
    <row r="66">
      <c r="B66" t="str">
        <f>B11</f>
        <v>Insert Adj. 6</v>
      </c>
      <c r="C66" s="6">
        <f>C33-C55</f>
        <v>0.0</v>
      </c>
      <c r="D66" s="6">
        <f>D33-D55</f>
        <v>0.0</v>
      </c>
      <c r="E66" s="6">
        <f>E33-E55</f>
        <v>0.0</v>
      </c>
      <c r="F66" s="6">
        <f>F33-F55</f>
        <v>0.0</v>
      </c>
      <c r="G66" s="6">
        <f>G33-G55</f>
        <v>0.0</v>
      </c>
      <c r="H66" s="6">
        <f>H33-H55</f>
        <v>0.0</v>
      </c>
      <c r="I66" s="6">
        <f>I33-I55</f>
        <v>0.0</v>
      </c>
      <c r="J66" s="6">
        <f>J33-J55</f>
        <v>0.0</v>
      </c>
      <c r="K66" s="6">
        <f>K33-K55</f>
        <v>0.0</v>
      </c>
      <c r="L66" s="6">
        <f>L33-L55</f>
        <v>0.0</v>
      </c>
      <c r="M66" s="6">
        <f>M33-M55</f>
        <v>0.0</v>
      </c>
      <c r="N66" s="6">
        <f>N33-N55</f>
        <v>0.0</v>
      </c>
      <c r="O66" s="6">
        <f>SUM(C66:N66)</f>
        <v>0.0</v>
      </c>
    </row>
    <row r="67">
      <c r="B67" t="str">
        <f>B12</f>
        <v>Insert Adj. 7</v>
      </c>
      <c r="C67" s="6">
        <f>C34-C56</f>
        <v>0.0</v>
      </c>
      <c r="D67" s="6">
        <f>D34-D56</f>
        <v>0.0</v>
      </c>
      <c r="E67" s="6">
        <f>E34-E56</f>
        <v>0.0</v>
      </c>
      <c r="F67" s="6">
        <f>F34-F56</f>
        <v>0.0</v>
      </c>
      <c r="G67" s="6">
        <f>G34-G56</f>
        <v>0.0</v>
      </c>
      <c r="H67" s="6">
        <f>H34-H56</f>
        <v>0.0</v>
      </c>
      <c r="I67" s="6">
        <f>I34-I56</f>
        <v>0.0</v>
      </c>
      <c r="J67" s="6">
        <f>J34-J56</f>
        <v>0.0</v>
      </c>
      <c r="K67" s="6">
        <f>K34-K56</f>
        <v>0.0</v>
      </c>
      <c r="L67" s="6">
        <f>L34-L56</f>
        <v>0.0</v>
      </c>
      <c r="M67" s="6">
        <f>M34-M56</f>
        <v>0.0</v>
      </c>
      <c r="N67" s="6">
        <f>N34-N56</f>
        <v>0.0</v>
      </c>
      <c r="O67" s="6">
        <f>SUM(C67:N67)</f>
        <v>0.0</v>
      </c>
    </row>
    <row r="68">
      <c r="B68" t="str">
        <f>B13</f>
        <v>Insert Adj. 8</v>
      </c>
      <c r="C68" s="6">
        <f>C35-C57</f>
        <v>0.0</v>
      </c>
      <c r="D68" s="6">
        <f>D35-D57</f>
        <v>0.0</v>
      </c>
      <c r="E68" s="6">
        <f>E35-E57</f>
        <v>0.0</v>
      </c>
      <c r="F68" s="6">
        <f>F35-F57</f>
        <v>0.0</v>
      </c>
      <c r="G68" s="6">
        <f>G35-G57</f>
        <v>0.0</v>
      </c>
      <c r="H68" s="6">
        <f>H35-H57</f>
        <v>0.0</v>
      </c>
      <c r="I68" s="6">
        <f>I35-I57</f>
        <v>0.0</v>
      </c>
      <c r="J68" s="6">
        <f>J35-J57</f>
        <v>0.0</v>
      </c>
      <c r="K68" s="6">
        <f>K35-K57</f>
        <v>0.0</v>
      </c>
      <c r="L68" s="6">
        <f>L35-L57</f>
        <v>0.0</v>
      </c>
      <c r="M68" s="6">
        <f>M35-M57</f>
        <v>0.0</v>
      </c>
      <c r="N68" s="6">
        <f>N35-N57</f>
        <v>0.0</v>
      </c>
      <c r="O68" s="6">
        <f>SUM(C68:N68)</f>
        <v>0.0</v>
      </c>
    </row>
    <row r="69">
      <c r="B69" s="2" t="inlineStr">
        <is>
          <t>Total PBITA</t>
        </is>
      </c>
      <c r="C69" s="9">
        <f>SUM(C61:C68)</f>
        <v>0.0</v>
      </c>
      <c r="D69" s="9">
        <f>SUM(D61:D68)</f>
        <v>0.0</v>
      </c>
      <c r="E69" s="9">
        <f>SUM(E61:E68)</f>
        <v>0.0</v>
      </c>
      <c r="F69" s="9">
        <f>SUM(F61:F68)</f>
        <v>0.0</v>
      </c>
      <c r="G69" s="9">
        <f>SUM(G61:G68)</f>
        <v>0.0</v>
      </c>
      <c r="H69" s="9">
        <f>SUM(H61:H68)</f>
        <v>0.0</v>
      </c>
      <c r="I69" s="9">
        <f>SUM(I61:I68)</f>
        <v>0.0</v>
      </c>
      <c r="J69" s="9">
        <f>SUM(J61:J68)</f>
        <v>0.0</v>
      </c>
      <c r="K69" s="9">
        <f>SUM(K61:K68)</f>
        <v>285.0</v>
      </c>
      <c r="L69" s="9">
        <f>SUM(L61:L68)</f>
        <v>-30.0</v>
      </c>
      <c r="M69" s="9">
        <f>SUM(M61:M68)</f>
        <v>165.0</v>
      </c>
      <c r="N69" s="9">
        <f>SUM(N61:N68)</f>
        <v>390.0</v>
      </c>
      <c r="O69" s="9">
        <f>SUM(O61:O68)</f>
        <v>810.0</v>
      </c>
    </row>
    <row r="71">
      <c r="B71" s="8" t="inlineStr">
        <is>
          <t>Section 2: General adjustments in Gross Margin or Opex % of Sales that are not tied to individual events (i.e., employee turnover):</t>
        </is>
      </c>
    </row>
    <row r="73">
      <c r="C73" s="4" t="inlineStr">
        <is>
          <t>January</t>
        </is>
      </c>
      <c r="D73" s="4" t="inlineStr">
        <is>
          <t>February</t>
        </is>
      </c>
      <c r="E73" s="4" t="inlineStr">
        <is>
          <t>March</t>
        </is>
      </c>
      <c r="F73" s="4" t="inlineStr">
        <is>
          <t>April</t>
        </is>
      </c>
      <c r="G73" s="4" t="inlineStr">
        <is>
          <t>May</t>
        </is>
      </c>
      <c r="H73" s="4" t="inlineStr">
        <is>
          <t>June</t>
        </is>
      </c>
      <c r="I73" s="4" t="inlineStr">
        <is>
          <t>July</t>
        </is>
      </c>
      <c r="J73" s="4" t="inlineStr">
        <is>
          <t>August</t>
        </is>
      </c>
      <c r="K73" s="4" t="inlineStr">
        <is>
          <t>September</t>
        </is>
      </c>
      <c r="L73" s="4" t="inlineStr">
        <is>
          <t>October</t>
        </is>
      </c>
      <c r="M73" s="4" t="inlineStr">
        <is>
          <t>November</t>
        </is>
      </c>
      <c r="N73" s="4" t="inlineStr">
        <is>
          <t>December</t>
        </is>
      </c>
      <c r="O73" s="4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2">
        <f>'Hollis'!C35</f>
        <v>0.2813679592831476</v>
      </c>
      <c r="D75" s="12">
        <f>'Hollis'!D35</f>
        <v>0.28435877062677767</v>
      </c>
      <c r="E75" s="12">
        <f>'Hollis'!E35</f>
        <v>0.28111606563054675</v>
      </c>
      <c r="F75" s="12">
        <f>'Hollis'!F35</f>
        <v>0.2839015456448237</v>
      </c>
      <c r="G75" s="12">
        <f>'Hollis'!G35</f>
        <v>0.2800631705059086</v>
      </c>
      <c r="H75" s="12">
        <f>'Hollis'!H35</f>
        <v>0.28049116997792495</v>
      </c>
      <c r="I75" s="12">
        <f>'Hollis'!I35</f>
        <v>0.2798644153438039</v>
      </c>
      <c r="J75" s="12">
        <f>'Hollis'!J35</f>
        <v>0.28068105557119044</v>
      </c>
      <c r="K75" s="12">
        <f>'Hollis'!K35</f>
        <v>0.2805516033709095</v>
      </c>
      <c r="L75" s="12">
        <f>'Hollis'!L35</f>
        <v>0.2836462223131618</v>
      </c>
      <c r="M75" s="12">
        <f>'Hollis'!M35</f>
        <v>0.2817741587942434</v>
      </c>
      <c r="N75" s="12">
        <f>'Hollis'!N35</f>
        <v>0.28136874212723434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6">
        <f>IF(C76="None",0,((('Hollis'!C28*(C75+C76))-'Hollis'!C29)))</f>
        <v>0.0</v>
      </c>
      <c r="D77" s="6">
        <f>IF(D76="None",0,((('Hollis'!D28*(D75+D76))-'Hollis'!D29)))</f>
        <v>0.0</v>
      </c>
      <c r="E77" s="6">
        <f>IF(E76="None",0,((('Hollis'!E28*(E75+E76))-'Hollis'!E29)))</f>
        <v>0.0</v>
      </c>
      <c r="F77" s="6">
        <f>IF(F76="None",0,((('Hollis'!F28*(F75+F76))-'Hollis'!F29)))</f>
        <v>0.0</v>
      </c>
      <c r="G77" s="6">
        <f>IF(G76="None",0,((('Hollis'!G28*(G75+G76))-'Hollis'!G29)))</f>
        <v>0.0</v>
      </c>
      <c r="H77" s="6">
        <f>IF(H76="None",0,((('Hollis'!H28*(H75+H76))-'Hollis'!H29)))</f>
        <v>0.0</v>
      </c>
      <c r="I77" s="6">
        <f>IF(I76="None",0,((('Hollis'!I28*(I75+I76))-'Hollis'!I29)))</f>
        <v>0.0</v>
      </c>
      <c r="J77" s="6">
        <f>IF(J76="None",0,((('Hollis'!J28*(J75+J76))-'Hollis'!J29)))</f>
        <v>0.0</v>
      </c>
      <c r="K77" s="6">
        <f>IF(K76="None",0,((('Hollis'!K28*(K75+K76))-'Hollis'!K29)))</f>
        <v>0.0</v>
      </c>
      <c r="L77" s="6">
        <f>IF(L76="None",0,((('Hollis'!L28*(L75+L76))-'Hollis'!L29)))</f>
        <v>0.0</v>
      </c>
      <c r="M77" s="6">
        <f>IF(M76="None",0,((('Hollis'!M28*(M75+M76))-'Hollis'!M29)))</f>
        <v>0.0</v>
      </c>
      <c r="N77" s="6">
        <f>IF(N76="None",0,((('Hollis'!N28*(N75+N76))-'Hollis'!N29)))</f>
        <v>0.0</v>
      </c>
      <c r="O77" s="6">
        <f>SUM(C77:N77)</f>
        <v>0.0</v>
      </c>
    </row>
    <row r="78">
      <c r="B78" t="inlineStr">
        <is>
          <t>Gross Margin - Current FCAST</t>
        </is>
      </c>
      <c r="C78" s="12">
        <f>SUM(C75:C76)</f>
        <v>0.2813679592831476</v>
      </c>
      <c r="D78" s="12">
        <f>SUM(D75:D76)</f>
        <v>0.28435877062677767</v>
      </c>
      <c r="E78" s="12">
        <f>SUM(E75:E76)</f>
        <v>0.28111606563054675</v>
      </c>
      <c r="F78" s="12">
        <f>SUM(F75:F76)</f>
        <v>0.2839015456448237</v>
      </c>
      <c r="G78" s="12">
        <f>SUM(G75:G76)</f>
        <v>0.2800631705059086</v>
      </c>
      <c r="H78" s="12">
        <f>SUM(H75:H76)</f>
        <v>0.28049116997792495</v>
      </c>
      <c r="I78" s="12">
        <f>SUM(I75:I76)</f>
        <v>0.2798644153438039</v>
      </c>
      <c r="J78" s="12">
        <f>SUM(J75:J76)</f>
        <v>0.28068105557119044</v>
      </c>
      <c r="K78" s="12">
        <f>SUM(K75:K76)</f>
        <v>0.2805516033709095</v>
      </c>
      <c r="L78" s="12">
        <f>SUM(L75:L76)</f>
        <v>0.2836462223131618</v>
      </c>
      <c r="M78" s="12">
        <f>SUM(M75:M76)</f>
        <v>0.2817741587942434</v>
      </c>
      <c r="N78" s="12">
        <f>SUM(N75:N76)</f>
        <v>0.28136874212723434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2">
        <f>'Hollis'!C36</f>
        <v>-0.19819993425452567</v>
      </c>
      <c r="D82" s="12">
        <f>'Hollis'!D36</f>
        <v>-0.19753342315265832</v>
      </c>
      <c r="E82" s="12">
        <f>'Hollis'!E36</f>
        <v>-0.1999328975280315</v>
      </c>
      <c r="F82" s="12">
        <f>'Hollis'!F36</f>
        <v>-0.19856907100305907</v>
      </c>
      <c r="G82" s="12">
        <f>'Hollis'!G36</f>
        <v>-0.1965147307084899</v>
      </c>
      <c r="H82" s="12">
        <f>'Hollis'!H36</f>
        <v>-0.19439845474613687</v>
      </c>
      <c r="I82" s="12">
        <f>'Hollis'!I36</f>
        <v>-0.19131331845551391</v>
      </c>
      <c r="J82" s="12">
        <f>'Hollis'!J36</f>
        <v>-0.19233433637131167</v>
      </c>
      <c r="K82" s="12">
        <f>'Hollis'!K36</f>
        <v>-0.19198861770821934</v>
      </c>
      <c r="L82" s="12">
        <f>'Hollis'!L36</f>
        <v>-0.19268504782853343</v>
      </c>
      <c r="M82" s="12">
        <f>'Hollis'!M36</f>
        <v>-0.1918754323689851</v>
      </c>
      <c r="N82" s="12">
        <f>'Hollis'!N36</f>
        <v>-0.1927773555835476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6">
        <f>-IF(C83="None",0,((('Hollis'!C28*-(C82+C83))-'Hollis'!C30)))</f>
        <v>0.0</v>
      </c>
      <c r="D84" s="6">
        <f>-IF(D83="None",0,((('Hollis'!D28*-(D82+D83))-'Hollis'!D30)))</f>
        <v>0.0</v>
      </c>
      <c r="E84" s="6">
        <f>-IF(E83="None",0,((('Hollis'!E28*-(E82+E83))-'Hollis'!E30)))</f>
        <v>0.0</v>
      </c>
      <c r="F84" s="6">
        <f>-IF(F83="None",0,((('Hollis'!F28*-(F82+F83))-'Hollis'!F30)))</f>
        <v>0.0</v>
      </c>
      <c r="G84" s="6">
        <f>-IF(G83="None",0,((('Hollis'!G28*-(G82+G83))-'Hollis'!G30)))</f>
        <v>0.0</v>
      </c>
      <c r="H84" s="6">
        <f>-IF(H83="None",0,((('Hollis'!H28*-(H82+H83))-'Hollis'!H30)))</f>
        <v>0.0</v>
      </c>
      <c r="I84" s="6">
        <f>-IF(I83="None",0,((('Hollis'!I28*-(I82+I83))-'Hollis'!I30)))</f>
        <v>0.0</v>
      </c>
      <c r="J84" s="6">
        <f>-IF(J83="None",0,((('Hollis'!J28*-(J82+J83))-'Hollis'!J30)))</f>
        <v>0.0</v>
      </c>
      <c r="K84" s="6">
        <f>-IF(K83="None",0,((('Hollis'!K28*-(K82+K83))-'Hollis'!K30)))</f>
        <v>0.0</v>
      </c>
      <c r="L84" s="6">
        <f>-IF(L83="None",0,((('Hollis'!L28*-(L82+L83))-'Hollis'!L30)))</f>
        <v>0.0</v>
      </c>
      <c r="M84" s="6">
        <f>-IF(M83="None",0,((('Hollis'!M28*-(M82+M83))-'Hollis'!M30)))</f>
        <v>0.0</v>
      </c>
      <c r="N84" s="6">
        <f>-IF(N83="None",0,((('Hollis'!N28*-(N82+N83))-'Hollis'!N30)))</f>
        <v>0.0</v>
      </c>
      <c r="O84" s="6">
        <f>SUM(C84:N84)</f>
        <v>0.0</v>
      </c>
    </row>
    <row r="85">
      <c r="B85" t="inlineStr">
        <is>
          <t>Op Costs - Current FCAST</t>
        </is>
      </c>
      <c r="C85" s="12">
        <f>SUM(C82:C83)</f>
        <v>-0.19819993425452567</v>
      </c>
      <c r="D85" s="12">
        <f>SUM(D82:D83)</f>
        <v>-0.19753342315265832</v>
      </c>
      <c r="E85" s="12">
        <f>SUM(E82:E83)</f>
        <v>-0.1999328975280315</v>
      </c>
      <c r="F85" s="12">
        <f>SUM(F82:F83)</f>
        <v>-0.19856907100305907</v>
      </c>
      <c r="G85" s="12">
        <f>SUM(G82:G83)</f>
        <v>-0.1965147307084899</v>
      </c>
      <c r="H85" s="12">
        <f>SUM(H82:H83)</f>
        <v>-0.19439845474613687</v>
      </c>
      <c r="I85" s="12">
        <f>SUM(I82:I83)</f>
        <v>-0.19131331845551391</v>
      </c>
      <c r="J85" s="12">
        <f>SUM(J82:J83)</f>
        <v>-0.19233433637131167</v>
      </c>
      <c r="K85" s="12">
        <f>SUM(K82:K83)</f>
        <v>-0.19198861770821934</v>
      </c>
      <c r="L85" s="12">
        <f>SUM(L82:L83)</f>
        <v>-0.19268504782853343</v>
      </c>
      <c r="M85" s="12">
        <f>SUM(M82:M83)</f>
        <v>-0.1918754323689851</v>
      </c>
      <c r="N85" s="12">
        <f>SUM(N82:N83)</f>
        <v>-0.1927773555835476</v>
      </c>
      <c r="O85" t="inlineStr">
        <is>
          <t>N/A</t>
        </is>
      </c>
    </row>
    <row r="87">
      <c r="B87" s="8" t="inlineStr">
        <is>
          <t>Section 3: Working Capital Adjustments</t>
        </is>
      </c>
    </row>
    <row r="89">
      <c r="C89" s="4" t="inlineStr">
        <is>
          <t>January</t>
        </is>
      </c>
      <c r="D89" s="4" t="inlineStr">
        <is>
          <t>February</t>
        </is>
      </c>
      <c r="E89" s="4" t="inlineStr">
        <is>
          <t>March</t>
        </is>
      </c>
      <c r="F89" s="4" t="inlineStr">
        <is>
          <t>April</t>
        </is>
      </c>
      <c r="G89" s="4" t="inlineStr">
        <is>
          <t>May</t>
        </is>
      </c>
      <c r="H89" s="4" t="inlineStr">
        <is>
          <t>June</t>
        </is>
      </c>
      <c r="I89" s="4" t="inlineStr">
        <is>
          <t>July</t>
        </is>
      </c>
      <c r="J89" s="4" t="inlineStr">
        <is>
          <t>August</t>
        </is>
      </c>
      <c r="K89" s="4" t="inlineStr">
        <is>
          <t>September</t>
        </is>
      </c>
      <c r="L89" s="4" t="inlineStr">
        <is>
          <t>October</t>
        </is>
      </c>
      <c r="M89" s="4" t="inlineStr">
        <is>
          <t>November</t>
        </is>
      </c>
      <c r="N89" s="4" t="inlineStr">
        <is>
          <t>December</t>
        </is>
      </c>
      <c r="O89" s="4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21" t="n">
        <v>0</v>
      </c>
      <c r="L90" s="21" t="n">
        <v>-800</v>
      </c>
      <c r="M90" s="21" t="n">
        <v>-1500</v>
      </c>
      <c r="N90" s="21" t="n">
        <v>-1500</v>
      </c>
    </row>
    <row r="91">
      <c r="A91" t="n">
        <v>2135</v>
      </c>
      <c r="B91" t="inlineStr">
        <is>
          <t>Trade Receivables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21" t="n">
        <v>600</v>
      </c>
      <c r="L91" s="21" t="n">
        <v>-300</v>
      </c>
      <c r="M91" s="21" t="n">
        <v>-300</v>
      </c>
      <c r="N91" s="21" t="n">
        <v>0</v>
      </c>
    </row>
    <row r="92">
      <c r="A92" t="n">
        <v>2175</v>
      </c>
      <c r="B92" t="inlineStr">
        <is>
          <t>Other Receivables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21" t="n">
        <v>0</v>
      </c>
      <c r="L92" s="21" t="n">
        <v>0</v>
      </c>
      <c r="M92" s="21" t="n">
        <v>0</v>
      </c>
      <c r="N92" s="21" t="n">
        <v>0</v>
      </c>
    </row>
    <row r="93">
      <c r="A93" t="n">
        <v>2140</v>
      </c>
      <c r="B93" t="inlineStr">
        <is>
          <t>Trade Payables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21" t="n">
        <v>0</v>
      </c>
      <c r="L93" s="21" t="n">
        <v>0</v>
      </c>
      <c r="M93" s="21" t="n">
        <v>0</v>
      </c>
      <c r="N93" s="21" t="n">
        <v>0</v>
      </c>
    </row>
    <row r="94">
      <c r="A94" t="n">
        <v>2180</v>
      </c>
      <c r="B94" t="inlineStr">
        <is>
          <t>Other Payables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21" t="n">
        <v>0</v>
      </c>
      <c r="L94" s="21" t="n">
        <v>0</v>
      </c>
      <c r="M94" s="21" t="n">
        <v>0</v>
      </c>
      <c r="N94" s="21" t="n">
        <v>0</v>
      </c>
    </row>
    <row r="95">
      <c r="A95" t="n">
        <v>2185</v>
      </c>
      <c r="B95" s="2" t="inlineStr">
        <is>
          <t>Total Working Capital</t>
        </is>
      </c>
      <c r="C95" s="6">
        <f>SUM(C90:C94)</f>
        <v>0.0</v>
      </c>
      <c r="D95" s="6">
        <f>SUM(D90:D94)</f>
        <v>0.0</v>
      </c>
      <c r="E95" s="6">
        <f>SUM(E90:E94)</f>
        <v>0.0</v>
      </c>
      <c r="F95" s="6">
        <f>SUM(F90:F94)</f>
        <v>0.0</v>
      </c>
      <c r="G95" s="6">
        <f>SUM(G90:G94)</f>
        <v>0.0</v>
      </c>
      <c r="H95" s="6">
        <f>SUM(H90:H94)</f>
        <v>0.0</v>
      </c>
      <c r="I95" s="6">
        <f>SUM(I90:I94)</f>
        <v>0.0</v>
      </c>
      <c r="J95" s="6">
        <f>SUM(J90:J94)</f>
        <v>0.0</v>
      </c>
      <c r="K95" s="6">
        <f>SUM(K90:K94)</f>
        <v>600.0</v>
      </c>
      <c r="L95" s="6">
        <f>SUM(L90:L94)</f>
        <v>-1100.0</v>
      </c>
      <c r="M95" s="6">
        <f>SUM(M90:M94)</f>
        <v>-1800.0</v>
      </c>
      <c r="N95" s="6">
        <f>SUM(N90:N94)</f>
        <v>-1500.0</v>
      </c>
    </row>
    <row r="97">
      <c r="B97" s="22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HOLLIS_DISP</t>
        </is>
      </c>
    </row>
    <row r="23">
      <c r="B23" s="3" t="inlineStr">
        <is>
          <t>Hollis Rainwear</t>
        </is>
      </c>
      <c r="BU23" s="8" t="inlineStr">
        <is>
          <t>FCAST10 - Variance ($) - Favorable / (Unfavorable)</t>
        </is>
      </c>
    </row>
    <row r="24">
      <c r="C24" s="8" t="inlineStr">
        <is>
          <t>FCAST09 as Reported</t>
        </is>
      </c>
      <c r="Q24" s="8" t="inlineStr">
        <is>
          <t>FCAST09 at New Fx Rates</t>
        </is>
      </c>
      <c r="AE24" s="8" t="inlineStr">
        <is>
          <t>Fx Changes</t>
        </is>
      </c>
      <c r="AS24" s="8" t="inlineStr">
        <is>
          <t>Operational Adjustments</t>
        </is>
      </c>
      <c r="BG24" s="8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6" t="n">
        <v>8821.9</v>
      </c>
      <c r="D28" s="6" t="n">
        <v>8684.1</v>
      </c>
      <c r="E28" s="6" t="n">
        <v>9239.6</v>
      </c>
      <c r="F28" s="6" t="n">
        <v>9937.6</v>
      </c>
      <c r="G28" s="6" t="n">
        <v>9181.5</v>
      </c>
      <c r="H28" s="6" t="n">
        <v>9422.4</v>
      </c>
      <c r="I28" s="6" t="n">
        <v>9499.6</v>
      </c>
      <c r="J28" s="6" t="n">
        <v>9238.6</v>
      </c>
      <c r="K28" s="6" t="n">
        <v>9137</v>
      </c>
      <c r="L28" s="6" t="n">
        <v>9774.5</v>
      </c>
      <c r="M28" s="6" t="n">
        <v>8817.700000000001</v>
      </c>
      <c r="N28" s="6" t="n">
        <v>9605.9</v>
      </c>
      <c r="O28" s="19">
        <f>SUM(C28:N28)</f>
        <v>111360.4</v>
      </c>
      <c r="Q28" s="6" t="n">
        <v>8821.9</v>
      </c>
      <c r="R28" s="6" t="n">
        <v>8684.1</v>
      </c>
      <c r="S28" s="6" t="n">
        <v>9239.6</v>
      </c>
      <c r="T28" s="6" t="n">
        <v>9937.6</v>
      </c>
      <c r="U28" s="6" t="n">
        <v>9181.5</v>
      </c>
      <c r="V28" s="6" t="n">
        <v>9422.4</v>
      </c>
      <c r="W28" s="6" t="n">
        <v>9499.6</v>
      </c>
      <c r="X28" s="6" t="n">
        <v>9238.6</v>
      </c>
      <c r="Y28" s="6" t="n">
        <v>9092</v>
      </c>
      <c r="Z28" s="6" t="n">
        <v>9729.5</v>
      </c>
      <c r="AA28" s="6" t="n">
        <v>8772.700000000001</v>
      </c>
      <c r="AB28" s="6" t="n">
        <v>9560.9</v>
      </c>
      <c r="AC28" s="19">
        <f>SUM(Q28:AB28)</f>
        <v>111180.4</v>
      </c>
      <c r="AE28" s="6">
        <f>Q28-C28</f>
        <v>0.0</v>
      </c>
      <c r="AF28" s="6">
        <f>R28-D28</f>
        <v>0.0</v>
      </c>
      <c r="AG28" s="6">
        <f>S28-E28</f>
        <v>0.0</v>
      </c>
      <c r="AH28" s="6">
        <f>T28-F28</f>
        <v>0.0</v>
      </c>
      <c r="AI28" s="6">
        <f>U28-G28</f>
        <v>0.0</v>
      </c>
      <c r="AJ28" s="6">
        <f>V28-H28</f>
        <v>0.0</v>
      </c>
      <c r="AK28" s="6">
        <f>W28-I28</f>
        <v>0.0</v>
      </c>
      <c r="AL28" s="6">
        <f>X28-J28</f>
        <v>0.0</v>
      </c>
      <c r="AM28" s="6">
        <f>Y28-K28</f>
        <v>-45.0</v>
      </c>
      <c r="AN28" s="6">
        <f>Z28-L28</f>
        <v>-45.0</v>
      </c>
      <c r="AO28" s="6">
        <f>AA28-M28</f>
        <v>-45.0</v>
      </c>
      <c r="AP28" s="6">
        <f>AB28-N28</f>
        <v>-45.0</v>
      </c>
      <c r="AQ28" s="19">
        <f>SUM(AE28:AP28)</f>
        <v>-180.0</v>
      </c>
      <c r="AS28" s="6">
        <f>'Hollis-Adj'!C14</f>
        <v>0.0</v>
      </c>
      <c r="AT28" s="6">
        <f>'Hollis-Adj'!D14</f>
        <v>0.0</v>
      </c>
      <c r="AU28" s="6">
        <f>'Hollis-Adj'!E14</f>
        <v>0.0</v>
      </c>
      <c r="AV28" s="6">
        <f>'Hollis-Adj'!F14</f>
        <v>0.0</v>
      </c>
      <c r="AW28" s="6">
        <f>'Hollis-Adj'!G14</f>
        <v>0.0</v>
      </c>
      <c r="AX28" s="6">
        <f>'Hollis-Adj'!H14</f>
        <v>0.0</v>
      </c>
      <c r="AY28" s="6">
        <f>'Hollis-Adj'!I14</f>
        <v>0.0</v>
      </c>
      <c r="AZ28" s="6">
        <f>'Hollis-Adj'!J14</f>
        <v>0.0</v>
      </c>
      <c r="BA28" s="6">
        <f>'Hollis-Adj'!K14</f>
        <v>1700.0</v>
      </c>
      <c r="BB28" s="6">
        <f>'Hollis-Adj'!L14</f>
        <v>-1000.0</v>
      </c>
      <c r="BC28" s="6">
        <f>'Hollis-Adj'!M14</f>
        <v>-400.0</v>
      </c>
      <c r="BD28" s="6">
        <f>'Hollis-Adj'!N14</f>
        <v>300.0</v>
      </c>
      <c r="BE28" s="19">
        <f>SUM(AS28:BD28)</f>
        <v>600.0</v>
      </c>
      <c r="BG28" s="6">
        <f>C28+AE28+AS28</f>
        <v>8821.9</v>
      </c>
      <c r="BH28" s="6">
        <f>D28+AF28+AT28</f>
        <v>8684.1</v>
      </c>
      <c r="BI28" s="6">
        <f>E28+AG28+AU28</f>
        <v>9239.6</v>
      </c>
      <c r="BJ28" s="6">
        <f>F28+AH28+AV28</f>
        <v>9937.6</v>
      </c>
      <c r="BK28" s="6">
        <f>G28+AI28+AW28</f>
        <v>9181.5</v>
      </c>
      <c r="BL28" s="6">
        <f>H28+AJ28+AX28</f>
        <v>9422.4</v>
      </c>
      <c r="BM28" s="6">
        <f>I28+AK28+AY28</f>
        <v>9499.6</v>
      </c>
      <c r="BN28" s="6">
        <f>J28+AL28+AZ28</f>
        <v>9238.6</v>
      </c>
      <c r="BO28" s="6">
        <f>K28+AM28+BA28</f>
        <v>10792.0</v>
      </c>
      <c r="BP28" s="6">
        <f>L28+AN28+BB28</f>
        <v>8729.5</v>
      </c>
      <c r="BQ28" s="6">
        <f>M28+AO28+BC28</f>
        <v>8372.7</v>
      </c>
      <c r="BR28" s="6">
        <f>N28+AP28+BD28</f>
        <v>9860.9</v>
      </c>
      <c r="BS28" s="19">
        <f>SUM(BG28:BR28)</f>
        <v>111780.4</v>
      </c>
      <c r="BU28" s="6">
        <f>SUM(BG28:BO28)-SUM(C28:K28)</f>
        <v>1655.0</v>
      </c>
      <c r="BV28" s="6">
        <f>SUM(BG28:BO28)-SUM(C51:K51)</f>
        <v>2592.5</v>
      </c>
      <c r="BW28" s="6">
        <f>SUM(BG28:BO28)-SUM(C64:K64)</f>
        <v>6538.400000000009</v>
      </c>
      <c r="BY28" s="6">
        <f>SUM(BP28:BR28)-SUM(L28:N28)</f>
        <v>-1235.0</v>
      </c>
      <c r="BZ28" s="6">
        <f>SUM(BP28:BR28)-SUM(L51:N51)</f>
        <v>-811.9000000000015</v>
      </c>
      <c r="CA28" s="6">
        <f>SUM(BP28:BR28)-SUM(L64:N64)</f>
        <v>308.8999999999978</v>
      </c>
      <c r="CC28" s="6">
        <f>BS28-O28</f>
        <v>420.0</v>
      </c>
      <c r="CD28" s="6">
        <f>BS28-O51</f>
        <v>1780.5999999999913</v>
      </c>
      <c r="CE28" s="6">
        <f>BS28-O64</f>
        <v>6847.300000000003</v>
      </c>
    </row>
    <row r="29">
      <c r="B29" s="5" t="inlineStr">
        <is>
          <t>Gross Margin</t>
        </is>
      </c>
      <c r="C29" s="6" t="n">
        <v>2482.2</v>
      </c>
      <c r="D29" s="6" t="n">
        <v>2469.4</v>
      </c>
      <c r="E29" s="6" t="n">
        <v>2597.4</v>
      </c>
      <c r="F29" s="6" t="n">
        <v>2821.3</v>
      </c>
      <c r="G29" s="6" t="n">
        <v>2571.4</v>
      </c>
      <c r="H29" s="6" t="n">
        <v>2642.9</v>
      </c>
      <c r="I29" s="6" t="n">
        <v>2658.6</v>
      </c>
      <c r="J29" s="6" t="n">
        <v>2593.1</v>
      </c>
      <c r="K29" s="6" t="n">
        <v>2563.4</v>
      </c>
      <c r="L29" s="6" t="n">
        <v>2772.5</v>
      </c>
      <c r="M29" s="6" t="n">
        <v>2484.6</v>
      </c>
      <c r="N29" s="6" t="n">
        <v>2702.8</v>
      </c>
      <c r="O29" s="19">
        <f>SUM(C29:N29)</f>
        <v>31359.599999999995</v>
      </c>
      <c r="Q29" s="6" t="n">
        <v>2482.2</v>
      </c>
      <c r="R29" s="6" t="n">
        <v>2469.4</v>
      </c>
      <c r="S29" s="6" t="n">
        <v>2597.4</v>
      </c>
      <c r="T29" s="6" t="n">
        <v>2821.3</v>
      </c>
      <c r="U29" s="6" t="n">
        <v>2571.4</v>
      </c>
      <c r="V29" s="6" t="n">
        <v>2642.9</v>
      </c>
      <c r="W29" s="6" t="n">
        <v>2658.6</v>
      </c>
      <c r="X29" s="6" t="n">
        <v>2593.1</v>
      </c>
      <c r="Y29" s="6" t="n">
        <v>2550.4</v>
      </c>
      <c r="Z29" s="6" t="n">
        <v>2759.5</v>
      </c>
      <c r="AA29" s="6" t="n">
        <v>2471.6</v>
      </c>
      <c r="AB29" s="6" t="n">
        <v>2689.8</v>
      </c>
      <c r="AC29" s="19">
        <f>SUM(Q29:AB29)</f>
        <v>31307.599999999995</v>
      </c>
      <c r="AE29" s="6">
        <f>Q29-C29</f>
        <v>0.0</v>
      </c>
      <c r="AF29" s="6">
        <f>R29-D29</f>
        <v>0.0</v>
      </c>
      <c r="AG29" s="6">
        <f>S29-E29</f>
        <v>0.0</v>
      </c>
      <c r="AH29" s="6">
        <f>T29-F29</f>
        <v>0.0</v>
      </c>
      <c r="AI29" s="6">
        <f>U29-G29</f>
        <v>0.0</v>
      </c>
      <c r="AJ29" s="6">
        <f>V29-H29</f>
        <v>0.0</v>
      </c>
      <c r="AK29" s="6">
        <f>W29-I29</f>
        <v>0.0</v>
      </c>
      <c r="AL29" s="6">
        <f>X29-J29</f>
        <v>0.0</v>
      </c>
      <c r="AM29" s="6">
        <f>Y29-K29</f>
        <v>-13.0</v>
      </c>
      <c r="AN29" s="6">
        <f>Z29-L29</f>
        <v>-13.0</v>
      </c>
      <c r="AO29" s="6">
        <f>AA29-M29</f>
        <v>-13.0</v>
      </c>
      <c r="AP29" s="6">
        <f>AB29-N29</f>
        <v>-13.0</v>
      </c>
      <c r="AQ29" s="19">
        <f>SUM(AE29:AP29)</f>
        <v>-52.0</v>
      </c>
      <c r="AS29" s="6">
        <f>'Hollis-Adj'!C36+'Hollis-Adj'!C77</f>
        <v>0.0</v>
      </c>
      <c r="AT29" s="6">
        <f>'Hollis-Adj'!D36+'Hollis-Adj'!D77</f>
        <v>0.0</v>
      </c>
      <c r="AU29" s="6">
        <f>'Hollis-Adj'!E36+'Hollis-Adj'!E77</f>
        <v>0.0</v>
      </c>
      <c r="AV29" s="6">
        <f>'Hollis-Adj'!F36+'Hollis-Adj'!F77</f>
        <v>0.0</v>
      </c>
      <c r="AW29" s="6">
        <f>'Hollis-Adj'!G36+'Hollis-Adj'!G77</f>
        <v>0.0</v>
      </c>
      <c r="AX29" s="6">
        <f>'Hollis-Adj'!H36+'Hollis-Adj'!H77</f>
        <v>0.0</v>
      </c>
      <c r="AY29" s="6">
        <f>'Hollis-Adj'!I36+'Hollis-Adj'!I77</f>
        <v>0.0</v>
      </c>
      <c r="AZ29" s="6">
        <f>'Hollis-Adj'!J36+'Hollis-Adj'!J77</f>
        <v>0.0</v>
      </c>
      <c r="BA29" s="6">
        <f>'Hollis-Adj'!K36+'Hollis-Adj'!K77</f>
        <v>255.0</v>
      </c>
      <c r="BB29" s="6">
        <f>'Hollis-Adj'!L36+'Hollis-Adj'!L77</f>
        <v>-150.0</v>
      </c>
      <c r="BC29" s="6">
        <f>'Hollis-Adj'!M36+'Hollis-Adj'!M77</f>
        <v>-15.0</v>
      </c>
      <c r="BD29" s="6">
        <f>'Hollis-Adj'!N36+'Hollis-Adj'!N77</f>
        <v>210.0</v>
      </c>
      <c r="BE29" s="19">
        <f>SUM(AS29:BD29)</f>
        <v>300.0</v>
      </c>
      <c r="BG29" s="6">
        <f>C29+AE29+AS29</f>
        <v>2482.2</v>
      </c>
      <c r="BH29" s="6">
        <f>D29+AF29+AT29</f>
        <v>2469.4</v>
      </c>
      <c r="BI29" s="6">
        <f>E29+AG29+AU29</f>
        <v>2597.4</v>
      </c>
      <c r="BJ29" s="6">
        <f>F29+AH29+AV29</f>
        <v>2821.3</v>
      </c>
      <c r="BK29" s="6">
        <f>G29+AI29+AW29</f>
        <v>2571.4</v>
      </c>
      <c r="BL29" s="6">
        <f>H29+AJ29+AX29</f>
        <v>2642.9</v>
      </c>
      <c r="BM29" s="6">
        <f>I29+AK29+AY29</f>
        <v>2658.6</v>
      </c>
      <c r="BN29" s="6">
        <f>J29+AL29+AZ29</f>
        <v>2593.1</v>
      </c>
      <c r="BO29" s="6">
        <f>K29+AM29+BA29</f>
        <v>2805.4</v>
      </c>
      <c r="BP29" s="6">
        <f>L29+AN29+BB29</f>
        <v>2609.5</v>
      </c>
      <c r="BQ29" s="6">
        <f>M29+AO29+BC29</f>
        <v>2456.6</v>
      </c>
      <c r="BR29" s="6">
        <f>N29+AP29+BD29</f>
        <v>2899.8</v>
      </c>
      <c r="BS29" s="19">
        <f>SUM(BG29:BR29)</f>
        <v>31607.599999999995</v>
      </c>
      <c r="BU29" s="6">
        <f>SUM(BG29:BO29)-SUM(C29:K29)</f>
        <v>242.0</v>
      </c>
      <c r="BV29" s="6">
        <f>SUM(BG29:BO29)-SUM(C52:K52)</f>
        <v>207.49999999999636</v>
      </c>
      <c r="BW29" s="6">
        <f>SUM(BG29:BO29)-SUM(C65:K65)</f>
        <v>1309.9999999999964</v>
      </c>
      <c r="BY29" s="6">
        <f>SUM(BP29:BR29)-SUM(L29:N29)</f>
        <v>6.0</v>
      </c>
      <c r="BZ29" s="6">
        <f>SUM(BP29:BR29)-SUM(L52:N52)</f>
        <v>50.00000000000091</v>
      </c>
      <c r="CA29" s="6">
        <f>SUM(BP29:BR29)-SUM(L65:N65)</f>
        <v>357.90000000000055</v>
      </c>
      <c r="CC29" s="6">
        <f>BS29-O29</f>
        <v>248.0</v>
      </c>
      <c r="CD29" s="6">
        <f>BS29-O52</f>
        <v>257.4999999999927</v>
      </c>
      <c r="CE29" s="6">
        <f>BS29-O65</f>
        <v>1667.8999999999942</v>
      </c>
    </row>
    <row r="30">
      <c r="B30" s="5" t="inlineStr">
        <is>
          <t>Op Costs</t>
        </is>
      </c>
      <c r="C30" s="6" t="n">
        <v>-1748.5</v>
      </c>
      <c r="D30" s="6" t="n">
        <v>-1715.4</v>
      </c>
      <c r="E30" s="6" t="n">
        <v>-1847.3</v>
      </c>
      <c r="F30" s="6" t="n">
        <v>-1973.3</v>
      </c>
      <c r="G30" s="6" t="n">
        <v>-1804.3</v>
      </c>
      <c r="H30" s="6" t="n">
        <v>-1831.7</v>
      </c>
      <c r="I30" s="6" t="n">
        <v>-1817.4</v>
      </c>
      <c r="J30" s="6" t="n">
        <v>-1776.9</v>
      </c>
      <c r="K30" s="6" t="n">
        <v>-1754.2</v>
      </c>
      <c r="L30" s="6" t="n">
        <v>-1883.4</v>
      </c>
      <c r="M30" s="6" t="n">
        <v>-1691.9</v>
      </c>
      <c r="N30" s="6" t="n">
        <v>-1851.8</v>
      </c>
      <c r="O30" s="19">
        <f>SUM(C30:N30)</f>
        <v>-21696.100000000002</v>
      </c>
      <c r="Q30" s="6" t="n">
        <v>-1748.5</v>
      </c>
      <c r="R30" s="6" t="n">
        <v>-1715.4</v>
      </c>
      <c r="S30" s="6" t="n">
        <v>-1847.3</v>
      </c>
      <c r="T30" s="6" t="n">
        <v>-1973.3</v>
      </c>
      <c r="U30" s="6" t="n">
        <v>-1804.3</v>
      </c>
      <c r="V30" s="6" t="n">
        <v>-1831.7</v>
      </c>
      <c r="W30" s="6" t="n">
        <v>-1817.4</v>
      </c>
      <c r="X30" s="6" t="n">
        <v>-1776.9</v>
      </c>
      <c r="Y30" s="6" t="n">
        <v>-1745.2</v>
      </c>
      <c r="Z30" s="6" t="n">
        <v>-1874.4</v>
      </c>
      <c r="AA30" s="6" t="n">
        <v>-1682.9</v>
      </c>
      <c r="AB30" s="6" t="n">
        <v>-1842.8</v>
      </c>
      <c r="AC30" s="19">
        <f>SUM(Q30:AB30)</f>
        <v>-21660.100000000002</v>
      </c>
      <c r="AE30" s="6">
        <f>Q30-C30</f>
        <v>0.0</v>
      </c>
      <c r="AF30" s="6">
        <f>R30-D30</f>
        <v>0.0</v>
      </c>
      <c r="AG30" s="6">
        <f>S30-E30</f>
        <v>0.0</v>
      </c>
      <c r="AH30" s="6">
        <f>T30-F30</f>
        <v>0.0</v>
      </c>
      <c r="AI30" s="6">
        <f>U30-G30</f>
        <v>0.0</v>
      </c>
      <c r="AJ30" s="6">
        <f>V30-H30</f>
        <v>0.0</v>
      </c>
      <c r="AK30" s="6">
        <f>W30-I30</f>
        <v>0.0</v>
      </c>
      <c r="AL30" s="6">
        <f>X30-J30</f>
        <v>0.0</v>
      </c>
      <c r="AM30" s="6">
        <f>Y30-K30</f>
        <v>9.0</v>
      </c>
      <c r="AN30" s="6">
        <f>Z30-L30</f>
        <v>9.0</v>
      </c>
      <c r="AO30" s="6">
        <f>AA30-M30</f>
        <v>9.0</v>
      </c>
      <c r="AP30" s="6">
        <f>AB30-N30</f>
        <v>9.0</v>
      </c>
      <c r="AQ30" s="19">
        <f>SUM(AE30:AP30)</f>
        <v>36.0</v>
      </c>
      <c r="AS30" s="6">
        <f>-'Hollis-Adj'!C58-'Hollis-Adj'!C84</f>
        <v>0.0</v>
      </c>
      <c r="AT30" s="6">
        <f>-'Hollis-Adj'!D58-'Hollis-Adj'!D84</f>
        <v>0.0</v>
      </c>
      <c r="AU30" s="6">
        <f>-'Hollis-Adj'!E58-'Hollis-Adj'!E84</f>
        <v>0.0</v>
      </c>
      <c r="AV30" s="6">
        <f>-'Hollis-Adj'!F58-'Hollis-Adj'!F84</f>
        <v>0.0</v>
      </c>
      <c r="AW30" s="6">
        <f>-'Hollis-Adj'!G58-'Hollis-Adj'!G84</f>
        <v>0.0</v>
      </c>
      <c r="AX30" s="6">
        <f>-'Hollis-Adj'!H58-'Hollis-Adj'!H84</f>
        <v>0.0</v>
      </c>
      <c r="AY30" s="6">
        <f>-'Hollis-Adj'!I58-'Hollis-Adj'!I84</f>
        <v>0.0</v>
      </c>
      <c r="AZ30" s="6">
        <f>-'Hollis-Adj'!J58-'Hollis-Adj'!J84</f>
        <v>0.0</v>
      </c>
      <c r="BA30" s="6">
        <f>-'Hollis-Adj'!K58-'Hollis-Adj'!K84</f>
        <v>30.0</v>
      </c>
      <c r="BB30" s="6">
        <f>-'Hollis-Adj'!L58-'Hollis-Adj'!L84</f>
        <v>120.0</v>
      </c>
      <c r="BC30" s="6">
        <f>-'Hollis-Adj'!M58-'Hollis-Adj'!M84</f>
        <v>180.0</v>
      </c>
      <c r="BD30" s="6">
        <f>-'Hollis-Adj'!N58-'Hollis-Adj'!N84</f>
        <v>180.0</v>
      </c>
      <c r="BE30" s="19">
        <f>SUM(AS30:BD30)</f>
        <v>510.0</v>
      </c>
      <c r="BG30" s="6">
        <f>C30+AE30+AS30</f>
        <v>-1748.5</v>
      </c>
      <c r="BH30" s="6">
        <f>D30+AF30+AT30</f>
        <v>-1715.4</v>
      </c>
      <c r="BI30" s="6">
        <f>E30+AG30+AU30</f>
        <v>-1847.3</v>
      </c>
      <c r="BJ30" s="6">
        <f>F30+AH30+AV30</f>
        <v>-1973.3</v>
      </c>
      <c r="BK30" s="6">
        <f>G30+AI30+AW30</f>
        <v>-1804.3</v>
      </c>
      <c r="BL30" s="6">
        <f>H30+AJ30+AX30</f>
        <v>-1831.7</v>
      </c>
      <c r="BM30" s="6">
        <f>I30+AK30+AY30</f>
        <v>-1817.4</v>
      </c>
      <c r="BN30" s="6">
        <f>J30+AL30+AZ30</f>
        <v>-1776.9</v>
      </c>
      <c r="BO30" s="6">
        <f>K30+AM30+BA30</f>
        <v>-1715.2</v>
      </c>
      <c r="BP30" s="6">
        <f>L30+AN30+BB30</f>
        <v>-1754.4</v>
      </c>
      <c r="BQ30" s="6">
        <f>M30+AO30+BC30</f>
        <v>-1502.9</v>
      </c>
      <c r="BR30" s="6">
        <f>N30+AP30+BD30</f>
        <v>-1662.8</v>
      </c>
      <c r="BS30" s="19">
        <f>SUM(BG30:BR30)</f>
        <v>-21150.100000000002</v>
      </c>
      <c r="BU30" s="6">
        <f>SUM(BG30:BO30)-SUM(C30:K30)</f>
        <v>39.0</v>
      </c>
      <c r="BV30" s="6">
        <f>SUM(BG30:BO30)-SUM(C53:K53)</f>
        <v>215.70000000000073</v>
      </c>
      <c r="BW30" s="6">
        <f>SUM(BG30:BO30)-SUM(C66:K66)</f>
        <v>-267.1999999999989</v>
      </c>
      <c r="BY30" s="6">
        <f>SUM(BP30:BR30)-SUM(L30:N30)</f>
        <v>507.0</v>
      </c>
      <c r="BZ30" s="6">
        <f>SUM(BP30:BR30)-SUM(L53:N53)</f>
        <v>635.2999999999993</v>
      </c>
      <c r="CA30" s="6">
        <f>SUM(BP30:BR30)-SUM(L66:N66)</f>
        <v>463.59999999999945</v>
      </c>
      <c r="CC30" s="6">
        <f>BS30-O30</f>
        <v>546.0</v>
      </c>
      <c r="CD30" s="6">
        <f>BS30-O53</f>
        <v>851.0</v>
      </c>
      <c r="CE30" s="6">
        <f>BS30-O66</f>
        <v>196.39999999999782</v>
      </c>
    </row>
    <row r="31">
      <c r="B31" s="2" t="inlineStr">
        <is>
          <t>PBITA</t>
        </is>
      </c>
      <c r="C31" s="6">
        <f>C29+C30</f>
        <v>733.6999999999998</v>
      </c>
      <c r="D31" s="6">
        <f>D29+D30</f>
        <v>754.0</v>
      </c>
      <c r="E31" s="6">
        <f>E29+E30</f>
        <v>750.1000000000001</v>
      </c>
      <c r="F31" s="6">
        <f>F29+F30</f>
        <v>848.0000000000002</v>
      </c>
      <c r="G31" s="6">
        <f>G29+G30</f>
        <v>767.1000000000001</v>
      </c>
      <c r="H31" s="6">
        <f>H29+H30</f>
        <v>811.2</v>
      </c>
      <c r="I31" s="6">
        <f>I29+I30</f>
        <v>841.1999999999998</v>
      </c>
      <c r="J31" s="6">
        <f>J29+J30</f>
        <v>816.1999999999998</v>
      </c>
      <c r="K31" s="6">
        <f>K29+K30</f>
        <v>809.2</v>
      </c>
      <c r="L31" s="6">
        <f>L29+L30</f>
        <v>889.0999999999999</v>
      </c>
      <c r="M31" s="6">
        <f>M29+M30</f>
        <v>792.6999999999998</v>
      </c>
      <c r="N31" s="6">
        <f>N29+N30</f>
        <v>851.0000000000002</v>
      </c>
      <c r="O31" s="19">
        <f>SUM(C31:N31)</f>
        <v>9663.5</v>
      </c>
      <c r="Q31" s="6">
        <f>Q29+Q30</f>
        <v>733.6999999999998</v>
      </c>
      <c r="R31" s="6">
        <f>R29+R30</f>
        <v>754.0</v>
      </c>
      <c r="S31" s="6">
        <f>S29+S30</f>
        <v>750.1000000000001</v>
      </c>
      <c r="T31" s="6">
        <f>T29+T30</f>
        <v>848.0000000000002</v>
      </c>
      <c r="U31" s="6">
        <f>U29+U30</f>
        <v>767.1000000000001</v>
      </c>
      <c r="V31" s="6">
        <f>V29+V30</f>
        <v>811.2</v>
      </c>
      <c r="W31" s="6">
        <f>W29+W30</f>
        <v>841.1999999999998</v>
      </c>
      <c r="X31" s="6">
        <f>X29+X30</f>
        <v>816.1999999999998</v>
      </c>
      <c r="Y31" s="6">
        <f>Y29+Y30</f>
        <v>805.2</v>
      </c>
      <c r="Z31" s="6">
        <f>Z29+Z30</f>
        <v>885.0999999999999</v>
      </c>
      <c r="AA31" s="6">
        <f>AA29+AA30</f>
        <v>788.6999999999998</v>
      </c>
      <c r="AB31" s="6">
        <f>AB29+AB30</f>
        <v>847.0000000000002</v>
      </c>
      <c r="AC31" s="19">
        <f>SUM(Q31:AB31)</f>
        <v>9647.5</v>
      </c>
      <c r="AE31" s="6">
        <f>AE29+AE30</f>
        <v>0.0</v>
      </c>
      <c r="AF31" s="6">
        <f>AF29+AF30</f>
        <v>0.0</v>
      </c>
      <c r="AG31" s="6">
        <f>AG29+AG30</f>
        <v>0.0</v>
      </c>
      <c r="AH31" s="6">
        <f>AH29+AH30</f>
        <v>0.0</v>
      </c>
      <c r="AI31" s="6">
        <f>AI29+AI30</f>
        <v>0.0</v>
      </c>
      <c r="AJ31" s="6">
        <f>AJ29+AJ30</f>
        <v>0.0</v>
      </c>
      <c r="AK31" s="6">
        <f>AK29+AK30</f>
        <v>0.0</v>
      </c>
      <c r="AL31" s="6">
        <f>AL29+AL30</f>
        <v>0.0</v>
      </c>
      <c r="AM31" s="6">
        <f>AM29+AM30</f>
        <v>-4.0</v>
      </c>
      <c r="AN31" s="6">
        <f>AN29+AN30</f>
        <v>-4.0</v>
      </c>
      <c r="AO31" s="6">
        <f>AO29+AO30</f>
        <v>-4.0</v>
      </c>
      <c r="AP31" s="6">
        <f>AP29+AP30</f>
        <v>-4.0</v>
      </c>
      <c r="AQ31" s="19">
        <f>SUM(AE31:AP31)</f>
        <v>-16.0</v>
      </c>
      <c r="AS31" s="6">
        <f>AS29+AS30</f>
        <v>0.0</v>
      </c>
      <c r="AT31" s="6">
        <f>AT29+AT30</f>
        <v>0.0</v>
      </c>
      <c r="AU31" s="6">
        <f>AU29+AU30</f>
        <v>0.0</v>
      </c>
      <c r="AV31" s="6">
        <f>AV29+AV30</f>
        <v>0.0</v>
      </c>
      <c r="AW31" s="6">
        <f>AW29+AW30</f>
        <v>0.0</v>
      </c>
      <c r="AX31" s="6">
        <f>AX29+AX30</f>
        <v>0.0</v>
      </c>
      <c r="AY31" s="6">
        <f>AY29+AY30</f>
        <v>0.0</v>
      </c>
      <c r="AZ31" s="6">
        <f>AZ29+AZ30</f>
        <v>0.0</v>
      </c>
      <c r="BA31" s="6">
        <f>BA29+BA30</f>
        <v>285.0</v>
      </c>
      <c r="BB31" s="6">
        <f>BB29+BB30</f>
        <v>-30.0</v>
      </c>
      <c r="BC31" s="6">
        <f>BC29+BC30</f>
        <v>165.0</v>
      </c>
      <c r="BD31" s="6">
        <f>BD29+BD30</f>
        <v>390.0</v>
      </c>
      <c r="BE31" s="19">
        <f>SUM(AS31:BD31)</f>
        <v>810.0</v>
      </c>
      <c r="BG31" s="6">
        <f>BG29+BG30</f>
        <v>733.6999999999998</v>
      </c>
      <c r="BH31" s="6">
        <f>BH29+BH30</f>
        <v>754.0</v>
      </c>
      <c r="BI31" s="6">
        <f>BI29+BI30</f>
        <v>750.1000000000001</v>
      </c>
      <c r="BJ31" s="6">
        <f>BJ29+BJ30</f>
        <v>848.0000000000002</v>
      </c>
      <c r="BK31" s="6">
        <f>BK29+BK30</f>
        <v>767.1000000000001</v>
      </c>
      <c r="BL31" s="6">
        <f>BL29+BL30</f>
        <v>811.2</v>
      </c>
      <c r="BM31" s="6">
        <f>BM29+BM30</f>
        <v>841.1999999999998</v>
      </c>
      <c r="BN31" s="6">
        <f>BN29+BN30</f>
        <v>816.1999999999998</v>
      </c>
      <c r="BO31" s="6">
        <f>BO29+BO30</f>
        <v>1090.2</v>
      </c>
      <c r="BP31" s="6">
        <f>BP29+BP30</f>
        <v>855.0999999999999</v>
      </c>
      <c r="BQ31" s="6">
        <f>BQ29+BQ30</f>
        <v>953.6999999999998</v>
      </c>
      <c r="BR31" s="6">
        <f>BR29+BR30</f>
        <v>1237.0000000000002</v>
      </c>
      <c r="BS31" s="19">
        <f>SUM(BG31:BR31)</f>
        <v>10457.5</v>
      </c>
      <c r="BU31" s="6">
        <f>SUM(BG31:BO31)-SUM(C31:K31)</f>
        <v>281.0</v>
      </c>
      <c r="BV31" s="6">
        <f>SUM(BG31:BO31)-SUM(C54:K54)</f>
        <v>423.1999999999998</v>
      </c>
      <c r="BW31" s="6">
        <f>SUM(BG31:BO31)-SUM(C67:K67)</f>
        <v>1042.8000000000002</v>
      </c>
      <c r="BY31" s="6">
        <f>SUM(BP31:BR31)-SUM(L31:N31)</f>
        <v>513.0</v>
      </c>
      <c r="BZ31" s="6">
        <f>SUM(BP31:BR31)-SUM(L54:N54)</f>
        <v>685.3000000000002</v>
      </c>
      <c r="CA31" s="6">
        <f>SUM(BP31:BR31)-SUM(L67:N67)</f>
        <v>821.5</v>
      </c>
      <c r="CC31" s="6">
        <f>BS31-O31</f>
        <v>794.0</v>
      </c>
      <c r="CD31" s="6">
        <f>BS31-O54</f>
        <v>1108.5</v>
      </c>
      <c r="CE31" s="6">
        <f>BS31-O67</f>
        <v>1864.2999999999993</v>
      </c>
    </row>
    <row r="35">
      <c r="B35" s="5" t="inlineStr">
        <is>
          <t>GM %</t>
        </is>
      </c>
      <c r="C35" s="12">
        <f>IFERROR(C29/C28,0)</f>
        <v>0.2813679592831476</v>
      </c>
      <c r="D35" s="12">
        <f>IFERROR(D29/D28,0)</f>
        <v>0.28435877062677767</v>
      </c>
      <c r="E35" s="12">
        <f>IFERROR(E29/E28,0)</f>
        <v>0.28111606563054675</v>
      </c>
      <c r="F35" s="12">
        <f>IFERROR(F29/F28,0)</f>
        <v>0.2839015456448237</v>
      </c>
      <c r="G35" s="12">
        <f>IFERROR(G29/G28,0)</f>
        <v>0.2800631705059086</v>
      </c>
      <c r="H35" s="12">
        <f>IFERROR(H29/H28,0)</f>
        <v>0.28049116997792495</v>
      </c>
      <c r="I35" s="12">
        <f>IFERROR(I29/I28,0)</f>
        <v>0.2798644153438039</v>
      </c>
      <c r="J35" s="12">
        <f>IFERROR(J29/J28,0)</f>
        <v>0.28068105557119044</v>
      </c>
      <c r="K35" s="12">
        <f>IFERROR(K29/K28,0)</f>
        <v>0.2805516033709095</v>
      </c>
      <c r="L35" s="12">
        <f>IFERROR(L29/L28,0)</f>
        <v>0.2836462223131618</v>
      </c>
      <c r="M35" s="12">
        <f>IFERROR(M29/M28,0)</f>
        <v>0.2817741587942434</v>
      </c>
      <c r="N35" s="12">
        <f>IFERROR(N29/N28,0)</f>
        <v>0.28136874212723434</v>
      </c>
      <c r="O35" s="12">
        <f>IFERROR(O29/O28,0)</f>
        <v>0.2816045919375289</v>
      </c>
      <c r="Q35" s="12">
        <f>IFERROR(Q29/Q28,0)</f>
        <v>0.2813679592831476</v>
      </c>
      <c r="R35" s="12">
        <f>IFERROR(R29/R28,0)</f>
        <v>0.28435877062677767</v>
      </c>
      <c r="S35" s="12">
        <f>IFERROR(S29/S28,0)</f>
        <v>0.28111606563054675</v>
      </c>
      <c r="T35" s="12">
        <f>IFERROR(T29/T28,0)</f>
        <v>0.2839015456448237</v>
      </c>
      <c r="U35" s="12">
        <f>IFERROR(U29/U28,0)</f>
        <v>0.2800631705059086</v>
      </c>
      <c r="V35" s="12">
        <f>IFERROR(V29/V28,0)</f>
        <v>0.28049116997792495</v>
      </c>
      <c r="W35" s="12">
        <f>IFERROR(W29/W28,0)</f>
        <v>0.2798644153438039</v>
      </c>
      <c r="X35" s="12">
        <f>IFERROR(X29/X28,0)</f>
        <v>0.28068105557119044</v>
      </c>
      <c r="Y35" s="12">
        <f>IFERROR(Y29/Y28,0)</f>
        <v>0.2805103387593489</v>
      </c>
      <c r="Z35" s="12">
        <f>IFERROR(Z29/Z28,0)</f>
        <v>0.28362197440772907</v>
      </c>
      <c r="AA35" s="12">
        <f>IFERROR(AA29/AA28,0)</f>
        <v>0.28173766343315054</v>
      </c>
      <c r="AB35" s="12">
        <f>IFERROR(AB29/AB28,0)</f>
        <v>0.2813333472790219</v>
      </c>
      <c r="AC35" s="12">
        <f>IFERROR(AC29/AC28,0)</f>
        <v>0.2815927987307115</v>
      </c>
      <c r="AE35" s="12">
        <f>IFERROR(AE29/AE28,0)</f>
        <v>0.0</v>
      </c>
      <c r="AF35" s="12">
        <f>IFERROR(AF29/AF28,0)</f>
        <v>0.0</v>
      </c>
      <c r="AG35" s="12">
        <f>IFERROR(AG29/AG28,0)</f>
        <v>0.0</v>
      </c>
      <c r="AH35" s="12">
        <f>IFERROR(AH29/AH28,0)</f>
        <v>0.0</v>
      </c>
      <c r="AI35" s="12">
        <f>IFERROR(AI29/AI28,0)</f>
        <v>0.0</v>
      </c>
      <c r="AJ35" s="12">
        <f>IFERROR(AJ29/AJ28,0)</f>
        <v>0.0</v>
      </c>
      <c r="AK35" s="12">
        <f>IFERROR(AK29/AK28,0)</f>
        <v>0.0</v>
      </c>
      <c r="AL35" s="12">
        <f>IFERROR(AL29/AL28,0)</f>
        <v>0.0</v>
      </c>
      <c r="AM35" s="12">
        <f>IFERROR(AM29/AM28,0)</f>
        <v>0.28888888888888886</v>
      </c>
      <c r="AN35" s="12">
        <f>IFERROR(AN29/AN28,0)</f>
        <v>0.28888888888888886</v>
      </c>
      <c r="AO35" s="12">
        <f>IFERROR(AO29/AO28,0)</f>
        <v>0.28888888888888886</v>
      </c>
      <c r="AP35" s="12">
        <f>IFERROR(AP29/AP28,0)</f>
        <v>0.28888888888888886</v>
      </c>
      <c r="AQ35" s="12">
        <f>IFERROR(AQ29/AQ28,0)</f>
        <v>0.28888888888888886</v>
      </c>
      <c r="AS35" s="12">
        <f>IFERROR(AS29/AS28,0)</f>
        <v>0.0</v>
      </c>
      <c r="AT35" s="12">
        <f>IFERROR(AT29/AT28,0)</f>
        <v>0.0</v>
      </c>
      <c r="AU35" s="12">
        <f>IFERROR(AU29/AU28,0)</f>
        <v>0.0</v>
      </c>
      <c r="AV35" s="12">
        <f>IFERROR(AV29/AV28,0)</f>
        <v>0.0</v>
      </c>
      <c r="AW35" s="12">
        <f>IFERROR(AW29/AW28,0)</f>
        <v>0.0</v>
      </c>
      <c r="AX35" s="12">
        <f>IFERROR(AX29/AX28,0)</f>
        <v>0.0</v>
      </c>
      <c r="AY35" s="12">
        <f>IFERROR(AY29/AY28,0)</f>
        <v>0.0</v>
      </c>
      <c r="AZ35" s="12">
        <f>IFERROR(AZ29/AZ28,0)</f>
        <v>0.0</v>
      </c>
      <c r="BA35" s="12">
        <f>IFERROR(BA29/BA28,0)</f>
        <v>0.15</v>
      </c>
      <c r="BB35" s="12">
        <f>IFERROR(BB29/BB28,0)</f>
        <v>0.15</v>
      </c>
      <c r="BC35" s="12">
        <f>IFERROR(BC29/BC28,0)</f>
        <v>0.0375</v>
      </c>
      <c r="BD35" s="12">
        <f>IFERROR(BD29/BD28,0)</f>
        <v>0.7</v>
      </c>
      <c r="BE35" s="12">
        <f>IFERROR(BE29/BE28,0)</f>
        <v>0.5</v>
      </c>
      <c r="BG35" s="12">
        <f>IFERROR(BG29/BG28,0)</f>
        <v>0.2813679592831476</v>
      </c>
      <c r="BH35" s="12">
        <f>IFERROR(BH29/BH28,0)</f>
        <v>0.28435877062677767</v>
      </c>
      <c r="BI35" s="12">
        <f>IFERROR(BI29/BI28,0)</f>
        <v>0.28111606563054675</v>
      </c>
      <c r="BJ35" s="12">
        <f>IFERROR(BJ29/BJ28,0)</f>
        <v>0.2839015456448237</v>
      </c>
      <c r="BK35" s="12">
        <f>IFERROR(BK29/BK28,0)</f>
        <v>0.2800631705059086</v>
      </c>
      <c r="BL35" s="12">
        <f>IFERROR(BL29/BL28,0)</f>
        <v>0.28049116997792495</v>
      </c>
      <c r="BM35" s="12">
        <f>IFERROR(BM29/BM28,0)</f>
        <v>0.2798644153438039</v>
      </c>
      <c r="BN35" s="12">
        <f>IFERROR(BN29/BN28,0)</f>
        <v>0.28068105557119044</v>
      </c>
      <c r="BO35" s="12">
        <f>IFERROR(BO29/BO28,0)</f>
        <v>0.2599518161601186</v>
      </c>
      <c r="BP35" s="12">
        <f>IFERROR(BP29/BP28,0)</f>
        <v>0.29892891918208375</v>
      </c>
      <c r="BQ35" s="12">
        <f>IFERROR(BQ29/BQ28,0)</f>
        <v>0.2934059502908261</v>
      </c>
      <c r="BR35" s="12">
        <f>IFERROR(BR29/BR28,0)</f>
        <v>0.29407052094636393</v>
      </c>
      <c r="BS35" s="12">
        <f>IFERROR(BS29/BS28,0)</f>
        <v>0.28276513592722874</v>
      </c>
    </row>
    <row r="36">
      <c r="B36" s="5" t="inlineStr">
        <is>
          <t>Op Cost %</t>
        </is>
      </c>
      <c r="C36" s="12">
        <f>IFERROR(C30/C28,0)</f>
        <v>-0.19819993425452567</v>
      </c>
      <c r="D36" s="12">
        <f>IFERROR(D30/D28,0)</f>
        <v>-0.19753342315265832</v>
      </c>
      <c r="E36" s="12">
        <f>IFERROR(E30/E28,0)</f>
        <v>-0.1999328975280315</v>
      </c>
      <c r="F36" s="12">
        <f>IFERROR(F30/F28,0)</f>
        <v>-0.19856907100305907</v>
      </c>
      <c r="G36" s="12">
        <f>IFERROR(G30/G28,0)</f>
        <v>-0.1965147307084899</v>
      </c>
      <c r="H36" s="12">
        <f>IFERROR(H30/H28,0)</f>
        <v>-0.19439845474613687</v>
      </c>
      <c r="I36" s="12">
        <f>IFERROR(I30/I28,0)</f>
        <v>-0.19131331845551391</v>
      </c>
      <c r="J36" s="12">
        <f>IFERROR(J30/J28,0)</f>
        <v>-0.19233433637131167</v>
      </c>
      <c r="K36" s="12">
        <f>IFERROR(K30/K28,0)</f>
        <v>-0.19198861770821934</v>
      </c>
      <c r="L36" s="12">
        <f>IFERROR(L30/L28,0)</f>
        <v>-0.19268504782853343</v>
      </c>
      <c r="M36" s="12">
        <f>IFERROR(M30/M28,0)</f>
        <v>-0.1918754323689851</v>
      </c>
      <c r="N36" s="12">
        <f>IFERROR(N30/N28,0)</f>
        <v>-0.1927773555835476</v>
      </c>
      <c r="O36" s="12">
        <f>IFERROR(O30/O28,0)</f>
        <v>-0.19482778438295842</v>
      </c>
      <c r="Q36" s="12">
        <f>IFERROR(Q30/Q28,0)</f>
        <v>-0.19819993425452567</v>
      </c>
      <c r="R36" s="12">
        <f>IFERROR(R30/R28,0)</f>
        <v>-0.19753342315265832</v>
      </c>
      <c r="S36" s="12">
        <f>IFERROR(S30/S28,0)</f>
        <v>-0.1999328975280315</v>
      </c>
      <c r="T36" s="12">
        <f>IFERROR(T30/T28,0)</f>
        <v>-0.19856907100305907</v>
      </c>
      <c r="U36" s="12">
        <f>IFERROR(U30/U28,0)</f>
        <v>-0.1965147307084899</v>
      </c>
      <c r="V36" s="12">
        <f>IFERROR(V30/V28,0)</f>
        <v>-0.19439845474613687</v>
      </c>
      <c r="W36" s="12">
        <f>IFERROR(W30/W28,0)</f>
        <v>-0.19131331845551391</v>
      </c>
      <c r="X36" s="12">
        <f>IFERROR(X30/X28,0)</f>
        <v>-0.19233433637131167</v>
      </c>
      <c r="Y36" s="12">
        <f>IFERROR(Y30/Y28,0)</f>
        <v>-0.19194896612406512</v>
      </c>
      <c r="Z36" s="12">
        <f>IFERROR(Z30/Z28,0)</f>
        <v>-0.19265121537591862</v>
      </c>
      <c r="AA36" s="12">
        <f>IFERROR(AA30/AA28,0)</f>
        <v>-0.19183375699613572</v>
      </c>
      <c r="AB36" s="12">
        <f>IFERROR(AB30/AB28,0)</f>
        <v>-0.19274336098066083</v>
      </c>
      <c r="AC36" s="12">
        <f>IFERROR(AC30/AC28,0)</f>
        <v>-0.19481941061554017</v>
      </c>
      <c r="AE36" s="12">
        <f>IFERROR(AE30/AE28,0)</f>
        <v>0.0</v>
      </c>
      <c r="AF36" s="12">
        <f>IFERROR(AF30/AF28,0)</f>
        <v>0.0</v>
      </c>
      <c r="AG36" s="12">
        <f>IFERROR(AG30/AG28,0)</f>
        <v>0.0</v>
      </c>
      <c r="AH36" s="12">
        <f>IFERROR(AH30/AH28,0)</f>
        <v>0.0</v>
      </c>
      <c r="AI36" s="12">
        <f>IFERROR(AI30/AI28,0)</f>
        <v>0.0</v>
      </c>
      <c r="AJ36" s="12">
        <f>IFERROR(AJ30/AJ28,0)</f>
        <v>0.0</v>
      </c>
      <c r="AK36" s="12">
        <f>IFERROR(AK30/AK28,0)</f>
        <v>0.0</v>
      </c>
      <c r="AL36" s="12">
        <f>IFERROR(AL30/AL28,0)</f>
        <v>0.0</v>
      </c>
      <c r="AM36" s="12">
        <f>IFERROR(AM30/AM28,0)</f>
        <v>-0.2</v>
      </c>
      <c r="AN36" s="12">
        <f>IFERROR(AN30/AN28,0)</f>
        <v>-0.2</v>
      </c>
      <c r="AO36" s="12">
        <f>IFERROR(AO30/AO28,0)</f>
        <v>-0.2</v>
      </c>
      <c r="AP36" s="12">
        <f>IFERROR(AP30/AP28,0)</f>
        <v>-0.2</v>
      </c>
      <c r="AQ36" s="12">
        <f>IFERROR(AQ30/AQ28,0)</f>
        <v>-0.2</v>
      </c>
      <c r="AS36" s="12">
        <f>IFERROR(AS30/AS28,0)</f>
        <v>0.0</v>
      </c>
      <c r="AT36" s="12">
        <f>IFERROR(AT30/AT28,0)</f>
        <v>0.0</v>
      </c>
      <c r="AU36" s="12">
        <f>IFERROR(AU30/AU28,0)</f>
        <v>0.0</v>
      </c>
      <c r="AV36" s="12">
        <f>IFERROR(AV30/AV28,0)</f>
        <v>0.0</v>
      </c>
      <c r="AW36" s="12">
        <f>IFERROR(AW30/AW28,0)</f>
        <v>0.0</v>
      </c>
      <c r="AX36" s="12">
        <f>IFERROR(AX30/AX28,0)</f>
        <v>0.0</v>
      </c>
      <c r="AY36" s="12">
        <f>IFERROR(AY30/AY28,0)</f>
        <v>0.0</v>
      </c>
      <c r="AZ36" s="12">
        <f>IFERROR(AZ30/AZ28,0)</f>
        <v>0.0</v>
      </c>
      <c r="BA36" s="12">
        <f>IFERROR(BA30/BA28,0)</f>
        <v>0.01764705882352941</v>
      </c>
      <c r="BB36" s="12">
        <f>IFERROR(BB30/BB28,0)</f>
        <v>-0.12</v>
      </c>
      <c r="BC36" s="12">
        <f>IFERROR(BC30/BC28,0)</f>
        <v>-0.45</v>
      </c>
      <c r="BD36" s="12">
        <f>IFERROR(BD30/BD28,0)</f>
        <v>0.6</v>
      </c>
      <c r="BE36" s="12">
        <f>IFERROR(BE30/BE28,0)</f>
        <v>0.85</v>
      </c>
      <c r="BG36" s="12">
        <f>IFERROR(BG30/BG28,0)</f>
        <v>-0.19819993425452567</v>
      </c>
      <c r="BH36" s="12">
        <f>IFERROR(BH30/BH28,0)</f>
        <v>-0.19753342315265832</v>
      </c>
      <c r="BI36" s="12">
        <f>IFERROR(BI30/BI28,0)</f>
        <v>-0.1999328975280315</v>
      </c>
      <c r="BJ36" s="12">
        <f>IFERROR(BJ30/BJ28,0)</f>
        <v>-0.19856907100305907</v>
      </c>
      <c r="BK36" s="12">
        <f>IFERROR(BK30/BK28,0)</f>
        <v>-0.1965147307084899</v>
      </c>
      <c r="BL36" s="12">
        <f>IFERROR(BL30/BL28,0)</f>
        <v>-0.19439845474613687</v>
      </c>
      <c r="BM36" s="12">
        <f>IFERROR(BM30/BM28,0)</f>
        <v>-0.19131331845551391</v>
      </c>
      <c r="BN36" s="12">
        <f>IFERROR(BN30/BN28,0)</f>
        <v>-0.19233433637131167</v>
      </c>
      <c r="BO36" s="12">
        <f>IFERROR(BO30/BO28,0)</f>
        <v>-0.15893254262416606</v>
      </c>
      <c r="BP36" s="12">
        <f>IFERROR(BP30/BP28,0)</f>
        <v>-0.20097370983446933</v>
      </c>
      <c r="BQ36" s="12">
        <f>IFERROR(BQ30/BQ28,0)</f>
        <v>-0.17950004180252488</v>
      </c>
      <c r="BR36" s="12">
        <f>IFERROR(BR30/BR28,0)</f>
        <v>-0.16862558184344228</v>
      </c>
      <c r="BS36" s="12">
        <f>IFERROR(BS30/BS28,0)</f>
        <v>-0.18921116761077975</v>
      </c>
    </row>
    <row r="37">
      <c r="B37" s="5" t="inlineStr">
        <is>
          <t>PBITA %</t>
        </is>
      </c>
      <c r="C37" s="12">
        <f>IFERROR(C31/C28,0)</f>
        <v>0.08316802502862193</v>
      </c>
      <c r="D37" s="12">
        <f>IFERROR(D31/D28,0)</f>
        <v>0.08682534747411937</v>
      </c>
      <c r="E37" s="12">
        <f>IFERROR(E31/E28,0)</f>
        <v>0.08118316810251527</v>
      </c>
      <c r="F37" s="12">
        <f>IFERROR(F31/F28,0)</f>
        <v>0.08533247464176463</v>
      </c>
      <c r="G37" s="12">
        <f>IFERROR(G31/G28,0)</f>
        <v>0.08354843979741873</v>
      </c>
      <c r="H37" s="12">
        <f>IFERROR(H31/H28,0)</f>
        <v>0.08609271523178809</v>
      </c>
      <c r="I37" s="12">
        <f>IFERROR(I31/I28,0)</f>
        <v>0.08855109688829</v>
      </c>
      <c r="J37" s="12">
        <f>IFERROR(J31/J28,0)</f>
        <v>0.08834671919987874</v>
      </c>
      <c r="K37" s="12">
        <f>IFERROR(K31/K28,0)</f>
        <v>0.08856298566269016</v>
      </c>
      <c r="L37" s="12">
        <f>IFERROR(L31/L28,0)</f>
        <v>0.09096117448462836</v>
      </c>
      <c r="M37" s="12">
        <f>IFERROR(M31/M28,0)</f>
        <v>0.08989872642525826</v>
      </c>
      <c r="N37" s="12">
        <f>IFERROR(N31/N28,0)</f>
        <v>0.08859138654368671</v>
      </c>
      <c r="O37" s="12">
        <f>IFERROR(O31/O28,0)</f>
        <v>0.08677680755457057</v>
      </c>
      <c r="Q37" s="12">
        <f>IFERROR(Q31/Q28,0)</f>
        <v>0.08316802502862193</v>
      </c>
      <c r="R37" s="12">
        <f>IFERROR(R31/R28,0)</f>
        <v>0.08682534747411937</v>
      </c>
      <c r="S37" s="12">
        <f>IFERROR(S31/S28,0)</f>
        <v>0.08118316810251527</v>
      </c>
      <c r="T37" s="12">
        <f>IFERROR(T31/T28,0)</f>
        <v>0.08533247464176463</v>
      </c>
      <c r="U37" s="12">
        <f>IFERROR(U31/U28,0)</f>
        <v>0.08354843979741873</v>
      </c>
      <c r="V37" s="12">
        <f>IFERROR(V31/V28,0)</f>
        <v>0.08609271523178809</v>
      </c>
      <c r="W37" s="12">
        <f>IFERROR(W31/W28,0)</f>
        <v>0.08855109688829</v>
      </c>
      <c r="X37" s="12">
        <f>IFERROR(X31/X28,0)</f>
        <v>0.08834671919987874</v>
      </c>
      <c r="Y37" s="12">
        <f>IFERROR(Y31/Y28,0)</f>
        <v>0.08856137263528377</v>
      </c>
      <c r="Z37" s="12">
        <f>IFERROR(Z31/Z28,0)</f>
        <v>0.09097075903181047</v>
      </c>
      <c r="AA37" s="12">
        <f>IFERROR(AA31/AA28,0)</f>
        <v>0.0899039064370148</v>
      </c>
      <c r="AB37" s="12">
        <f>IFERROR(AB31/AB28,0)</f>
        <v>0.08858998629836105</v>
      </c>
      <c r="AC37" s="12">
        <f>IFERROR(AC31/AC28,0)</f>
        <v>0.08677338811517138</v>
      </c>
      <c r="AE37" s="12">
        <f>IFERROR(AE31/AE28,0)</f>
        <v>0.0</v>
      </c>
      <c r="AF37" s="12">
        <f>IFERROR(AF31/AF28,0)</f>
        <v>0.0</v>
      </c>
      <c r="AG37" s="12">
        <f>IFERROR(AG31/AG28,0)</f>
        <v>0.0</v>
      </c>
      <c r="AH37" s="12">
        <f>IFERROR(AH31/AH28,0)</f>
        <v>0.0</v>
      </c>
      <c r="AI37" s="12">
        <f>IFERROR(AI31/AI28,0)</f>
        <v>0.0</v>
      </c>
      <c r="AJ37" s="12">
        <f>IFERROR(AJ31/AJ28,0)</f>
        <v>0.0</v>
      </c>
      <c r="AK37" s="12">
        <f>IFERROR(AK31/AK28,0)</f>
        <v>0.0</v>
      </c>
      <c r="AL37" s="12">
        <f>IFERROR(AL31/AL28,0)</f>
        <v>0.0</v>
      </c>
      <c r="AM37" s="12">
        <f>IFERROR(AM31/AM28,0)</f>
        <v>0.08888888888888889</v>
      </c>
      <c r="AN37" s="12">
        <f>IFERROR(AN31/AN28,0)</f>
        <v>0.08888888888888889</v>
      </c>
      <c r="AO37" s="12">
        <f>IFERROR(AO31/AO28,0)</f>
        <v>0.08888888888888889</v>
      </c>
      <c r="AP37" s="12">
        <f>IFERROR(AP31/AP28,0)</f>
        <v>0.08888888888888889</v>
      </c>
      <c r="AQ37" s="12">
        <f>IFERROR(AQ31/AQ28,0)</f>
        <v>0.08888888888888889</v>
      </c>
      <c r="AS37" s="12">
        <f>IFERROR(AS31/AS28,0)</f>
        <v>0.0</v>
      </c>
      <c r="AT37" s="12">
        <f>IFERROR(AT31/AT28,0)</f>
        <v>0.0</v>
      </c>
      <c r="AU37" s="12">
        <f>IFERROR(AU31/AU28,0)</f>
        <v>0.0</v>
      </c>
      <c r="AV37" s="12">
        <f>IFERROR(AV31/AV28,0)</f>
        <v>0.0</v>
      </c>
      <c r="AW37" s="12">
        <f>IFERROR(AW31/AW28,0)</f>
        <v>0.0</v>
      </c>
      <c r="AX37" s="12">
        <f>IFERROR(AX31/AX28,0)</f>
        <v>0.0</v>
      </c>
      <c r="AY37" s="12">
        <f>IFERROR(AY31/AY28,0)</f>
        <v>0.0</v>
      </c>
      <c r="AZ37" s="12">
        <f>IFERROR(AZ31/AZ28,0)</f>
        <v>0.0</v>
      </c>
      <c r="BA37" s="12">
        <f>IFERROR(BA31/BA28,0)</f>
        <v>0.1676470588235294</v>
      </c>
      <c r="BB37" s="12">
        <f>IFERROR(BB31/BB28,0)</f>
        <v>0.03</v>
      </c>
      <c r="BC37" s="12">
        <f>IFERROR(BC31/BC28,0)</f>
        <v>-0.4125</v>
      </c>
      <c r="BD37" s="12">
        <f>IFERROR(BD31/BD28,0)</f>
        <v>1.3</v>
      </c>
      <c r="BE37" s="12">
        <f>IFERROR(BE31/BE28,0)</f>
        <v>1.35</v>
      </c>
      <c r="BG37" s="12">
        <f>IFERROR(BG31/BG28,0)</f>
        <v>0.08316802502862193</v>
      </c>
      <c r="BH37" s="12">
        <f>IFERROR(BH31/BH28,0)</f>
        <v>0.08682534747411937</v>
      </c>
      <c r="BI37" s="12">
        <f>IFERROR(BI31/BI28,0)</f>
        <v>0.08118316810251527</v>
      </c>
      <c r="BJ37" s="12">
        <f>IFERROR(BJ31/BJ28,0)</f>
        <v>0.08533247464176463</v>
      </c>
      <c r="BK37" s="12">
        <f>IFERROR(BK31/BK28,0)</f>
        <v>0.08354843979741873</v>
      </c>
      <c r="BL37" s="12">
        <f>IFERROR(BL31/BL28,0)</f>
        <v>0.08609271523178809</v>
      </c>
      <c r="BM37" s="12">
        <f>IFERROR(BM31/BM28,0)</f>
        <v>0.08855109688829</v>
      </c>
      <c r="BN37" s="12">
        <f>IFERROR(BN31/BN28,0)</f>
        <v>0.08834671919987874</v>
      </c>
      <c r="BO37" s="12">
        <f>IFERROR(BO31/BO28,0)</f>
        <v>0.10101927353595257</v>
      </c>
      <c r="BP37" s="12">
        <f>IFERROR(BP31/BP28,0)</f>
        <v>0.0979552093476144</v>
      </c>
      <c r="BQ37" s="12">
        <f>IFERROR(BQ31/BQ28,0)</f>
        <v>0.11390590848830123</v>
      </c>
      <c r="BR37" s="12">
        <f>IFERROR(BR31/BR28,0)</f>
        <v>0.12544493910292168</v>
      </c>
      <c r="BS37" s="12">
        <f>IFERROR(BS31/BS28,0)</f>
        <v>0.09355396831644905</v>
      </c>
    </row>
    <row r="38">
      <c r="B38" s="5" t="inlineStr">
        <is>
          <t>Sales/Day</t>
        </is>
      </c>
      <c r="C38" s="6">
        <f>IFERROR(C28/21,0)</f>
        <v>420.0904761904762</v>
      </c>
      <c r="D38" s="6">
        <f>IFERROR(D28/20,0)</f>
        <v>434.20500000000004</v>
      </c>
      <c r="E38" s="6">
        <f>IFERROR(E28/22,0)</f>
        <v>419.9818181818182</v>
      </c>
      <c r="F38" s="6">
        <f>IFERROR(F28/22,0)</f>
        <v>451.70909090909095</v>
      </c>
      <c r="G38" s="6">
        <f>IFERROR(G28/20,0)</f>
        <v>459.075</v>
      </c>
      <c r="H38" s="6">
        <f>IFERROR(H28/22,0)</f>
        <v>428.29090909090905</v>
      </c>
      <c r="I38" s="6">
        <f>IFERROR(I28/22,0)</f>
        <v>431.8</v>
      </c>
      <c r="J38" s="6">
        <f>IFERROR(J28/21,0)</f>
        <v>439.93333333333334</v>
      </c>
      <c r="K38" s="6">
        <f>IFERROR(K28/21,0)</f>
        <v>435.0952380952381</v>
      </c>
      <c r="L38" s="6">
        <f>IFERROR(L28/22,0)</f>
        <v>444.29545454545456</v>
      </c>
      <c r="M38" s="6">
        <f>IFERROR(M28/19,0)</f>
        <v>464.0894736842106</v>
      </c>
      <c r="N38" s="6">
        <f>IFERROR(N28/22,0)</f>
        <v>436.6318181818182</v>
      </c>
      <c r="O38" s="6">
        <f>IFERROR(O28/254,0)</f>
        <v>438.4267716535433</v>
      </c>
      <c r="Q38" s="6">
        <f>IFERROR(Q28/21,0)</f>
        <v>420.0904761904762</v>
      </c>
      <c r="R38" s="6">
        <f>IFERROR(R28/20,0)</f>
        <v>434.20500000000004</v>
      </c>
      <c r="S38" s="6">
        <f>IFERROR(S28/22,0)</f>
        <v>419.9818181818182</v>
      </c>
      <c r="T38" s="6">
        <f>IFERROR(T28/22,0)</f>
        <v>451.70909090909095</v>
      </c>
      <c r="U38" s="6">
        <f>IFERROR(U28/20,0)</f>
        <v>459.075</v>
      </c>
      <c r="V38" s="6">
        <f>IFERROR(V28/22,0)</f>
        <v>428.29090909090905</v>
      </c>
      <c r="W38" s="6">
        <f>IFERROR(W28/22,0)</f>
        <v>431.8</v>
      </c>
      <c r="X38" s="6">
        <f>IFERROR(X28/21,0)</f>
        <v>439.93333333333334</v>
      </c>
      <c r="Y38" s="6">
        <f>IFERROR(Y28/21,0)</f>
        <v>432.95238095238096</v>
      </c>
      <c r="Z38" s="6">
        <f>IFERROR(Z28/22,0)</f>
        <v>442.25</v>
      </c>
      <c r="AA38" s="6">
        <f>IFERROR(AA28/19,0)</f>
        <v>461.72105263157897</v>
      </c>
      <c r="AB38" s="6">
        <f>IFERROR(AB28/22,0)</f>
        <v>434.5863636363636</v>
      </c>
      <c r="AC38" s="6">
        <f>IFERROR(AC28/254,0)</f>
        <v>437.71811023622047</v>
      </c>
      <c r="AE38" s="6">
        <f>IFERROR(AE28/21,0)</f>
        <v>0.0</v>
      </c>
      <c r="AF38" s="6">
        <f>IFERROR(AF28/20,0)</f>
        <v>0.0</v>
      </c>
      <c r="AG38" s="6">
        <f>IFERROR(AG28/22,0)</f>
        <v>0.0</v>
      </c>
      <c r="AH38" s="6">
        <f>IFERROR(AH28/22,0)</f>
        <v>0.0</v>
      </c>
      <c r="AI38" s="6">
        <f>IFERROR(AI28/20,0)</f>
        <v>0.0</v>
      </c>
      <c r="AJ38" s="6">
        <f>IFERROR(AJ28/22,0)</f>
        <v>0.0</v>
      </c>
      <c r="AK38" s="6">
        <f>IFERROR(AK28/22,0)</f>
        <v>0.0</v>
      </c>
      <c r="AL38" s="6">
        <f>IFERROR(AL28/21,0)</f>
        <v>0.0</v>
      </c>
      <c r="AM38" s="6">
        <f>IFERROR(AM28/21,0)</f>
        <v>-2.142857142857143</v>
      </c>
      <c r="AN38" s="6">
        <f>IFERROR(AN28/22,0)</f>
        <v>-2.0454545454545454</v>
      </c>
      <c r="AO38" s="6">
        <f>IFERROR(AO28/19,0)</f>
        <v>-2.3684210526315788</v>
      </c>
      <c r="AP38" s="6">
        <f>IFERROR(AP28/22,0)</f>
        <v>-2.0454545454545454</v>
      </c>
      <c r="AQ38" s="6">
        <f>IFERROR(AQ28/254,0)</f>
        <v>-0.7086614173228346</v>
      </c>
      <c r="AS38" s="6">
        <f>IFERROR(AS28/21,0)</f>
        <v>0.0</v>
      </c>
      <c r="AT38" s="6">
        <f>IFERROR(AT28/20,0)</f>
        <v>0.0</v>
      </c>
      <c r="AU38" s="6">
        <f>IFERROR(AU28/22,0)</f>
        <v>0.0</v>
      </c>
      <c r="AV38" s="6">
        <f>IFERROR(AV28/22,0)</f>
        <v>0.0</v>
      </c>
      <c r="AW38" s="6">
        <f>IFERROR(AW28/20,0)</f>
        <v>0.0</v>
      </c>
      <c r="AX38" s="6">
        <f>IFERROR(AX28/22,0)</f>
        <v>0.0</v>
      </c>
      <c r="AY38" s="6">
        <f>IFERROR(AY28/22,0)</f>
        <v>0.0</v>
      </c>
      <c r="AZ38" s="6">
        <f>IFERROR(AZ28/21,0)</f>
        <v>0.0</v>
      </c>
      <c r="BA38" s="6">
        <f>IFERROR(BA28/21,0)</f>
        <v>80.95238095238095</v>
      </c>
      <c r="BB38" s="6">
        <f>IFERROR(BB28/22,0)</f>
        <v>-45.45454545454545</v>
      </c>
      <c r="BC38" s="6">
        <f>IFERROR(BC28/19,0)</f>
        <v>-21.05263157894737</v>
      </c>
      <c r="BD38" s="6">
        <f>IFERROR(BD28/22,0)</f>
        <v>13.636363636363637</v>
      </c>
      <c r="BE38" s="6">
        <f>IFERROR(BE28/254,0)</f>
        <v>2.3622047244094486</v>
      </c>
      <c r="BG38" s="6">
        <f>IFERROR(BG28/21,0)</f>
        <v>420.0904761904762</v>
      </c>
      <c r="BH38" s="6">
        <f>IFERROR(BH28/20,0)</f>
        <v>434.20500000000004</v>
      </c>
      <c r="BI38" s="6">
        <f>IFERROR(BI28/22,0)</f>
        <v>419.9818181818182</v>
      </c>
      <c r="BJ38" s="6">
        <f>IFERROR(BJ28/22,0)</f>
        <v>451.70909090909095</v>
      </c>
      <c r="BK38" s="6">
        <f>IFERROR(BK28/20,0)</f>
        <v>459.075</v>
      </c>
      <c r="BL38" s="6">
        <f>IFERROR(BL28/22,0)</f>
        <v>428.29090909090905</v>
      </c>
      <c r="BM38" s="6">
        <f>IFERROR(BM28/22,0)</f>
        <v>431.8</v>
      </c>
      <c r="BN38" s="6">
        <f>IFERROR(BN28/21,0)</f>
        <v>439.93333333333334</v>
      </c>
      <c r="BO38" s="6">
        <f>IFERROR(BO28/21,0)</f>
        <v>513.9047619047619</v>
      </c>
      <c r="BP38" s="6">
        <f>IFERROR(BP28/22,0)</f>
        <v>396.79545454545456</v>
      </c>
      <c r="BQ38" s="6">
        <f>IFERROR(BQ28/19,0)</f>
        <v>440.66842105263163</v>
      </c>
      <c r="BR38" s="6">
        <f>IFERROR(BR28/22,0)</f>
        <v>448.22272727272724</v>
      </c>
      <c r="BS38" s="6">
        <f>IFERROR(BS28/254,0)</f>
        <v>440.0803149606299</v>
      </c>
    </row>
    <row r="40">
      <c r="B40" s="5" t="inlineStr">
        <is>
          <t>Net Inventory</t>
        </is>
      </c>
      <c r="C40" s="6" t="n">
        <v>15798.6</v>
      </c>
      <c r="D40" s="6" t="n">
        <v>15660.9</v>
      </c>
      <c r="E40" s="6" t="n">
        <v>16687.5</v>
      </c>
      <c r="F40" s="6" t="n">
        <v>17704.9</v>
      </c>
      <c r="G40" s="6" t="n">
        <v>16552.1</v>
      </c>
      <c r="H40" s="6" t="n">
        <v>15965.1</v>
      </c>
      <c r="I40" s="6" t="n">
        <v>15790.5</v>
      </c>
      <c r="J40" s="6" t="n">
        <v>14626.3</v>
      </c>
      <c r="K40" s="6" t="n">
        <v>17838.1</v>
      </c>
      <c r="L40" s="6" t="n">
        <v>13564.6</v>
      </c>
      <c r="M40" s="6" t="n">
        <v>13149.8</v>
      </c>
      <c r="N40" s="6" t="n">
        <v>15406.6</v>
      </c>
      <c r="O40" s="6">
        <f>N40</f>
        <v>15406.6</v>
      </c>
      <c r="Q40" s="6" t="n">
        <v>15798.6</v>
      </c>
      <c r="R40" s="6" t="n">
        <v>15660.9</v>
      </c>
      <c r="S40" s="6" t="n">
        <v>16687.5</v>
      </c>
      <c r="T40" s="6" t="n">
        <v>17704.9</v>
      </c>
      <c r="U40" s="6" t="n">
        <v>16552.1</v>
      </c>
      <c r="V40" s="6" t="n">
        <v>15965.1</v>
      </c>
      <c r="W40" s="6" t="n">
        <v>15790.5</v>
      </c>
      <c r="X40" s="6" t="n">
        <v>14626.3</v>
      </c>
      <c r="Y40" s="6" t="n">
        <v>17838.1</v>
      </c>
      <c r="Z40" s="6" t="n">
        <v>13564.6</v>
      </c>
      <c r="AA40" s="6" t="n">
        <v>13149.8</v>
      </c>
      <c r="AB40" s="6" t="n">
        <v>15406.6</v>
      </c>
      <c r="AC40" s="6">
        <f>AB40</f>
        <v>15406.6</v>
      </c>
      <c r="AE40" s="6">
        <f>Q40-C40</f>
        <v>0.0</v>
      </c>
      <c r="AF40" s="6">
        <f>R40-D40</f>
        <v>0.0</v>
      </c>
      <c r="AG40" s="6">
        <f>S40-E40</f>
        <v>0.0</v>
      </c>
      <c r="AH40" s="6">
        <f>T40-F40</f>
        <v>0.0</v>
      </c>
      <c r="AI40" s="6">
        <f>U40-G40</f>
        <v>0.0</v>
      </c>
      <c r="AJ40" s="6">
        <f>V40-H40</f>
        <v>0.0</v>
      </c>
      <c r="AK40" s="6">
        <f>W40-I40</f>
        <v>0.0</v>
      </c>
      <c r="AL40" s="6">
        <f>X40-J40</f>
        <v>0.0</v>
      </c>
      <c r="AM40" s="6">
        <f>Y40-K40</f>
        <v>0.0</v>
      </c>
      <c r="AN40" s="6">
        <f>Z40-L40</f>
        <v>0.0</v>
      </c>
      <c r="AO40" s="6">
        <f>AA40-M40</f>
        <v>0.0</v>
      </c>
      <c r="AP40" s="6">
        <f>AB40-N40</f>
        <v>0.0</v>
      </c>
      <c r="AQ40" s="6">
        <f>AP40</f>
        <v>0.0</v>
      </c>
      <c r="AS40" s="6">
        <f>'Hollis-Adj'!C90</f>
        <v>0.0</v>
      </c>
      <c r="AT40" s="6">
        <f>'Hollis-Adj'!D90</f>
        <v>0.0</v>
      </c>
      <c r="AU40" s="6">
        <f>'Hollis-Adj'!E90</f>
        <v>0.0</v>
      </c>
      <c r="AV40" s="6">
        <f>'Hollis-Adj'!F90</f>
        <v>0.0</v>
      </c>
      <c r="AW40" s="6">
        <f>'Hollis-Adj'!G90</f>
        <v>0.0</v>
      </c>
      <c r="AX40" s="6">
        <f>'Hollis-Adj'!H90</f>
        <v>0.0</v>
      </c>
      <c r="AY40" s="6">
        <f>'Hollis-Adj'!I90</f>
        <v>0.0</v>
      </c>
      <c r="AZ40" s="6">
        <f>'Hollis-Adj'!J90</f>
        <v>0.0</v>
      </c>
      <c r="BA40" s="6">
        <f>'Hollis-Adj'!K90</f>
        <v>0.0</v>
      </c>
      <c r="BB40" s="6">
        <f>'Hollis-Adj'!L90</f>
        <v>-800.0</v>
      </c>
      <c r="BC40" s="6">
        <f>'Hollis-Adj'!M90</f>
        <v>-1500.0</v>
      </c>
      <c r="BD40" s="6">
        <f>'Hollis-Adj'!N90</f>
        <v>-1500.0</v>
      </c>
      <c r="BE40" s="6">
        <f>BD40</f>
        <v>-1500.0</v>
      </c>
      <c r="BG40" s="6">
        <f>C40+AE40+AS40</f>
        <v>15798.6</v>
      </c>
      <c r="BH40" s="6">
        <f>D40+AF40+AT40</f>
        <v>15660.9</v>
      </c>
      <c r="BI40" s="6">
        <f>E40+AG40+AU40</f>
        <v>16687.5</v>
      </c>
      <c r="BJ40" s="6">
        <f>F40+AH40+AV40</f>
        <v>17704.9</v>
      </c>
      <c r="BK40" s="6">
        <f>G40+AI40+AW40</f>
        <v>16552.1</v>
      </c>
      <c r="BL40" s="6">
        <f>H40+AJ40+AX40</f>
        <v>15965.1</v>
      </c>
      <c r="BM40" s="6">
        <f>I40+AK40+AY40</f>
        <v>15790.5</v>
      </c>
      <c r="BN40" s="6">
        <f>J40+AL40+AZ40</f>
        <v>14626.3</v>
      </c>
      <c r="BO40" s="6">
        <f>K40+AM40+BA40</f>
        <v>17838.1</v>
      </c>
      <c r="BP40" s="6">
        <f>L40+AN40+BB40</f>
        <v>12764.6</v>
      </c>
      <c r="BQ40" s="6">
        <f>M40+AO40+BC40</f>
        <v>11649.8</v>
      </c>
      <c r="BR40" s="6">
        <f>N40+AP40+BD40</f>
        <v>13906.6</v>
      </c>
      <c r="BS40" s="6">
        <f>BR40</f>
        <v>13906.6</v>
      </c>
    </row>
    <row r="41">
      <c r="B41" s="5" t="inlineStr">
        <is>
          <t>Trade Receivables</t>
        </is>
      </c>
      <c r="C41" s="6" t="n">
        <v>13379.9</v>
      </c>
      <c r="D41" s="6" t="n">
        <v>13170.9</v>
      </c>
      <c r="E41" s="6" t="n">
        <v>14013.4</v>
      </c>
      <c r="F41" s="6" t="n">
        <v>15072</v>
      </c>
      <c r="G41" s="6" t="n">
        <v>13925.3</v>
      </c>
      <c r="H41" s="6" t="n">
        <v>14290.6</v>
      </c>
      <c r="I41" s="6" t="n">
        <v>14407.7</v>
      </c>
      <c r="J41" s="6" t="n">
        <v>14011.9</v>
      </c>
      <c r="K41" s="6" t="n">
        <v>16367.9</v>
      </c>
      <c r="L41" s="6" t="n">
        <v>13239.7</v>
      </c>
      <c r="M41" s="6" t="n">
        <v>12698.6</v>
      </c>
      <c r="N41" s="6" t="n">
        <v>14955.7</v>
      </c>
      <c r="O41" s="6">
        <f>N41</f>
        <v>14955.7</v>
      </c>
      <c r="Q41" s="6" t="n">
        <v>13379.9</v>
      </c>
      <c r="R41" s="6" t="n">
        <v>13170.9</v>
      </c>
      <c r="S41" s="6" t="n">
        <v>14013.4</v>
      </c>
      <c r="T41" s="6" t="n">
        <v>15072</v>
      </c>
      <c r="U41" s="6" t="n">
        <v>13925.3</v>
      </c>
      <c r="V41" s="6" t="n">
        <v>14290.6</v>
      </c>
      <c r="W41" s="6" t="n">
        <v>14407.7</v>
      </c>
      <c r="X41" s="6" t="n">
        <v>14011.9</v>
      </c>
      <c r="Y41" s="6" t="n">
        <v>16367.9</v>
      </c>
      <c r="Z41" s="6" t="n">
        <v>13239.7</v>
      </c>
      <c r="AA41" s="6" t="n">
        <v>12698.6</v>
      </c>
      <c r="AB41" s="6" t="n">
        <v>14955.7</v>
      </c>
      <c r="AC41" s="6">
        <f>AB41</f>
        <v>14955.7</v>
      </c>
      <c r="AE41" s="6">
        <f>Q41-C41</f>
        <v>0.0</v>
      </c>
      <c r="AF41" s="6">
        <f>R41-D41</f>
        <v>0.0</v>
      </c>
      <c r="AG41" s="6">
        <f>S41-E41</f>
        <v>0.0</v>
      </c>
      <c r="AH41" s="6">
        <f>T41-F41</f>
        <v>0.0</v>
      </c>
      <c r="AI41" s="6">
        <f>U41-G41</f>
        <v>0.0</v>
      </c>
      <c r="AJ41" s="6">
        <f>V41-H41</f>
        <v>0.0</v>
      </c>
      <c r="AK41" s="6">
        <f>W41-I41</f>
        <v>0.0</v>
      </c>
      <c r="AL41" s="6">
        <f>X41-J41</f>
        <v>0.0</v>
      </c>
      <c r="AM41" s="6">
        <f>Y41-K41</f>
        <v>0.0</v>
      </c>
      <c r="AN41" s="6">
        <f>Z41-L41</f>
        <v>0.0</v>
      </c>
      <c r="AO41" s="6">
        <f>AA41-M41</f>
        <v>0.0</v>
      </c>
      <c r="AP41" s="6">
        <f>AB41-N41</f>
        <v>0.0</v>
      </c>
      <c r="AQ41" s="6">
        <f>AP41</f>
        <v>0.0</v>
      </c>
      <c r="AS41" s="6">
        <f>'Hollis-Adj'!C91</f>
        <v>0.0</v>
      </c>
      <c r="AT41" s="6">
        <f>'Hollis-Adj'!D91</f>
        <v>0.0</v>
      </c>
      <c r="AU41" s="6">
        <f>'Hollis-Adj'!E91</f>
        <v>0.0</v>
      </c>
      <c r="AV41" s="6">
        <f>'Hollis-Adj'!F91</f>
        <v>0.0</v>
      </c>
      <c r="AW41" s="6">
        <f>'Hollis-Adj'!G91</f>
        <v>0.0</v>
      </c>
      <c r="AX41" s="6">
        <f>'Hollis-Adj'!H91</f>
        <v>0.0</v>
      </c>
      <c r="AY41" s="6">
        <f>'Hollis-Adj'!I91</f>
        <v>0.0</v>
      </c>
      <c r="AZ41" s="6">
        <f>'Hollis-Adj'!J91</f>
        <v>0.0</v>
      </c>
      <c r="BA41" s="6">
        <f>'Hollis-Adj'!K91</f>
        <v>600.0</v>
      </c>
      <c r="BB41" s="6">
        <f>'Hollis-Adj'!L91</f>
        <v>-300.0</v>
      </c>
      <c r="BC41" s="6">
        <f>'Hollis-Adj'!M91</f>
        <v>-300.0</v>
      </c>
      <c r="BD41" s="6">
        <f>'Hollis-Adj'!N91</f>
        <v>0.0</v>
      </c>
      <c r="BE41" s="6">
        <f>BD41</f>
        <v>0.0</v>
      </c>
      <c r="BG41" s="6">
        <f>C41+AE41+AS41</f>
        <v>13379.9</v>
      </c>
      <c r="BH41" s="6">
        <f>D41+AF41+AT41</f>
        <v>13170.9</v>
      </c>
      <c r="BI41" s="6">
        <f>E41+AG41+AU41</f>
        <v>14013.4</v>
      </c>
      <c r="BJ41" s="6">
        <f>F41+AH41+AV41</f>
        <v>15072.0</v>
      </c>
      <c r="BK41" s="6">
        <f>G41+AI41+AW41</f>
        <v>13925.3</v>
      </c>
      <c r="BL41" s="6">
        <f>H41+AJ41+AX41</f>
        <v>14290.6</v>
      </c>
      <c r="BM41" s="6">
        <f>I41+AK41+AY41</f>
        <v>14407.7</v>
      </c>
      <c r="BN41" s="6">
        <f>J41+AL41+AZ41</f>
        <v>14011.9</v>
      </c>
      <c r="BO41" s="6">
        <f>K41+AM41+BA41</f>
        <v>16967.9</v>
      </c>
      <c r="BP41" s="6">
        <f>L41+AN41+BB41</f>
        <v>12939.7</v>
      </c>
      <c r="BQ41" s="6">
        <f>M41+AO41+BC41</f>
        <v>12398.6</v>
      </c>
      <c r="BR41" s="6">
        <f>N41+AP41+BD41</f>
        <v>14955.7</v>
      </c>
      <c r="BS41" s="6">
        <f>BR41</f>
        <v>14955.7</v>
      </c>
    </row>
    <row r="42">
      <c r="B42" s="5" t="inlineStr">
        <is>
          <t>Other Receivables</t>
        </is>
      </c>
      <c r="C42" s="6" t="n">
        <v>132.3</v>
      </c>
      <c r="D42" s="6" t="n">
        <v>130.3</v>
      </c>
      <c r="E42" s="6" t="n">
        <v>138.6</v>
      </c>
      <c r="F42" s="6" t="n">
        <v>149.1</v>
      </c>
      <c r="G42" s="6" t="n">
        <v>137.7</v>
      </c>
      <c r="H42" s="6" t="n">
        <v>141.3</v>
      </c>
      <c r="I42" s="6" t="n">
        <v>142.5</v>
      </c>
      <c r="J42" s="6" t="n">
        <v>138.6</v>
      </c>
      <c r="K42" s="6" t="n">
        <v>161.9</v>
      </c>
      <c r="L42" s="6" t="n">
        <v>130.9</v>
      </c>
      <c r="M42" s="6" t="n">
        <v>125.6</v>
      </c>
      <c r="N42" s="6" t="n">
        <v>147.9</v>
      </c>
      <c r="O42" s="6">
        <f>N42</f>
        <v>147.9</v>
      </c>
      <c r="Q42" s="6" t="n">
        <v>132.3</v>
      </c>
      <c r="R42" s="6" t="n">
        <v>130.3</v>
      </c>
      <c r="S42" s="6" t="n">
        <v>138.6</v>
      </c>
      <c r="T42" s="6" t="n">
        <v>149.1</v>
      </c>
      <c r="U42" s="6" t="n">
        <v>137.7</v>
      </c>
      <c r="V42" s="6" t="n">
        <v>141.3</v>
      </c>
      <c r="W42" s="6" t="n">
        <v>142.5</v>
      </c>
      <c r="X42" s="6" t="n">
        <v>138.6</v>
      </c>
      <c r="Y42" s="6" t="n">
        <v>161.9</v>
      </c>
      <c r="Z42" s="6" t="n">
        <v>130.9</v>
      </c>
      <c r="AA42" s="6" t="n">
        <v>125.6</v>
      </c>
      <c r="AB42" s="6" t="n">
        <v>147.9</v>
      </c>
      <c r="AC42" s="6">
        <f>AB42</f>
        <v>147.9</v>
      </c>
      <c r="AE42" s="6">
        <f>Q42-C42</f>
        <v>0.0</v>
      </c>
      <c r="AF42" s="6">
        <f>R42-D42</f>
        <v>0.0</v>
      </c>
      <c r="AG42" s="6">
        <f>S42-E42</f>
        <v>0.0</v>
      </c>
      <c r="AH42" s="6">
        <f>T42-F42</f>
        <v>0.0</v>
      </c>
      <c r="AI42" s="6">
        <f>U42-G42</f>
        <v>0.0</v>
      </c>
      <c r="AJ42" s="6">
        <f>V42-H42</f>
        <v>0.0</v>
      </c>
      <c r="AK42" s="6">
        <f>W42-I42</f>
        <v>0.0</v>
      </c>
      <c r="AL42" s="6">
        <f>X42-J42</f>
        <v>0.0</v>
      </c>
      <c r="AM42" s="6">
        <f>Y42-K42</f>
        <v>0.0</v>
      </c>
      <c r="AN42" s="6">
        <f>Z42-L42</f>
        <v>0.0</v>
      </c>
      <c r="AO42" s="6">
        <f>AA42-M42</f>
        <v>0.0</v>
      </c>
      <c r="AP42" s="6">
        <f>AB42-N42</f>
        <v>0.0</v>
      </c>
      <c r="AQ42" s="6">
        <f>AP42</f>
        <v>0.0</v>
      </c>
      <c r="AS42" s="6">
        <f>'Hollis-Adj'!C92</f>
        <v>0.0</v>
      </c>
      <c r="AT42" s="6">
        <f>'Hollis-Adj'!D92</f>
        <v>0.0</v>
      </c>
      <c r="AU42" s="6">
        <f>'Hollis-Adj'!E92</f>
        <v>0.0</v>
      </c>
      <c r="AV42" s="6">
        <f>'Hollis-Adj'!F92</f>
        <v>0.0</v>
      </c>
      <c r="AW42" s="6">
        <f>'Hollis-Adj'!G92</f>
        <v>0.0</v>
      </c>
      <c r="AX42" s="6">
        <f>'Hollis-Adj'!H92</f>
        <v>0.0</v>
      </c>
      <c r="AY42" s="6">
        <f>'Hollis-Adj'!I92</f>
        <v>0.0</v>
      </c>
      <c r="AZ42" s="6">
        <f>'Hollis-Adj'!J92</f>
        <v>0.0</v>
      </c>
      <c r="BA42" s="6">
        <f>'Hollis-Adj'!K92</f>
        <v>0.0</v>
      </c>
      <c r="BB42" s="6">
        <f>'Hollis-Adj'!L92</f>
        <v>0.0</v>
      </c>
      <c r="BC42" s="6">
        <f>'Hollis-Adj'!M92</f>
        <v>0.0</v>
      </c>
      <c r="BD42" s="6">
        <f>'Hollis-Adj'!N92</f>
        <v>0.0</v>
      </c>
      <c r="BE42" s="6">
        <f>BD42</f>
        <v>0.0</v>
      </c>
      <c r="BG42" s="6">
        <f>C42+AE42+AS42</f>
        <v>132.3</v>
      </c>
      <c r="BH42" s="6">
        <f>D42+AF42+AT42</f>
        <v>130.3</v>
      </c>
      <c r="BI42" s="6">
        <f>E42+AG42+AU42</f>
        <v>138.6</v>
      </c>
      <c r="BJ42" s="6">
        <f>F42+AH42+AV42</f>
        <v>149.1</v>
      </c>
      <c r="BK42" s="6">
        <f>G42+AI42+AW42</f>
        <v>137.7</v>
      </c>
      <c r="BL42" s="6">
        <f>H42+AJ42+AX42</f>
        <v>141.3</v>
      </c>
      <c r="BM42" s="6">
        <f>I42+AK42+AY42</f>
        <v>142.5</v>
      </c>
      <c r="BN42" s="6">
        <f>J42+AL42+AZ42</f>
        <v>138.6</v>
      </c>
      <c r="BO42" s="6">
        <f>K42+AM42+BA42</f>
        <v>161.9</v>
      </c>
      <c r="BP42" s="6">
        <f>L42+AN42+BB42</f>
        <v>130.9</v>
      </c>
      <c r="BQ42" s="6">
        <f>M42+AO42+BC42</f>
        <v>125.6</v>
      </c>
      <c r="BR42" s="6">
        <f>N42+AP42+BD42</f>
        <v>147.9</v>
      </c>
      <c r="BS42" s="6">
        <f>BR42</f>
        <v>147.9</v>
      </c>
    </row>
    <row r="43">
      <c r="B43" s="5" t="inlineStr">
        <is>
          <t>Trade Payables</t>
        </is>
      </c>
      <c r="C43" s="6" t="n">
        <v>-9086.9</v>
      </c>
      <c r="D43" s="6" t="n">
        <v>-8907.700000000001</v>
      </c>
      <c r="E43" s="6" t="n">
        <v>-9520.5</v>
      </c>
      <c r="F43" s="6" t="n">
        <v>-10200</v>
      </c>
      <c r="G43" s="6" t="n">
        <v>-9474.5</v>
      </c>
      <c r="H43" s="6" t="n">
        <v>-9717.299999999999</v>
      </c>
      <c r="I43" s="6" t="n">
        <v>-9805.4</v>
      </c>
      <c r="J43" s="6" t="n">
        <v>-9525.200000000001</v>
      </c>
      <c r="K43" s="6" t="n">
        <v>-11447.5</v>
      </c>
      <c r="L43" s="6" t="n">
        <v>-8772</v>
      </c>
      <c r="M43" s="6" t="n">
        <v>-8479.700000000001</v>
      </c>
      <c r="N43" s="6" t="n">
        <v>-9977.6</v>
      </c>
      <c r="O43" s="6">
        <f>N43</f>
        <v>-9977.6</v>
      </c>
      <c r="Q43" s="6" t="n">
        <v>-9086.9</v>
      </c>
      <c r="R43" s="6" t="n">
        <v>-8907.700000000001</v>
      </c>
      <c r="S43" s="6" t="n">
        <v>-9520.5</v>
      </c>
      <c r="T43" s="6" t="n">
        <v>-10200</v>
      </c>
      <c r="U43" s="6" t="n">
        <v>-9474.5</v>
      </c>
      <c r="V43" s="6" t="n">
        <v>-9717.299999999999</v>
      </c>
      <c r="W43" s="6" t="n">
        <v>-9805.4</v>
      </c>
      <c r="X43" s="6" t="n">
        <v>-9525.200000000001</v>
      </c>
      <c r="Y43" s="6" t="n">
        <v>-11447.5</v>
      </c>
      <c r="Z43" s="6" t="n">
        <v>-8772</v>
      </c>
      <c r="AA43" s="6" t="n">
        <v>-8479.700000000001</v>
      </c>
      <c r="AB43" s="6" t="n">
        <v>-9977.6</v>
      </c>
      <c r="AC43" s="6">
        <f>AB43</f>
        <v>-9977.6</v>
      </c>
      <c r="AE43" s="6">
        <f>Q43-C43</f>
        <v>0.0</v>
      </c>
      <c r="AF43" s="6">
        <f>R43-D43</f>
        <v>0.0</v>
      </c>
      <c r="AG43" s="6">
        <f>S43-E43</f>
        <v>0.0</v>
      </c>
      <c r="AH43" s="6">
        <f>T43-F43</f>
        <v>0.0</v>
      </c>
      <c r="AI43" s="6">
        <f>U43-G43</f>
        <v>0.0</v>
      </c>
      <c r="AJ43" s="6">
        <f>V43-H43</f>
        <v>0.0</v>
      </c>
      <c r="AK43" s="6">
        <f>W43-I43</f>
        <v>0.0</v>
      </c>
      <c r="AL43" s="6">
        <f>X43-J43</f>
        <v>0.0</v>
      </c>
      <c r="AM43" s="6">
        <f>Y43-K43</f>
        <v>0.0</v>
      </c>
      <c r="AN43" s="6">
        <f>Z43-L43</f>
        <v>0.0</v>
      </c>
      <c r="AO43" s="6">
        <f>AA43-M43</f>
        <v>0.0</v>
      </c>
      <c r="AP43" s="6">
        <f>AB43-N43</f>
        <v>0.0</v>
      </c>
      <c r="AQ43" s="6">
        <f>AP43</f>
        <v>0.0</v>
      </c>
      <c r="AS43" s="6">
        <f>'Hollis-Adj'!C93</f>
        <v>0.0</v>
      </c>
      <c r="AT43" s="6">
        <f>'Hollis-Adj'!D93</f>
        <v>0.0</v>
      </c>
      <c r="AU43" s="6">
        <f>'Hollis-Adj'!E93</f>
        <v>0.0</v>
      </c>
      <c r="AV43" s="6">
        <f>'Hollis-Adj'!F93</f>
        <v>0.0</v>
      </c>
      <c r="AW43" s="6">
        <f>'Hollis-Adj'!G93</f>
        <v>0.0</v>
      </c>
      <c r="AX43" s="6">
        <f>'Hollis-Adj'!H93</f>
        <v>0.0</v>
      </c>
      <c r="AY43" s="6">
        <f>'Hollis-Adj'!I93</f>
        <v>0.0</v>
      </c>
      <c r="AZ43" s="6">
        <f>'Hollis-Adj'!J93</f>
        <v>0.0</v>
      </c>
      <c r="BA43" s="6">
        <f>'Hollis-Adj'!K93</f>
        <v>0.0</v>
      </c>
      <c r="BB43" s="6">
        <f>'Hollis-Adj'!L93</f>
        <v>0.0</v>
      </c>
      <c r="BC43" s="6">
        <f>'Hollis-Adj'!M93</f>
        <v>0.0</v>
      </c>
      <c r="BD43" s="6">
        <f>'Hollis-Adj'!N93</f>
        <v>0.0</v>
      </c>
      <c r="BE43" s="6">
        <f>BD43</f>
        <v>0.0</v>
      </c>
      <c r="BG43" s="6">
        <f>C43+AE43+AS43</f>
        <v>-9086.9</v>
      </c>
      <c r="BH43" s="6">
        <f>D43+AF43+AT43</f>
        <v>-8907.7</v>
      </c>
      <c r="BI43" s="6">
        <f>E43+AG43+AU43</f>
        <v>-9520.5</v>
      </c>
      <c r="BJ43" s="6">
        <f>F43+AH43+AV43</f>
        <v>-10200.0</v>
      </c>
      <c r="BK43" s="6">
        <f>G43+AI43+AW43</f>
        <v>-9474.5</v>
      </c>
      <c r="BL43" s="6">
        <f>H43+AJ43+AX43</f>
        <v>-9717.3</v>
      </c>
      <c r="BM43" s="6">
        <f>I43+AK43+AY43</f>
        <v>-9805.4</v>
      </c>
      <c r="BN43" s="6">
        <f>J43+AL43+AZ43</f>
        <v>-9525.2</v>
      </c>
      <c r="BO43" s="6">
        <f>K43+AM43+BA43</f>
        <v>-11447.5</v>
      </c>
      <c r="BP43" s="6">
        <f>L43+AN43+BB43</f>
        <v>-8772.0</v>
      </c>
      <c r="BQ43" s="6">
        <f>M43+AO43+BC43</f>
        <v>-8479.7</v>
      </c>
      <c r="BR43" s="6">
        <f>N43+AP43+BD43</f>
        <v>-9977.6</v>
      </c>
      <c r="BS43" s="6">
        <f>BR43</f>
        <v>-9977.6</v>
      </c>
    </row>
    <row r="44">
      <c r="B44" s="5" t="inlineStr">
        <is>
          <t>Other Payables</t>
        </is>
      </c>
      <c r="C44" s="6" t="n">
        <v>-264.7</v>
      </c>
      <c r="D44" s="6" t="n">
        <v>-260.5</v>
      </c>
      <c r="E44" s="6" t="n">
        <v>-277.2</v>
      </c>
      <c r="F44" s="6" t="n">
        <v>-298.1</v>
      </c>
      <c r="G44" s="6" t="n">
        <v>-275.4</v>
      </c>
      <c r="H44" s="6" t="n">
        <v>-282.7</v>
      </c>
      <c r="I44" s="6" t="n">
        <v>-285</v>
      </c>
      <c r="J44" s="6" t="n">
        <v>-277.2</v>
      </c>
      <c r="K44" s="6" t="n">
        <v>-323.8</v>
      </c>
      <c r="L44" s="6" t="n">
        <v>-261.9</v>
      </c>
      <c r="M44" s="6" t="n">
        <v>-251.2</v>
      </c>
      <c r="N44" s="6" t="n">
        <v>-295.8</v>
      </c>
      <c r="O44" s="6">
        <f>N44</f>
        <v>-295.8</v>
      </c>
      <c r="Q44" s="6" t="n">
        <v>-264.7</v>
      </c>
      <c r="R44" s="6" t="n">
        <v>-260.5</v>
      </c>
      <c r="S44" s="6" t="n">
        <v>-277.2</v>
      </c>
      <c r="T44" s="6" t="n">
        <v>-298.1</v>
      </c>
      <c r="U44" s="6" t="n">
        <v>-275.4</v>
      </c>
      <c r="V44" s="6" t="n">
        <v>-282.7</v>
      </c>
      <c r="W44" s="6" t="n">
        <v>-285</v>
      </c>
      <c r="X44" s="6" t="n">
        <v>-277.2</v>
      </c>
      <c r="Y44" s="6" t="n">
        <v>-323.8</v>
      </c>
      <c r="Z44" s="6" t="n">
        <v>-261.9</v>
      </c>
      <c r="AA44" s="6" t="n">
        <v>-251.2</v>
      </c>
      <c r="AB44" s="6" t="n">
        <v>-295.8</v>
      </c>
      <c r="AC44" s="6">
        <f>AB44</f>
        <v>-295.8</v>
      </c>
      <c r="AE44" s="6">
        <f>Q44-C44</f>
        <v>0.0</v>
      </c>
      <c r="AF44" s="6">
        <f>R44-D44</f>
        <v>0.0</v>
      </c>
      <c r="AG44" s="6">
        <f>S44-E44</f>
        <v>0.0</v>
      </c>
      <c r="AH44" s="6">
        <f>T44-F44</f>
        <v>0.0</v>
      </c>
      <c r="AI44" s="6">
        <f>U44-G44</f>
        <v>0.0</v>
      </c>
      <c r="AJ44" s="6">
        <f>V44-H44</f>
        <v>0.0</v>
      </c>
      <c r="AK44" s="6">
        <f>W44-I44</f>
        <v>0.0</v>
      </c>
      <c r="AL44" s="6">
        <f>X44-J44</f>
        <v>0.0</v>
      </c>
      <c r="AM44" s="6">
        <f>Y44-K44</f>
        <v>0.0</v>
      </c>
      <c r="AN44" s="6">
        <f>Z44-L44</f>
        <v>0.0</v>
      </c>
      <c r="AO44" s="6">
        <f>AA44-M44</f>
        <v>0.0</v>
      </c>
      <c r="AP44" s="6">
        <f>AB44-N44</f>
        <v>0.0</v>
      </c>
      <c r="AQ44" s="6">
        <f>AP44</f>
        <v>0.0</v>
      </c>
      <c r="AS44" s="6">
        <f>'Hollis-Adj'!C94</f>
        <v>0.0</v>
      </c>
      <c r="AT44" s="6">
        <f>'Hollis-Adj'!D94</f>
        <v>0.0</v>
      </c>
      <c r="AU44" s="6">
        <f>'Hollis-Adj'!E94</f>
        <v>0.0</v>
      </c>
      <c r="AV44" s="6">
        <f>'Hollis-Adj'!F94</f>
        <v>0.0</v>
      </c>
      <c r="AW44" s="6">
        <f>'Hollis-Adj'!G94</f>
        <v>0.0</v>
      </c>
      <c r="AX44" s="6">
        <f>'Hollis-Adj'!H94</f>
        <v>0.0</v>
      </c>
      <c r="AY44" s="6">
        <f>'Hollis-Adj'!I94</f>
        <v>0.0</v>
      </c>
      <c r="AZ44" s="6">
        <f>'Hollis-Adj'!J94</f>
        <v>0.0</v>
      </c>
      <c r="BA44" s="6">
        <f>'Hollis-Adj'!K94</f>
        <v>0.0</v>
      </c>
      <c r="BB44" s="6">
        <f>'Hollis-Adj'!L94</f>
        <v>0.0</v>
      </c>
      <c r="BC44" s="6">
        <f>'Hollis-Adj'!M94</f>
        <v>0.0</v>
      </c>
      <c r="BD44" s="6">
        <f>'Hollis-Adj'!N94</f>
        <v>0.0</v>
      </c>
      <c r="BE44" s="6">
        <f>BD44</f>
        <v>0.0</v>
      </c>
      <c r="BG44" s="6">
        <f>C44+AE44+AS44</f>
        <v>-264.7</v>
      </c>
      <c r="BH44" s="6">
        <f>D44+AF44+AT44</f>
        <v>-260.5</v>
      </c>
      <c r="BI44" s="6">
        <f>E44+AG44+AU44</f>
        <v>-277.2</v>
      </c>
      <c r="BJ44" s="6">
        <f>F44+AH44+AV44</f>
        <v>-298.1</v>
      </c>
      <c r="BK44" s="6">
        <f>G44+AI44+AW44</f>
        <v>-275.4</v>
      </c>
      <c r="BL44" s="6">
        <f>H44+AJ44+AX44</f>
        <v>-282.7</v>
      </c>
      <c r="BM44" s="6">
        <f>I44+AK44+AY44</f>
        <v>-285.0</v>
      </c>
      <c r="BN44" s="6">
        <f>J44+AL44+AZ44</f>
        <v>-277.2</v>
      </c>
      <c r="BO44" s="6">
        <f>K44+AM44+BA44</f>
        <v>-323.8</v>
      </c>
      <c r="BP44" s="6">
        <f>L44+AN44+BB44</f>
        <v>-261.9</v>
      </c>
      <c r="BQ44" s="6">
        <f>M44+AO44+BC44</f>
        <v>-251.2</v>
      </c>
      <c r="BR44" s="6">
        <f>N44+AP44+BD44</f>
        <v>-295.8</v>
      </c>
      <c r="BS44" s="6">
        <f>BR44</f>
        <v>-295.8</v>
      </c>
    </row>
    <row r="45">
      <c r="B45" s="2" t="inlineStr">
        <is>
          <t>Total working capital</t>
        </is>
      </c>
      <c r="C45" s="6">
        <f>SUM(C40:C44)</f>
        <v>19959.2</v>
      </c>
      <c r="D45" s="6">
        <f>SUM(D40:D44)</f>
        <v>19793.899999999998</v>
      </c>
      <c r="E45" s="6">
        <f>SUM(E40:E44)</f>
        <v>21041.8</v>
      </c>
      <c r="F45" s="6">
        <f>SUM(F40:F44)</f>
        <v>22427.9</v>
      </c>
      <c r="G45" s="6">
        <f>SUM(G40:G44)</f>
        <v>20865.199999999997</v>
      </c>
      <c r="H45" s="6">
        <f>SUM(H40:H44)</f>
        <v>20397.0</v>
      </c>
      <c r="I45" s="6">
        <f>SUM(I40:I44)</f>
        <v>20250.300000000003</v>
      </c>
      <c r="J45" s="6">
        <f>SUM(J40:J44)</f>
        <v>18974.399999999994</v>
      </c>
      <c r="K45" s="6">
        <f>SUM(K40:K44)</f>
        <v>22596.600000000002</v>
      </c>
      <c r="L45" s="6">
        <f>SUM(L40:L44)</f>
        <v>17901.300000000003</v>
      </c>
      <c r="M45" s="6">
        <f>SUM(M40:M44)</f>
        <v>17243.1</v>
      </c>
      <c r="N45" s="6">
        <f>SUM(N40:N44)</f>
        <v>20236.800000000007</v>
      </c>
      <c r="O45" s="6">
        <f>N45</f>
        <v>20236.800000000007</v>
      </c>
      <c r="Q45" s="6">
        <f>SUM(Q40:Q44)</f>
        <v>19959.2</v>
      </c>
      <c r="R45" s="6">
        <f>SUM(R40:R44)</f>
        <v>19793.899999999998</v>
      </c>
      <c r="S45" s="6">
        <f>SUM(S40:S44)</f>
        <v>21041.8</v>
      </c>
      <c r="T45" s="6">
        <f>SUM(T40:T44)</f>
        <v>22427.9</v>
      </c>
      <c r="U45" s="6">
        <f>SUM(U40:U44)</f>
        <v>20865.199999999997</v>
      </c>
      <c r="V45" s="6">
        <f>SUM(V40:V44)</f>
        <v>20397.0</v>
      </c>
      <c r="W45" s="6">
        <f>SUM(W40:W44)</f>
        <v>20250.300000000003</v>
      </c>
      <c r="X45" s="6">
        <f>SUM(X40:X44)</f>
        <v>18974.399999999994</v>
      </c>
      <c r="Y45" s="6">
        <f>SUM(Y40:Y44)</f>
        <v>22596.600000000002</v>
      </c>
      <c r="Z45" s="6">
        <f>SUM(Z40:Z44)</f>
        <v>17901.300000000003</v>
      </c>
      <c r="AA45" s="6">
        <f>SUM(AA40:AA44)</f>
        <v>17243.1</v>
      </c>
      <c r="AB45" s="6">
        <f>SUM(AB40:AB44)</f>
        <v>20236.800000000007</v>
      </c>
      <c r="AC45" s="6">
        <f>AB45</f>
        <v>20236.800000000007</v>
      </c>
      <c r="AE45" s="6">
        <f>SUM(AE40:AE44)</f>
        <v>0.0</v>
      </c>
      <c r="AF45" s="6">
        <f>SUM(AF40:AF44)</f>
        <v>0.0</v>
      </c>
      <c r="AG45" s="6">
        <f>SUM(AG40:AG44)</f>
        <v>0.0</v>
      </c>
      <c r="AH45" s="6">
        <f>SUM(AH40:AH44)</f>
        <v>0.0</v>
      </c>
      <c r="AI45" s="6">
        <f>SUM(AI40:AI44)</f>
        <v>0.0</v>
      </c>
      <c r="AJ45" s="6">
        <f>SUM(AJ40:AJ44)</f>
        <v>0.0</v>
      </c>
      <c r="AK45" s="6">
        <f>SUM(AK40:AK44)</f>
        <v>0.0</v>
      </c>
      <c r="AL45" s="6">
        <f>SUM(AL40:AL44)</f>
        <v>0.0</v>
      </c>
      <c r="AM45" s="6">
        <f>SUM(AM40:AM44)</f>
        <v>0.0</v>
      </c>
      <c r="AN45" s="6">
        <f>SUM(AN40:AN44)</f>
        <v>0.0</v>
      </c>
      <c r="AO45" s="6">
        <f>SUM(AO40:AO44)</f>
        <v>0.0</v>
      </c>
      <c r="AP45" s="6">
        <f>SUM(AP40:AP44)</f>
        <v>0.0</v>
      </c>
      <c r="AQ45" s="6">
        <f>AP45</f>
        <v>0.0</v>
      </c>
      <c r="AS45" s="6">
        <f>SUM(AS40:AS44)</f>
        <v>0.0</v>
      </c>
      <c r="AT45" s="6">
        <f>SUM(AT40:AT44)</f>
        <v>0.0</v>
      </c>
      <c r="AU45" s="6">
        <f>SUM(AU40:AU44)</f>
        <v>0.0</v>
      </c>
      <c r="AV45" s="6">
        <f>SUM(AV40:AV44)</f>
        <v>0.0</v>
      </c>
      <c r="AW45" s="6">
        <f>SUM(AW40:AW44)</f>
        <v>0.0</v>
      </c>
      <c r="AX45" s="6">
        <f>SUM(AX40:AX44)</f>
        <v>0.0</v>
      </c>
      <c r="AY45" s="6">
        <f>SUM(AY40:AY44)</f>
        <v>0.0</v>
      </c>
      <c r="AZ45" s="6">
        <f>SUM(AZ40:AZ44)</f>
        <v>0.0</v>
      </c>
      <c r="BA45" s="6">
        <f>SUM(BA40:BA44)</f>
        <v>600.0</v>
      </c>
      <c r="BB45" s="6">
        <f>SUM(BB40:BB44)</f>
        <v>-1100.0</v>
      </c>
      <c r="BC45" s="6">
        <f>SUM(BC40:BC44)</f>
        <v>-1800.0</v>
      </c>
      <c r="BD45" s="6">
        <f>SUM(BD40:BD44)</f>
        <v>-1500.0</v>
      </c>
      <c r="BE45" s="6">
        <f>BD45</f>
        <v>-1500.0</v>
      </c>
      <c r="BG45" s="6">
        <f>SUM(BG40:BG44)</f>
        <v>19959.2</v>
      </c>
      <c r="BH45" s="6">
        <f>SUM(BH40:BH44)</f>
        <v>19793.899999999998</v>
      </c>
      <c r="BI45" s="6">
        <f>SUM(BI40:BI44)</f>
        <v>21041.8</v>
      </c>
      <c r="BJ45" s="6">
        <f>SUM(BJ40:BJ44)</f>
        <v>22427.9</v>
      </c>
      <c r="BK45" s="6">
        <f>SUM(BK40:BK44)</f>
        <v>20865.199999999997</v>
      </c>
      <c r="BL45" s="6">
        <f>SUM(BL40:BL44)</f>
        <v>20397.0</v>
      </c>
      <c r="BM45" s="6">
        <f>SUM(BM40:BM44)</f>
        <v>20250.300000000003</v>
      </c>
      <c r="BN45" s="6">
        <f>SUM(BN40:BN44)</f>
        <v>18974.399999999994</v>
      </c>
      <c r="BO45" s="6">
        <f>SUM(BO40:BO44)</f>
        <v>23196.600000000002</v>
      </c>
      <c r="BP45" s="6">
        <f>SUM(BP40:BP44)</f>
        <v>16801.300000000003</v>
      </c>
      <c r="BQ45" s="6">
        <f>SUM(BQ40:BQ44)</f>
        <v>15443.099999999999</v>
      </c>
      <c r="BR45" s="6">
        <f>SUM(BR40:BR44)</f>
        <v>18736.800000000007</v>
      </c>
      <c r="BS45" s="6">
        <f>BR45</f>
        <v>18736.800000000007</v>
      </c>
    </row>
    <row r="46">
      <c r="B46" s="5" t="inlineStr">
        <is>
          <t>Working capital/sales (monthly)</t>
        </is>
      </c>
      <c r="C46" s="12">
        <f>IFERROR(C45/(C28*12),0)</f>
        <v>0.18853837230830853</v>
      </c>
      <c r="D46" s="12">
        <f>IFERROR(D45/(D28*12),0)</f>
        <v>0.18994388211405513</v>
      </c>
      <c r="E46" s="12">
        <f>IFERROR(E45/(E28*12),0)</f>
        <v>0.18977913906806929</v>
      </c>
      <c r="F46" s="12">
        <f>IFERROR(F45/(F28*12),0)</f>
        <v>0.1880727405678098</v>
      </c>
      <c r="G46" s="12">
        <f>IFERROR(G45/(G28*12),0)</f>
        <v>0.1893771896385848</v>
      </c>
      <c r="H46" s="12">
        <f>IFERROR(H45/(H28*12),0)</f>
        <v>0.18039459161147905</v>
      </c>
      <c r="I46" s="12">
        <f>IFERROR(I45/(I28*12),0)</f>
        <v>0.1776416901764285</v>
      </c>
      <c r="J46" s="12">
        <f>IFERROR(J45/(J28*12),0)</f>
        <v>0.17115147316693</v>
      </c>
      <c r="K46" s="12">
        <f>IFERROR(K45/(K28*12),0)</f>
        <v>0.2060906205537923</v>
      </c>
      <c r="L46" s="12">
        <f>IFERROR(L45/(L28*12),0)</f>
        <v>0.1526190597984552</v>
      </c>
      <c r="M46" s="12">
        <f>IFERROR(M45/(M28*12),0)</f>
        <v>0.16295916168615396</v>
      </c>
      <c r="N46" s="12">
        <f>IFERROR(N45/(N28*12),0)</f>
        <v>0.175558771171884</v>
      </c>
      <c r="Q46" s="12">
        <f>IFERROR(Q45/(Q28*12),0)</f>
        <v>0.18853837230830853</v>
      </c>
      <c r="R46" s="12">
        <f>IFERROR(R45/(R28*12),0)</f>
        <v>0.18994388211405513</v>
      </c>
      <c r="S46" s="12">
        <f>IFERROR(S45/(S28*12),0)</f>
        <v>0.18977913906806929</v>
      </c>
      <c r="T46" s="12">
        <f>IFERROR(T45/(T28*12),0)</f>
        <v>0.1880727405678098</v>
      </c>
      <c r="U46" s="12">
        <f>IFERROR(U45/(U28*12),0)</f>
        <v>0.1893771896385848</v>
      </c>
      <c r="V46" s="12">
        <f>IFERROR(V45/(V28*12),0)</f>
        <v>0.18039459161147905</v>
      </c>
      <c r="W46" s="12">
        <f>IFERROR(W45/(W28*12),0)</f>
        <v>0.1776416901764285</v>
      </c>
      <c r="X46" s="12">
        <f>IFERROR(X45/(X28*12),0)</f>
        <v>0.17115147316693</v>
      </c>
      <c r="Y46" s="12">
        <f>IFERROR(Y45/(Y28*12),0)</f>
        <v>0.20711064672239332</v>
      </c>
      <c r="Z46" s="12">
        <f>IFERROR(Z45/(Z28*12),0)</f>
        <v>0.15332493961662985</v>
      </c>
      <c r="AA46" s="12">
        <f>IFERROR(AA45/(AA28*12),0)</f>
        <v>0.16379506879295996</v>
      </c>
      <c r="AB46" s="12">
        <f>IFERROR(AB45/(AB28*12),0)</f>
        <v>0.1763850683513059</v>
      </c>
      <c r="AE46" s="12">
        <f>IFERROR(AE45/(AE28*12),0)</f>
        <v>0.0</v>
      </c>
      <c r="AF46" s="12">
        <f>IFERROR(AF45/(AF28*12),0)</f>
        <v>0.0</v>
      </c>
      <c r="AG46" s="12">
        <f>IFERROR(AG45/(AG28*12),0)</f>
        <v>0.0</v>
      </c>
      <c r="AH46" s="12">
        <f>IFERROR(AH45/(AH28*12),0)</f>
        <v>0.0</v>
      </c>
      <c r="AI46" s="12">
        <f>IFERROR(AI45/(AI28*12),0)</f>
        <v>0.0</v>
      </c>
      <c r="AJ46" s="12">
        <f>IFERROR(AJ45/(AJ28*12),0)</f>
        <v>0.0</v>
      </c>
      <c r="AK46" s="12">
        <f>IFERROR(AK45/(AK28*12),0)</f>
        <v>0.0</v>
      </c>
      <c r="AL46" s="12">
        <f>IFERROR(AL45/(AL28*12),0)</f>
        <v>0.0</v>
      </c>
      <c r="AM46" s="12">
        <f>IFERROR(AM45/(AM28*12),0)</f>
        <v>0.0</v>
      </c>
      <c r="AN46" s="12">
        <f>IFERROR(AN45/(AN28*12),0)</f>
        <v>0.0</v>
      </c>
      <c r="AO46" s="12">
        <f>IFERROR(AO45/(AO28*12),0)</f>
        <v>0.0</v>
      </c>
      <c r="AP46" s="12">
        <f>IFERROR(AP45/(AP28*12),0)</f>
        <v>0.0</v>
      </c>
      <c r="AS46" s="12">
        <f>IFERROR(AS45/(AS28*12),0)</f>
        <v>0.0</v>
      </c>
      <c r="AT46" s="12">
        <f>IFERROR(AT45/(AT28*12),0)</f>
        <v>0.0</v>
      </c>
      <c r="AU46" s="12">
        <f>IFERROR(AU45/(AU28*12),0)</f>
        <v>0.0</v>
      </c>
      <c r="AV46" s="12">
        <f>IFERROR(AV45/(AV28*12),0)</f>
        <v>0.0</v>
      </c>
      <c r="AW46" s="12">
        <f>IFERROR(AW45/(AW28*12),0)</f>
        <v>0.0</v>
      </c>
      <c r="AX46" s="12">
        <f>IFERROR(AX45/(AX28*12),0)</f>
        <v>0.0</v>
      </c>
      <c r="AY46" s="12">
        <f>IFERROR(AY45/(AY28*12),0)</f>
        <v>0.0</v>
      </c>
      <c r="AZ46" s="12">
        <f>IFERROR(AZ45/(AZ28*12),0)</f>
        <v>0.0</v>
      </c>
      <c r="BA46" s="12">
        <f>IFERROR(BA45/(BA28*12),0)</f>
        <v>0.029411764705882353</v>
      </c>
      <c r="BB46" s="12">
        <f>IFERROR(BB45/(BB28*12),0)</f>
        <v>0.09166666666666666</v>
      </c>
      <c r="BC46" s="12">
        <f>IFERROR(BC45/(BC28*12),0)</f>
        <v>0.375</v>
      </c>
      <c r="BD46" s="12">
        <f>IFERROR(BD45/(BD28*12),0)</f>
        <v>-0.4166666666666667</v>
      </c>
      <c r="BG46" s="12">
        <f>IFERROR(BG45/(BG28*12),0)</f>
        <v>0.18853837230830853</v>
      </c>
      <c r="BH46" s="12">
        <f>IFERROR(BH45/(BH28*12),0)</f>
        <v>0.18994388211405513</v>
      </c>
      <c r="BI46" s="12">
        <f>IFERROR(BI45/(BI28*12),0)</f>
        <v>0.18977913906806929</v>
      </c>
      <c r="BJ46" s="12">
        <f>IFERROR(BJ45/(BJ28*12),0)</f>
        <v>0.1880727405678098</v>
      </c>
      <c r="BK46" s="12">
        <f>IFERROR(BK45/(BK28*12),0)</f>
        <v>0.1893771896385848</v>
      </c>
      <c r="BL46" s="12">
        <f>IFERROR(BL45/(BL28*12),0)</f>
        <v>0.18039459161147905</v>
      </c>
      <c r="BM46" s="12">
        <f>IFERROR(BM45/(BM28*12),0)</f>
        <v>0.1776416901764285</v>
      </c>
      <c r="BN46" s="12">
        <f>IFERROR(BN45/(BN28*12),0)</f>
        <v>0.17115147316693</v>
      </c>
      <c r="BO46" s="12">
        <f>IFERROR(BO45/(BO28*12),0)</f>
        <v>0.17911879169755376</v>
      </c>
      <c r="BP46" s="12">
        <f>IFERROR(BP45/(BP28*12),0)</f>
        <v>0.16038814746930907</v>
      </c>
      <c r="BQ46" s="12">
        <f>IFERROR(BQ45/(BQ28*12),0)</f>
        <v>0.15370489806155718</v>
      </c>
      <c r="BR46" s="12">
        <f>IFERROR(BR45/(BR28*12),0)</f>
        <v>0.15834254479814222</v>
      </c>
    </row>
    <row r="49">
      <c r="B49" s="8" t="inlineStr">
        <is>
          <t>Budget 2026</t>
        </is>
      </c>
    </row>
    <row r="50">
      <c r="C50" s="20" t="inlineStr">
        <is>
          <t>January</t>
        </is>
      </c>
      <c r="D50" s="20" t="inlineStr">
        <is>
          <t>February</t>
        </is>
      </c>
      <c r="E50" s="20" t="inlineStr">
        <is>
          <t>March</t>
        </is>
      </c>
      <c r="F50" s="20" t="inlineStr">
        <is>
          <t>April</t>
        </is>
      </c>
      <c r="G50" s="20" t="inlineStr">
        <is>
          <t>May</t>
        </is>
      </c>
      <c r="H50" s="20" t="inlineStr">
        <is>
          <t>June</t>
        </is>
      </c>
      <c r="I50" s="20" t="inlineStr">
        <is>
          <t>July</t>
        </is>
      </c>
      <c r="J50" s="20" t="inlineStr">
        <is>
          <t>August</t>
        </is>
      </c>
      <c r="K50" s="20" t="inlineStr">
        <is>
          <t>September</t>
        </is>
      </c>
      <c r="L50" s="20" t="inlineStr">
        <is>
          <t>October</t>
        </is>
      </c>
      <c r="M50" s="20" t="inlineStr">
        <is>
          <t>November</t>
        </is>
      </c>
      <c r="N50" s="20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6" t="n">
        <v>8708.200000000001</v>
      </c>
      <c r="D51" s="6" t="n">
        <v>8525.1</v>
      </c>
      <c r="E51" s="6" t="n">
        <v>9166.6</v>
      </c>
      <c r="F51" s="6" t="n">
        <v>9900</v>
      </c>
      <c r="G51" s="6" t="n">
        <v>8983.4</v>
      </c>
      <c r="H51" s="6" t="n">
        <v>9441.799999999999</v>
      </c>
      <c r="I51" s="6" t="n">
        <v>9349.9</v>
      </c>
      <c r="J51" s="6" t="n">
        <v>9166.5</v>
      </c>
      <c r="K51" s="6" t="n">
        <v>8983.299999999999</v>
      </c>
      <c r="L51" s="6" t="n">
        <v>9625</v>
      </c>
      <c r="M51" s="6" t="n">
        <v>8708.299999999999</v>
      </c>
      <c r="N51" s="6" t="n">
        <v>9441.700000000001</v>
      </c>
      <c r="O51" s="6">
        <f>SUM(C51:N51)</f>
        <v>109999.8</v>
      </c>
    </row>
    <row r="52">
      <c r="B52" t="inlineStr">
        <is>
          <t>Gross Margin</t>
        </is>
      </c>
      <c r="C52" s="6" t="n">
        <v>2481.7</v>
      </c>
      <c r="D52" s="6" t="n">
        <v>2429.7</v>
      </c>
      <c r="E52" s="6" t="n">
        <v>2612.5</v>
      </c>
      <c r="F52" s="6" t="n">
        <v>2821.5</v>
      </c>
      <c r="G52" s="6" t="n">
        <v>2560.4</v>
      </c>
      <c r="H52" s="6" t="n">
        <v>2691.1</v>
      </c>
      <c r="I52" s="6" t="n">
        <v>2664.6</v>
      </c>
      <c r="J52" s="6" t="n">
        <v>2612.4</v>
      </c>
      <c r="K52" s="6" t="n">
        <v>2560.3</v>
      </c>
      <c r="L52" s="6" t="n">
        <v>2743.1</v>
      </c>
      <c r="M52" s="6" t="n">
        <v>2481.9</v>
      </c>
      <c r="N52" s="6" t="n">
        <v>2690.9</v>
      </c>
      <c r="O52" s="6">
        <f>SUM(C52:N52)</f>
        <v>31350.100000000002</v>
      </c>
    </row>
    <row r="53">
      <c r="B53" t="inlineStr">
        <is>
          <t>Op Costs</t>
        </is>
      </c>
      <c r="C53" s="6" t="n">
        <v>-1741.9</v>
      </c>
      <c r="D53" s="6" t="n">
        <v>-1705.1</v>
      </c>
      <c r="E53" s="6" t="n">
        <v>-1833.2</v>
      </c>
      <c r="F53" s="6" t="n">
        <v>-1980.1</v>
      </c>
      <c r="G53" s="6" t="n">
        <v>-1796.9</v>
      </c>
      <c r="H53" s="6" t="n">
        <v>-1888.6</v>
      </c>
      <c r="I53" s="6" t="n">
        <v>-1869.8</v>
      </c>
      <c r="J53" s="6" t="n">
        <v>-1833.2</v>
      </c>
      <c r="K53" s="6" t="n">
        <v>-1796.9</v>
      </c>
      <c r="L53" s="6" t="n">
        <v>-1924.9</v>
      </c>
      <c r="M53" s="6" t="n">
        <v>-1741.9</v>
      </c>
      <c r="N53" s="6" t="n">
        <v>-1888.6</v>
      </c>
      <c r="O53" s="6">
        <f>SUM(C53:N53)</f>
        <v>-22001.100000000002</v>
      </c>
    </row>
    <row r="54">
      <c r="B54" t="inlineStr">
        <is>
          <t>PBITA</t>
        </is>
      </c>
      <c r="C54" s="6">
        <f>C52+C53</f>
        <v>739.7999999999997</v>
      </c>
      <c r="D54" s="6">
        <f>D52+D53</f>
        <v>724.5999999999999</v>
      </c>
      <c r="E54" s="6">
        <f>E52+E53</f>
        <v>779.3</v>
      </c>
      <c r="F54" s="6">
        <f>F52+F53</f>
        <v>841.4000000000001</v>
      </c>
      <c r="G54" s="6">
        <f>G52+G53</f>
        <v>763.5</v>
      </c>
      <c r="H54" s="6">
        <f>H52+H53</f>
        <v>802.5</v>
      </c>
      <c r="I54" s="6">
        <f>I52+I53</f>
        <v>794.8</v>
      </c>
      <c r="J54" s="6">
        <f>J52+J53</f>
        <v>779.2</v>
      </c>
      <c r="K54" s="6">
        <f>K52+K53</f>
        <v>763.4000000000001</v>
      </c>
      <c r="L54" s="6">
        <f>L52+L53</f>
        <v>818.1999999999998</v>
      </c>
      <c r="M54" s="6">
        <f>M52+M53</f>
        <v>740.0</v>
      </c>
      <c r="N54" s="6">
        <f>N52+N53</f>
        <v>802.3000000000002</v>
      </c>
      <c r="O54" s="6">
        <f>SUM(C54:N54)</f>
        <v>9349.0</v>
      </c>
    </row>
    <row r="55">
      <c r="B55" t="inlineStr">
        <is>
          <t>Net Inventory</t>
        </is>
      </c>
      <c r="C55" s="6" t="n">
        <v>15865.6</v>
      </c>
      <c r="D55" s="6" t="n">
        <v>15490.2</v>
      </c>
      <c r="E55" s="6" t="n">
        <v>16750.8</v>
      </c>
      <c r="F55" s="6" t="n">
        <v>17677.9</v>
      </c>
      <c r="G55" s="6" t="n">
        <v>16004.3</v>
      </c>
      <c r="H55" s="6" t="n">
        <v>17289.6</v>
      </c>
      <c r="I55" s="6" t="n">
        <v>16826.7</v>
      </c>
      <c r="J55" s="6" t="n">
        <v>16914.6</v>
      </c>
      <c r="K55" s="6" t="n">
        <v>16168.1</v>
      </c>
      <c r="L55" s="6" t="n">
        <v>17250.2</v>
      </c>
      <c r="M55" s="6" t="n">
        <v>15562.5</v>
      </c>
      <c r="N55" s="6" t="n">
        <v>16916.4</v>
      </c>
      <c r="O55" s="6">
        <f>N55</f>
        <v>16916.4</v>
      </c>
    </row>
    <row r="56">
      <c r="B56" t="inlineStr">
        <is>
          <t>Trade Receivables</t>
        </is>
      </c>
      <c r="C56" s="6" t="n">
        <v>13062.3</v>
      </c>
      <c r="D56" s="6" t="n">
        <v>12787.6</v>
      </c>
      <c r="E56" s="6" t="n">
        <v>13749.9</v>
      </c>
      <c r="F56" s="6" t="n">
        <v>14850</v>
      </c>
      <c r="G56" s="6" t="n">
        <v>13475.1</v>
      </c>
      <c r="H56" s="6" t="n">
        <v>14162.7</v>
      </c>
      <c r="I56" s="6" t="n">
        <v>14024.9</v>
      </c>
      <c r="J56" s="6" t="n">
        <v>13749.8</v>
      </c>
      <c r="K56" s="6" t="n">
        <v>13474.9</v>
      </c>
      <c r="L56" s="6" t="n">
        <v>14437.5</v>
      </c>
      <c r="M56" s="6" t="n">
        <v>13062.4</v>
      </c>
      <c r="N56" s="6" t="n">
        <v>14162.6</v>
      </c>
      <c r="O56" s="6">
        <f>N56</f>
        <v>14162.6</v>
      </c>
    </row>
    <row r="57">
      <c r="B57" t="inlineStr">
        <is>
          <t>Other Receivables</t>
        </is>
      </c>
      <c r="C57" s="6" t="n">
        <v>130.6</v>
      </c>
      <c r="D57" s="6" t="n">
        <v>127.9</v>
      </c>
      <c r="E57" s="6" t="n">
        <v>137.5</v>
      </c>
      <c r="F57" s="6" t="n">
        <v>148.5</v>
      </c>
      <c r="G57" s="6" t="n">
        <v>134.8</v>
      </c>
      <c r="H57" s="6" t="n">
        <v>141.6</v>
      </c>
      <c r="I57" s="6" t="n">
        <v>140.2</v>
      </c>
      <c r="J57" s="6" t="n">
        <v>137.5</v>
      </c>
      <c r="K57" s="6" t="n">
        <v>134.7</v>
      </c>
      <c r="L57" s="6" t="n">
        <v>144.4</v>
      </c>
      <c r="M57" s="6" t="n">
        <v>130.6</v>
      </c>
      <c r="N57" s="6" t="n">
        <v>141.6</v>
      </c>
      <c r="O57" s="6">
        <f>N57</f>
        <v>141.6</v>
      </c>
    </row>
    <row r="58">
      <c r="B58" t="inlineStr">
        <is>
          <t>Trade Payables</t>
        </is>
      </c>
      <c r="C58" s="6" t="n">
        <v>-8717.1</v>
      </c>
      <c r="D58" s="6" t="n">
        <v>-8533.6</v>
      </c>
      <c r="E58" s="6" t="n">
        <v>-9175.700000000001</v>
      </c>
      <c r="F58" s="6" t="n">
        <v>-9909.9</v>
      </c>
      <c r="G58" s="6" t="n">
        <v>-8992.200000000001</v>
      </c>
      <c r="H58" s="6" t="n">
        <v>-9451</v>
      </c>
      <c r="I58" s="6" t="n">
        <v>-9359.4</v>
      </c>
      <c r="J58" s="6" t="n">
        <v>-9175.700000000001</v>
      </c>
      <c r="K58" s="6" t="n">
        <v>-8992.200000000001</v>
      </c>
      <c r="L58" s="6" t="n">
        <v>-9634.700000000001</v>
      </c>
      <c r="M58" s="6" t="n">
        <v>-8717</v>
      </c>
      <c r="N58" s="6" t="n">
        <v>-9451.1</v>
      </c>
      <c r="O58" s="6">
        <f>N58</f>
        <v>-9451.1</v>
      </c>
    </row>
    <row r="59">
      <c r="B59" t="inlineStr">
        <is>
          <t>Other Payables</t>
        </is>
      </c>
      <c r="C59" s="6" t="n">
        <v>-261.2</v>
      </c>
      <c r="D59" s="6" t="n">
        <v>-255.8</v>
      </c>
      <c r="E59" s="6" t="n">
        <v>-275</v>
      </c>
      <c r="F59" s="6" t="n">
        <v>-297</v>
      </c>
      <c r="G59" s="6" t="n">
        <v>-269.5</v>
      </c>
      <c r="H59" s="6" t="n">
        <v>-283.3</v>
      </c>
      <c r="I59" s="6" t="n">
        <v>-280.5</v>
      </c>
      <c r="J59" s="6" t="n">
        <v>-275</v>
      </c>
      <c r="K59" s="6" t="n">
        <v>-269.5</v>
      </c>
      <c r="L59" s="6" t="n">
        <v>-288.8</v>
      </c>
      <c r="M59" s="6" t="n">
        <v>-261.2</v>
      </c>
      <c r="N59" s="6" t="n">
        <v>-283.3</v>
      </c>
      <c r="O59" s="6">
        <f>N59</f>
        <v>-283.3</v>
      </c>
    </row>
    <row r="60">
      <c r="B60" t="inlineStr">
        <is>
          <t>Total working capital</t>
        </is>
      </c>
      <c r="C60" s="6">
        <f>SUM(C55:C59)</f>
        <v>20080.2</v>
      </c>
      <c r="D60" s="6">
        <f>SUM(D55:D59)</f>
        <v>19616.300000000007</v>
      </c>
      <c r="E60" s="6">
        <f>SUM(E55:E59)</f>
        <v>21187.499999999996</v>
      </c>
      <c r="F60" s="6">
        <f>SUM(F55:F59)</f>
        <v>22469.5</v>
      </c>
      <c r="G60" s="6">
        <f>SUM(G55:G59)</f>
        <v>20352.5</v>
      </c>
      <c r="H60" s="6">
        <f>SUM(H55:H59)</f>
        <v>21859.6</v>
      </c>
      <c r="I60" s="6">
        <f>SUM(I55:I59)</f>
        <v>21351.9</v>
      </c>
      <c r="J60" s="6">
        <f>SUM(J55:J59)</f>
        <v>21351.199999999997</v>
      </c>
      <c r="K60" s="6">
        <f>SUM(K55:K59)</f>
        <v>20516.0</v>
      </c>
      <c r="L60" s="6">
        <f>SUM(L55:L59)</f>
        <v>21908.600000000002</v>
      </c>
      <c r="M60" s="6">
        <f>SUM(M55:M59)</f>
        <v>19777.3</v>
      </c>
      <c r="N60" s="6">
        <f>SUM(N55:N59)</f>
        <v>21486.2</v>
      </c>
      <c r="O60" s="6">
        <f>N60</f>
        <v>21486.2</v>
      </c>
    </row>
    <row r="62">
      <c r="B62" s="8" t="inlineStr">
        <is>
          <t>2025 Actual</t>
        </is>
      </c>
    </row>
    <row r="63">
      <c r="C63" s="20" t="inlineStr">
        <is>
          <t>January</t>
        </is>
      </c>
      <c r="D63" s="20" t="inlineStr">
        <is>
          <t>February</t>
        </is>
      </c>
      <c r="E63" s="20" t="inlineStr">
        <is>
          <t>March</t>
        </is>
      </c>
      <c r="F63" s="20" t="inlineStr">
        <is>
          <t>April</t>
        </is>
      </c>
      <c r="G63" s="20" t="inlineStr">
        <is>
          <t>May</t>
        </is>
      </c>
      <c r="H63" s="20" t="inlineStr">
        <is>
          <t>June</t>
        </is>
      </c>
      <c r="I63" s="20" t="inlineStr">
        <is>
          <t>July</t>
        </is>
      </c>
      <c r="J63" s="20" t="inlineStr">
        <is>
          <t>August</t>
        </is>
      </c>
      <c r="K63" s="20" t="inlineStr">
        <is>
          <t>September</t>
        </is>
      </c>
      <c r="L63" s="20" t="inlineStr">
        <is>
          <t>October</t>
        </is>
      </c>
      <c r="M63" s="20" t="inlineStr">
        <is>
          <t>November</t>
        </is>
      </c>
      <c r="N63" s="20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6" t="n">
        <v>8371.700000000001</v>
      </c>
      <c r="D64" s="6" t="n">
        <v>8064.5</v>
      </c>
      <c r="E64" s="6" t="n">
        <v>8699.4</v>
      </c>
      <c r="F64" s="6" t="n">
        <v>9392.1</v>
      </c>
      <c r="G64" s="6" t="n">
        <v>8631.5</v>
      </c>
      <c r="H64" s="6" t="n">
        <v>9163.5</v>
      </c>
      <c r="I64" s="6" t="n">
        <v>8895</v>
      </c>
      <c r="J64" s="6" t="n">
        <v>8608.700000000001</v>
      </c>
      <c r="K64" s="6" t="n">
        <v>8452.5</v>
      </c>
      <c r="L64" s="6" t="n">
        <v>9245</v>
      </c>
      <c r="M64" s="6" t="n">
        <v>8398.9</v>
      </c>
      <c r="N64" s="6" t="n">
        <v>9010.299999999999</v>
      </c>
      <c r="O64" s="6">
        <f>SUM(C64:N64)</f>
        <v>104933.09999999999</v>
      </c>
    </row>
    <row r="65">
      <c r="B65" t="inlineStr">
        <is>
          <t>Gross Margin</t>
        </is>
      </c>
      <c r="C65" s="6" t="n">
        <v>2374.4</v>
      </c>
      <c r="D65" s="6" t="n">
        <v>2295</v>
      </c>
      <c r="E65" s="6" t="n">
        <v>2502.7</v>
      </c>
      <c r="F65" s="6" t="n">
        <v>2681.8</v>
      </c>
      <c r="G65" s="6" t="n">
        <v>2491.9</v>
      </c>
      <c r="H65" s="6" t="n">
        <v>2596.7</v>
      </c>
      <c r="I65" s="6" t="n">
        <v>2518.6</v>
      </c>
      <c r="J65" s="6" t="n">
        <v>2445.2</v>
      </c>
      <c r="K65" s="6" t="n">
        <v>2425.4</v>
      </c>
      <c r="L65" s="6" t="n">
        <v>2661.7</v>
      </c>
      <c r="M65" s="6" t="n">
        <v>2379.3</v>
      </c>
      <c r="N65" s="6" t="n">
        <v>2567</v>
      </c>
      <c r="O65" s="6">
        <f>SUM(C65:N65)</f>
        <v>29939.7</v>
      </c>
    </row>
    <row r="66">
      <c r="B66" t="inlineStr">
        <is>
          <t>Op Costs</t>
        </is>
      </c>
      <c r="C66" s="6" t="n">
        <v>-1689.6</v>
      </c>
      <c r="D66" s="6" t="n">
        <v>-1668.9</v>
      </c>
      <c r="E66" s="6" t="n">
        <v>-1764</v>
      </c>
      <c r="F66" s="6" t="n">
        <v>-1912</v>
      </c>
      <c r="G66" s="6" t="n">
        <v>-1736.1</v>
      </c>
      <c r="H66" s="6" t="n">
        <v>-1838.6</v>
      </c>
      <c r="I66" s="6" t="n">
        <v>-1812.9</v>
      </c>
      <c r="J66" s="6" t="n">
        <v>-1788.5</v>
      </c>
      <c r="K66" s="6" t="n">
        <v>-1752.2</v>
      </c>
      <c r="L66" s="6" t="n">
        <v>-1862.7</v>
      </c>
      <c r="M66" s="6" t="n">
        <v>-1680</v>
      </c>
      <c r="N66" s="6" t="n">
        <v>-1841</v>
      </c>
      <c r="O66" s="6">
        <f>SUM(C66:N66)</f>
        <v>-21346.5</v>
      </c>
    </row>
    <row r="67">
      <c r="B67" t="inlineStr">
        <is>
          <t>PBITA</t>
        </is>
      </c>
      <c r="C67" s="6">
        <f>C65+C66</f>
        <v>684.8000000000002</v>
      </c>
      <c r="D67" s="6">
        <f>D65+D66</f>
        <v>626.0999999999999</v>
      </c>
      <c r="E67" s="6">
        <f>E65+E66</f>
        <v>738.6999999999998</v>
      </c>
      <c r="F67" s="6">
        <f>F65+F66</f>
        <v>769.8000000000002</v>
      </c>
      <c r="G67" s="6">
        <f>G65+G66</f>
        <v>755.8000000000002</v>
      </c>
      <c r="H67" s="6">
        <f>H65+H66</f>
        <v>758.0999999999999</v>
      </c>
      <c r="I67" s="6">
        <f>I65+I66</f>
        <v>705.6999999999998</v>
      </c>
      <c r="J67" s="6">
        <f>J65+J66</f>
        <v>656.6999999999998</v>
      </c>
      <c r="K67" s="6">
        <f>K65+K66</f>
        <v>673.2</v>
      </c>
      <c r="L67" s="6">
        <f>L65+L66</f>
        <v>798.9999999999998</v>
      </c>
      <c r="M67" s="6">
        <f>M65+M66</f>
        <v>699.3000000000002</v>
      </c>
      <c r="N67" s="6">
        <f>N65+N66</f>
        <v>726.0</v>
      </c>
      <c r="O67" s="6">
        <f>SUM(C67:N67)</f>
        <v>8593.2</v>
      </c>
    </row>
    <row r="68">
      <c r="B68" t="inlineStr">
        <is>
          <t>Net Inventory</t>
        </is>
      </c>
      <c r="C68" s="6" t="n">
        <v>16999.1</v>
      </c>
      <c r="D68" s="6" t="n">
        <v>16016.9</v>
      </c>
      <c r="E68" s="6" t="n">
        <v>17107.1</v>
      </c>
      <c r="F68" s="6" t="n">
        <v>19108.5</v>
      </c>
      <c r="G68" s="6" t="n">
        <v>17372.5</v>
      </c>
      <c r="H68" s="6" t="n">
        <v>18626.6</v>
      </c>
      <c r="I68" s="6" t="n">
        <v>18058.8</v>
      </c>
      <c r="J68" s="6" t="n">
        <v>17389.7</v>
      </c>
      <c r="K68" s="6" t="n">
        <v>17161.8</v>
      </c>
      <c r="L68" s="6" t="n">
        <v>18494.3</v>
      </c>
      <c r="M68" s="6" t="n">
        <v>16630.2</v>
      </c>
      <c r="N68" s="6" t="n">
        <v>18353.2</v>
      </c>
      <c r="O68" s="6">
        <f>N68</f>
        <v>18353.2</v>
      </c>
    </row>
    <row r="69">
      <c r="B69" t="inlineStr">
        <is>
          <t>Trade Receivables</t>
        </is>
      </c>
      <c r="C69" s="6" t="n">
        <v>12836.6</v>
      </c>
      <c r="D69" s="6" t="n">
        <v>12365.6</v>
      </c>
      <c r="E69" s="6" t="n">
        <v>13339.1</v>
      </c>
      <c r="F69" s="6" t="n">
        <v>14401.2</v>
      </c>
      <c r="G69" s="6" t="n">
        <v>13235</v>
      </c>
      <c r="H69" s="6" t="n">
        <v>14050.7</v>
      </c>
      <c r="I69" s="6" t="n">
        <v>13639</v>
      </c>
      <c r="J69" s="6" t="n">
        <v>13200</v>
      </c>
      <c r="K69" s="6" t="n">
        <v>12960.5</v>
      </c>
      <c r="L69" s="6" t="n">
        <v>14175.7</v>
      </c>
      <c r="M69" s="6" t="n">
        <v>12878.3</v>
      </c>
      <c r="N69" s="6" t="n">
        <v>13815.8</v>
      </c>
      <c r="O69" s="6">
        <f>N69</f>
        <v>13815.8</v>
      </c>
    </row>
    <row r="70">
      <c r="B70" t="inlineStr">
        <is>
          <t>Other Receivables</t>
        </is>
      </c>
      <c r="C70" s="6" t="n">
        <v>125.6</v>
      </c>
      <c r="D70" s="6" t="n">
        <v>121</v>
      </c>
      <c r="E70" s="6" t="n">
        <v>130.5</v>
      </c>
      <c r="F70" s="6" t="n">
        <v>140.9</v>
      </c>
      <c r="G70" s="6" t="n">
        <v>129.5</v>
      </c>
      <c r="H70" s="6" t="n">
        <v>137.5</v>
      </c>
      <c r="I70" s="6" t="n">
        <v>133.4</v>
      </c>
      <c r="J70" s="6" t="n">
        <v>129.1</v>
      </c>
      <c r="K70" s="6" t="n">
        <v>126.8</v>
      </c>
      <c r="L70" s="6" t="n">
        <v>138.7</v>
      </c>
      <c r="M70" s="6" t="n">
        <v>126</v>
      </c>
      <c r="N70" s="6" t="n">
        <v>135.2</v>
      </c>
      <c r="O70" s="6">
        <f>N70</f>
        <v>135.2</v>
      </c>
    </row>
    <row r="71">
      <c r="B71" t="inlineStr">
        <is>
          <t>Trade Payables</t>
        </is>
      </c>
      <c r="C71" s="6" t="n">
        <v>-8196.299999999999</v>
      </c>
      <c r="D71" s="6" t="n">
        <v>-7885</v>
      </c>
      <c r="E71" s="6" t="n">
        <v>-8468.799999999999</v>
      </c>
      <c r="F71" s="6" t="n">
        <v>-9170.700000000001</v>
      </c>
      <c r="G71" s="6" t="n">
        <v>-8390.799999999999</v>
      </c>
      <c r="H71" s="6" t="n">
        <v>-8974.6</v>
      </c>
      <c r="I71" s="6" t="n">
        <v>-8714.4</v>
      </c>
      <c r="J71" s="6" t="n">
        <v>-8423.5</v>
      </c>
      <c r="K71" s="6" t="n">
        <v>-8237</v>
      </c>
      <c r="L71" s="6" t="n">
        <v>-8997.200000000001</v>
      </c>
      <c r="M71" s="6" t="n">
        <v>-8226.799999999999</v>
      </c>
      <c r="N71" s="6" t="n">
        <v>-8805.799999999999</v>
      </c>
      <c r="O71" s="6">
        <f>N71</f>
        <v>-8805.8</v>
      </c>
    </row>
    <row r="72">
      <c r="B72" t="inlineStr">
        <is>
          <t>Other Payables</t>
        </is>
      </c>
      <c r="C72" s="6" t="n">
        <v>-251.2</v>
      </c>
      <c r="D72" s="6" t="n">
        <v>-241.9</v>
      </c>
      <c r="E72" s="6" t="n">
        <v>-261</v>
      </c>
      <c r="F72" s="6" t="n">
        <v>-281.8</v>
      </c>
      <c r="G72" s="6" t="n">
        <v>-258.9</v>
      </c>
      <c r="H72" s="6" t="n">
        <v>-274.9</v>
      </c>
      <c r="I72" s="6" t="n">
        <v>-266.8</v>
      </c>
      <c r="J72" s="6" t="n">
        <v>-258.3</v>
      </c>
      <c r="K72" s="6" t="n">
        <v>-253.6</v>
      </c>
      <c r="L72" s="6" t="n">
        <v>-277.3</v>
      </c>
      <c r="M72" s="6" t="n">
        <v>-252</v>
      </c>
      <c r="N72" s="6" t="n">
        <v>-270.3</v>
      </c>
      <c r="O72" s="6">
        <f>N72</f>
        <v>-270.3</v>
      </c>
    </row>
    <row r="73">
      <c r="B73" t="inlineStr">
        <is>
          <t>Total working capital</t>
        </is>
      </c>
      <c r="C73" s="6">
        <f>SUM(C68:C72)</f>
        <v>21513.799999999996</v>
      </c>
      <c r="D73" s="6">
        <f>SUM(D68:D72)</f>
        <v>20376.6</v>
      </c>
      <c r="E73" s="6">
        <f>SUM(E68:E72)</f>
        <v>21846.899999999998</v>
      </c>
      <c r="F73" s="6">
        <f>SUM(F68:F72)</f>
        <v>24198.1</v>
      </c>
      <c r="G73" s="6">
        <f>SUM(G68:G72)</f>
        <v>22087.3</v>
      </c>
      <c r="H73" s="6">
        <f>SUM(H68:H72)</f>
        <v>23565.300000000003</v>
      </c>
      <c r="I73" s="6">
        <f>SUM(I68:I72)</f>
        <v>22850.000000000004</v>
      </c>
      <c r="J73" s="6">
        <f>SUM(J68:J72)</f>
        <v>22037.0</v>
      </c>
      <c r="K73" s="6">
        <f>SUM(K68:K72)</f>
        <v>21758.5</v>
      </c>
      <c r="L73" s="6">
        <f>SUM(L68:L72)</f>
        <v>23534.199999999997</v>
      </c>
      <c r="M73" s="6">
        <f>SUM(M68:M72)</f>
        <v>21155.7</v>
      </c>
      <c r="N73" s="6">
        <f>SUM(N68:N72)</f>
        <v>23228.100000000002</v>
      </c>
      <c r="O73" s="6">
        <f>N73</f>
        <v>23228.100000000002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3" t="inlineStr">
        <is>
          <t>Safety Region (regional office)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4" t="inlineStr">
        <is>
          <t>Actual vs. FCAST09</t>
        </is>
      </c>
      <c r="D6" s="4" t="inlineStr">
        <is>
          <t>Actual vs. Bud</t>
        </is>
      </c>
      <c r="E6" s="4" t="inlineStr">
        <is>
          <t>Actual vs. PY</t>
        </is>
      </c>
      <c r="F6" s="4" t="inlineStr">
        <is>
          <t>FCAST10 vs. FCAST09</t>
        </is>
      </c>
      <c r="G6" s="4" t="inlineStr">
        <is>
          <t>FCAST10 vs. Bud</t>
        </is>
      </c>
      <c r="H6" s="4" t="inlineStr">
        <is>
          <t>FCAST10 vs. PY</t>
        </is>
      </c>
      <c r="I6" s="4" t="inlineStr">
        <is>
          <t>FCAST10 vs. FCAST09</t>
        </is>
      </c>
      <c r="J6" s="4" t="inlineStr">
        <is>
          <t>FCAST10 vs. Bud</t>
        </is>
      </c>
      <c r="K6" s="4" t="inlineStr">
        <is>
          <t>FCAST10 vs. PY</t>
        </is>
      </c>
    </row>
    <row r="8">
      <c r="B8" s="2" t="inlineStr">
        <is>
          <t>Sales</t>
        </is>
      </c>
      <c r="C8" s="6">
        <f>'SAFEREG'!BU28</f>
        <v>0.0</v>
      </c>
      <c r="D8" s="6">
        <f>'SAFEREG'!BV28</f>
        <v>0.0</v>
      </c>
      <c r="E8" s="6">
        <f>'SAFEREG'!BW28</f>
        <v>0.0</v>
      </c>
      <c r="F8" s="6">
        <f>'SAFEREG'!BY28</f>
        <v>0.0</v>
      </c>
      <c r="G8" s="6">
        <f>'SAFEREG'!BZ28</f>
        <v>0.0</v>
      </c>
      <c r="H8" s="6">
        <f>'SAFEREG'!CA28</f>
        <v>0.0</v>
      </c>
      <c r="I8" s="6">
        <f>'SAFEREG'!CC28</f>
        <v>0.0</v>
      </c>
      <c r="J8" s="6">
        <f>'SAFEREG'!CD28</f>
        <v>0.0</v>
      </c>
      <c r="K8" s="6">
        <f>'SAFEREG'!CE28</f>
        <v>0.0</v>
      </c>
    </row>
    <row r="10">
      <c r="B10" s="2" t="inlineStr">
        <is>
          <t>Gross Margin</t>
        </is>
      </c>
      <c r="C10" s="6">
        <f>'SAFEREG'!BU29</f>
        <v>0.0</v>
      </c>
      <c r="D10" s="6">
        <f>'SAFEREG'!BV29</f>
        <v>0.0</v>
      </c>
      <c r="E10" s="6">
        <f>'SAFEREG'!BW29</f>
        <v>0.0</v>
      </c>
      <c r="F10" s="6">
        <f>'SAFEREG'!BY29</f>
        <v>0.0</v>
      </c>
      <c r="G10" s="6">
        <f>'SAFEREG'!BZ29</f>
        <v>0.0</v>
      </c>
      <c r="H10" s="6">
        <f>'SAFEREG'!CA29</f>
        <v>0.0</v>
      </c>
      <c r="I10" s="6">
        <f>'SAFEREG'!CC29</f>
        <v>0.0</v>
      </c>
      <c r="J10" s="6">
        <f>'SAFEREG'!CD29</f>
        <v>0.0</v>
      </c>
      <c r="K10" s="6">
        <f>'SAFEREG'!CE29</f>
        <v>0.0</v>
      </c>
    </row>
    <row r="12">
      <c r="B12" s="2" t="inlineStr">
        <is>
          <t>Op Costs</t>
        </is>
      </c>
      <c r="C12" s="6">
        <f>'SAFEREG'!BU30</f>
        <v>0.0</v>
      </c>
      <c r="D12" s="6">
        <f>'SAFEREG'!BV30</f>
        <v>1.7999999999997272</v>
      </c>
      <c r="E12" s="6">
        <f>'SAFEREG'!BW30</f>
        <v>-94.80000000000018</v>
      </c>
      <c r="F12" s="6">
        <f>'SAFEREG'!BY30</f>
        <v>0.0</v>
      </c>
      <c r="G12" s="6">
        <f>'SAFEREG'!BZ30</f>
        <v>2.7999999999999545</v>
      </c>
      <c r="H12" s="6">
        <f>'SAFEREG'!CA30</f>
        <v>-36.80000000000007</v>
      </c>
      <c r="I12" s="6">
        <f>'SAFEREG'!CC30</f>
        <v>0.0</v>
      </c>
      <c r="J12" s="6">
        <f>'SAFEREG'!CD30</f>
        <v>4.599999999999454</v>
      </c>
      <c r="K12" s="6">
        <f>'SAFEREG'!CE30</f>
        <v>-131.60000000000036</v>
      </c>
    </row>
    <row r="14">
      <c r="B14" s="2" t="inlineStr">
        <is>
          <t>PBITA</t>
        </is>
      </c>
      <c r="C14" s="6">
        <f>'SAFEREG'!BU31</f>
        <v>0.0</v>
      </c>
      <c r="D14" s="6">
        <f>'SAFEREG'!BV31</f>
        <v>1.7999999999997272</v>
      </c>
      <c r="E14" s="6">
        <f>'SAFEREG'!BW31</f>
        <v>-94.80000000000018</v>
      </c>
      <c r="F14" s="6">
        <f>'SAFEREG'!BY31</f>
        <v>0.0</v>
      </c>
      <c r="G14" s="6">
        <f>'SAFEREG'!BZ31</f>
        <v>2.7999999999999545</v>
      </c>
      <c r="H14" s="6">
        <f>'SAFEREG'!CA31</f>
        <v>-36.80000000000007</v>
      </c>
      <c r="I14" s="6">
        <f>'SAFEREG'!CC31</f>
        <v>0.0</v>
      </c>
      <c r="J14" s="6">
        <f>'SAFEREG'!CD31</f>
        <v>4.599999999999454</v>
      </c>
      <c r="K14" s="6">
        <f>'SAFEREG'!CE31</f>
        <v>-131.60000000000036</v>
      </c>
    </row>
    <row r="17">
      <c r="B17" s="8" t="inlineStr">
        <is>
          <t>Commentary (business controller):</t>
        </is>
      </c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8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4" t="inlineStr">
        <is>
          <t>January</t>
        </is>
      </c>
      <c r="D4" s="4" t="inlineStr">
        <is>
          <t>February</t>
        </is>
      </c>
      <c r="E4" s="4" t="inlineStr">
        <is>
          <t>March</t>
        </is>
      </c>
      <c r="F4" s="4" t="inlineStr">
        <is>
          <t>April</t>
        </is>
      </c>
      <c r="G4" s="4" t="inlineStr">
        <is>
          <t>May</t>
        </is>
      </c>
      <c r="H4" s="4" t="inlineStr">
        <is>
          <t>June</t>
        </is>
      </c>
      <c r="I4" s="4" t="inlineStr">
        <is>
          <t>July</t>
        </is>
      </c>
      <c r="J4" s="4" t="inlineStr">
        <is>
          <t>August</t>
        </is>
      </c>
      <c r="K4" s="4" t="inlineStr">
        <is>
          <t>September</t>
        </is>
      </c>
      <c r="L4" s="4" t="inlineStr">
        <is>
          <t>October</t>
        </is>
      </c>
      <c r="M4" s="4" t="inlineStr">
        <is>
          <t>November</t>
        </is>
      </c>
      <c r="N4" s="4" t="inlineStr">
        <is>
          <t>December</t>
        </is>
      </c>
      <c r="O4" s="4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Insert Adj. 1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6">
        <f>SUM(C6:N6)</f>
        <v>0.0</v>
      </c>
    </row>
    <row r="7">
      <c r="B7" t="inlineStr">
        <is>
          <t>Insert Adj. 2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6">
        <f>SUM(C7:N7)</f>
        <v>0.0</v>
      </c>
    </row>
    <row r="8">
      <c r="B8" t="inlineStr">
        <is>
          <t>Insert Adj. 3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6">
        <f>SUM(C8:N8)</f>
        <v>0.0</v>
      </c>
    </row>
    <row r="9">
      <c r="B9" t="inlineStr">
        <is>
          <t>Insert Adj. 4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6">
        <f>SUM(C9:N9)</f>
        <v>0.0</v>
      </c>
    </row>
    <row r="10">
      <c r="B10" t="inlineStr">
        <is>
          <t>Insert Adj. 5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6">
        <f>SUM(C10:N10)</f>
        <v>0.0</v>
      </c>
    </row>
    <row r="11">
      <c r="B11" t="inlineStr">
        <is>
          <t>Insert Adj. 6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6">
        <f>SUM(C11:N11)</f>
        <v>0.0</v>
      </c>
    </row>
    <row r="12">
      <c r="B12" t="inlineStr">
        <is>
          <t>Insert Adj. 7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6">
        <f>SUM(C12:N12)</f>
        <v>0.0</v>
      </c>
    </row>
    <row r="13">
      <c r="B13" t="inlineStr">
        <is>
          <t>Insert Adj. 8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6">
        <f>SUM(C13:N13)</f>
        <v>0.0</v>
      </c>
    </row>
    <row r="14">
      <c r="B14" s="2" t="inlineStr">
        <is>
          <t>Total Sales</t>
        </is>
      </c>
      <c r="C14" s="9">
        <f>SUM(C6:C13)</f>
        <v>0.0</v>
      </c>
      <c r="D14" s="9">
        <f>SUM(D6:D13)</f>
        <v>0.0</v>
      </c>
      <c r="E14" s="9">
        <f>SUM(E6:E13)</f>
        <v>0.0</v>
      </c>
      <c r="F14" s="9">
        <f>SUM(F6:F13)</f>
        <v>0.0</v>
      </c>
      <c r="G14" s="9">
        <f>SUM(G6:G13)</f>
        <v>0.0</v>
      </c>
      <c r="H14" s="9">
        <f>SUM(H6:H13)</f>
        <v>0.0</v>
      </c>
      <c r="I14" s="9">
        <f>SUM(I6:I13)</f>
        <v>0.0</v>
      </c>
      <c r="J14" s="9">
        <f>SUM(J6:J13)</f>
        <v>0.0</v>
      </c>
      <c r="K14" s="9">
        <f>SUM(K6:K13)</f>
        <v>0.0</v>
      </c>
      <c r="L14" s="9">
        <f>SUM(L6:L13)</f>
        <v>0.0</v>
      </c>
      <c r="M14" s="9">
        <f>SUM(M6:M13)</f>
        <v>0.0</v>
      </c>
      <c r="N14" s="9">
        <f>SUM(N6:N13)</f>
        <v>0.0</v>
      </c>
      <c r="O14" s="9">
        <f>SUM(O6:O13)</f>
        <v>0.0</v>
      </c>
    </row>
    <row r="16">
      <c r="B16" s="2" t="inlineStr">
        <is>
          <t>Gross Margin (%)</t>
        </is>
      </c>
    </row>
    <row r="17">
      <c r="B17" t="str">
        <f>B6</f>
        <v>Insert Adj. 1</v>
      </c>
      <c r="C17" s="12">
        <f>IFERROR(C28/C6,0)</f>
        <v>0.0</v>
      </c>
      <c r="D17" s="12">
        <f>IFERROR(D28/D6,0)</f>
        <v>0.0</v>
      </c>
      <c r="E17" s="12">
        <f>IFERROR(E28/E6,0)</f>
        <v>0.0</v>
      </c>
      <c r="F17" s="12">
        <f>IFERROR(F28/F6,0)</f>
        <v>0.0</v>
      </c>
      <c r="G17" s="12">
        <f>IFERROR(G28/G6,0)</f>
        <v>0.0</v>
      </c>
      <c r="H17" s="12">
        <f>IFERROR(H28/H6,0)</f>
        <v>0.0</v>
      </c>
      <c r="I17" s="12">
        <f>IFERROR(I28/I6,0)</f>
        <v>0.0</v>
      </c>
      <c r="J17" s="12">
        <f>IFERROR(J28/J6,0)</f>
        <v>0.0</v>
      </c>
      <c r="K17" s="12">
        <f>IFERROR(K28/K6,0)</f>
        <v>0.0</v>
      </c>
      <c r="L17" s="12">
        <f>IFERROR(L28/L6,0)</f>
        <v>0.0</v>
      </c>
      <c r="M17" s="12">
        <f>IFERROR(M28/M6,0)</f>
        <v>0.0</v>
      </c>
      <c r="N17" s="12">
        <f>IFERROR(N28/N6,0)</f>
        <v>0.0</v>
      </c>
      <c r="O17" s="12">
        <f>IFERROR(O28/O6,0)</f>
        <v>0.0</v>
      </c>
    </row>
    <row r="18">
      <c r="B18" t="str">
        <f>B7</f>
        <v>Insert Adj. 2</v>
      </c>
      <c r="C18" s="12">
        <f>IFERROR(C29/C7,0)</f>
        <v>0.0</v>
      </c>
      <c r="D18" s="12">
        <f>IFERROR(D29/D7,0)</f>
        <v>0.0</v>
      </c>
      <c r="E18" s="12">
        <f>IFERROR(E29/E7,0)</f>
        <v>0.0</v>
      </c>
      <c r="F18" s="12">
        <f>IFERROR(F29/F7,0)</f>
        <v>0.0</v>
      </c>
      <c r="G18" s="12">
        <f>IFERROR(G29/G7,0)</f>
        <v>0.0</v>
      </c>
      <c r="H18" s="12">
        <f>IFERROR(H29/H7,0)</f>
        <v>0.0</v>
      </c>
      <c r="I18" s="12">
        <f>IFERROR(I29/I7,0)</f>
        <v>0.0</v>
      </c>
      <c r="J18" s="12">
        <f>IFERROR(J29/J7,0)</f>
        <v>0.0</v>
      </c>
      <c r="K18" s="12">
        <f>IFERROR(K29/K7,0)</f>
        <v>0.0</v>
      </c>
      <c r="L18" s="12">
        <f>IFERROR(L29/L7,0)</f>
        <v>0.0</v>
      </c>
      <c r="M18" s="12">
        <f>IFERROR(M29/M7,0)</f>
        <v>0.0</v>
      </c>
      <c r="N18" s="12">
        <f>IFERROR(N29/N7,0)</f>
        <v>0.0</v>
      </c>
      <c r="O18" s="12">
        <f>IFERROR(O29/O7,0)</f>
        <v>0.0</v>
      </c>
    </row>
    <row r="19">
      <c r="B19" t="str">
        <f>B8</f>
        <v>Insert Adj. 3</v>
      </c>
      <c r="C19" s="12">
        <f>IFERROR(C30/C8,0)</f>
        <v>0.0</v>
      </c>
      <c r="D19" s="12">
        <f>IFERROR(D30/D8,0)</f>
        <v>0.0</v>
      </c>
      <c r="E19" s="12">
        <f>IFERROR(E30/E8,0)</f>
        <v>0.0</v>
      </c>
      <c r="F19" s="12">
        <f>IFERROR(F30/F8,0)</f>
        <v>0.0</v>
      </c>
      <c r="G19" s="12">
        <f>IFERROR(G30/G8,0)</f>
        <v>0.0</v>
      </c>
      <c r="H19" s="12">
        <f>IFERROR(H30/H8,0)</f>
        <v>0.0</v>
      </c>
      <c r="I19" s="12">
        <f>IFERROR(I30/I8,0)</f>
        <v>0.0</v>
      </c>
      <c r="J19" s="12">
        <f>IFERROR(J30/J8,0)</f>
        <v>0.0</v>
      </c>
      <c r="K19" s="12">
        <f>IFERROR(K30/K8,0)</f>
        <v>0.0</v>
      </c>
      <c r="L19" s="12">
        <f>IFERROR(L30/L8,0)</f>
        <v>0.0</v>
      </c>
      <c r="M19" s="12">
        <f>IFERROR(M30/M8,0)</f>
        <v>0.0</v>
      </c>
      <c r="N19" s="12">
        <f>IFERROR(N30/N8,0)</f>
        <v>0.0</v>
      </c>
      <c r="O19" s="12">
        <f>IFERROR(O30/O8,0)</f>
        <v>0.0</v>
      </c>
    </row>
    <row r="20">
      <c r="B20" t="str">
        <f>B9</f>
        <v>Insert Adj. 4</v>
      </c>
      <c r="C20" s="12">
        <f>IFERROR(C31/C9,0)</f>
        <v>0.0</v>
      </c>
      <c r="D20" s="12">
        <f>IFERROR(D31/D9,0)</f>
        <v>0.0</v>
      </c>
      <c r="E20" s="12">
        <f>IFERROR(E31/E9,0)</f>
        <v>0.0</v>
      </c>
      <c r="F20" s="12">
        <f>IFERROR(F31/F9,0)</f>
        <v>0.0</v>
      </c>
      <c r="G20" s="12">
        <f>IFERROR(G31/G9,0)</f>
        <v>0.0</v>
      </c>
      <c r="H20" s="12">
        <f>IFERROR(H31/H9,0)</f>
        <v>0.0</v>
      </c>
      <c r="I20" s="12">
        <f>IFERROR(I31/I9,0)</f>
        <v>0.0</v>
      </c>
      <c r="J20" s="12">
        <f>IFERROR(J31/J9,0)</f>
        <v>0.0</v>
      </c>
      <c r="K20" s="12">
        <f>IFERROR(K31/K9,0)</f>
        <v>0.0</v>
      </c>
      <c r="L20" s="12">
        <f>IFERROR(L31/L9,0)</f>
        <v>0.0</v>
      </c>
      <c r="M20" s="12">
        <f>IFERROR(M31/M9,0)</f>
        <v>0.0</v>
      </c>
      <c r="N20" s="12">
        <f>IFERROR(N31/N9,0)</f>
        <v>0.0</v>
      </c>
      <c r="O20" s="12">
        <f>IFERROR(O31/O9,0)</f>
        <v>0.0</v>
      </c>
    </row>
    <row r="21">
      <c r="B21" t="str">
        <f>B10</f>
        <v>Insert Adj. 5</v>
      </c>
      <c r="C21" s="12">
        <f>IFERROR(C32/C10,0)</f>
        <v>0.0</v>
      </c>
      <c r="D21" s="12">
        <f>IFERROR(D32/D10,0)</f>
        <v>0.0</v>
      </c>
      <c r="E21" s="12">
        <f>IFERROR(E32/E10,0)</f>
        <v>0.0</v>
      </c>
      <c r="F21" s="12">
        <f>IFERROR(F32/F10,0)</f>
        <v>0.0</v>
      </c>
      <c r="G21" s="12">
        <f>IFERROR(G32/G10,0)</f>
        <v>0.0</v>
      </c>
      <c r="H21" s="12">
        <f>IFERROR(H32/H10,0)</f>
        <v>0.0</v>
      </c>
      <c r="I21" s="12">
        <f>IFERROR(I32/I10,0)</f>
        <v>0.0</v>
      </c>
      <c r="J21" s="12">
        <f>IFERROR(J32/J10,0)</f>
        <v>0.0</v>
      </c>
      <c r="K21" s="12">
        <f>IFERROR(K32/K10,0)</f>
        <v>0.0</v>
      </c>
      <c r="L21" s="12">
        <f>IFERROR(L32/L10,0)</f>
        <v>0.0</v>
      </c>
      <c r="M21" s="12">
        <f>IFERROR(M32/M10,0)</f>
        <v>0.0</v>
      </c>
      <c r="N21" s="12">
        <f>IFERROR(N32/N10,0)</f>
        <v>0.0</v>
      </c>
      <c r="O21" s="12">
        <f>IFERROR(O32/O10,0)</f>
        <v>0.0</v>
      </c>
    </row>
    <row r="22">
      <c r="B22" t="str">
        <f>B11</f>
        <v>Insert Adj. 6</v>
      </c>
      <c r="C22" s="12">
        <f>IFERROR(C33/C11,0)</f>
        <v>0.0</v>
      </c>
      <c r="D22" s="12">
        <f>IFERROR(D33/D11,0)</f>
        <v>0.0</v>
      </c>
      <c r="E22" s="12">
        <f>IFERROR(E33/E11,0)</f>
        <v>0.0</v>
      </c>
      <c r="F22" s="12">
        <f>IFERROR(F33/F11,0)</f>
        <v>0.0</v>
      </c>
      <c r="G22" s="12">
        <f>IFERROR(G33/G11,0)</f>
        <v>0.0</v>
      </c>
      <c r="H22" s="12">
        <f>IFERROR(H33/H11,0)</f>
        <v>0.0</v>
      </c>
      <c r="I22" s="12">
        <f>IFERROR(I33/I11,0)</f>
        <v>0.0</v>
      </c>
      <c r="J22" s="12">
        <f>IFERROR(J33/J11,0)</f>
        <v>0.0</v>
      </c>
      <c r="K22" s="12">
        <f>IFERROR(K33/K11,0)</f>
        <v>0.0</v>
      </c>
      <c r="L22" s="12">
        <f>IFERROR(L33/L11,0)</f>
        <v>0.0</v>
      </c>
      <c r="M22" s="12">
        <f>IFERROR(M33/M11,0)</f>
        <v>0.0</v>
      </c>
      <c r="N22" s="12">
        <f>IFERROR(N33/N11,0)</f>
        <v>0.0</v>
      </c>
      <c r="O22" s="12">
        <f>IFERROR(O33/O11,0)</f>
        <v>0.0</v>
      </c>
    </row>
    <row r="23">
      <c r="B23" t="str">
        <f>B12</f>
        <v>Insert Adj. 7</v>
      </c>
      <c r="C23" s="12">
        <f>IFERROR(C34/C12,0)</f>
        <v>0.0</v>
      </c>
      <c r="D23" s="12">
        <f>IFERROR(D34/D12,0)</f>
        <v>0.0</v>
      </c>
      <c r="E23" s="12">
        <f>IFERROR(E34/E12,0)</f>
        <v>0.0</v>
      </c>
      <c r="F23" s="12">
        <f>IFERROR(F34/F12,0)</f>
        <v>0.0</v>
      </c>
      <c r="G23" s="12">
        <f>IFERROR(G34/G12,0)</f>
        <v>0.0</v>
      </c>
      <c r="H23" s="12">
        <f>IFERROR(H34/H12,0)</f>
        <v>0.0</v>
      </c>
      <c r="I23" s="12">
        <f>IFERROR(I34/I12,0)</f>
        <v>0.0</v>
      </c>
      <c r="J23" s="12">
        <f>IFERROR(J34/J12,0)</f>
        <v>0.0</v>
      </c>
      <c r="K23" s="12">
        <f>IFERROR(K34/K12,0)</f>
        <v>0.0</v>
      </c>
      <c r="L23" s="12">
        <f>IFERROR(L34/L12,0)</f>
        <v>0.0</v>
      </c>
      <c r="M23" s="12">
        <f>IFERROR(M34/M12,0)</f>
        <v>0.0</v>
      </c>
      <c r="N23" s="12">
        <f>IFERROR(N34/N12,0)</f>
        <v>0.0</v>
      </c>
      <c r="O23" s="12">
        <f>IFERROR(O34/O12,0)</f>
        <v>0.0</v>
      </c>
    </row>
    <row r="24">
      <c r="B24" t="str">
        <f>B13</f>
        <v>Insert Adj. 8</v>
      </c>
      <c r="C24" s="12">
        <f>IFERROR(C35/C13,0)</f>
        <v>0.0</v>
      </c>
      <c r="D24" s="12">
        <f>IFERROR(D35/D13,0)</f>
        <v>0.0</v>
      </c>
      <c r="E24" s="12">
        <f>IFERROR(E35/E13,0)</f>
        <v>0.0</v>
      </c>
      <c r="F24" s="12">
        <f>IFERROR(F35/F13,0)</f>
        <v>0.0</v>
      </c>
      <c r="G24" s="12">
        <f>IFERROR(G35/G13,0)</f>
        <v>0.0</v>
      </c>
      <c r="H24" s="12">
        <f>IFERROR(H35/H13,0)</f>
        <v>0.0</v>
      </c>
      <c r="I24" s="12">
        <f>IFERROR(I35/I13,0)</f>
        <v>0.0</v>
      </c>
      <c r="J24" s="12">
        <f>IFERROR(J35/J13,0)</f>
        <v>0.0</v>
      </c>
      <c r="K24" s="12">
        <f>IFERROR(K35/K13,0)</f>
        <v>0.0</v>
      </c>
      <c r="L24" s="12">
        <f>IFERROR(L35/L13,0)</f>
        <v>0.0</v>
      </c>
      <c r="M24" s="12">
        <f>IFERROR(M35/M13,0)</f>
        <v>0.0</v>
      </c>
      <c r="N24" s="12">
        <f>IFERROR(N35/N13,0)</f>
        <v>0.0</v>
      </c>
      <c r="O24" s="12">
        <f>IFERROR(O35/O13,0)</f>
        <v>0.0</v>
      </c>
    </row>
    <row r="25">
      <c r="B25" s="2" t="inlineStr">
        <is>
          <t>Total Gross Margin (%)</t>
        </is>
      </c>
      <c r="C25" s="15">
        <f>IFERROR(C36/C14,0)</f>
        <v>0.0</v>
      </c>
      <c r="D25" s="15">
        <f>IFERROR(D36/D14,0)</f>
        <v>0.0</v>
      </c>
      <c r="E25" s="15">
        <f>IFERROR(E36/E14,0)</f>
        <v>0.0</v>
      </c>
      <c r="F25" s="15">
        <f>IFERROR(F36/F14,0)</f>
        <v>0.0</v>
      </c>
      <c r="G25" s="15">
        <f>IFERROR(G36/G14,0)</f>
        <v>0.0</v>
      </c>
      <c r="H25" s="15">
        <f>IFERROR(H36/H14,0)</f>
        <v>0.0</v>
      </c>
      <c r="I25" s="15">
        <f>IFERROR(I36/I14,0)</f>
        <v>0.0</v>
      </c>
      <c r="J25" s="15">
        <f>IFERROR(J36/J14,0)</f>
        <v>0.0</v>
      </c>
      <c r="K25" s="15">
        <f>IFERROR(K36/K14,0)</f>
        <v>0.0</v>
      </c>
      <c r="L25" s="15">
        <f>IFERROR(L36/L14,0)</f>
        <v>0.0</v>
      </c>
      <c r="M25" s="15">
        <f>IFERROR(M36/M14,0)</f>
        <v>0.0</v>
      </c>
      <c r="N25" s="15">
        <f>IFERROR(N36/N14,0)</f>
        <v>0.0</v>
      </c>
      <c r="O25" s="15">
        <f>IFERROR(O36/O14,0)</f>
        <v>0.0</v>
      </c>
    </row>
    <row r="27">
      <c r="B27" s="2" t="inlineStr">
        <is>
          <t>Gross Margin ($)</t>
        </is>
      </c>
    </row>
    <row r="28">
      <c r="B28" t="inlineStr">
        <is>
          <t>Insert Adj. 1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6">
        <f>SUM(C28:N28)</f>
        <v>0.0</v>
      </c>
    </row>
    <row r="29">
      <c r="B29" t="inlineStr">
        <is>
          <t>Insert Adj. 2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6">
        <f>SUM(C29:N29)</f>
        <v>0.0</v>
      </c>
    </row>
    <row r="30">
      <c r="B30" t="inlineStr">
        <is>
          <t>Insert Adj. 3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6">
        <f>SUM(C30:N30)</f>
        <v>0.0</v>
      </c>
    </row>
    <row r="31">
      <c r="B31" t="inlineStr">
        <is>
          <t>Insert Adj. 4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6">
        <f>SUM(C31:N31)</f>
        <v>0.0</v>
      </c>
    </row>
    <row r="32">
      <c r="B32" t="inlineStr">
        <is>
          <t>Insert Adj. 5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6">
        <f>SUM(C32:N32)</f>
        <v>0.0</v>
      </c>
    </row>
    <row r="33">
      <c r="B33" t="inlineStr">
        <is>
          <t>Insert Adj. 6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6">
        <f>SUM(C33:N33)</f>
        <v>0.0</v>
      </c>
    </row>
    <row r="34">
      <c r="B34" t="inlineStr">
        <is>
          <t>Insert Adj. 7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6">
        <f>SUM(C34:N34)</f>
        <v>0.0</v>
      </c>
    </row>
    <row r="35">
      <c r="B35" t="inlineStr">
        <is>
          <t>Insert Adj. 8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6">
        <f>SUM(C35:N35)</f>
        <v>0.0</v>
      </c>
    </row>
    <row r="36">
      <c r="B36" s="2" t="inlineStr">
        <is>
          <t>Total Gross Margin ($)</t>
        </is>
      </c>
      <c r="C36" s="9">
        <f>SUM(C28:C35)</f>
        <v>0.0</v>
      </c>
      <c r="D36" s="9">
        <f>SUM(D28:D35)</f>
        <v>0.0</v>
      </c>
      <c r="E36" s="9">
        <f>SUM(E28:E35)</f>
        <v>0.0</v>
      </c>
      <c r="F36" s="9">
        <f>SUM(F28:F35)</f>
        <v>0.0</v>
      </c>
      <c r="G36" s="9">
        <f>SUM(G28:G35)</f>
        <v>0.0</v>
      </c>
      <c r="H36" s="9">
        <f>SUM(H28:H35)</f>
        <v>0.0</v>
      </c>
      <c r="I36" s="9">
        <f>SUM(I28:I35)</f>
        <v>0.0</v>
      </c>
      <c r="J36" s="9">
        <f>SUM(J28:J35)</f>
        <v>0.0</v>
      </c>
      <c r="K36" s="9">
        <f>SUM(K28:K35)</f>
        <v>0.0</v>
      </c>
      <c r="L36" s="9">
        <f>SUM(L28:L35)</f>
        <v>0.0</v>
      </c>
      <c r="M36" s="9">
        <f>SUM(M28:M35)</f>
        <v>0.0</v>
      </c>
      <c r="N36" s="9">
        <f>SUM(N28:N35)</f>
        <v>0.0</v>
      </c>
      <c r="O36" s="9">
        <f>SUM(O28:O35)</f>
        <v>0.0</v>
      </c>
    </row>
    <row r="38">
      <c r="B38" s="2" t="inlineStr">
        <is>
          <t>Op Costs (%)</t>
        </is>
      </c>
    </row>
    <row r="39">
      <c r="B39" t="str">
        <f>B6</f>
        <v>Insert Adj. 1</v>
      </c>
      <c r="C39" s="12">
        <f>IFERROR(C50/C6,0)</f>
        <v>0.0</v>
      </c>
      <c r="D39" s="12">
        <f>IFERROR(D50/D6,0)</f>
        <v>0.0</v>
      </c>
      <c r="E39" s="12">
        <f>IFERROR(E50/E6,0)</f>
        <v>0.0</v>
      </c>
      <c r="F39" s="12">
        <f>IFERROR(F50/F6,0)</f>
        <v>0.0</v>
      </c>
      <c r="G39" s="12">
        <f>IFERROR(G50/G6,0)</f>
        <v>0.0</v>
      </c>
      <c r="H39" s="12">
        <f>IFERROR(H50/H6,0)</f>
        <v>0.0</v>
      </c>
      <c r="I39" s="12">
        <f>IFERROR(I50/I6,0)</f>
        <v>0.0</v>
      </c>
      <c r="J39" s="12">
        <f>IFERROR(J50/J6,0)</f>
        <v>0.0</v>
      </c>
      <c r="K39" s="12">
        <f>IFERROR(K50/K6,0)</f>
        <v>0.0</v>
      </c>
      <c r="L39" s="12">
        <f>IFERROR(L50/L6,0)</f>
        <v>0.0</v>
      </c>
      <c r="M39" s="12">
        <f>IFERROR(M50/M6,0)</f>
        <v>0.0</v>
      </c>
      <c r="N39" s="12">
        <f>IFERROR(N50/N6,0)</f>
        <v>0.0</v>
      </c>
      <c r="O39" s="12">
        <f>IFERROR(O50/O6,0)</f>
        <v>0.0</v>
      </c>
    </row>
    <row r="40">
      <c r="B40" t="str">
        <f>B7</f>
        <v>Insert Adj. 2</v>
      </c>
      <c r="C40" s="12">
        <f>IFERROR(C51/C7,0)</f>
        <v>0.0</v>
      </c>
      <c r="D40" s="12">
        <f>IFERROR(D51/D7,0)</f>
        <v>0.0</v>
      </c>
      <c r="E40" s="12">
        <f>IFERROR(E51/E7,0)</f>
        <v>0.0</v>
      </c>
      <c r="F40" s="12">
        <f>IFERROR(F51/F7,0)</f>
        <v>0.0</v>
      </c>
      <c r="G40" s="12">
        <f>IFERROR(G51/G7,0)</f>
        <v>0.0</v>
      </c>
      <c r="H40" s="12">
        <f>IFERROR(H51/H7,0)</f>
        <v>0.0</v>
      </c>
      <c r="I40" s="12">
        <f>IFERROR(I51/I7,0)</f>
        <v>0.0</v>
      </c>
      <c r="J40" s="12">
        <f>IFERROR(J51/J7,0)</f>
        <v>0.0</v>
      </c>
      <c r="K40" s="12">
        <f>IFERROR(K51/K7,0)</f>
        <v>0.0</v>
      </c>
      <c r="L40" s="12">
        <f>IFERROR(L51/L7,0)</f>
        <v>0.0</v>
      </c>
      <c r="M40" s="12">
        <f>IFERROR(M51/M7,0)</f>
        <v>0.0</v>
      </c>
      <c r="N40" s="12">
        <f>IFERROR(N51/N7,0)</f>
        <v>0.0</v>
      </c>
      <c r="O40" s="12">
        <f>IFERROR(O51/O7,0)</f>
        <v>0.0</v>
      </c>
    </row>
    <row r="41">
      <c r="B41" t="str">
        <f>B8</f>
        <v>Insert Adj. 3</v>
      </c>
      <c r="C41" s="12">
        <f>IFERROR(C52/C8,0)</f>
        <v>0.0</v>
      </c>
      <c r="D41" s="12">
        <f>IFERROR(D52/D8,0)</f>
        <v>0.0</v>
      </c>
      <c r="E41" s="12">
        <f>IFERROR(E52/E8,0)</f>
        <v>0.0</v>
      </c>
      <c r="F41" s="12">
        <f>IFERROR(F52/F8,0)</f>
        <v>0.0</v>
      </c>
      <c r="G41" s="12">
        <f>IFERROR(G52/G8,0)</f>
        <v>0.0</v>
      </c>
      <c r="H41" s="12">
        <f>IFERROR(H52/H8,0)</f>
        <v>0.0</v>
      </c>
      <c r="I41" s="12">
        <f>IFERROR(I52/I8,0)</f>
        <v>0.0</v>
      </c>
      <c r="J41" s="12">
        <f>IFERROR(J52/J8,0)</f>
        <v>0.0</v>
      </c>
      <c r="K41" s="12">
        <f>IFERROR(K52/K8,0)</f>
        <v>0.0</v>
      </c>
      <c r="L41" s="12">
        <f>IFERROR(L52/L8,0)</f>
        <v>0.0</v>
      </c>
      <c r="M41" s="12">
        <f>IFERROR(M52/M8,0)</f>
        <v>0.0</v>
      </c>
      <c r="N41" s="12">
        <f>IFERROR(N52/N8,0)</f>
        <v>0.0</v>
      </c>
      <c r="O41" s="12">
        <f>IFERROR(O52/O8,0)</f>
        <v>0.0</v>
      </c>
    </row>
    <row r="42">
      <c r="B42" t="str">
        <f>B9</f>
        <v>Insert Adj. 4</v>
      </c>
      <c r="C42" s="12">
        <f>IFERROR(C53/C9,0)</f>
        <v>0.0</v>
      </c>
      <c r="D42" s="12">
        <f>IFERROR(D53/D9,0)</f>
        <v>0.0</v>
      </c>
      <c r="E42" s="12">
        <f>IFERROR(E53/E9,0)</f>
        <v>0.0</v>
      </c>
      <c r="F42" s="12">
        <f>IFERROR(F53/F9,0)</f>
        <v>0.0</v>
      </c>
      <c r="G42" s="12">
        <f>IFERROR(G53/G9,0)</f>
        <v>0.0</v>
      </c>
      <c r="H42" s="12">
        <f>IFERROR(H53/H9,0)</f>
        <v>0.0</v>
      </c>
      <c r="I42" s="12">
        <f>IFERROR(I53/I9,0)</f>
        <v>0.0</v>
      </c>
      <c r="J42" s="12">
        <f>IFERROR(J53/J9,0)</f>
        <v>0.0</v>
      </c>
      <c r="K42" s="12">
        <f>IFERROR(K53/K9,0)</f>
        <v>0.0</v>
      </c>
      <c r="L42" s="12">
        <f>IFERROR(L53/L9,0)</f>
        <v>0.0</v>
      </c>
      <c r="M42" s="12">
        <f>IFERROR(M53/M9,0)</f>
        <v>0.0</v>
      </c>
      <c r="N42" s="12">
        <f>IFERROR(N53/N9,0)</f>
        <v>0.0</v>
      </c>
      <c r="O42" s="12">
        <f>IFERROR(O53/O9,0)</f>
        <v>0.0</v>
      </c>
    </row>
    <row r="43">
      <c r="B43" t="str">
        <f>B10</f>
        <v>Insert Adj. 5</v>
      </c>
      <c r="C43" s="12">
        <f>IFERROR(C54/C10,0)</f>
        <v>0.0</v>
      </c>
      <c r="D43" s="12">
        <f>IFERROR(D54/D10,0)</f>
        <v>0.0</v>
      </c>
      <c r="E43" s="12">
        <f>IFERROR(E54/E10,0)</f>
        <v>0.0</v>
      </c>
      <c r="F43" s="12">
        <f>IFERROR(F54/F10,0)</f>
        <v>0.0</v>
      </c>
      <c r="G43" s="12">
        <f>IFERROR(G54/G10,0)</f>
        <v>0.0</v>
      </c>
      <c r="H43" s="12">
        <f>IFERROR(H54/H10,0)</f>
        <v>0.0</v>
      </c>
      <c r="I43" s="12">
        <f>IFERROR(I54/I10,0)</f>
        <v>0.0</v>
      </c>
      <c r="J43" s="12">
        <f>IFERROR(J54/J10,0)</f>
        <v>0.0</v>
      </c>
      <c r="K43" s="12">
        <f>IFERROR(K54/K10,0)</f>
        <v>0.0</v>
      </c>
      <c r="L43" s="12">
        <f>IFERROR(L54/L10,0)</f>
        <v>0.0</v>
      </c>
      <c r="M43" s="12">
        <f>IFERROR(M54/M10,0)</f>
        <v>0.0</v>
      </c>
      <c r="N43" s="12">
        <f>IFERROR(N54/N10,0)</f>
        <v>0.0</v>
      </c>
      <c r="O43" s="12">
        <f>IFERROR(O54/O10,0)</f>
        <v>0.0</v>
      </c>
    </row>
    <row r="44">
      <c r="B44" t="str">
        <f>B11</f>
        <v>Insert Adj. 6</v>
      </c>
      <c r="C44" s="12">
        <f>IFERROR(C55/C11,0)</f>
        <v>0.0</v>
      </c>
      <c r="D44" s="12">
        <f>IFERROR(D55/D11,0)</f>
        <v>0.0</v>
      </c>
      <c r="E44" s="12">
        <f>IFERROR(E55/E11,0)</f>
        <v>0.0</v>
      </c>
      <c r="F44" s="12">
        <f>IFERROR(F55/F11,0)</f>
        <v>0.0</v>
      </c>
      <c r="G44" s="12">
        <f>IFERROR(G55/G11,0)</f>
        <v>0.0</v>
      </c>
      <c r="H44" s="12">
        <f>IFERROR(H55/H11,0)</f>
        <v>0.0</v>
      </c>
      <c r="I44" s="12">
        <f>IFERROR(I55/I11,0)</f>
        <v>0.0</v>
      </c>
      <c r="J44" s="12">
        <f>IFERROR(J55/J11,0)</f>
        <v>0.0</v>
      </c>
      <c r="K44" s="12">
        <f>IFERROR(K55/K11,0)</f>
        <v>0.0</v>
      </c>
      <c r="L44" s="12">
        <f>IFERROR(L55/L11,0)</f>
        <v>0.0</v>
      </c>
      <c r="M44" s="12">
        <f>IFERROR(M55/M11,0)</f>
        <v>0.0</v>
      </c>
      <c r="N44" s="12">
        <f>IFERROR(N55/N11,0)</f>
        <v>0.0</v>
      </c>
      <c r="O44" s="12">
        <f>IFERROR(O55/O11,0)</f>
        <v>0.0</v>
      </c>
    </row>
    <row r="45">
      <c r="B45" t="str">
        <f>B12</f>
        <v>Insert Adj. 7</v>
      </c>
      <c r="C45" s="12">
        <f>IFERROR(C56/C12,0)</f>
        <v>0.0</v>
      </c>
      <c r="D45" s="12">
        <f>IFERROR(D56/D12,0)</f>
        <v>0.0</v>
      </c>
      <c r="E45" s="12">
        <f>IFERROR(E56/E12,0)</f>
        <v>0.0</v>
      </c>
      <c r="F45" s="12">
        <f>IFERROR(F56/F12,0)</f>
        <v>0.0</v>
      </c>
      <c r="G45" s="12">
        <f>IFERROR(G56/G12,0)</f>
        <v>0.0</v>
      </c>
      <c r="H45" s="12">
        <f>IFERROR(H56/H12,0)</f>
        <v>0.0</v>
      </c>
      <c r="I45" s="12">
        <f>IFERROR(I56/I12,0)</f>
        <v>0.0</v>
      </c>
      <c r="J45" s="12">
        <f>IFERROR(J56/J12,0)</f>
        <v>0.0</v>
      </c>
      <c r="K45" s="12">
        <f>IFERROR(K56/K12,0)</f>
        <v>0.0</v>
      </c>
      <c r="L45" s="12">
        <f>IFERROR(L56/L12,0)</f>
        <v>0.0</v>
      </c>
      <c r="M45" s="12">
        <f>IFERROR(M56/M12,0)</f>
        <v>0.0</v>
      </c>
      <c r="N45" s="12">
        <f>IFERROR(N56/N12,0)</f>
        <v>0.0</v>
      </c>
      <c r="O45" s="12">
        <f>IFERROR(O56/O12,0)</f>
        <v>0.0</v>
      </c>
    </row>
    <row r="46">
      <c r="B46" t="str">
        <f>B13</f>
        <v>Insert Adj. 8</v>
      </c>
      <c r="C46" s="12">
        <f>IFERROR(C57/C13,0)</f>
        <v>0.0</v>
      </c>
      <c r="D46" s="12">
        <f>IFERROR(D57/D13,0)</f>
        <v>0.0</v>
      </c>
      <c r="E46" s="12">
        <f>IFERROR(E57/E13,0)</f>
        <v>0.0</v>
      </c>
      <c r="F46" s="12">
        <f>IFERROR(F57/F13,0)</f>
        <v>0.0</v>
      </c>
      <c r="G46" s="12">
        <f>IFERROR(G57/G13,0)</f>
        <v>0.0</v>
      </c>
      <c r="H46" s="12">
        <f>IFERROR(H57/H13,0)</f>
        <v>0.0</v>
      </c>
      <c r="I46" s="12">
        <f>IFERROR(I57/I13,0)</f>
        <v>0.0</v>
      </c>
      <c r="J46" s="12">
        <f>IFERROR(J57/J13,0)</f>
        <v>0.0</v>
      </c>
      <c r="K46" s="12">
        <f>IFERROR(K57/K13,0)</f>
        <v>0.0</v>
      </c>
      <c r="L46" s="12">
        <f>IFERROR(L57/L13,0)</f>
        <v>0.0</v>
      </c>
      <c r="M46" s="12">
        <f>IFERROR(M57/M13,0)</f>
        <v>0.0</v>
      </c>
      <c r="N46" s="12">
        <f>IFERROR(N57/N13,0)</f>
        <v>0.0</v>
      </c>
      <c r="O46" s="12">
        <f>IFERROR(O57/O13,0)</f>
        <v>0.0</v>
      </c>
    </row>
    <row r="47">
      <c r="B47" s="2" t="inlineStr">
        <is>
          <t>Total Op Costs (%)</t>
        </is>
      </c>
      <c r="C47" s="15">
        <f>IFERROR(C58/C14,0)</f>
        <v>0.0</v>
      </c>
      <c r="D47" s="15">
        <f>IFERROR(D58/D14,0)</f>
        <v>0.0</v>
      </c>
      <c r="E47" s="15">
        <f>IFERROR(E58/E14,0)</f>
        <v>0.0</v>
      </c>
      <c r="F47" s="15">
        <f>IFERROR(F58/F14,0)</f>
        <v>0.0</v>
      </c>
      <c r="G47" s="15">
        <f>IFERROR(G58/G14,0)</f>
        <v>0.0</v>
      </c>
      <c r="H47" s="15">
        <f>IFERROR(H58/H14,0)</f>
        <v>0.0</v>
      </c>
      <c r="I47" s="15">
        <f>IFERROR(I58/I14,0)</f>
        <v>0.0</v>
      </c>
      <c r="J47" s="15">
        <f>IFERROR(J58/J14,0)</f>
        <v>0.0</v>
      </c>
      <c r="K47" s="15">
        <f>IFERROR(K58/K14,0)</f>
        <v>0.0</v>
      </c>
      <c r="L47" s="15">
        <f>IFERROR(L58/L14,0)</f>
        <v>0.0</v>
      </c>
      <c r="M47" s="15">
        <f>IFERROR(M58/M14,0)</f>
        <v>0.0</v>
      </c>
      <c r="N47" s="15">
        <f>IFERROR(N58/N14,0)</f>
        <v>0.0</v>
      </c>
      <c r="O47" s="15">
        <f>IFERROR(O58/O14,0)</f>
        <v>0.0</v>
      </c>
    </row>
    <row r="49">
      <c r="B49" s="2" t="inlineStr">
        <is>
          <t>Op Costs ($)</t>
        </is>
      </c>
    </row>
    <row r="50">
      <c r="B50" t="inlineStr">
        <is>
          <t>Insert Adj. 1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6">
        <f>SUM(C50:N50)</f>
        <v>0.0</v>
      </c>
    </row>
    <row r="51">
      <c r="B51" t="inlineStr">
        <is>
          <t>Insert Adj. 2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6">
        <f>SUM(C51:N51)</f>
        <v>0.0</v>
      </c>
    </row>
    <row r="52">
      <c r="B52" t="inlineStr">
        <is>
          <t>Insert Adj. 3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6">
        <f>SUM(C52:N52)</f>
        <v>0.0</v>
      </c>
    </row>
    <row r="53">
      <c r="B53" t="inlineStr">
        <is>
          <t>Insert Adj. 4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6">
        <f>SUM(C53:N53)</f>
        <v>0.0</v>
      </c>
    </row>
    <row r="54">
      <c r="B54" t="inlineStr">
        <is>
          <t>Insert Adj. 5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6">
        <f>SUM(C54:N54)</f>
        <v>0.0</v>
      </c>
    </row>
    <row r="55">
      <c r="B55" t="inlineStr">
        <is>
          <t>Insert Adj. 6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6">
        <f>SUM(C55:N55)</f>
        <v>0.0</v>
      </c>
    </row>
    <row r="56">
      <c r="B56" t="inlineStr">
        <is>
          <t>Insert Adj. 7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6">
        <f>SUM(C56:N56)</f>
        <v>0.0</v>
      </c>
    </row>
    <row r="57">
      <c r="B57" t="inlineStr">
        <is>
          <t>Insert Adj. 8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6">
        <f>SUM(C57:N57)</f>
        <v>0.0</v>
      </c>
    </row>
    <row r="58">
      <c r="B58" s="2" t="inlineStr">
        <is>
          <t>Total Op Costs ($)</t>
        </is>
      </c>
      <c r="C58" s="9">
        <f>SUM(C50:C57)</f>
        <v>0.0</v>
      </c>
      <c r="D58" s="9">
        <f>SUM(D50:D57)</f>
        <v>0.0</v>
      </c>
      <c r="E58" s="9">
        <f>SUM(E50:E57)</f>
        <v>0.0</v>
      </c>
      <c r="F58" s="9">
        <f>SUM(F50:F57)</f>
        <v>0.0</v>
      </c>
      <c r="G58" s="9">
        <f>SUM(G50:G57)</f>
        <v>0.0</v>
      </c>
      <c r="H58" s="9">
        <f>SUM(H50:H57)</f>
        <v>0.0</v>
      </c>
      <c r="I58" s="9">
        <f>SUM(I50:I57)</f>
        <v>0.0</v>
      </c>
      <c r="J58" s="9">
        <f>SUM(J50:J57)</f>
        <v>0.0</v>
      </c>
      <c r="K58" s="9">
        <f>SUM(K50:K57)</f>
        <v>0.0</v>
      </c>
      <c r="L58" s="9">
        <f>SUM(L50:L57)</f>
        <v>0.0</v>
      </c>
      <c r="M58" s="9">
        <f>SUM(M50:M57)</f>
        <v>0.0</v>
      </c>
      <c r="N58" s="9">
        <f>SUM(N50:N57)</f>
        <v>0.0</v>
      </c>
      <c r="O58" s="9">
        <f>SUM(O50:O57)</f>
        <v>0.0</v>
      </c>
    </row>
    <row r="60">
      <c r="B60" s="2" t="inlineStr">
        <is>
          <t>PBITA</t>
        </is>
      </c>
    </row>
    <row r="61">
      <c r="B61" t="str">
        <f>B6</f>
        <v>Insert Adj. 1</v>
      </c>
      <c r="C61" s="6">
        <f>C28-C50</f>
        <v>0.0</v>
      </c>
      <c r="D61" s="6">
        <f>D28-D50</f>
        <v>0.0</v>
      </c>
      <c r="E61" s="6">
        <f>E28-E50</f>
        <v>0.0</v>
      </c>
      <c r="F61" s="6">
        <f>F28-F50</f>
        <v>0.0</v>
      </c>
      <c r="G61" s="6">
        <f>G28-G50</f>
        <v>0.0</v>
      </c>
      <c r="H61" s="6">
        <f>H28-H50</f>
        <v>0.0</v>
      </c>
      <c r="I61" s="6">
        <f>I28-I50</f>
        <v>0.0</v>
      </c>
      <c r="J61" s="6">
        <f>J28-J50</f>
        <v>0.0</v>
      </c>
      <c r="K61" s="6">
        <f>K28-K50</f>
        <v>0.0</v>
      </c>
      <c r="L61" s="6">
        <f>L28-L50</f>
        <v>0.0</v>
      </c>
      <c r="M61" s="6">
        <f>M28-M50</f>
        <v>0.0</v>
      </c>
      <c r="N61" s="6">
        <f>N28-N50</f>
        <v>0.0</v>
      </c>
      <c r="O61" s="6">
        <f>SUM(C61:N61)</f>
        <v>0.0</v>
      </c>
    </row>
    <row r="62">
      <c r="B62" t="str">
        <f>B7</f>
        <v>Insert Adj. 2</v>
      </c>
      <c r="C62" s="6">
        <f>C29-C51</f>
        <v>0.0</v>
      </c>
      <c r="D62" s="6">
        <f>D29-D51</f>
        <v>0.0</v>
      </c>
      <c r="E62" s="6">
        <f>E29-E51</f>
        <v>0.0</v>
      </c>
      <c r="F62" s="6">
        <f>F29-F51</f>
        <v>0.0</v>
      </c>
      <c r="G62" s="6">
        <f>G29-G51</f>
        <v>0.0</v>
      </c>
      <c r="H62" s="6">
        <f>H29-H51</f>
        <v>0.0</v>
      </c>
      <c r="I62" s="6">
        <f>I29-I51</f>
        <v>0.0</v>
      </c>
      <c r="J62" s="6">
        <f>J29-J51</f>
        <v>0.0</v>
      </c>
      <c r="K62" s="6">
        <f>K29-K51</f>
        <v>0.0</v>
      </c>
      <c r="L62" s="6">
        <f>L29-L51</f>
        <v>0.0</v>
      </c>
      <c r="M62" s="6">
        <f>M29-M51</f>
        <v>0.0</v>
      </c>
      <c r="N62" s="6">
        <f>N29-N51</f>
        <v>0.0</v>
      </c>
      <c r="O62" s="6">
        <f>SUM(C62:N62)</f>
        <v>0.0</v>
      </c>
    </row>
    <row r="63">
      <c r="B63" t="str">
        <f>B8</f>
        <v>Insert Adj. 3</v>
      </c>
      <c r="C63" s="6">
        <f>C30-C52</f>
        <v>0.0</v>
      </c>
      <c r="D63" s="6">
        <f>D30-D52</f>
        <v>0.0</v>
      </c>
      <c r="E63" s="6">
        <f>E30-E52</f>
        <v>0.0</v>
      </c>
      <c r="F63" s="6">
        <f>F30-F52</f>
        <v>0.0</v>
      </c>
      <c r="G63" s="6">
        <f>G30-G52</f>
        <v>0.0</v>
      </c>
      <c r="H63" s="6">
        <f>H30-H52</f>
        <v>0.0</v>
      </c>
      <c r="I63" s="6">
        <f>I30-I52</f>
        <v>0.0</v>
      </c>
      <c r="J63" s="6">
        <f>J30-J52</f>
        <v>0.0</v>
      </c>
      <c r="K63" s="6">
        <f>K30-K52</f>
        <v>0.0</v>
      </c>
      <c r="L63" s="6">
        <f>L30-L52</f>
        <v>0.0</v>
      </c>
      <c r="M63" s="6">
        <f>M30-M52</f>
        <v>0.0</v>
      </c>
      <c r="N63" s="6">
        <f>N30-N52</f>
        <v>0.0</v>
      </c>
      <c r="O63" s="6">
        <f>SUM(C63:N63)</f>
        <v>0.0</v>
      </c>
    </row>
    <row r="64">
      <c r="B64" t="str">
        <f>B9</f>
        <v>Insert Adj. 4</v>
      </c>
      <c r="C64" s="6">
        <f>C31-C53</f>
        <v>0.0</v>
      </c>
      <c r="D64" s="6">
        <f>D31-D53</f>
        <v>0.0</v>
      </c>
      <c r="E64" s="6">
        <f>E31-E53</f>
        <v>0.0</v>
      </c>
      <c r="F64" s="6">
        <f>F31-F53</f>
        <v>0.0</v>
      </c>
      <c r="G64" s="6">
        <f>G31-G53</f>
        <v>0.0</v>
      </c>
      <c r="H64" s="6">
        <f>H31-H53</f>
        <v>0.0</v>
      </c>
      <c r="I64" s="6">
        <f>I31-I53</f>
        <v>0.0</v>
      </c>
      <c r="J64" s="6">
        <f>J31-J53</f>
        <v>0.0</v>
      </c>
      <c r="K64" s="6">
        <f>K31-K53</f>
        <v>0.0</v>
      </c>
      <c r="L64" s="6">
        <f>L31-L53</f>
        <v>0.0</v>
      </c>
      <c r="M64" s="6">
        <f>M31-M53</f>
        <v>0.0</v>
      </c>
      <c r="N64" s="6">
        <f>N31-N53</f>
        <v>0.0</v>
      </c>
      <c r="O64" s="6">
        <f>SUM(C64:N64)</f>
        <v>0.0</v>
      </c>
    </row>
    <row r="65">
      <c r="B65" t="str">
        <f>B10</f>
        <v>Insert Adj. 5</v>
      </c>
      <c r="C65" s="6">
        <f>C32-C54</f>
        <v>0.0</v>
      </c>
      <c r="D65" s="6">
        <f>D32-D54</f>
        <v>0.0</v>
      </c>
      <c r="E65" s="6">
        <f>E32-E54</f>
        <v>0.0</v>
      </c>
      <c r="F65" s="6">
        <f>F32-F54</f>
        <v>0.0</v>
      </c>
      <c r="G65" s="6">
        <f>G32-G54</f>
        <v>0.0</v>
      </c>
      <c r="H65" s="6">
        <f>H32-H54</f>
        <v>0.0</v>
      </c>
      <c r="I65" s="6">
        <f>I32-I54</f>
        <v>0.0</v>
      </c>
      <c r="J65" s="6">
        <f>J32-J54</f>
        <v>0.0</v>
      </c>
      <c r="K65" s="6">
        <f>K32-K54</f>
        <v>0.0</v>
      </c>
      <c r="L65" s="6">
        <f>L32-L54</f>
        <v>0.0</v>
      </c>
      <c r="M65" s="6">
        <f>M32-M54</f>
        <v>0.0</v>
      </c>
      <c r="N65" s="6">
        <f>N32-N54</f>
        <v>0.0</v>
      </c>
      <c r="O65" s="6">
        <f>SUM(C65:N65)</f>
        <v>0.0</v>
      </c>
    </row>
    <row r="66">
      <c r="B66" t="str">
        <f>B11</f>
        <v>Insert Adj. 6</v>
      </c>
      <c r="C66" s="6">
        <f>C33-C55</f>
        <v>0.0</v>
      </c>
      <c r="D66" s="6">
        <f>D33-D55</f>
        <v>0.0</v>
      </c>
      <c r="E66" s="6">
        <f>E33-E55</f>
        <v>0.0</v>
      </c>
      <c r="F66" s="6">
        <f>F33-F55</f>
        <v>0.0</v>
      </c>
      <c r="G66" s="6">
        <f>G33-G55</f>
        <v>0.0</v>
      </c>
      <c r="H66" s="6">
        <f>H33-H55</f>
        <v>0.0</v>
      </c>
      <c r="I66" s="6">
        <f>I33-I55</f>
        <v>0.0</v>
      </c>
      <c r="J66" s="6">
        <f>J33-J55</f>
        <v>0.0</v>
      </c>
      <c r="K66" s="6">
        <f>K33-K55</f>
        <v>0.0</v>
      </c>
      <c r="L66" s="6">
        <f>L33-L55</f>
        <v>0.0</v>
      </c>
      <c r="M66" s="6">
        <f>M33-M55</f>
        <v>0.0</v>
      </c>
      <c r="N66" s="6">
        <f>N33-N55</f>
        <v>0.0</v>
      </c>
      <c r="O66" s="6">
        <f>SUM(C66:N66)</f>
        <v>0.0</v>
      </c>
    </row>
    <row r="67">
      <c r="B67" t="str">
        <f>B12</f>
        <v>Insert Adj. 7</v>
      </c>
      <c r="C67" s="6">
        <f>C34-C56</f>
        <v>0.0</v>
      </c>
      <c r="D67" s="6">
        <f>D34-D56</f>
        <v>0.0</v>
      </c>
      <c r="E67" s="6">
        <f>E34-E56</f>
        <v>0.0</v>
      </c>
      <c r="F67" s="6">
        <f>F34-F56</f>
        <v>0.0</v>
      </c>
      <c r="G67" s="6">
        <f>G34-G56</f>
        <v>0.0</v>
      </c>
      <c r="H67" s="6">
        <f>H34-H56</f>
        <v>0.0</v>
      </c>
      <c r="I67" s="6">
        <f>I34-I56</f>
        <v>0.0</v>
      </c>
      <c r="J67" s="6">
        <f>J34-J56</f>
        <v>0.0</v>
      </c>
      <c r="K67" s="6">
        <f>K34-K56</f>
        <v>0.0</v>
      </c>
      <c r="L67" s="6">
        <f>L34-L56</f>
        <v>0.0</v>
      </c>
      <c r="M67" s="6">
        <f>M34-M56</f>
        <v>0.0</v>
      </c>
      <c r="N67" s="6">
        <f>N34-N56</f>
        <v>0.0</v>
      </c>
      <c r="O67" s="6">
        <f>SUM(C67:N67)</f>
        <v>0.0</v>
      </c>
    </row>
    <row r="68">
      <c r="B68" t="str">
        <f>B13</f>
        <v>Insert Adj. 8</v>
      </c>
      <c r="C68" s="6">
        <f>C35-C57</f>
        <v>0.0</v>
      </c>
      <c r="D68" s="6">
        <f>D35-D57</f>
        <v>0.0</v>
      </c>
      <c r="E68" s="6">
        <f>E35-E57</f>
        <v>0.0</v>
      </c>
      <c r="F68" s="6">
        <f>F35-F57</f>
        <v>0.0</v>
      </c>
      <c r="G68" s="6">
        <f>G35-G57</f>
        <v>0.0</v>
      </c>
      <c r="H68" s="6">
        <f>H35-H57</f>
        <v>0.0</v>
      </c>
      <c r="I68" s="6">
        <f>I35-I57</f>
        <v>0.0</v>
      </c>
      <c r="J68" s="6">
        <f>J35-J57</f>
        <v>0.0</v>
      </c>
      <c r="K68" s="6">
        <f>K35-K57</f>
        <v>0.0</v>
      </c>
      <c r="L68" s="6">
        <f>L35-L57</f>
        <v>0.0</v>
      </c>
      <c r="M68" s="6">
        <f>M35-M57</f>
        <v>0.0</v>
      </c>
      <c r="N68" s="6">
        <f>N35-N57</f>
        <v>0.0</v>
      </c>
      <c r="O68" s="6">
        <f>SUM(C68:N68)</f>
        <v>0.0</v>
      </c>
    </row>
    <row r="69">
      <c r="B69" s="2" t="inlineStr">
        <is>
          <t>Total PBITA</t>
        </is>
      </c>
      <c r="C69" s="9">
        <f>SUM(C61:C68)</f>
        <v>0.0</v>
      </c>
      <c r="D69" s="9">
        <f>SUM(D61:D68)</f>
        <v>0.0</v>
      </c>
      <c r="E69" s="9">
        <f>SUM(E61:E68)</f>
        <v>0.0</v>
      </c>
      <c r="F69" s="9">
        <f>SUM(F61:F68)</f>
        <v>0.0</v>
      </c>
      <c r="G69" s="9">
        <f>SUM(G61:G68)</f>
        <v>0.0</v>
      </c>
      <c r="H69" s="9">
        <f>SUM(H61:H68)</f>
        <v>0.0</v>
      </c>
      <c r="I69" s="9">
        <f>SUM(I61:I68)</f>
        <v>0.0</v>
      </c>
      <c r="J69" s="9">
        <f>SUM(J61:J68)</f>
        <v>0.0</v>
      </c>
      <c r="K69" s="9">
        <f>SUM(K61:K68)</f>
        <v>0.0</v>
      </c>
      <c r="L69" s="9">
        <f>SUM(L61:L68)</f>
        <v>0.0</v>
      </c>
      <c r="M69" s="9">
        <f>SUM(M61:M68)</f>
        <v>0.0</v>
      </c>
      <c r="N69" s="9">
        <f>SUM(N61:N68)</f>
        <v>0.0</v>
      </c>
      <c r="O69" s="9">
        <f>SUM(O61:O68)</f>
        <v>0.0</v>
      </c>
    </row>
    <row r="71">
      <c r="B71" s="8" t="inlineStr">
        <is>
          <t>Section 2: General adjustments in Gross Margin or Opex % of Sales that are not tied to individual events (i.e., employee turnover):</t>
        </is>
      </c>
    </row>
    <row r="73">
      <c r="C73" s="4" t="inlineStr">
        <is>
          <t>January</t>
        </is>
      </c>
      <c r="D73" s="4" t="inlineStr">
        <is>
          <t>February</t>
        </is>
      </c>
      <c r="E73" s="4" t="inlineStr">
        <is>
          <t>March</t>
        </is>
      </c>
      <c r="F73" s="4" t="inlineStr">
        <is>
          <t>April</t>
        </is>
      </c>
      <c r="G73" s="4" t="inlineStr">
        <is>
          <t>May</t>
        </is>
      </c>
      <c r="H73" s="4" t="inlineStr">
        <is>
          <t>June</t>
        </is>
      </c>
      <c r="I73" s="4" t="inlineStr">
        <is>
          <t>July</t>
        </is>
      </c>
      <c r="J73" s="4" t="inlineStr">
        <is>
          <t>August</t>
        </is>
      </c>
      <c r="K73" s="4" t="inlineStr">
        <is>
          <t>September</t>
        </is>
      </c>
      <c r="L73" s="4" t="inlineStr">
        <is>
          <t>October</t>
        </is>
      </c>
      <c r="M73" s="4" t="inlineStr">
        <is>
          <t>November</t>
        </is>
      </c>
      <c r="N73" s="4" t="inlineStr">
        <is>
          <t>December</t>
        </is>
      </c>
      <c r="O73" s="4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2">
        <f>'SAFEREG'!C35</f>
        <v>0.0</v>
      </c>
      <c r="D75" s="12">
        <f>'SAFEREG'!D35</f>
        <v>0.0</v>
      </c>
      <c r="E75" s="12">
        <f>'SAFEREG'!E35</f>
        <v>0.0</v>
      </c>
      <c r="F75" s="12">
        <f>'SAFEREG'!F35</f>
        <v>0.0</v>
      </c>
      <c r="G75" s="12">
        <f>'SAFEREG'!G35</f>
        <v>0.0</v>
      </c>
      <c r="H75" s="12">
        <f>'SAFEREG'!H35</f>
        <v>0.0</v>
      </c>
      <c r="I75" s="12">
        <f>'SAFEREG'!I35</f>
        <v>0.0</v>
      </c>
      <c r="J75" s="12">
        <f>'SAFEREG'!J35</f>
        <v>0.0</v>
      </c>
      <c r="K75" s="12">
        <f>'SAFEREG'!K35</f>
        <v>0.0</v>
      </c>
      <c r="L75" s="12">
        <f>'SAFEREG'!L35</f>
        <v>0.0</v>
      </c>
      <c r="M75" s="12">
        <f>'SAFEREG'!M35</f>
        <v>0.0</v>
      </c>
      <c r="N75" s="12">
        <f>'SAFEREG'!N35</f>
        <v>0.0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6">
        <f>IF(C76="None",0,((('SAFEREG'!C28*(C75+C76))-'SAFEREG'!C29)))</f>
        <v>0.0</v>
      </c>
      <c r="D77" s="6">
        <f>IF(D76="None",0,((('SAFEREG'!D28*(D75+D76))-'SAFEREG'!D29)))</f>
        <v>0.0</v>
      </c>
      <c r="E77" s="6">
        <f>IF(E76="None",0,((('SAFEREG'!E28*(E75+E76))-'SAFEREG'!E29)))</f>
        <v>0.0</v>
      </c>
      <c r="F77" s="6">
        <f>IF(F76="None",0,((('SAFEREG'!F28*(F75+F76))-'SAFEREG'!F29)))</f>
        <v>0.0</v>
      </c>
      <c r="G77" s="6">
        <f>IF(G76="None",0,((('SAFEREG'!G28*(G75+G76))-'SAFEREG'!G29)))</f>
        <v>0.0</v>
      </c>
      <c r="H77" s="6">
        <f>IF(H76="None",0,((('SAFEREG'!H28*(H75+H76))-'SAFEREG'!H29)))</f>
        <v>0.0</v>
      </c>
      <c r="I77" s="6">
        <f>IF(I76="None",0,((('SAFEREG'!I28*(I75+I76))-'SAFEREG'!I29)))</f>
        <v>0.0</v>
      </c>
      <c r="J77" s="6">
        <f>IF(J76="None",0,((('SAFEREG'!J28*(J75+J76))-'SAFEREG'!J29)))</f>
        <v>0.0</v>
      </c>
      <c r="K77" s="6">
        <f>IF(K76="None",0,((('SAFEREG'!K28*(K75+K76))-'SAFEREG'!K29)))</f>
        <v>0.0</v>
      </c>
      <c r="L77" s="6">
        <f>IF(L76="None",0,((('SAFEREG'!L28*(L75+L76))-'SAFEREG'!L29)))</f>
        <v>0.0</v>
      </c>
      <c r="M77" s="6">
        <f>IF(M76="None",0,((('SAFEREG'!M28*(M75+M76))-'SAFEREG'!M29)))</f>
        <v>0.0</v>
      </c>
      <c r="N77" s="6">
        <f>IF(N76="None",0,((('SAFEREG'!N28*(N75+N76))-'SAFEREG'!N29)))</f>
        <v>0.0</v>
      </c>
      <c r="O77" s="6">
        <f>SUM(C77:N77)</f>
        <v>0.0</v>
      </c>
    </row>
    <row r="78">
      <c r="B78" t="inlineStr">
        <is>
          <t>Gross Margin - Current FCAST</t>
        </is>
      </c>
      <c r="C78" s="12">
        <f>SUM(C75:C76)</f>
        <v>0.0</v>
      </c>
      <c r="D78" s="12">
        <f>SUM(D75:D76)</f>
        <v>0.0</v>
      </c>
      <c r="E78" s="12">
        <f>SUM(E75:E76)</f>
        <v>0.0</v>
      </c>
      <c r="F78" s="12">
        <f>SUM(F75:F76)</f>
        <v>0.0</v>
      </c>
      <c r="G78" s="12">
        <f>SUM(G75:G76)</f>
        <v>0.0</v>
      </c>
      <c r="H78" s="12">
        <f>SUM(H75:H76)</f>
        <v>0.0</v>
      </c>
      <c r="I78" s="12">
        <f>SUM(I75:I76)</f>
        <v>0.0</v>
      </c>
      <c r="J78" s="12">
        <f>SUM(J75:J76)</f>
        <v>0.0</v>
      </c>
      <c r="K78" s="12">
        <f>SUM(K75:K76)</f>
        <v>0.0</v>
      </c>
      <c r="L78" s="12">
        <f>SUM(L75:L76)</f>
        <v>0.0</v>
      </c>
      <c r="M78" s="12">
        <f>SUM(M75:M76)</f>
        <v>0.0</v>
      </c>
      <c r="N78" s="12">
        <f>SUM(N75:N76)</f>
        <v>0.0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2">
        <f>'SAFEREG'!C36</f>
        <v>0.0</v>
      </c>
      <c r="D82" s="12">
        <f>'SAFEREG'!D36</f>
        <v>0.0</v>
      </c>
      <c r="E82" s="12">
        <f>'SAFEREG'!E36</f>
        <v>0.0</v>
      </c>
      <c r="F82" s="12">
        <f>'SAFEREG'!F36</f>
        <v>0.0</v>
      </c>
      <c r="G82" s="12">
        <f>'SAFEREG'!G36</f>
        <v>0.0</v>
      </c>
      <c r="H82" s="12">
        <f>'SAFEREG'!H36</f>
        <v>0.0</v>
      </c>
      <c r="I82" s="12">
        <f>'SAFEREG'!I36</f>
        <v>0.0</v>
      </c>
      <c r="J82" s="12">
        <f>'SAFEREG'!J36</f>
        <v>0.0</v>
      </c>
      <c r="K82" s="12">
        <f>'SAFEREG'!K36</f>
        <v>0.0</v>
      </c>
      <c r="L82" s="12">
        <f>'SAFEREG'!L36</f>
        <v>0.0</v>
      </c>
      <c r="M82" s="12">
        <f>'SAFEREG'!M36</f>
        <v>0.0</v>
      </c>
      <c r="N82" s="12">
        <f>'SAFEREG'!N36</f>
        <v>0.0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6">
        <f>-IF(C83="None",0,((('SAFEREG'!C28*-(C82+C83))-'SAFEREG'!C30)))</f>
        <v>0.0</v>
      </c>
      <c r="D84" s="6">
        <f>-IF(D83="None",0,((('SAFEREG'!D28*-(D82+D83))-'SAFEREG'!D30)))</f>
        <v>0.0</v>
      </c>
      <c r="E84" s="6">
        <f>-IF(E83="None",0,((('SAFEREG'!E28*-(E82+E83))-'SAFEREG'!E30)))</f>
        <v>0.0</v>
      </c>
      <c r="F84" s="6">
        <f>-IF(F83="None",0,((('SAFEREG'!F28*-(F82+F83))-'SAFEREG'!F30)))</f>
        <v>0.0</v>
      </c>
      <c r="G84" s="6">
        <f>-IF(G83="None",0,((('SAFEREG'!G28*-(G82+G83))-'SAFEREG'!G30)))</f>
        <v>0.0</v>
      </c>
      <c r="H84" s="6">
        <f>-IF(H83="None",0,((('SAFEREG'!H28*-(H82+H83))-'SAFEREG'!H30)))</f>
        <v>0.0</v>
      </c>
      <c r="I84" s="6">
        <f>-IF(I83="None",0,((('SAFEREG'!I28*-(I82+I83))-'SAFEREG'!I30)))</f>
        <v>0.0</v>
      </c>
      <c r="J84" s="6">
        <f>-IF(J83="None",0,((('SAFEREG'!J28*-(J82+J83))-'SAFEREG'!J30)))</f>
        <v>0.0</v>
      </c>
      <c r="K84" s="6">
        <f>-IF(K83="None",0,((('SAFEREG'!K28*-(K82+K83))-'SAFEREG'!K30)))</f>
        <v>0.0</v>
      </c>
      <c r="L84" s="6">
        <f>-IF(L83="None",0,((('SAFEREG'!L28*-(L82+L83))-'SAFEREG'!L30)))</f>
        <v>0.0</v>
      </c>
      <c r="M84" s="6">
        <f>-IF(M83="None",0,((('SAFEREG'!M28*-(M82+M83))-'SAFEREG'!M30)))</f>
        <v>0.0</v>
      </c>
      <c r="N84" s="6">
        <f>-IF(N83="None",0,((('SAFEREG'!N28*-(N82+N83))-'SAFEREG'!N30)))</f>
        <v>0.0</v>
      </c>
      <c r="O84" s="6">
        <f>SUM(C84:N84)</f>
        <v>0.0</v>
      </c>
    </row>
    <row r="85">
      <c r="B85" t="inlineStr">
        <is>
          <t>Op Costs - Current FCAST</t>
        </is>
      </c>
      <c r="C85" s="12">
        <f>SUM(C82:C83)</f>
        <v>0.0</v>
      </c>
      <c r="D85" s="12">
        <f>SUM(D82:D83)</f>
        <v>0.0</v>
      </c>
      <c r="E85" s="12">
        <f>SUM(E82:E83)</f>
        <v>0.0</v>
      </c>
      <c r="F85" s="12">
        <f>SUM(F82:F83)</f>
        <v>0.0</v>
      </c>
      <c r="G85" s="12">
        <f>SUM(G82:G83)</f>
        <v>0.0</v>
      </c>
      <c r="H85" s="12">
        <f>SUM(H82:H83)</f>
        <v>0.0</v>
      </c>
      <c r="I85" s="12">
        <f>SUM(I82:I83)</f>
        <v>0.0</v>
      </c>
      <c r="J85" s="12">
        <f>SUM(J82:J83)</f>
        <v>0.0</v>
      </c>
      <c r="K85" s="12">
        <f>SUM(K82:K83)</f>
        <v>0.0</v>
      </c>
      <c r="L85" s="12">
        <f>SUM(L82:L83)</f>
        <v>0.0</v>
      </c>
      <c r="M85" s="12">
        <f>SUM(M82:M83)</f>
        <v>0.0</v>
      </c>
      <c r="N85" s="12">
        <f>SUM(N82:N83)</f>
        <v>0.0</v>
      </c>
      <c r="O85" t="inlineStr">
        <is>
          <t>N/A</t>
        </is>
      </c>
    </row>
    <row r="87">
      <c r="B87" s="8" t="inlineStr">
        <is>
          <t>Section 3: Working Capital Adjustments</t>
        </is>
      </c>
    </row>
    <row r="89">
      <c r="C89" s="4" t="inlineStr">
        <is>
          <t>January</t>
        </is>
      </c>
      <c r="D89" s="4" t="inlineStr">
        <is>
          <t>February</t>
        </is>
      </c>
      <c r="E89" s="4" t="inlineStr">
        <is>
          <t>March</t>
        </is>
      </c>
      <c r="F89" s="4" t="inlineStr">
        <is>
          <t>April</t>
        </is>
      </c>
      <c r="G89" s="4" t="inlineStr">
        <is>
          <t>May</t>
        </is>
      </c>
      <c r="H89" s="4" t="inlineStr">
        <is>
          <t>June</t>
        </is>
      </c>
      <c r="I89" s="4" t="inlineStr">
        <is>
          <t>July</t>
        </is>
      </c>
      <c r="J89" s="4" t="inlineStr">
        <is>
          <t>August</t>
        </is>
      </c>
      <c r="K89" s="4" t="inlineStr">
        <is>
          <t>September</t>
        </is>
      </c>
      <c r="L89" s="4" t="inlineStr">
        <is>
          <t>October</t>
        </is>
      </c>
      <c r="M89" s="4" t="inlineStr">
        <is>
          <t>November</t>
        </is>
      </c>
      <c r="N89" s="4" t="inlineStr">
        <is>
          <t>December</t>
        </is>
      </c>
      <c r="O89" s="4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21" t="n">
        <v>0</v>
      </c>
      <c r="L90" s="21" t="n">
        <v>0</v>
      </c>
      <c r="M90" s="21" t="n">
        <v>0</v>
      </c>
      <c r="N90" s="21" t="n">
        <v>0</v>
      </c>
    </row>
    <row r="91">
      <c r="A91" t="n">
        <v>2135</v>
      </c>
      <c r="B91" t="inlineStr">
        <is>
          <t>Trade Receivables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21" t="n">
        <v>0</v>
      </c>
      <c r="L91" s="21" t="n">
        <v>0</v>
      </c>
      <c r="M91" s="21" t="n">
        <v>0</v>
      </c>
      <c r="N91" s="21" t="n">
        <v>0</v>
      </c>
    </row>
    <row r="92">
      <c r="A92" t="n">
        <v>2175</v>
      </c>
      <c r="B92" t="inlineStr">
        <is>
          <t>Other Receivables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21" t="n">
        <v>0</v>
      </c>
      <c r="L92" s="21" t="n">
        <v>0</v>
      </c>
      <c r="M92" s="21" t="n">
        <v>0</v>
      </c>
      <c r="N92" s="21" t="n">
        <v>0</v>
      </c>
    </row>
    <row r="93">
      <c r="A93" t="n">
        <v>2140</v>
      </c>
      <c r="B93" t="inlineStr">
        <is>
          <t>Trade Payables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21" t="n">
        <v>0</v>
      </c>
      <c r="L93" s="21" t="n">
        <v>0</v>
      </c>
      <c r="M93" s="21" t="n">
        <v>0</v>
      </c>
      <c r="N93" s="21" t="n">
        <v>0</v>
      </c>
    </row>
    <row r="94">
      <c r="A94" t="n">
        <v>2180</v>
      </c>
      <c r="B94" t="inlineStr">
        <is>
          <t>Other Payables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21" t="n">
        <v>0</v>
      </c>
      <c r="L94" s="21" t="n">
        <v>0</v>
      </c>
      <c r="M94" s="21" t="n">
        <v>0</v>
      </c>
      <c r="N94" s="21" t="n">
        <v>0</v>
      </c>
    </row>
    <row r="95">
      <c r="A95" t="n">
        <v>2185</v>
      </c>
      <c r="B95" s="2" t="inlineStr">
        <is>
          <t>Total Working Capital</t>
        </is>
      </c>
      <c r="C95" s="6">
        <f>SUM(C90:C94)</f>
        <v>0.0</v>
      </c>
      <c r="D95" s="6">
        <f>SUM(D90:D94)</f>
        <v>0.0</v>
      </c>
      <c r="E95" s="6">
        <f>SUM(E90:E94)</f>
        <v>0.0</v>
      </c>
      <c r="F95" s="6">
        <f>SUM(F90:F94)</f>
        <v>0.0</v>
      </c>
      <c r="G95" s="6">
        <f>SUM(G90:G94)</f>
        <v>0.0</v>
      </c>
      <c r="H95" s="6">
        <f>SUM(H90:H94)</f>
        <v>0.0</v>
      </c>
      <c r="I95" s="6">
        <f>SUM(I90:I94)</f>
        <v>0.0</v>
      </c>
      <c r="J95" s="6">
        <f>SUM(J90:J94)</f>
        <v>0.0</v>
      </c>
      <c r="K95" s="6">
        <f>SUM(K90:K94)</f>
        <v>0.0</v>
      </c>
      <c r="L95" s="6">
        <f>SUM(L90:L94)</f>
        <v>0.0</v>
      </c>
      <c r="M95" s="6">
        <f>SUM(M90:M94)</f>
        <v>0.0</v>
      </c>
      <c r="N95" s="6">
        <f>SUM(N90:N94)</f>
        <v>0.0</v>
      </c>
    </row>
    <row r="97">
      <c r="B97" s="22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SAFEREG_DISP</t>
        </is>
      </c>
    </row>
    <row r="23">
      <c r="B23" s="3" t="inlineStr">
        <is>
          <t>Safety Region (regional office)</t>
        </is>
      </c>
      <c r="BU23" s="8" t="inlineStr">
        <is>
          <t>FCAST10 - Variance ($) - Favorable / (Unfavorable)</t>
        </is>
      </c>
    </row>
    <row r="24">
      <c r="C24" s="8" t="inlineStr">
        <is>
          <t>FCAST09 as Reported</t>
        </is>
      </c>
      <c r="Q24" s="8" t="inlineStr">
        <is>
          <t>FCAST09 at New Fx Rates</t>
        </is>
      </c>
      <c r="AE24" s="8" t="inlineStr">
        <is>
          <t>Fx Changes</t>
        </is>
      </c>
      <c r="AS24" s="8" t="inlineStr">
        <is>
          <t>Operational Adjustments</t>
        </is>
      </c>
      <c r="BG24" s="8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19">
        <f>SUM(C28:N28)</f>
        <v>0.0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19">
        <f>SUM(Q28:AB28)</f>
        <v>0.0</v>
      </c>
      <c r="AE28" s="6">
        <f>Q28-C28</f>
        <v>0.0</v>
      </c>
      <c r="AF28" s="6">
        <f>R28-D28</f>
        <v>0.0</v>
      </c>
      <c r="AG28" s="6">
        <f>S28-E28</f>
        <v>0.0</v>
      </c>
      <c r="AH28" s="6">
        <f>T28-F28</f>
        <v>0.0</v>
      </c>
      <c r="AI28" s="6">
        <f>U28-G28</f>
        <v>0.0</v>
      </c>
      <c r="AJ28" s="6">
        <f>V28-H28</f>
        <v>0.0</v>
      </c>
      <c r="AK28" s="6">
        <f>W28-I28</f>
        <v>0.0</v>
      </c>
      <c r="AL28" s="6">
        <f>X28-J28</f>
        <v>0.0</v>
      </c>
      <c r="AM28" s="6">
        <f>Y28-K28</f>
        <v>0.0</v>
      </c>
      <c r="AN28" s="6">
        <f>Z28-L28</f>
        <v>0.0</v>
      </c>
      <c r="AO28" s="6">
        <f>AA28-M28</f>
        <v>0.0</v>
      </c>
      <c r="AP28" s="6">
        <f>AB28-N28</f>
        <v>0.0</v>
      </c>
      <c r="AQ28" s="19">
        <f>SUM(AE28:AP28)</f>
        <v>0.0</v>
      </c>
      <c r="AS28" s="6">
        <f>'SAFEREG-Adj'!C14</f>
        <v>0.0</v>
      </c>
      <c r="AT28" s="6">
        <f>'SAFEREG-Adj'!D14</f>
        <v>0.0</v>
      </c>
      <c r="AU28" s="6">
        <f>'SAFEREG-Adj'!E14</f>
        <v>0.0</v>
      </c>
      <c r="AV28" s="6">
        <f>'SAFEREG-Adj'!F14</f>
        <v>0.0</v>
      </c>
      <c r="AW28" s="6">
        <f>'SAFEREG-Adj'!G14</f>
        <v>0.0</v>
      </c>
      <c r="AX28" s="6">
        <f>'SAFEREG-Adj'!H14</f>
        <v>0.0</v>
      </c>
      <c r="AY28" s="6">
        <f>'SAFEREG-Adj'!I14</f>
        <v>0.0</v>
      </c>
      <c r="AZ28" s="6">
        <f>'SAFEREG-Adj'!J14</f>
        <v>0.0</v>
      </c>
      <c r="BA28" s="6">
        <f>'SAFEREG-Adj'!K14</f>
        <v>0.0</v>
      </c>
      <c r="BB28" s="6">
        <f>'SAFEREG-Adj'!L14</f>
        <v>0.0</v>
      </c>
      <c r="BC28" s="6">
        <f>'SAFEREG-Adj'!M14</f>
        <v>0.0</v>
      </c>
      <c r="BD28" s="6">
        <f>'SAFEREG-Adj'!N14</f>
        <v>0.0</v>
      </c>
      <c r="BE28" s="19">
        <f>SUM(AS28:BD28)</f>
        <v>0.0</v>
      </c>
      <c r="BG28" s="6">
        <f>C28+AE28+AS28</f>
        <v>0.0</v>
      </c>
      <c r="BH28" s="6">
        <f>D28+AF28+AT28</f>
        <v>0.0</v>
      </c>
      <c r="BI28" s="6">
        <f>E28+AG28+AU28</f>
        <v>0.0</v>
      </c>
      <c r="BJ28" s="6">
        <f>F28+AH28+AV28</f>
        <v>0.0</v>
      </c>
      <c r="BK28" s="6">
        <f>G28+AI28+AW28</f>
        <v>0.0</v>
      </c>
      <c r="BL28" s="6">
        <f>H28+AJ28+AX28</f>
        <v>0.0</v>
      </c>
      <c r="BM28" s="6">
        <f>I28+AK28+AY28</f>
        <v>0.0</v>
      </c>
      <c r="BN28" s="6">
        <f>J28+AL28+AZ28</f>
        <v>0.0</v>
      </c>
      <c r="BO28" s="6">
        <f>K28+AM28+BA28</f>
        <v>0.0</v>
      </c>
      <c r="BP28" s="6">
        <f>L28+AN28+BB28</f>
        <v>0.0</v>
      </c>
      <c r="BQ28" s="6">
        <f>M28+AO28+BC28</f>
        <v>0.0</v>
      </c>
      <c r="BR28" s="6">
        <f>N28+AP28+BD28</f>
        <v>0.0</v>
      </c>
      <c r="BS28" s="19">
        <f>SUM(BG28:BR28)</f>
        <v>0.0</v>
      </c>
      <c r="BU28" s="6">
        <f>SUM(BG28:BO28)-SUM(C28:K28)</f>
        <v>0.0</v>
      </c>
      <c r="BV28" s="6">
        <f>SUM(BG28:BO28)-SUM(C51:K51)</f>
        <v>0.0</v>
      </c>
      <c r="BW28" s="6">
        <f>SUM(BG28:BO28)-SUM(C64:K64)</f>
        <v>0.0</v>
      </c>
      <c r="BY28" s="6">
        <f>SUM(BP28:BR28)-SUM(L28:N28)</f>
        <v>0.0</v>
      </c>
      <c r="BZ28" s="6">
        <f>SUM(BP28:BR28)-SUM(L51:N51)</f>
        <v>0.0</v>
      </c>
      <c r="CA28" s="6">
        <f>SUM(BP28:BR28)-SUM(L64:N64)</f>
        <v>0.0</v>
      </c>
      <c r="CC28" s="6">
        <f>BS28-O28</f>
        <v>0.0</v>
      </c>
      <c r="CD28" s="6">
        <f>BS28-O51</f>
        <v>0.0</v>
      </c>
      <c r="CE28" s="6">
        <f>BS28-O64</f>
        <v>0.0</v>
      </c>
    </row>
    <row r="29">
      <c r="B29" s="5" t="inlineStr">
        <is>
          <t>Gross Margin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19">
        <f>SUM(C29:N29)</f>
        <v>0.0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19">
        <f>SUM(Q29:AB29)</f>
        <v>0.0</v>
      </c>
      <c r="AE29" s="6">
        <f>Q29-C29</f>
        <v>0.0</v>
      </c>
      <c r="AF29" s="6">
        <f>R29-D29</f>
        <v>0.0</v>
      </c>
      <c r="AG29" s="6">
        <f>S29-E29</f>
        <v>0.0</v>
      </c>
      <c r="AH29" s="6">
        <f>T29-F29</f>
        <v>0.0</v>
      </c>
      <c r="AI29" s="6">
        <f>U29-G29</f>
        <v>0.0</v>
      </c>
      <c r="AJ29" s="6">
        <f>V29-H29</f>
        <v>0.0</v>
      </c>
      <c r="AK29" s="6">
        <f>W29-I29</f>
        <v>0.0</v>
      </c>
      <c r="AL29" s="6">
        <f>X29-J29</f>
        <v>0.0</v>
      </c>
      <c r="AM29" s="6">
        <f>Y29-K29</f>
        <v>0.0</v>
      </c>
      <c r="AN29" s="6">
        <f>Z29-L29</f>
        <v>0.0</v>
      </c>
      <c r="AO29" s="6">
        <f>AA29-M29</f>
        <v>0.0</v>
      </c>
      <c r="AP29" s="6">
        <f>AB29-N29</f>
        <v>0.0</v>
      </c>
      <c r="AQ29" s="19">
        <f>SUM(AE29:AP29)</f>
        <v>0.0</v>
      </c>
      <c r="AS29" s="6">
        <f>'SAFEREG-Adj'!C36+'SAFEREG-Adj'!C77</f>
        <v>0.0</v>
      </c>
      <c r="AT29" s="6">
        <f>'SAFEREG-Adj'!D36+'SAFEREG-Adj'!D77</f>
        <v>0.0</v>
      </c>
      <c r="AU29" s="6">
        <f>'SAFEREG-Adj'!E36+'SAFEREG-Adj'!E77</f>
        <v>0.0</v>
      </c>
      <c r="AV29" s="6">
        <f>'SAFEREG-Adj'!F36+'SAFEREG-Adj'!F77</f>
        <v>0.0</v>
      </c>
      <c r="AW29" s="6">
        <f>'SAFEREG-Adj'!G36+'SAFEREG-Adj'!G77</f>
        <v>0.0</v>
      </c>
      <c r="AX29" s="6">
        <f>'SAFEREG-Adj'!H36+'SAFEREG-Adj'!H77</f>
        <v>0.0</v>
      </c>
      <c r="AY29" s="6">
        <f>'SAFEREG-Adj'!I36+'SAFEREG-Adj'!I77</f>
        <v>0.0</v>
      </c>
      <c r="AZ29" s="6">
        <f>'SAFEREG-Adj'!J36+'SAFEREG-Adj'!J77</f>
        <v>0.0</v>
      </c>
      <c r="BA29" s="6">
        <f>'SAFEREG-Adj'!K36+'SAFEREG-Adj'!K77</f>
        <v>0.0</v>
      </c>
      <c r="BB29" s="6">
        <f>'SAFEREG-Adj'!L36+'SAFEREG-Adj'!L77</f>
        <v>0.0</v>
      </c>
      <c r="BC29" s="6">
        <f>'SAFEREG-Adj'!M36+'SAFEREG-Adj'!M77</f>
        <v>0.0</v>
      </c>
      <c r="BD29" s="6">
        <f>'SAFEREG-Adj'!N36+'SAFEREG-Adj'!N77</f>
        <v>0.0</v>
      </c>
      <c r="BE29" s="19">
        <f>SUM(AS29:BD29)</f>
        <v>0.0</v>
      </c>
      <c r="BG29" s="6">
        <f>C29+AE29+AS29</f>
        <v>0.0</v>
      </c>
      <c r="BH29" s="6">
        <f>D29+AF29+AT29</f>
        <v>0.0</v>
      </c>
      <c r="BI29" s="6">
        <f>E29+AG29+AU29</f>
        <v>0.0</v>
      </c>
      <c r="BJ29" s="6">
        <f>F29+AH29+AV29</f>
        <v>0.0</v>
      </c>
      <c r="BK29" s="6">
        <f>G29+AI29+AW29</f>
        <v>0.0</v>
      </c>
      <c r="BL29" s="6">
        <f>H29+AJ29+AX29</f>
        <v>0.0</v>
      </c>
      <c r="BM29" s="6">
        <f>I29+AK29+AY29</f>
        <v>0.0</v>
      </c>
      <c r="BN29" s="6">
        <f>J29+AL29+AZ29</f>
        <v>0.0</v>
      </c>
      <c r="BO29" s="6">
        <f>K29+AM29+BA29</f>
        <v>0.0</v>
      </c>
      <c r="BP29" s="6">
        <f>L29+AN29+BB29</f>
        <v>0.0</v>
      </c>
      <c r="BQ29" s="6">
        <f>M29+AO29+BC29</f>
        <v>0.0</v>
      </c>
      <c r="BR29" s="6">
        <f>N29+AP29+BD29</f>
        <v>0.0</v>
      </c>
      <c r="BS29" s="19">
        <f>SUM(BG29:BR29)</f>
        <v>0.0</v>
      </c>
      <c r="BU29" s="6">
        <f>SUM(BG29:BO29)-SUM(C29:K29)</f>
        <v>0.0</v>
      </c>
      <c r="BV29" s="6">
        <f>SUM(BG29:BO29)-SUM(C52:K52)</f>
        <v>0.0</v>
      </c>
      <c r="BW29" s="6">
        <f>SUM(BG29:BO29)-SUM(C65:K65)</f>
        <v>0.0</v>
      </c>
      <c r="BY29" s="6">
        <f>SUM(BP29:BR29)-SUM(L29:N29)</f>
        <v>0.0</v>
      </c>
      <c r="BZ29" s="6">
        <f>SUM(BP29:BR29)-SUM(L52:N52)</f>
        <v>0.0</v>
      </c>
      <c r="CA29" s="6">
        <f>SUM(BP29:BR29)-SUM(L65:N65)</f>
        <v>0.0</v>
      </c>
      <c r="CC29" s="6">
        <f>BS29-O29</f>
        <v>0.0</v>
      </c>
      <c r="CD29" s="6">
        <f>BS29-O52</f>
        <v>0.0</v>
      </c>
      <c r="CE29" s="6">
        <f>BS29-O65</f>
        <v>0.0</v>
      </c>
    </row>
    <row r="30">
      <c r="B30" s="5" t="inlineStr">
        <is>
          <t>Op Costs</t>
        </is>
      </c>
      <c r="C30" s="6" t="n">
        <v>-309.9</v>
      </c>
      <c r="D30" s="6" t="n">
        <v>-310.2</v>
      </c>
      <c r="E30" s="6" t="n">
        <v>-309.3</v>
      </c>
      <c r="F30" s="6" t="n">
        <v>-307</v>
      </c>
      <c r="G30" s="6" t="n">
        <v>-307.2</v>
      </c>
      <c r="H30" s="6" t="n">
        <v>-306.8</v>
      </c>
      <c r="I30" s="6" t="n">
        <v>-308.7</v>
      </c>
      <c r="J30" s="6" t="n">
        <v>-307.3</v>
      </c>
      <c r="K30" s="6" t="n">
        <v>-310.1</v>
      </c>
      <c r="L30" s="6" t="n">
        <v>-309.9</v>
      </c>
      <c r="M30" s="6" t="n">
        <v>-312</v>
      </c>
      <c r="N30" s="6" t="n">
        <v>-307.3</v>
      </c>
      <c r="O30" s="19">
        <f>SUM(C30:N30)</f>
        <v>-3705.7000000000003</v>
      </c>
      <c r="Q30" s="6" t="n">
        <v>-309.9</v>
      </c>
      <c r="R30" s="6" t="n">
        <v>-310.2</v>
      </c>
      <c r="S30" s="6" t="n">
        <v>-309.3</v>
      </c>
      <c r="T30" s="6" t="n">
        <v>-307</v>
      </c>
      <c r="U30" s="6" t="n">
        <v>-307.2</v>
      </c>
      <c r="V30" s="6" t="n">
        <v>-306.8</v>
      </c>
      <c r="W30" s="6" t="n">
        <v>-308.7</v>
      </c>
      <c r="X30" s="6" t="n">
        <v>-307.3</v>
      </c>
      <c r="Y30" s="6" t="n">
        <v>-310.1</v>
      </c>
      <c r="Z30" s="6" t="n">
        <v>-309.9</v>
      </c>
      <c r="AA30" s="6" t="n">
        <v>-312</v>
      </c>
      <c r="AB30" s="6" t="n">
        <v>-307.3</v>
      </c>
      <c r="AC30" s="19">
        <f>SUM(Q30:AB30)</f>
        <v>-3705.7000000000003</v>
      </c>
      <c r="AE30" s="6">
        <f>Q30-C30</f>
        <v>0.0</v>
      </c>
      <c r="AF30" s="6">
        <f>R30-D30</f>
        <v>0.0</v>
      </c>
      <c r="AG30" s="6">
        <f>S30-E30</f>
        <v>0.0</v>
      </c>
      <c r="AH30" s="6">
        <f>T30-F30</f>
        <v>0.0</v>
      </c>
      <c r="AI30" s="6">
        <f>U30-G30</f>
        <v>0.0</v>
      </c>
      <c r="AJ30" s="6">
        <f>V30-H30</f>
        <v>0.0</v>
      </c>
      <c r="AK30" s="6">
        <f>W30-I30</f>
        <v>0.0</v>
      </c>
      <c r="AL30" s="6">
        <f>X30-J30</f>
        <v>0.0</v>
      </c>
      <c r="AM30" s="6">
        <f>Y30-K30</f>
        <v>0.0</v>
      </c>
      <c r="AN30" s="6">
        <f>Z30-L30</f>
        <v>0.0</v>
      </c>
      <c r="AO30" s="6">
        <f>AA30-M30</f>
        <v>0.0</v>
      </c>
      <c r="AP30" s="6">
        <f>AB30-N30</f>
        <v>0.0</v>
      </c>
      <c r="AQ30" s="19">
        <f>SUM(AE30:AP30)</f>
        <v>0.0</v>
      </c>
      <c r="AS30" s="6">
        <f>-'SAFEREG-Adj'!C58-'SAFEREG-Adj'!C84</f>
        <v>0.0</v>
      </c>
      <c r="AT30" s="6">
        <f>-'SAFEREG-Adj'!D58-'SAFEREG-Adj'!D84</f>
        <v>0.0</v>
      </c>
      <c r="AU30" s="6">
        <f>-'SAFEREG-Adj'!E58-'SAFEREG-Adj'!E84</f>
        <v>0.0</v>
      </c>
      <c r="AV30" s="6">
        <f>-'SAFEREG-Adj'!F58-'SAFEREG-Adj'!F84</f>
        <v>0.0</v>
      </c>
      <c r="AW30" s="6">
        <f>-'SAFEREG-Adj'!G58-'SAFEREG-Adj'!G84</f>
        <v>0.0</v>
      </c>
      <c r="AX30" s="6">
        <f>-'SAFEREG-Adj'!H58-'SAFEREG-Adj'!H84</f>
        <v>0.0</v>
      </c>
      <c r="AY30" s="6">
        <f>-'SAFEREG-Adj'!I58-'SAFEREG-Adj'!I84</f>
        <v>0.0</v>
      </c>
      <c r="AZ30" s="6">
        <f>-'SAFEREG-Adj'!J58-'SAFEREG-Adj'!J84</f>
        <v>0.0</v>
      </c>
      <c r="BA30" s="6">
        <f>-'SAFEREG-Adj'!K58-'SAFEREG-Adj'!K84</f>
        <v>0.0</v>
      </c>
      <c r="BB30" s="6">
        <f>-'SAFEREG-Adj'!L58-'SAFEREG-Adj'!L84</f>
        <v>0.0</v>
      </c>
      <c r="BC30" s="6">
        <f>-'SAFEREG-Adj'!M58-'SAFEREG-Adj'!M84</f>
        <v>0.0</v>
      </c>
      <c r="BD30" s="6">
        <f>-'SAFEREG-Adj'!N58-'SAFEREG-Adj'!N84</f>
        <v>0.0</v>
      </c>
      <c r="BE30" s="19">
        <f>SUM(AS30:BD30)</f>
        <v>0.0</v>
      </c>
      <c r="BG30" s="6">
        <f>C30+AE30+AS30</f>
        <v>-309.9</v>
      </c>
      <c r="BH30" s="6">
        <f>D30+AF30+AT30</f>
        <v>-310.2</v>
      </c>
      <c r="BI30" s="6">
        <f>E30+AG30+AU30</f>
        <v>-309.3</v>
      </c>
      <c r="BJ30" s="6">
        <f>F30+AH30+AV30</f>
        <v>-307.0</v>
      </c>
      <c r="BK30" s="6">
        <f>G30+AI30+AW30</f>
        <v>-307.2</v>
      </c>
      <c r="BL30" s="6">
        <f>H30+AJ30+AX30</f>
        <v>-306.8</v>
      </c>
      <c r="BM30" s="6">
        <f>I30+AK30+AY30</f>
        <v>-308.7</v>
      </c>
      <c r="BN30" s="6">
        <f>J30+AL30+AZ30</f>
        <v>-307.3</v>
      </c>
      <c r="BO30" s="6">
        <f>K30+AM30+BA30</f>
        <v>-310.1</v>
      </c>
      <c r="BP30" s="6">
        <f>L30+AN30+BB30</f>
        <v>-309.9</v>
      </c>
      <c r="BQ30" s="6">
        <f>M30+AO30+BC30</f>
        <v>-312.0</v>
      </c>
      <c r="BR30" s="6">
        <f>N30+AP30+BD30</f>
        <v>-307.3</v>
      </c>
      <c r="BS30" s="19">
        <f>SUM(BG30:BR30)</f>
        <v>-3705.7000000000003</v>
      </c>
      <c r="BU30" s="6">
        <f>SUM(BG30:BO30)-SUM(C30:K30)</f>
        <v>0.0</v>
      </c>
      <c r="BV30" s="6">
        <f>SUM(BG30:BO30)-SUM(C53:K53)</f>
        <v>1.7999999999997272</v>
      </c>
      <c r="BW30" s="6">
        <f>SUM(BG30:BO30)-SUM(C66:K66)</f>
        <v>-94.80000000000018</v>
      </c>
      <c r="BY30" s="6">
        <f>SUM(BP30:BR30)-SUM(L30:N30)</f>
        <v>0.0</v>
      </c>
      <c r="BZ30" s="6">
        <f>SUM(BP30:BR30)-SUM(L53:N53)</f>
        <v>2.7999999999999545</v>
      </c>
      <c r="CA30" s="6">
        <f>SUM(BP30:BR30)-SUM(L66:N66)</f>
        <v>-36.80000000000007</v>
      </c>
      <c r="CC30" s="6">
        <f>BS30-O30</f>
        <v>0.0</v>
      </c>
      <c r="CD30" s="6">
        <f>BS30-O53</f>
        <v>4.599999999999454</v>
      </c>
      <c r="CE30" s="6">
        <f>BS30-O66</f>
        <v>-131.60000000000036</v>
      </c>
    </row>
    <row r="31">
      <c r="B31" s="2" t="inlineStr">
        <is>
          <t>PBITA</t>
        </is>
      </c>
      <c r="C31" s="6">
        <f>C29+C30</f>
        <v>-309.9</v>
      </c>
      <c r="D31" s="6">
        <f>D29+D30</f>
        <v>-310.2</v>
      </c>
      <c r="E31" s="6">
        <f>E29+E30</f>
        <v>-309.3</v>
      </c>
      <c r="F31" s="6">
        <f>F29+F30</f>
        <v>-307.0</v>
      </c>
      <c r="G31" s="6">
        <f>G29+G30</f>
        <v>-307.2</v>
      </c>
      <c r="H31" s="6">
        <f>H29+H30</f>
        <v>-306.8</v>
      </c>
      <c r="I31" s="6">
        <f>I29+I30</f>
        <v>-308.7</v>
      </c>
      <c r="J31" s="6">
        <f>J29+J30</f>
        <v>-307.3</v>
      </c>
      <c r="K31" s="6">
        <f>K29+K30</f>
        <v>-310.1</v>
      </c>
      <c r="L31" s="6">
        <f>L29+L30</f>
        <v>-309.9</v>
      </c>
      <c r="M31" s="6">
        <f>M29+M30</f>
        <v>-312.0</v>
      </c>
      <c r="N31" s="6">
        <f>N29+N30</f>
        <v>-307.3</v>
      </c>
      <c r="O31" s="19">
        <f>SUM(C31:N31)</f>
        <v>-3705.7000000000003</v>
      </c>
      <c r="Q31" s="6">
        <f>Q29+Q30</f>
        <v>-309.9</v>
      </c>
      <c r="R31" s="6">
        <f>R29+R30</f>
        <v>-310.2</v>
      </c>
      <c r="S31" s="6">
        <f>S29+S30</f>
        <v>-309.3</v>
      </c>
      <c r="T31" s="6">
        <f>T29+T30</f>
        <v>-307.0</v>
      </c>
      <c r="U31" s="6">
        <f>U29+U30</f>
        <v>-307.2</v>
      </c>
      <c r="V31" s="6">
        <f>V29+V30</f>
        <v>-306.8</v>
      </c>
      <c r="W31" s="6">
        <f>W29+W30</f>
        <v>-308.7</v>
      </c>
      <c r="X31" s="6">
        <f>X29+X30</f>
        <v>-307.3</v>
      </c>
      <c r="Y31" s="6">
        <f>Y29+Y30</f>
        <v>-310.1</v>
      </c>
      <c r="Z31" s="6">
        <f>Z29+Z30</f>
        <v>-309.9</v>
      </c>
      <c r="AA31" s="6">
        <f>AA29+AA30</f>
        <v>-312.0</v>
      </c>
      <c r="AB31" s="6">
        <f>AB29+AB30</f>
        <v>-307.3</v>
      </c>
      <c r="AC31" s="19">
        <f>SUM(Q31:AB31)</f>
        <v>-3705.7000000000003</v>
      </c>
      <c r="AE31" s="6">
        <f>AE29+AE30</f>
        <v>0.0</v>
      </c>
      <c r="AF31" s="6">
        <f>AF29+AF30</f>
        <v>0.0</v>
      </c>
      <c r="AG31" s="6">
        <f>AG29+AG30</f>
        <v>0.0</v>
      </c>
      <c r="AH31" s="6">
        <f>AH29+AH30</f>
        <v>0.0</v>
      </c>
      <c r="AI31" s="6">
        <f>AI29+AI30</f>
        <v>0.0</v>
      </c>
      <c r="AJ31" s="6">
        <f>AJ29+AJ30</f>
        <v>0.0</v>
      </c>
      <c r="AK31" s="6">
        <f>AK29+AK30</f>
        <v>0.0</v>
      </c>
      <c r="AL31" s="6">
        <f>AL29+AL30</f>
        <v>0.0</v>
      </c>
      <c r="AM31" s="6">
        <f>AM29+AM30</f>
        <v>0.0</v>
      </c>
      <c r="AN31" s="6">
        <f>AN29+AN30</f>
        <v>0.0</v>
      </c>
      <c r="AO31" s="6">
        <f>AO29+AO30</f>
        <v>0.0</v>
      </c>
      <c r="AP31" s="6">
        <f>AP29+AP30</f>
        <v>0.0</v>
      </c>
      <c r="AQ31" s="19">
        <f>SUM(AE31:AP31)</f>
        <v>0.0</v>
      </c>
      <c r="AS31" s="6">
        <f>AS29+AS30</f>
        <v>0.0</v>
      </c>
      <c r="AT31" s="6">
        <f>AT29+AT30</f>
        <v>0.0</v>
      </c>
      <c r="AU31" s="6">
        <f>AU29+AU30</f>
        <v>0.0</v>
      </c>
      <c r="AV31" s="6">
        <f>AV29+AV30</f>
        <v>0.0</v>
      </c>
      <c r="AW31" s="6">
        <f>AW29+AW30</f>
        <v>0.0</v>
      </c>
      <c r="AX31" s="6">
        <f>AX29+AX30</f>
        <v>0.0</v>
      </c>
      <c r="AY31" s="6">
        <f>AY29+AY30</f>
        <v>0.0</v>
      </c>
      <c r="AZ31" s="6">
        <f>AZ29+AZ30</f>
        <v>0.0</v>
      </c>
      <c r="BA31" s="6">
        <f>BA29+BA30</f>
        <v>0.0</v>
      </c>
      <c r="BB31" s="6">
        <f>BB29+BB30</f>
        <v>0.0</v>
      </c>
      <c r="BC31" s="6">
        <f>BC29+BC30</f>
        <v>0.0</v>
      </c>
      <c r="BD31" s="6">
        <f>BD29+BD30</f>
        <v>0.0</v>
      </c>
      <c r="BE31" s="19">
        <f>SUM(AS31:BD31)</f>
        <v>0.0</v>
      </c>
      <c r="BG31" s="6">
        <f>BG29+BG30</f>
        <v>-309.9</v>
      </c>
      <c r="BH31" s="6">
        <f>BH29+BH30</f>
        <v>-310.2</v>
      </c>
      <c r="BI31" s="6">
        <f>BI29+BI30</f>
        <v>-309.3</v>
      </c>
      <c r="BJ31" s="6">
        <f>BJ29+BJ30</f>
        <v>-307.0</v>
      </c>
      <c r="BK31" s="6">
        <f>BK29+BK30</f>
        <v>-307.2</v>
      </c>
      <c r="BL31" s="6">
        <f>BL29+BL30</f>
        <v>-306.8</v>
      </c>
      <c r="BM31" s="6">
        <f>BM29+BM30</f>
        <v>-308.7</v>
      </c>
      <c r="BN31" s="6">
        <f>BN29+BN30</f>
        <v>-307.3</v>
      </c>
      <c r="BO31" s="6">
        <f>BO29+BO30</f>
        <v>-310.1</v>
      </c>
      <c r="BP31" s="6">
        <f>BP29+BP30</f>
        <v>-309.9</v>
      </c>
      <c r="BQ31" s="6">
        <f>BQ29+BQ30</f>
        <v>-312.0</v>
      </c>
      <c r="BR31" s="6">
        <f>BR29+BR30</f>
        <v>-307.3</v>
      </c>
      <c r="BS31" s="19">
        <f>SUM(BG31:BR31)</f>
        <v>-3705.7000000000003</v>
      </c>
      <c r="BU31" s="6">
        <f>SUM(BG31:BO31)-SUM(C31:K31)</f>
        <v>0.0</v>
      </c>
      <c r="BV31" s="6">
        <f>SUM(BG31:BO31)-SUM(C54:K54)</f>
        <v>1.7999999999997272</v>
      </c>
      <c r="BW31" s="6">
        <f>SUM(BG31:BO31)-SUM(C67:K67)</f>
        <v>-94.80000000000018</v>
      </c>
      <c r="BY31" s="6">
        <f>SUM(BP31:BR31)-SUM(L31:N31)</f>
        <v>0.0</v>
      </c>
      <c r="BZ31" s="6">
        <f>SUM(BP31:BR31)-SUM(L54:N54)</f>
        <v>2.7999999999999545</v>
      </c>
      <c r="CA31" s="6">
        <f>SUM(BP31:BR31)-SUM(L67:N67)</f>
        <v>-36.80000000000007</v>
      </c>
      <c r="CC31" s="6">
        <f>BS31-O31</f>
        <v>0.0</v>
      </c>
      <c r="CD31" s="6">
        <f>BS31-O54</f>
        <v>4.599999999999454</v>
      </c>
      <c r="CE31" s="6">
        <f>BS31-O67</f>
        <v>-131.60000000000036</v>
      </c>
    </row>
    <row r="35">
      <c r="B35" s="5" t="inlineStr">
        <is>
          <t>GM %</t>
        </is>
      </c>
      <c r="C35" s="12">
        <f>IFERROR(C29/C28,0)</f>
        <v>0.0</v>
      </c>
      <c r="D35" s="12">
        <f>IFERROR(D29/D28,0)</f>
        <v>0.0</v>
      </c>
      <c r="E35" s="12">
        <f>IFERROR(E29/E28,0)</f>
        <v>0.0</v>
      </c>
      <c r="F35" s="12">
        <f>IFERROR(F29/F28,0)</f>
        <v>0.0</v>
      </c>
      <c r="G35" s="12">
        <f>IFERROR(G29/G28,0)</f>
        <v>0.0</v>
      </c>
      <c r="H35" s="12">
        <f>IFERROR(H29/H28,0)</f>
        <v>0.0</v>
      </c>
      <c r="I35" s="12">
        <f>IFERROR(I29/I28,0)</f>
        <v>0.0</v>
      </c>
      <c r="J35" s="12">
        <f>IFERROR(J29/J28,0)</f>
        <v>0.0</v>
      </c>
      <c r="K35" s="12">
        <f>IFERROR(K29/K28,0)</f>
        <v>0.0</v>
      </c>
      <c r="L35" s="12">
        <f>IFERROR(L29/L28,0)</f>
        <v>0.0</v>
      </c>
      <c r="M35" s="12">
        <f>IFERROR(M29/M28,0)</f>
        <v>0.0</v>
      </c>
      <c r="N35" s="12">
        <f>IFERROR(N29/N28,0)</f>
        <v>0.0</v>
      </c>
      <c r="O35" s="12">
        <f>IFERROR(O29/O28,0)</f>
        <v>0.0</v>
      </c>
      <c r="Q35" s="12">
        <f>IFERROR(Q29/Q28,0)</f>
        <v>0.0</v>
      </c>
      <c r="R35" s="12">
        <f>IFERROR(R29/R28,0)</f>
        <v>0.0</v>
      </c>
      <c r="S35" s="12">
        <f>IFERROR(S29/S28,0)</f>
        <v>0.0</v>
      </c>
      <c r="T35" s="12">
        <f>IFERROR(T29/T28,0)</f>
        <v>0.0</v>
      </c>
      <c r="U35" s="12">
        <f>IFERROR(U29/U28,0)</f>
        <v>0.0</v>
      </c>
      <c r="V35" s="12">
        <f>IFERROR(V29/V28,0)</f>
        <v>0.0</v>
      </c>
      <c r="W35" s="12">
        <f>IFERROR(W29/W28,0)</f>
        <v>0.0</v>
      </c>
      <c r="X35" s="12">
        <f>IFERROR(X29/X28,0)</f>
        <v>0.0</v>
      </c>
      <c r="Y35" s="12">
        <f>IFERROR(Y29/Y28,0)</f>
        <v>0.0</v>
      </c>
      <c r="Z35" s="12">
        <f>IFERROR(Z29/Z28,0)</f>
        <v>0.0</v>
      </c>
      <c r="AA35" s="12">
        <f>IFERROR(AA29/AA28,0)</f>
        <v>0.0</v>
      </c>
      <c r="AB35" s="12">
        <f>IFERROR(AB29/AB28,0)</f>
        <v>0.0</v>
      </c>
      <c r="AC35" s="12">
        <f>IFERROR(AC29/AC28,0)</f>
        <v>0.0</v>
      </c>
      <c r="AE35" s="12">
        <f>IFERROR(AE29/AE28,0)</f>
        <v>0.0</v>
      </c>
      <c r="AF35" s="12">
        <f>IFERROR(AF29/AF28,0)</f>
        <v>0.0</v>
      </c>
      <c r="AG35" s="12">
        <f>IFERROR(AG29/AG28,0)</f>
        <v>0.0</v>
      </c>
      <c r="AH35" s="12">
        <f>IFERROR(AH29/AH28,0)</f>
        <v>0.0</v>
      </c>
      <c r="AI35" s="12">
        <f>IFERROR(AI29/AI28,0)</f>
        <v>0.0</v>
      </c>
      <c r="AJ35" s="12">
        <f>IFERROR(AJ29/AJ28,0)</f>
        <v>0.0</v>
      </c>
      <c r="AK35" s="12">
        <f>IFERROR(AK29/AK28,0)</f>
        <v>0.0</v>
      </c>
      <c r="AL35" s="12">
        <f>IFERROR(AL29/AL28,0)</f>
        <v>0.0</v>
      </c>
      <c r="AM35" s="12">
        <f>IFERROR(AM29/AM28,0)</f>
        <v>0.0</v>
      </c>
      <c r="AN35" s="12">
        <f>IFERROR(AN29/AN28,0)</f>
        <v>0.0</v>
      </c>
      <c r="AO35" s="12">
        <f>IFERROR(AO29/AO28,0)</f>
        <v>0.0</v>
      </c>
      <c r="AP35" s="12">
        <f>IFERROR(AP29/AP28,0)</f>
        <v>0.0</v>
      </c>
      <c r="AQ35" s="12">
        <f>IFERROR(AQ29/AQ28,0)</f>
        <v>0.0</v>
      </c>
      <c r="AS35" s="12">
        <f>IFERROR(AS29/AS28,0)</f>
        <v>0.0</v>
      </c>
      <c r="AT35" s="12">
        <f>IFERROR(AT29/AT28,0)</f>
        <v>0.0</v>
      </c>
      <c r="AU35" s="12">
        <f>IFERROR(AU29/AU28,0)</f>
        <v>0.0</v>
      </c>
      <c r="AV35" s="12">
        <f>IFERROR(AV29/AV28,0)</f>
        <v>0.0</v>
      </c>
      <c r="AW35" s="12">
        <f>IFERROR(AW29/AW28,0)</f>
        <v>0.0</v>
      </c>
      <c r="AX35" s="12">
        <f>IFERROR(AX29/AX28,0)</f>
        <v>0.0</v>
      </c>
      <c r="AY35" s="12">
        <f>IFERROR(AY29/AY28,0)</f>
        <v>0.0</v>
      </c>
      <c r="AZ35" s="12">
        <f>IFERROR(AZ29/AZ28,0)</f>
        <v>0.0</v>
      </c>
      <c r="BA35" s="12">
        <f>IFERROR(BA29/BA28,0)</f>
        <v>0.0</v>
      </c>
      <c r="BB35" s="12">
        <f>IFERROR(BB29/BB28,0)</f>
        <v>0.0</v>
      </c>
      <c r="BC35" s="12">
        <f>IFERROR(BC29/BC28,0)</f>
        <v>0.0</v>
      </c>
      <c r="BD35" s="12">
        <f>IFERROR(BD29/BD28,0)</f>
        <v>0.0</v>
      </c>
      <c r="BE35" s="12">
        <f>IFERROR(BE29/BE28,0)</f>
        <v>0.0</v>
      </c>
      <c r="BG35" s="12">
        <f>IFERROR(BG29/BG28,0)</f>
        <v>0.0</v>
      </c>
      <c r="BH35" s="12">
        <f>IFERROR(BH29/BH28,0)</f>
        <v>0.0</v>
      </c>
      <c r="BI35" s="12">
        <f>IFERROR(BI29/BI28,0)</f>
        <v>0.0</v>
      </c>
      <c r="BJ35" s="12">
        <f>IFERROR(BJ29/BJ28,0)</f>
        <v>0.0</v>
      </c>
      <c r="BK35" s="12">
        <f>IFERROR(BK29/BK28,0)</f>
        <v>0.0</v>
      </c>
      <c r="BL35" s="12">
        <f>IFERROR(BL29/BL28,0)</f>
        <v>0.0</v>
      </c>
      <c r="BM35" s="12">
        <f>IFERROR(BM29/BM28,0)</f>
        <v>0.0</v>
      </c>
      <c r="BN35" s="12">
        <f>IFERROR(BN29/BN28,0)</f>
        <v>0.0</v>
      </c>
      <c r="BO35" s="12">
        <f>IFERROR(BO29/BO28,0)</f>
        <v>0.0</v>
      </c>
      <c r="BP35" s="12">
        <f>IFERROR(BP29/BP28,0)</f>
        <v>0.0</v>
      </c>
      <c r="BQ35" s="12">
        <f>IFERROR(BQ29/BQ28,0)</f>
        <v>0.0</v>
      </c>
      <c r="BR35" s="12">
        <f>IFERROR(BR29/BR28,0)</f>
        <v>0.0</v>
      </c>
      <c r="BS35" s="12">
        <f>IFERROR(BS29/BS28,0)</f>
        <v>0.0</v>
      </c>
    </row>
    <row r="36">
      <c r="B36" s="5" t="inlineStr">
        <is>
          <t>Op Cost %</t>
        </is>
      </c>
      <c r="C36" s="12">
        <f>IFERROR(C30/C28,0)</f>
        <v>0.0</v>
      </c>
      <c r="D36" s="12">
        <f>IFERROR(D30/D28,0)</f>
        <v>0.0</v>
      </c>
      <c r="E36" s="12">
        <f>IFERROR(E30/E28,0)</f>
        <v>0.0</v>
      </c>
      <c r="F36" s="12">
        <f>IFERROR(F30/F28,0)</f>
        <v>0.0</v>
      </c>
      <c r="G36" s="12">
        <f>IFERROR(G30/G28,0)</f>
        <v>0.0</v>
      </c>
      <c r="H36" s="12">
        <f>IFERROR(H30/H28,0)</f>
        <v>0.0</v>
      </c>
      <c r="I36" s="12">
        <f>IFERROR(I30/I28,0)</f>
        <v>0.0</v>
      </c>
      <c r="J36" s="12">
        <f>IFERROR(J30/J28,0)</f>
        <v>0.0</v>
      </c>
      <c r="K36" s="12">
        <f>IFERROR(K30/K28,0)</f>
        <v>0.0</v>
      </c>
      <c r="L36" s="12">
        <f>IFERROR(L30/L28,0)</f>
        <v>0.0</v>
      </c>
      <c r="M36" s="12">
        <f>IFERROR(M30/M28,0)</f>
        <v>0.0</v>
      </c>
      <c r="N36" s="12">
        <f>IFERROR(N30/N28,0)</f>
        <v>0.0</v>
      </c>
      <c r="O36" s="12">
        <f>IFERROR(O30/O28,0)</f>
        <v>0.0</v>
      </c>
      <c r="Q36" s="12">
        <f>IFERROR(Q30/Q28,0)</f>
        <v>0.0</v>
      </c>
      <c r="R36" s="12">
        <f>IFERROR(R30/R28,0)</f>
        <v>0.0</v>
      </c>
      <c r="S36" s="12">
        <f>IFERROR(S30/S28,0)</f>
        <v>0.0</v>
      </c>
      <c r="T36" s="12">
        <f>IFERROR(T30/T28,0)</f>
        <v>0.0</v>
      </c>
      <c r="U36" s="12">
        <f>IFERROR(U30/U28,0)</f>
        <v>0.0</v>
      </c>
      <c r="V36" s="12">
        <f>IFERROR(V30/V28,0)</f>
        <v>0.0</v>
      </c>
      <c r="W36" s="12">
        <f>IFERROR(W30/W28,0)</f>
        <v>0.0</v>
      </c>
      <c r="X36" s="12">
        <f>IFERROR(X30/X28,0)</f>
        <v>0.0</v>
      </c>
      <c r="Y36" s="12">
        <f>IFERROR(Y30/Y28,0)</f>
        <v>0.0</v>
      </c>
      <c r="Z36" s="12">
        <f>IFERROR(Z30/Z28,0)</f>
        <v>0.0</v>
      </c>
      <c r="AA36" s="12">
        <f>IFERROR(AA30/AA28,0)</f>
        <v>0.0</v>
      </c>
      <c r="AB36" s="12">
        <f>IFERROR(AB30/AB28,0)</f>
        <v>0.0</v>
      </c>
      <c r="AC36" s="12">
        <f>IFERROR(AC30/AC28,0)</f>
        <v>0.0</v>
      </c>
      <c r="AE36" s="12">
        <f>IFERROR(AE30/AE28,0)</f>
        <v>0.0</v>
      </c>
      <c r="AF36" s="12">
        <f>IFERROR(AF30/AF28,0)</f>
        <v>0.0</v>
      </c>
      <c r="AG36" s="12">
        <f>IFERROR(AG30/AG28,0)</f>
        <v>0.0</v>
      </c>
      <c r="AH36" s="12">
        <f>IFERROR(AH30/AH28,0)</f>
        <v>0.0</v>
      </c>
      <c r="AI36" s="12">
        <f>IFERROR(AI30/AI28,0)</f>
        <v>0.0</v>
      </c>
      <c r="AJ36" s="12">
        <f>IFERROR(AJ30/AJ28,0)</f>
        <v>0.0</v>
      </c>
      <c r="AK36" s="12">
        <f>IFERROR(AK30/AK28,0)</f>
        <v>0.0</v>
      </c>
      <c r="AL36" s="12">
        <f>IFERROR(AL30/AL28,0)</f>
        <v>0.0</v>
      </c>
      <c r="AM36" s="12">
        <f>IFERROR(AM30/AM28,0)</f>
        <v>0.0</v>
      </c>
      <c r="AN36" s="12">
        <f>IFERROR(AN30/AN28,0)</f>
        <v>0.0</v>
      </c>
      <c r="AO36" s="12">
        <f>IFERROR(AO30/AO28,0)</f>
        <v>0.0</v>
      </c>
      <c r="AP36" s="12">
        <f>IFERROR(AP30/AP28,0)</f>
        <v>0.0</v>
      </c>
      <c r="AQ36" s="12">
        <f>IFERROR(AQ30/AQ28,0)</f>
        <v>0.0</v>
      </c>
      <c r="AS36" s="12">
        <f>IFERROR(AS30/AS28,0)</f>
        <v>0.0</v>
      </c>
      <c r="AT36" s="12">
        <f>IFERROR(AT30/AT28,0)</f>
        <v>0.0</v>
      </c>
      <c r="AU36" s="12">
        <f>IFERROR(AU30/AU28,0)</f>
        <v>0.0</v>
      </c>
      <c r="AV36" s="12">
        <f>IFERROR(AV30/AV28,0)</f>
        <v>0.0</v>
      </c>
      <c r="AW36" s="12">
        <f>IFERROR(AW30/AW28,0)</f>
        <v>0.0</v>
      </c>
      <c r="AX36" s="12">
        <f>IFERROR(AX30/AX28,0)</f>
        <v>0.0</v>
      </c>
      <c r="AY36" s="12">
        <f>IFERROR(AY30/AY28,0)</f>
        <v>0.0</v>
      </c>
      <c r="AZ36" s="12">
        <f>IFERROR(AZ30/AZ28,0)</f>
        <v>0.0</v>
      </c>
      <c r="BA36" s="12">
        <f>IFERROR(BA30/BA28,0)</f>
        <v>0.0</v>
      </c>
      <c r="BB36" s="12">
        <f>IFERROR(BB30/BB28,0)</f>
        <v>0.0</v>
      </c>
      <c r="BC36" s="12">
        <f>IFERROR(BC30/BC28,0)</f>
        <v>0.0</v>
      </c>
      <c r="BD36" s="12">
        <f>IFERROR(BD30/BD28,0)</f>
        <v>0.0</v>
      </c>
      <c r="BE36" s="12">
        <f>IFERROR(BE30/BE28,0)</f>
        <v>0.0</v>
      </c>
      <c r="BG36" s="12">
        <f>IFERROR(BG30/BG28,0)</f>
        <v>0.0</v>
      </c>
      <c r="BH36" s="12">
        <f>IFERROR(BH30/BH28,0)</f>
        <v>0.0</v>
      </c>
      <c r="BI36" s="12">
        <f>IFERROR(BI30/BI28,0)</f>
        <v>0.0</v>
      </c>
      <c r="BJ36" s="12">
        <f>IFERROR(BJ30/BJ28,0)</f>
        <v>0.0</v>
      </c>
      <c r="BK36" s="12">
        <f>IFERROR(BK30/BK28,0)</f>
        <v>0.0</v>
      </c>
      <c r="BL36" s="12">
        <f>IFERROR(BL30/BL28,0)</f>
        <v>0.0</v>
      </c>
      <c r="BM36" s="12">
        <f>IFERROR(BM30/BM28,0)</f>
        <v>0.0</v>
      </c>
      <c r="BN36" s="12">
        <f>IFERROR(BN30/BN28,0)</f>
        <v>0.0</v>
      </c>
      <c r="BO36" s="12">
        <f>IFERROR(BO30/BO28,0)</f>
        <v>0.0</v>
      </c>
      <c r="BP36" s="12">
        <f>IFERROR(BP30/BP28,0)</f>
        <v>0.0</v>
      </c>
      <c r="BQ36" s="12">
        <f>IFERROR(BQ30/BQ28,0)</f>
        <v>0.0</v>
      </c>
      <c r="BR36" s="12">
        <f>IFERROR(BR30/BR28,0)</f>
        <v>0.0</v>
      </c>
      <c r="BS36" s="12">
        <f>IFERROR(BS30/BS28,0)</f>
        <v>0.0</v>
      </c>
    </row>
    <row r="37">
      <c r="B37" s="5" t="inlineStr">
        <is>
          <t>PBITA %</t>
        </is>
      </c>
      <c r="C37" s="12">
        <f>IFERROR(C31/C28,0)</f>
        <v>0.0</v>
      </c>
      <c r="D37" s="12">
        <f>IFERROR(D31/D28,0)</f>
        <v>0.0</v>
      </c>
      <c r="E37" s="12">
        <f>IFERROR(E31/E28,0)</f>
        <v>0.0</v>
      </c>
      <c r="F37" s="12">
        <f>IFERROR(F31/F28,0)</f>
        <v>0.0</v>
      </c>
      <c r="G37" s="12">
        <f>IFERROR(G31/G28,0)</f>
        <v>0.0</v>
      </c>
      <c r="H37" s="12">
        <f>IFERROR(H31/H28,0)</f>
        <v>0.0</v>
      </c>
      <c r="I37" s="12">
        <f>IFERROR(I31/I28,0)</f>
        <v>0.0</v>
      </c>
      <c r="J37" s="12">
        <f>IFERROR(J31/J28,0)</f>
        <v>0.0</v>
      </c>
      <c r="K37" s="12">
        <f>IFERROR(K31/K28,0)</f>
        <v>0.0</v>
      </c>
      <c r="L37" s="12">
        <f>IFERROR(L31/L28,0)</f>
        <v>0.0</v>
      </c>
      <c r="M37" s="12">
        <f>IFERROR(M31/M28,0)</f>
        <v>0.0</v>
      </c>
      <c r="N37" s="12">
        <f>IFERROR(N31/N28,0)</f>
        <v>0.0</v>
      </c>
      <c r="O37" s="12">
        <f>IFERROR(O31/O28,0)</f>
        <v>0.0</v>
      </c>
      <c r="Q37" s="12">
        <f>IFERROR(Q31/Q28,0)</f>
        <v>0.0</v>
      </c>
      <c r="R37" s="12">
        <f>IFERROR(R31/R28,0)</f>
        <v>0.0</v>
      </c>
      <c r="S37" s="12">
        <f>IFERROR(S31/S28,0)</f>
        <v>0.0</v>
      </c>
      <c r="T37" s="12">
        <f>IFERROR(T31/T28,0)</f>
        <v>0.0</v>
      </c>
      <c r="U37" s="12">
        <f>IFERROR(U31/U28,0)</f>
        <v>0.0</v>
      </c>
      <c r="V37" s="12">
        <f>IFERROR(V31/V28,0)</f>
        <v>0.0</v>
      </c>
      <c r="W37" s="12">
        <f>IFERROR(W31/W28,0)</f>
        <v>0.0</v>
      </c>
      <c r="X37" s="12">
        <f>IFERROR(X31/X28,0)</f>
        <v>0.0</v>
      </c>
      <c r="Y37" s="12">
        <f>IFERROR(Y31/Y28,0)</f>
        <v>0.0</v>
      </c>
      <c r="Z37" s="12">
        <f>IFERROR(Z31/Z28,0)</f>
        <v>0.0</v>
      </c>
      <c r="AA37" s="12">
        <f>IFERROR(AA31/AA28,0)</f>
        <v>0.0</v>
      </c>
      <c r="AB37" s="12">
        <f>IFERROR(AB31/AB28,0)</f>
        <v>0.0</v>
      </c>
      <c r="AC37" s="12">
        <f>IFERROR(AC31/AC28,0)</f>
        <v>0.0</v>
      </c>
      <c r="AE37" s="12">
        <f>IFERROR(AE31/AE28,0)</f>
        <v>0.0</v>
      </c>
      <c r="AF37" s="12">
        <f>IFERROR(AF31/AF28,0)</f>
        <v>0.0</v>
      </c>
      <c r="AG37" s="12">
        <f>IFERROR(AG31/AG28,0)</f>
        <v>0.0</v>
      </c>
      <c r="AH37" s="12">
        <f>IFERROR(AH31/AH28,0)</f>
        <v>0.0</v>
      </c>
      <c r="AI37" s="12">
        <f>IFERROR(AI31/AI28,0)</f>
        <v>0.0</v>
      </c>
      <c r="AJ37" s="12">
        <f>IFERROR(AJ31/AJ28,0)</f>
        <v>0.0</v>
      </c>
      <c r="AK37" s="12">
        <f>IFERROR(AK31/AK28,0)</f>
        <v>0.0</v>
      </c>
      <c r="AL37" s="12">
        <f>IFERROR(AL31/AL28,0)</f>
        <v>0.0</v>
      </c>
      <c r="AM37" s="12">
        <f>IFERROR(AM31/AM28,0)</f>
        <v>0.0</v>
      </c>
      <c r="AN37" s="12">
        <f>IFERROR(AN31/AN28,0)</f>
        <v>0.0</v>
      </c>
      <c r="AO37" s="12">
        <f>IFERROR(AO31/AO28,0)</f>
        <v>0.0</v>
      </c>
      <c r="AP37" s="12">
        <f>IFERROR(AP31/AP28,0)</f>
        <v>0.0</v>
      </c>
      <c r="AQ37" s="12">
        <f>IFERROR(AQ31/AQ28,0)</f>
        <v>0.0</v>
      </c>
      <c r="AS37" s="12">
        <f>IFERROR(AS31/AS28,0)</f>
        <v>0.0</v>
      </c>
      <c r="AT37" s="12">
        <f>IFERROR(AT31/AT28,0)</f>
        <v>0.0</v>
      </c>
      <c r="AU37" s="12">
        <f>IFERROR(AU31/AU28,0)</f>
        <v>0.0</v>
      </c>
      <c r="AV37" s="12">
        <f>IFERROR(AV31/AV28,0)</f>
        <v>0.0</v>
      </c>
      <c r="AW37" s="12">
        <f>IFERROR(AW31/AW28,0)</f>
        <v>0.0</v>
      </c>
      <c r="AX37" s="12">
        <f>IFERROR(AX31/AX28,0)</f>
        <v>0.0</v>
      </c>
      <c r="AY37" s="12">
        <f>IFERROR(AY31/AY28,0)</f>
        <v>0.0</v>
      </c>
      <c r="AZ37" s="12">
        <f>IFERROR(AZ31/AZ28,0)</f>
        <v>0.0</v>
      </c>
      <c r="BA37" s="12">
        <f>IFERROR(BA31/BA28,0)</f>
        <v>0.0</v>
      </c>
      <c r="BB37" s="12">
        <f>IFERROR(BB31/BB28,0)</f>
        <v>0.0</v>
      </c>
      <c r="BC37" s="12">
        <f>IFERROR(BC31/BC28,0)</f>
        <v>0.0</v>
      </c>
      <c r="BD37" s="12">
        <f>IFERROR(BD31/BD28,0)</f>
        <v>0.0</v>
      </c>
      <c r="BE37" s="12">
        <f>IFERROR(BE31/BE28,0)</f>
        <v>0.0</v>
      </c>
      <c r="BG37" s="12">
        <f>IFERROR(BG31/BG28,0)</f>
        <v>0.0</v>
      </c>
      <c r="BH37" s="12">
        <f>IFERROR(BH31/BH28,0)</f>
        <v>0.0</v>
      </c>
      <c r="BI37" s="12">
        <f>IFERROR(BI31/BI28,0)</f>
        <v>0.0</v>
      </c>
      <c r="BJ37" s="12">
        <f>IFERROR(BJ31/BJ28,0)</f>
        <v>0.0</v>
      </c>
      <c r="BK37" s="12">
        <f>IFERROR(BK31/BK28,0)</f>
        <v>0.0</v>
      </c>
      <c r="BL37" s="12">
        <f>IFERROR(BL31/BL28,0)</f>
        <v>0.0</v>
      </c>
      <c r="BM37" s="12">
        <f>IFERROR(BM31/BM28,0)</f>
        <v>0.0</v>
      </c>
      <c r="BN37" s="12">
        <f>IFERROR(BN31/BN28,0)</f>
        <v>0.0</v>
      </c>
      <c r="BO37" s="12">
        <f>IFERROR(BO31/BO28,0)</f>
        <v>0.0</v>
      </c>
      <c r="BP37" s="12">
        <f>IFERROR(BP31/BP28,0)</f>
        <v>0.0</v>
      </c>
      <c r="BQ37" s="12">
        <f>IFERROR(BQ31/BQ28,0)</f>
        <v>0.0</v>
      </c>
      <c r="BR37" s="12">
        <f>IFERROR(BR31/BR28,0)</f>
        <v>0.0</v>
      </c>
      <c r="BS37" s="12">
        <f>IFERROR(BS31/BS28,0)</f>
        <v>0.0</v>
      </c>
    </row>
    <row r="38">
      <c r="B38" s="5" t="inlineStr">
        <is>
          <t>Sales/Day</t>
        </is>
      </c>
      <c r="C38" s="6">
        <f>IFERROR(C28/21,0)</f>
        <v>0.0</v>
      </c>
      <c r="D38" s="6">
        <f>IFERROR(D28/20,0)</f>
        <v>0.0</v>
      </c>
      <c r="E38" s="6">
        <f>IFERROR(E28/22,0)</f>
        <v>0.0</v>
      </c>
      <c r="F38" s="6">
        <f>IFERROR(F28/22,0)</f>
        <v>0.0</v>
      </c>
      <c r="G38" s="6">
        <f>IFERROR(G28/20,0)</f>
        <v>0.0</v>
      </c>
      <c r="H38" s="6">
        <f>IFERROR(H28/22,0)</f>
        <v>0.0</v>
      </c>
      <c r="I38" s="6">
        <f>IFERROR(I28/22,0)</f>
        <v>0.0</v>
      </c>
      <c r="J38" s="6">
        <f>IFERROR(J28/21,0)</f>
        <v>0.0</v>
      </c>
      <c r="K38" s="6">
        <f>IFERROR(K28/21,0)</f>
        <v>0.0</v>
      </c>
      <c r="L38" s="6">
        <f>IFERROR(L28/22,0)</f>
        <v>0.0</v>
      </c>
      <c r="M38" s="6">
        <f>IFERROR(M28/19,0)</f>
        <v>0.0</v>
      </c>
      <c r="N38" s="6">
        <f>IFERROR(N28/22,0)</f>
        <v>0.0</v>
      </c>
      <c r="O38" s="6">
        <f>IFERROR(O28/254,0)</f>
        <v>0.0</v>
      </c>
      <c r="Q38" s="6">
        <f>IFERROR(Q28/21,0)</f>
        <v>0.0</v>
      </c>
      <c r="R38" s="6">
        <f>IFERROR(R28/20,0)</f>
        <v>0.0</v>
      </c>
      <c r="S38" s="6">
        <f>IFERROR(S28/22,0)</f>
        <v>0.0</v>
      </c>
      <c r="T38" s="6">
        <f>IFERROR(T28/22,0)</f>
        <v>0.0</v>
      </c>
      <c r="U38" s="6">
        <f>IFERROR(U28/20,0)</f>
        <v>0.0</v>
      </c>
      <c r="V38" s="6">
        <f>IFERROR(V28/22,0)</f>
        <v>0.0</v>
      </c>
      <c r="W38" s="6">
        <f>IFERROR(W28/22,0)</f>
        <v>0.0</v>
      </c>
      <c r="X38" s="6">
        <f>IFERROR(X28/21,0)</f>
        <v>0.0</v>
      </c>
      <c r="Y38" s="6">
        <f>IFERROR(Y28/21,0)</f>
        <v>0.0</v>
      </c>
      <c r="Z38" s="6">
        <f>IFERROR(Z28/22,0)</f>
        <v>0.0</v>
      </c>
      <c r="AA38" s="6">
        <f>IFERROR(AA28/19,0)</f>
        <v>0.0</v>
      </c>
      <c r="AB38" s="6">
        <f>IFERROR(AB28/22,0)</f>
        <v>0.0</v>
      </c>
      <c r="AC38" s="6">
        <f>IFERROR(AC28/254,0)</f>
        <v>0.0</v>
      </c>
      <c r="AE38" s="6">
        <f>IFERROR(AE28/21,0)</f>
        <v>0.0</v>
      </c>
      <c r="AF38" s="6">
        <f>IFERROR(AF28/20,0)</f>
        <v>0.0</v>
      </c>
      <c r="AG38" s="6">
        <f>IFERROR(AG28/22,0)</f>
        <v>0.0</v>
      </c>
      <c r="AH38" s="6">
        <f>IFERROR(AH28/22,0)</f>
        <v>0.0</v>
      </c>
      <c r="AI38" s="6">
        <f>IFERROR(AI28/20,0)</f>
        <v>0.0</v>
      </c>
      <c r="AJ38" s="6">
        <f>IFERROR(AJ28/22,0)</f>
        <v>0.0</v>
      </c>
      <c r="AK38" s="6">
        <f>IFERROR(AK28/22,0)</f>
        <v>0.0</v>
      </c>
      <c r="AL38" s="6">
        <f>IFERROR(AL28/21,0)</f>
        <v>0.0</v>
      </c>
      <c r="AM38" s="6">
        <f>IFERROR(AM28/21,0)</f>
        <v>0.0</v>
      </c>
      <c r="AN38" s="6">
        <f>IFERROR(AN28/22,0)</f>
        <v>0.0</v>
      </c>
      <c r="AO38" s="6">
        <f>IFERROR(AO28/19,0)</f>
        <v>0.0</v>
      </c>
      <c r="AP38" s="6">
        <f>IFERROR(AP28/22,0)</f>
        <v>0.0</v>
      </c>
      <c r="AQ38" s="6">
        <f>IFERROR(AQ28/254,0)</f>
        <v>0.0</v>
      </c>
      <c r="AS38" s="6">
        <f>IFERROR(AS28/21,0)</f>
        <v>0.0</v>
      </c>
      <c r="AT38" s="6">
        <f>IFERROR(AT28/20,0)</f>
        <v>0.0</v>
      </c>
      <c r="AU38" s="6">
        <f>IFERROR(AU28/22,0)</f>
        <v>0.0</v>
      </c>
      <c r="AV38" s="6">
        <f>IFERROR(AV28/22,0)</f>
        <v>0.0</v>
      </c>
      <c r="AW38" s="6">
        <f>IFERROR(AW28/20,0)</f>
        <v>0.0</v>
      </c>
      <c r="AX38" s="6">
        <f>IFERROR(AX28/22,0)</f>
        <v>0.0</v>
      </c>
      <c r="AY38" s="6">
        <f>IFERROR(AY28/22,0)</f>
        <v>0.0</v>
      </c>
      <c r="AZ38" s="6">
        <f>IFERROR(AZ28/21,0)</f>
        <v>0.0</v>
      </c>
      <c r="BA38" s="6">
        <f>IFERROR(BA28/21,0)</f>
        <v>0.0</v>
      </c>
      <c r="BB38" s="6">
        <f>IFERROR(BB28/22,0)</f>
        <v>0.0</v>
      </c>
      <c r="BC38" s="6">
        <f>IFERROR(BC28/19,0)</f>
        <v>0.0</v>
      </c>
      <c r="BD38" s="6">
        <f>IFERROR(BD28/22,0)</f>
        <v>0.0</v>
      </c>
      <c r="BE38" s="6">
        <f>IFERROR(BE28/254,0)</f>
        <v>0.0</v>
      </c>
      <c r="BG38" s="6">
        <f>IFERROR(BG28/21,0)</f>
        <v>0.0</v>
      </c>
      <c r="BH38" s="6">
        <f>IFERROR(BH28/20,0)</f>
        <v>0.0</v>
      </c>
      <c r="BI38" s="6">
        <f>IFERROR(BI28/22,0)</f>
        <v>0.0</v>
      </c>
      <c r="BJ38" s="6">
        <f>IFERROR(BJ28/22,0)</f>
        <v>0.0</v>
      </c>
      <c r="BK38" s="6">
        <f>IFERROR(BK28/20,0)</f>
        <v>0.0</v>
      </c>
      <c r="BL38" s="6">
        <f>IFERROR(BL28/22,0)</f>
        <v>0.0</v>
      </c>
      <c r="BM38" s="6">
        <f>IFERROR(BM28/22,0)</f>
        <v>0.0</v>
      </c>
      <c r="BN38" s="6">
        <f>IFERROR(BN28/21,0)</f>
        <v>0.0</v>
      </c>
      <c r="BO38" s="6">
        <f>IFERROR(BO28/21,0)</f>
        <v>0.0</v>
      </c>
      <c r="BP38" s="6">
        <f>IFERROR(BP28/22,0)</f>
        <v>0.0</v>
      </c>
      <c r="BQ38" s="6">
        <f>IFERROR(BQ28/19,0)</f>
        <v>0.0</v>
      </c>
      <c r="BR38" s="6">
        <f>IFERROR(BR28/22,0)</f>
        <v>0.0</v>
      </c>
      <c r="BS38" s="6">
        <f>IFERROR(BS28/254,0)</f>
        <v>0.0</v>
      </c>
    </row>
    <row r="40">
      <c r="B40" s="5" t="inlineStr">
        <is>
          <t>Net Inventory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>
        <f>N40</f>
        <v>0.0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>
        <f>AB40</f>
        <v>0.0</v>
      </c>
      <c r="AE40" s="6">
        <f>Q40-C40</f>
        <v>0.0</v>
      </c>
      <c r="AF40" s="6">
        <f>R40-D40</f>
        <v>0.0</v>
      </c>
      <c r="AG40" s="6">
        <f>S40-E40</f>
        <v>0.0</v>
      </c>
      <c r="AH40" s="6">
        <f>T40-F40</f>
        <v>0.0</v>
      </c>
      <c r="AI40" s="6">
        <f>U40-G40</f>
        <v>0.0</v>
      </c>
      <c r="AJ40" s="6">
        <f>V40-H40</f>
        <v>0.0</v>
      </c>
      <c r="AK40" s="6">
        <f>W40-I40</f>
        <v>0.0</v>
      </c>
      <c r="AL40" s="6">
        <f>X40-J40</f>
        <v>0.0</v>
      </c>
      <c r="AM40" s="6">
        <f>Y40-K40</f>
        <v>0.0</v>
      </c>
      <c r="AN40" s="6">
        <f>Z40-L40</f>
        <v>0.0</v>
      </c>
      <c r="AO40" s="6">
        <f>AA40-M40</f>
        <v>0.0</v>
      </c>
      <c r="AP40" s="6">
        <f>AB40-N40</f>
        <v>0.0</v>
      </c>
      <c r="AQ40" s="6">
        <f>AP40</f>
        <v>0.0</v>
      </c>
      <c r="AS40" s="6">
        <f>'SAFEREG-Adj'!C90</f>
        <v>0.0</v>
      </c>
      <c r="AT40" s="6">
        <f>'SAFEREG-Adj'!D90</f>
        <v>0.0</v>
      </c>
      <c r="AU40" s="6">
        <f>'SAFEREG-Adj'!E90</f>
        <v>0.0</v>
      </c>
      <c r="AV40" s="6">
        <f>'SAFEREG-Adj'!F90</f>
        <v>0.0</v>
      </c>
      <c r="AW40" s="6">
        <f>'SAFEREG-Adj'!G90</f>
        <v>0.0</v>
      </c>
      <c r="AX40" s="6">
        <f>'SAFEREG-Adj'!H90</f>
        <v>0.0</v>
      </c>
      <c r="AY40" s="6">
        <f>'SAFEREG-Adj'!I90</f>
        <v>0.0</v>
      </c>
      <c r="AZ40" s="6">
        <f>'SAFEREG-Adj'!J90</f>
        <v>0.0</v>
      </c>
      <c r="BA40" s="6">
        <f>'SAFEREG-Adj'!K90</f>
        <v>0.0</v>
      </c>
      <c r="BB40" s="6">
        <f>'SAFEREG-Adj'!L90</f>
        <v>0.0</v>
      </c>
      <c r="BC40" s="6">
        <f>'SAFEREG-Adj'!M90</f>
        <v>0.0</v>
      </c>
      <c r="BD40" s="6">
        <f>'SAFEREG-Adj'!N90</f>
        <v>0.0</v>
      </c>
      <c r="BE40" s="6">
        <f>BD40</f>
        <v>0.0</v>
      </c>
      <c r="BG40" s="6">
        <f>C40+AE40+AS40</f>
        <v>0.0</v>
      </c>
      <c r="BH40" s="6">
        <f>D40+AF40+AT40</f>
        <v>0.0</v>
      </c>
      <c r="BI40" s="6">
        <f>E40+AG40+AU40</f>
        <v>0.0</v>
      </c>
      <c r="BJ40" s="6">
        <f>F40+AH40+AV40</f>
        <v>0.0</v>
      </c>
      <c r="BK40" s="6">
        <f>G40+AI40+AW40</f>
        <v>0.0</v>
      </c>
      <c r="BL40" s="6">
        <f>H40+AJ40+AX40</f>
        <v>0.0</v>
      </c>
      <c r="BM40" s="6">
        <f>I40+AK40+AY40</f>
        <v>0.0</v>
      </c>
      <c r="BN40" s="6">
        <f>J40+AL40+AZ40</f>
        <v>0.0</v>
      </c>
      <c r="BO40" s="6">
        <f>K40+AM40+BA40</f>
        <v>0.0</v>
      </c>
      <c r="BP40" s="6">
        <f>L40+AN40+BB40</f>
        <v>0.0</v>
      </c>
      <c r="BQ40" s="6">
        <f>M40+AO40+BC40</f>
        <v>0.0</v>
      </c>
      <c r="BR40" s="6">
        <f>N40+AP40+BD40</f>
        <v>0.0</v>
      </c>
      <c r="BS40" s="6">
        <f>BR40</f>
        <v>0.0</v>
      </c>
    </row>
    <row r="41">
      <c r="B41" s="5" t="inlineStr">
        <is>
          <t>Trade Receivables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>
        <f>N41</f>
        <v>0.0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>
        <f>AB41</f>
        <v>0.0</v>
      </c>
      <c r="AE41" s="6">
        <f>Q41-C41</f>
        <v>0.0</v>
      </c>
      <c r="AF41" s="6">
        <f>R41-D41</f>
        <v>0.0</v>
      </c>
      <c r="AG41" s="6">
        <f>S41-E41</f>
        <v>0.0</v>
      </c>
      <c r="AH41" s="6">
        <f>T41-F41</f>
        <v>0.0</v>
      </c>
      <c r="AI41" s="6">
        <f>U41-G41</f>
        <v>0.0</v>
      </c>
      <c r="AJ41" s="6">
        <f>V41-H41</f>
        <v>0.0</v>
      </c>
      <c r="AK41" s="6">
        <f>W41-I41</f>
        <v>0.0</v>
      </c>
      <c r="AL41" s="6">
        <f>X41-J41</f>
        <v>0.0</v>
      </c>
      <c r="AM41" s="6">
        <f>Y41-K41</f>
        <v>0.0</v>
      </c>
      <c r="AN41" s="6">
        <f>Z41-L41</f>
        <v>0.0</v>
      </c>
      <c r="AO41" s="6">
        <f>AA41-M41</f>
        <v>0.0</v>
      </c>
      <c r="AP41" s="6">
        <f>AB41-N41</f>
        <v>0.0</v>
      </c>
      <c r="AQ41" s="6">
        <f>AP41</f>
        <v>0.0</v>
      </c>
      <c r="AS41" s="6">
        <f>'SAFEREG-Adj'!C91</f>
        <v>0.0</v>
      </c>
      <c r="AT41" s="6">
        <f>'SAFEREG-Adj'!D91</f>
        <v>0.0</v>
      </c>
      <c r="AU41" s="6">
        <f>'SAFEREG-Adj'!E91</f>
        <v>0.0</v>
      </c>
      <c r="AV41" s="6">
        <f>'SAFEREG-Adj'!F91</f>
        <v>0.0</v>
      </c>
      <c r="AW41" s="6">
        <f>'SAFEREG-Adj'!G91</f>
        <v>0.0</v>
      </c>
      <c r="AX41" s="6">
        <f>'SAFEREG-Adj'!H91</f>
        <v>0.0</v>
      </c>
      <c r="AY41" s="6">
        <f>'SAFEREG-Adj'!I91</f>
        <v>0.0</v>
      </c>
      <c r="AZ41" s="6">
        <f>'SAFEREG-Adj'!J91</f>
        <v>0.0</v>
      </c>
      <c r="BA41" s="6">
        <f>'SAFEREG-Adj'!K91</f>
        <v>0.0</v>
      </c>
      <c r="BB41" s="6">
        <f>'SAFEREG-Adj'!L91</f>
        <v>0.0</v>
      </c>
      <c r="BC41" s="6">
        <f>'SAFEREG-Adj'!M91</f>
        <v>0.0</v>
      </c>
      <c r="BD41" s="6">
        <f>'SAFEREG-Adj'!N91</f>
        <v>0.0</v>
      </c>
      <c r="BE41" s="6">
        <f>BD41</f>
        <v>0.0</v>
      </c>
      <c r="BG41" s="6">
        <f>C41+AE41+AS41</f>
        <v>0.0</v>
      </c>
      <c r="BH41" s="6">
        <f>D41+AF41+AT41</f>
        <v>0.0</v>
      </c>
      <c r="BI41" s="6">
        <f>E41+AG41+AU41</f>
        <v>0.0</v>
      </c>
      <c r="BJ41" s="6">
        <f>F41+AH41+AV41</f>
        <v>0.0</v>
      </c>
      <c r="BK41" s="6">
        <f>G41+AI41+AW41</f>
        <v>0.0</v>
      </c>
      <c r="BL41" s="6">
        <f>H41+AJ41+AX41</f>
        <v>0.0</v>
      </c>
      <c r="BM41" s="6">
        <f>I41+AK41+AY41</f>
        <v>0.0</v>
      </c>
      <c r="BN41" s="6">
        <f>J41+AL41+AZ41</f>
        <v>0.0</v>
      </c>
      <c r="BO41" s="6">
        <f>K41+AM41+BA41</f>
        <v>0.0</v>
      </c>
      <c r="BP41" s="6">
        <f>L41+AN41+BB41</f>
        <v>0.0</v>
      </c>
      <c r="BQ41" s="6">
        <f>M41+AO41+BC41</f>
        <v>0.0</v>
      </c>
      <c r="BR41" s="6">
        <f>N41+AP41+BD41</f>
        <v>0.0</v>
      </c>
      <c r="BS41" s="6">
        <f>BR41</f>
        <v>0.0</v>
      </c>
    </row>
    <row r="42">
      <c r="B42" s="5" t="inlineStr">
        <is>
          <t>Other Receivables</t>
        </is>
      </c>
      <c r="C42" s="6" t="n">
        <v>25</v>
      </c>
      <c r="D42" s="6" t="n">
        <v>25</v>
      </c>
      <c r="E42" s="6" t="n">
        <v>25</v>
      </c>
      <c r="F42" s="6" t="n">
        <v>25</v>
      </c>
      <c r="G42" s="6" t="n">
        <v>25</v>
      </c>
      <c r="H42" s="6" t="n">
        <v>25</v>
      </c>
      <c r="I42" s="6" t="n">
        <v>25</v>
      </c>
      <c r="J42" s="6" t="n">
        <v>25</v>
      </c>
      <c r="K42" s="6" t="n">
        <v>25</v>
      </c>
      <c r="L42" s="6" t="n">
        <v>25</v>
      </c>
      <c r="M42" s="6" t="n">
        <v>25</v>
      </c>
      <c r="N42" s="6" t="n">
        <v>25</v>
      </c>
      <c r="O42" s="6">
        <f>N42</f>
        <v>25.0</v>
      </c>
      <c r="Q42" s="6" t="n">
        <v>25</v>
      </c>
      <c r="R42" s="6" t="n">
        <v>25</v>
      </c>
      <c r="S42" s="6" t="n">
        <v>25</v>
      </c>
      <c r="T42" s="6" t="n">
        <v>25</v>
      </c>
      <c r="U42" s="6" t="n">
        <v>25</v>
      </c>
      <c r="V42" s="6" t="n">
        <v>25</v>
      </c>
      <c r="W42" s="6" t="n">
        <v>25</v>
      </c>
      <c r="X42" s="6" t="n">
        <v>25</v>
      </c>
      <c r="Y42" s="6" t="n">
        <v>25</v>
      </c>
      <c r="Z42" s="6" t="n">
        <v>25</v>
      </c>
      <c r="AA42" s="6" t="n">
        <v>25</v>
      </c>
      <c r="AB42" s="6" t="n">
        <v>25</v>
      </c>
      <c r="AC42" s="6">
        <f>AB42</f>
        <v>25.0</v>
      </c>
      <c r="AE42" s="6">
        <f>Q42-C42</f>
        <v>0.0</v>
      </c>
      <c r="AF42" s="6">
        <f>R42-D42</f>
        <v>0.0</v>
      </c>
      <c r="AG42" s="6">
        <f>S42-E42</f>
        <v>0.0</v>
      </c>
      <c r="AH42" s="6">
        <f>T42-F42</f>
        <v>0.0</v>
      </c>
      <c r="AI42" s="6">
        <f>U42-G42</f>
        <v>0.0</v>
      </c>
      <c r="AJ42" s="6">
        <f>V42-H42</f>
        <v>0.0</v>
      </c>
      <c r="AK42" s="6">
        <f>W42-I42</f>
        <v>0.0</v>
      </c>
      <c r="AL42" s="6">
        <f>X42-J42</f>
        <v>0.0</v>
      </c>
      <c r="AM42" s="6">
        <f>Y42-K42</f>
        <v>0.0</v>
      </c>
      <c r="AN42" s="6">
        <f>Z42-L42</f>
        <v>0.0</v>
      </c>
      <c r="AO42" s="6">
        <f>AA42-M42</f>
        <v>0.0</v>
      </c>
      <c r="AP42" s="6">
        <f>AB42-N42</f>
        <v>0.0</v>
      </c>
      <c r="AQ42" s="6">
        <f>AP42</f>
        <v>0.0</v>
      </c>
      <c r="AS42" s="6">
        <f>'SAFEREG-Adj'!C92</f>
        <v>0.0</v>
      </c>
      <c r="AT42" s="6">
        <f>'SAFEREG-Adj'!D92</f>
        <v>0.0</v>
      </c>
      <c r="AU42" s="6">
        <f>'SAFEREG-Adj'!E92</f>
        <v>0.0</v>
      </c>
      <c r="AV42" s="6">
        <f>'SAFEREG-Adj'!F92</f>
        <v>0.0</v>
      </c>
      <c r="AW42" s="6">
        <f>'SAFEREG-Adj'!G92</f>
        <v>0.0</v>
      </c>
      <c r="AX42" s="6">
        <f>'SAFEREG-Adj'!H92</f>
        <v>0.0</v>
      </c>
      <c r="AY42" s="6">
        <f>'SAFEREG-Adj'!I92</f>
        <v>0.0</v>
      </c>
      <c r="AZ42" s="6">
        <f>'SAFEREG-Adj'!J92</f>
        <v>0.0</v>
      </c>
      <c r="BA42" s="6">
        <f>'SAFEREG-Adj'!K92</f>
        <v>0.0</v>
      </c>
      <c r="BB42" s="6">
        <f>'SAFEREG-Adj'!L92</f>
        <v>0.0</v>
      </c>
      <c r="BC42" s="6">
        <f>'SAFEREG-Adj'!M92</f>
        <v>0.0</v>
      </c>
      <c r="BD42" s="6">
        <f>'SAFEREG-Adj'!N92</f>
        <v>0.0</v>
      </c>
      <c r="BE42" s="6">
        <f>BD42</f>
        <v>0.0</v>
      </c>
      <c r="BG42" s="6">
        <f>C42+AE42+AS42</f>
        <v>25.0</v>
      </c>
      <c r="BH42" s="6">
        <f>D42+AF42+AT42</f>
        <v>25.0</v>
      </c>
      <c r="BI42" s="6">
        <f>E42+AG42+AU42</f>
        <v>25.0</v>
      </c>
      <c r="BJ42" s="6">
        <f>F42+AH42+AV42</f>
        <v>25.0</v>
      </c>
      <c r="BK42" s="6">
        <f>G42+AI42+AW42</f>
        <v>25.0</v>
      </c>
      <c r="BL42" s="6">
        <f>H42+AJ42+AX42</f>
        <v>25.0</v>
      </c>
      <c r="BM42" s="6">
        <f>I42+AK42+AY42</f>
        <v>25.0</v>
      </c>
      <c r="BN42" s="6">
        <f>J42+AL42+AZ42</f>
        <v>25.0</v>
      </c>
      <c r="BO42" s="6">
        <f>K42+AM42+BA42</f>
        <v>25.0</v>
      </c>
      <c r="BP42" s="6">
        <f>L42+AN42+BB42</f>
        <v>25.0</v>
      </c>
      <c r="BQ42" s="6">
        <f>M42+AO42+BC42</f>
        <v>25.0</v>
      </c>
      <c r="BR42" s="6">
        <f>N42+AP42+BD42</f>
        <v>25.0</v>
      </c>
      <c r="BS42" s="6">
        <f>BR42</f>
        <v>25.0</v>
      </c>
    </row>
    <row r="43">
      <c r="B43" s="5" t="inlineStr">
        <is>
          <t>Trade Payables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>
        <f>N43</f>
        <v>0.0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>
        <f>AB43</f>
        <v>0.0</v>
      </c>
      <c r="AE43" s="6">
        <f>Q43-C43</f>
        <v>0.0</v>
      </c>
      <c r="AF43" s="6">
        <f>R43-D43</f>
        <v>0.0</v>
      </c>
      <c r="AG43" s="6">
        <f>S43-E43</f>
        <v>0.0</v>
      </c>
      <c r="AH43" s="6">
        <f>T43-F43</f>
        <v>0.0</v>
      </c>
      <c r="AI43" s="6">
        <f>U43-G43</f>
        <v>0.0</v>
      </c>
      <c r="AJ43" s="6">
        <f>V43-H43</f>
        <v>0.0</v>
      </c>
      <c r="AK43" s="6">
        <f>W43-I43</f>
        <v>0.0</v>
      </c>
      <c r="AL43" s="6">
        <f>X43-J43</f>
        <v>0.0</v>
      </c>
      <c r="AM43" s="6">
        <f>Y43-K43</f>
        <v>0.0</v>
      </c>
      <c r="AN43" s="6">
        <f>Z43-L43</f>
        <v>0.0</v>
      </c>
      <c r="AO43" s="6">
        <f>AA43-M43</f>
        <v>0.0</v>
      </c>
      <c r="AP43" s="6">
        <f>AB43-N43</f>
        <v>0.0</v>
      </c>
      <c r="AQ43" s="6">
        <f>AP43</f>
        <v>0.0</v>
      </c>
      <c r="AS43" s="6">
        <f>'SAFEREG-Adj'!C93</f>
        <v>0.0</v>
      </c>
      <c r="AT43" s="6">
        <f>'SAFEREG-Adj'!D93</f>
        <v>0.0</v>
      </c>
      <c r="AU43" s="6">
        <f>'SAFEREG-Adj'!E93</f>
        <v>0.0</v>
      </c>
      <c r="AV43" s="6">
        <f>'SAFEREG-Adj'!F93</f>
        <v>0.0</v>
      </c>
      <c r="AW43" s="6">
        <f>'SAFEREG-Adj'!G93</f>
        <v>0.0</v>
      </c>
      <c r="AX43" s="6">
        <f>'SAFEREG-Adj'!H93</f>
        <v>0.0</v>
      </c>
      <c r="AY43" s="6">
        <f>'SAFEREG-Adj'!I93</f>
        <v>0.0</v>
      </c>
      <c r="AZ43" s="6">
        <f>'SAFEREG-Adj'!J93</f>
        <v>0.0</v>
      </c>
      <c r="BA43" s="6">
        <f>'SAFEREG-Adj'!K93</f>
        <v>0.0</v>
      </c>
      <c r="BB43" s="6">
        <f>'SAFEREG-Adj'!L93</f>
        <v>0.0</v>
      </c>
      <c r="BC43" s="6">
        <f>'SAFEREG-Adj'!M93</f>
        <v>0.0</v>
      </c>
      <c r="BD43" s="6">
        <f>'SAFEREG-Adj'!N93</f>
        <v>0.0</v>
      </c>
      <c r="BE43" s="6">
        <f>BD43</f>
        <v>0.0</v>
      </c>
      <c r="BG43" s="6">
        <f>C43+AE43+AS43</f>
        <v>0.0</v>
      </c>
      <c r="BH43" s="6">
        <f>D43+AF43+AT43</f>
        <v>0.0</v>
      </c>
      <c r="BI43" s="6">
        <f>E43+AG43+AU43</f>
        <v>0.0</v>
      </c>
      <c r="BJ43" s="6">
        <f>F43+AH43+AV43</f>
        <v>0.0</v>
      </c>
      <c r="BK43" s="6">
        <f>G43+AI43+AW43</f>
        <v>0.0</v>
      </c>
      <c r="BL43" s="6">
        <f>H43+AJ43+AX43</f>
        <v>0.0</v>
      </c>
      <c r="BM43" s="6">
        <f>I43+AK43+AY43</f>
        <v>0.0</v>
      </c>
      <c r="BN43" s="6">
        <f>J43+AL43+AZ43</f>
        <v>0.0</v>
      </c>
      <c r="BO43" s="6">
        <f>K43+AM43+BA43</f>
        <v>0.0</v>
      </c>
      <c r="BP43" s="6">
        <f>L43+AN43+BB43</f>
        <v>0.0</v>
      </c>
      <c r="BQ43" s="6">
        <f>M43+AO43+BC43</f>
        <v>0.0</v>
      </c>
      <c r="BR43" s="6">
        <f>N43+AP43+BD43</f>
        <v>0.0</v>
      </c>
      <c r="BS43" s="6">
        <f>BR43</f>
        <v>0.0</v>
      </c>
    </row>
    <row r="44">
      <c r="B44" s="5" t="inlineStr">
        <is>
          <t>Other Payables</t>
        </is>
      </c>
      <c r="C44" s="6" t="n">
        <v>-180</v>
      </c>
      <c r="D44" s="6" t="n">
        <v>-180</v>
      </c>
      <c r="E44" s="6" t="n">
        <v>-180</v>
      </c>
      <c r="F44" s="6" t="n">
        <v>-180</v>
      </c>
      <c r="G44" s="6" t="n">
        <v>-180</v>
      </c>
      <c r="H44" s="6" t="n">
        <v>-180</v>
      </c>
      <c r="I44" s="6" t="n">
        <v>-180</v>
      </c>
      <c r="J44" s="6" t="n">
        <v>-180</v>
      </c>
      <c r="K44" s="6" t="n">
        <v>-180</v>
      </c>
      <c r="L44" s="6" t="n">
        <v>-180</v>
      </c>
      <c r="M44" s="6" t="n">
        <v>-180</v>
      </c>
      <c r="N44" s="6" t="n">
        <v>-180</v>
      </c>
      <c r="O44" s="6">
        <f>N44</f>
        <v>-180.0</v>
      </c>
      <c r="Q44" s="6" t="n">
        <v>-180</v>
      </c>
      <c r="R44" s="6" t="n">
        <v>-180</v>
      </c>
      <c r="S44" s="6" t="n">
        <v>-180</v>
      </c>
      <c r="T44" s="6" t="n">
        <v>-180</v>
      </c>
      <c r="U44" s="6" t="n">
        <v>-180</v>
      </c>
      <c r="V44" s="6" t="n">
        <v>-180</v>
      </c>
      <c r="W44" s="6" t="n">
        <v>-180</v>
      </c>
      <c r="X44" s="6" t="n">
        <v>-180</v>
      </c>
      <c r="Y44" s="6" t="n">
        <v>-180</v>
      </c>
      <c r="Z44" s="6" t="n">
        <v>-180</v>
      </c>
      <c r="AA44" s="6" t="n">
        <v>-180</v>
      </c>
      <c r="AB44" s="6" t="n">
        <v>-180</v>
      </c>
      <c r="AC44" s="6">
        <f>AB44</f>
        <v>-180.0</v>
      </c>
      <c r="AE44" s="6">
        <f>Q44-C44</f>
        <v>0.0</v>
      </c>
      <c r="AF44" s="6">
        <f>R44-D44</f>
        <v>0.0</v>
      </c>
      <c r="AG44" s="6">
        <f>S44-E44</f>
        <v>0.0</v>
      </c>
      <c r="AH44" s="6">
        <f>T44-F44</f>
        <v>0.0</v>
      </c>
      <c r="AI44" s="6">
        <f>U44-G44</f>
        <v>0.0</v>
      </c>
      <c r="AJ44" s="6">
        <f>V44-H44</f>
        <v>0.0</v>
      </c>
      <c r="AK44" s="6">
        <f>W44-I44</f>
        <v>0.0</v>
      </c>
      <c r="AL44" s="6">
        <f>X44-J44</f>
        <v>0.0</v>
      </c>
      <c r="AM44" s="6">
        <f>Y44-K44</f>
        <v>0.0</v>
      </c>
      <c r="AN44" s="6">
        <f>Z44-L44</f>
        <v>0.0</v>
      </c>
      <c r="AO44" s="6">
        <f>AA44-M44</f>
        <v>0.0</v>
      </c>
      <c r="AP44" s="6">
        <f>AB44-N44</f>
        <v>0.0</v>
      </c>
      <c r="AQ44" s="6">
        <f>AP44</f>
        <v>0.0</v>
      </c>
      <c r="AS44" s="6">
        <f>'SAFEREG-Adj'!C94</f>
        <v>0.0</v>
      </c>
      <c r="AT44" s="6">
        <f>'SAFEREG-Adj'!D94</f>
        <v>0.0</v>
      </c>
      <c r="AU44" s="6">
        <f>'SAFEREG-Adj'!E94</f>
        <v>0.0</v>
      </c>
      <c r="AV44" s="6">
        <f>'SAFEREG-Adj'!F94</f>
        <v>0.0</v>
      </c>
      <c r="AW44" s="6">
        <f>'SAFEREG-Adj'!G94</f>
        <v>0.0</v>
      </c>
      <c r="AX44" s="6">
        <f>'SAFEREG-Adj'!H94</f>
        <v>0.0</v>
      </c>
      <c r="AY44" s="6">
        <f>'SAFEREG-Adj'!I94</f>
        <v>0.0</v>
      </c>
      <c r="AZ44" s="6">
        <f>'SAFEREG-Adj'!J94</f>
        <v>0.0</v>
      </c>
      <c r="BA44" s="6">
        <f>'SAFEREG-Adj'!K94</f>
        <v>0.0</v>
      </c>
      <c r="BB44" s="6">
        <f>'SAFEREG-Adj'!L94</f>
        <v>0.0</v>
      </c>
      <c r="BC44" s="6">
        <f>'SAFEREG-Adj'!M94</f>
        <v>0.0</v>
      </c>
      <c r="BD44" s="6">
        <f>'SAFEREG-Adj'!N94</f>
        <v>0.0</v>
      </c>
      <c r="BE44" s="6">
        <f>BD44</f>
        <v>0.0</v>
      </c>
      <c r="BG44" s="6">
        <f>C44+AE44+AS44</f>
        <v>-180.0</v>
      </c>
      <c r="BH44" s="6">
        <f>D44+AF44+AT44</f>
        <v>-180.0</v>
      </c>
      <c r="BI44" s="6">
        <f>E44+AG44+AU44</f>
        <v>-180.0</v>
      </c>
      <c r="BJ44" s="6">
        <f>F44+AH44+AV44</f>
        <v>-180.0</v>
      </c>
      <c r="BK44" s="6">
        <f>G44+AI44+AW44</f>
        <v>-180.0</v>
      </c>
      <c r="BL44" s="6">
        <f>H44+AJ44+AX44</f>
        <v>-180.0</v>
      </c>
      <c r="BM44" s="6">
        <f>I44+AK44+AY44</f>
        <v>-180.0</v>
      </c>
      <c r="BN44" s="6">
        <f>J44+AL44+AZ44</f>
        <v>-180.0</v>
      </c>
      <c r="BO44" s="6">
        <f>K44+AM44+BA44</f>
        <v>-180.0</v>
      </c>
      <c r="BP44" s="6">
        <f>L44+AN44+BB44</f>
        <v>-180.0</v>
      </c>
      <c r="BQ44" s="6">
        <f>M44+AO44+BC44</f>
        <v>-180.0</v>
      </c>
      <c r="BR44" s="6">
        <f>N44+AP44+BD44</f>
        <v>-180.0</v>
      </c>
      <c r="BS44" s="6">
        <f>BR44</f>
        <v>-180.0</v>
      </c>
    </row>
    <row r="45">
      <c r="B45" s="2" t="inlineStr">
        <is>
          <t>Total working capital</t>
        </is>
      </c>
      <c r="C45" s="6">
        <f>SUM(C40:C44)</f>
        <v>-155.0</v>
      </c>
      <c r="D45" s="6">
        <f>SUM(D40:D44)</f>
        <v>-155.0</v>
      </c>
      <c r="E45" s="6">
        <f>SUM(E40:E44)</f>
        <v>-155.0</v>
      </c>
      <c r="F45" s="6">
        <f>SUM(F40:F44)</f>
        <v>-155.0</v>
      </c>
      <c r="G45" s="6">
        <f>SUM(G40:G44)</f>
        <v>-155.0</v>
      </c>
      <c r="H45" s="6">
        <f>SUM(H40:H44)</f>
        <v>-155.0</v>
      </c>
      <c r="I45" s="6">
        <f>SUM(I40:I44)</f>
        <v>-155.0</v>
      </c>
      <c r="J45" s="6">
        <f>SUM(J40:J44)</f>
        <v>-155.0</v>
      </c>
      <c r="K45" s="6">
        <f>SUM(K40:K44)</f>
        <v>-155.0</v>
      </c>
      <c r="L45" s="6">
        <f>SUM(L40:L44)</f>
        <v>-155.0</v>
      </c>
      <c r="M45" s="6">
        <f>SUM(M40:M44)</f>
        <v>-155.0</v>
      </c>
      <c r="N45" s="6">
        <f>SUM(N40:N44)</f>
        <v>-155.0</v>
      </c>
      <c r="O45" s="6">
        <f>N45</f>
        <v>-155.0</v>
      </c>
      <c r="Q45" s="6">
        <f>SUM(Q40:Q44)</f>
        <v>-155.0</v>
      </c>
      <c r="R45" s="6">
        <f>SUM(R40:R44)</f>
        <v>-155.0</v>
      </c>
      <c r="S45" s="6">
        <f>SUM(S40:S44)</f>
        <v>-155.0</v>
      </c>
      <c r="T45" s="6">
        <f>SUM(T40:T44)</f>
        <v>-155.0</v>
      </c>
      <c r="U45" s="6">
        <f>SUM(U40:U44)</f>
        <v>-155.0</v>
      </c>
      <c r="V45" s="6">
        <f>SUM(V40:V44)</f>
        <v>-155.0</v>
      </c>
      <c r="W45" s="6">
        <f>SUM(W40:W44)</f>
        <v>-155.0</v>
      </c>
      <c r="X45" s="6">
        <f>SUM(X40:X44)</f>
        <v>-155.0</v>
      </c>
      <c r="Y45" s="6">
        <f>SUM(Y40:Y44)</f>
        <v>-155.0</v>
      </c>
      <c r="Z45" s="6">
        <f>SUM(Z40:Z44)</f>
        <v>-155.0</v>
      </c>
      <c r="AA45" s="6">
        <f>SUM(AA40:AA44)</f>
        <v>-155.0</v>
      </c>
      <c r="AB45" s="6">
        <f>SUM(AB40:AB44)</f>
        <v>-155.0</v>
      </c>
      <c r="AC45" s="6">
        <f>AB45</f>
        <v>-155.0</v>
      </c>
      <c r="AE45" s="6">
        <f>SUM(AE40:AE44)</f>
        <v>0.0</v>
      </c>
      <c r="AF45" s="6">
        <f>SUM(AF40:AF44)</f>
        <v>0.0</v>
      </c>
      <c r="AG45" s="6">
        <f>SUM(AG40:AG44)</f>
        <v>0.0</v>
      </c>
      <c r="AH45" s="6">
        <f>SUM(AH40:AH44)</f>
        <v>0.0</v>
      </c>
      <c r="AI45" s="6">
        <f>SUM(AI40:AI44)</f>
        <v>0.0</v>
      </c>
      <c r="AJ45" s="6">
        <f>SUM(AJ40:AJ44)</f>
        <v>0.0</v>
      </c>
      <c r="AK45" s="6">
        <f>SUM(AK40:AK44)</f>
        <v>0.0</v>
      </c>
      <c r="AL45" s="6">
        <f>SUM(AL40:AL44)</f>
        <v>0.0</v>
      </c>
      <c r="AM45" s="6">
        <f>SUM(AM40:AM44)</f>
        <v>0.0</v>
      </c>
      <c r="AN45" s="6">
        <f>SUM(AN40:AN44)</f>
        <v>0.0</v>
      </c>
      <c r="AO45" s="6">
        <f>SUM(AO40:AO44)</f>
        <v>0.0</v>
      </c>
      <c r="AP45" s="6">
        <f>SUM(AP40:AP44)</f>
        <v>0.0</v>
      </c>
      <c r="AQ45" s="6">
        <f>AP45</f>
        <v>0.0</v>
      </c>
      <c r="AS45" s="6">
        <f>SUM(AS40:AS44)</f>
        <v>0.0</v>
      </c>
      <c r="AT45" s="6">
        <f>SUM(AT40:AT44)</f>
        <v>0.0</v>
      </c>
      <c r="AU45" s="6">
        <f>SUM(AU40:AU44)</f>
        <v>0.0</v>
      </c>
      <c r="AV45" s="6">
        <f>SUM(AV40:AV44)</f>
        <v>0.0</v>
      </c>
      <c r="AW45" s="6">
        <f>SUM(AW40:AW44)</f>
        <v>0.0</v>
      </c>
      <c r="AX45" s="6">
        <f>SUM(AX40:AX44)</f>
        <v>0.0</v>
      </c>
      <c r="AY45" s="6">
        <f>SUM(AY40:AY44)</f>
        <v>0.0</v>
      </c>
      <c r="AZ45" s="6">
        <f>SUM(AZ40:AZ44)</f>
        <v>0.0</v>
      </c>
      <c r="BA45" s="6">
        <f>SUM(BA40:BA44)</f>
        <v>0.0</v>
      </c>
      <c r="BB45" s="6">
        <f>SUM(BB40:BB44)</f>
        <v>0.0</v>
      </c>
      <c r="BC45" s="6">
        <f>SUM(BC40:BC44)</f>
        <v>0.0</v>
      </c>
      <c r="BD45" s="6">
        <f>SUM(BD40:BD44)</f>
        <v>0.0</v>
      </c>
      <c r="BE45" s="6">
        <f>BD45</f>
        <v>0.0</v>
      </c>
      <c r="BG45" s="6">
        <f>SUM(BG40:BG44)</f>
        <v>-155.0</v>
      </c>
      <c r="BH45" s="6">
        <f>SUM(BH40:BH44)</f>
        <v>-155.0</v>
      </c>
      <c r="BI45" s="6">
        <f>SUM(BI40:BI44)</f>
        <v>-155.0</v>
      </c>
      <c r="BJ45" s="6">
        <f>SUM(BJ40:BJ44)</f>
        <v>-155.0</v>
      </c>
      <c r="BK45" s="6">
        <f>SUM(BK40:BK44)</f>
        <v>-155.0</v>
      </c>
      <c r="BL45" s="6">
        <f>SUM(BL40:BL44)</f>
        <v>-155.0</v>
      </c>
      <c r="BM45" s="6">
        <f>SUM(BM40:BM44)</f>
        <v>-155.0</v>
      </c>
      <c r="BN45" s="6">
        <f>SUM(BN40:BN44)</f>
        <v>-155.0</v>
      </c>
      <c r="BO45" s="6">
        <f>SUM(BO40:BO44)</f>
        <v>-155.0</v>
      </c>
      <c r="BP45" s="6">
        <f>SUM(BP40:BP44)</f>
        <v>-155.0</v>
      </c>
      <c r="BQ45" s="6">
        <f>SUM(BQ40:BQ44)</f>
        <v>-155.0</v>
      </c>
      <c r="BR45" s="6">
        <f>SUM(BR40:BR44)</f>
        <v>-155.0</v>
      </c>
      <c r="BS45" s="6">
        <f>BR45</f>
        <v>-155.0</v>
      </c>
    </row>
    <row r="46">
      <c r="B46" s="5" t="inlineStr">
        <is>
          <t>Working capital/sales (monthly)</t>
        </is>
      </c>
      <c r="C46" s="12">
        <f>IFERROR(C45/(C28*12),0)</f>
        <v>0.0</v>
      </c>
      <c r="D46" s="12">
        <f>IFERROR(D45/(D28*12),0)</f>
        <v>0.0</v>
      </c>
      <c r="E46" s="12">
        <f>IFERROR(E45/(E28*12),0)</f>
        <v>0.0</v>
      </c>
      <c r="F46" s="12">
        <f>IFERROR(F45/(F28*12),0)</f>
        <v>0.0</v>
      </c>
      <c r="G46" s="12">
        <f>IFERROR(G45/(G28*12),0)</f>
        <v>0.0</v>
      </c>
      <c r="H46" s="12">
        <f>IFERROR(H45/(H28*12),0)</f>
        <v>0.0</v>
      </c>
      <c r="I46" s="12">
        <f>IFERROR(I45/(I28*12),0)</f>
        <v>0.0</v>
      </c>
      <c r="J46" s="12">
        <f>IFERROR(J45/(J28*12),0)</f>
        <v>0.0</v>
      </c>
      <c r="K46" s="12">
        <f>IFERROR(K45/(K28*12),0)</f>
        <v>0.0</v>
      </c>
      <c r="L46" s="12">
        <f>IFERROR(L45/(L28*12),0)</f>
        <v>0.0</v>
      </c>
      <c r="M46" s="12">
        <f>IFERROR(M45/(M28*12),0)</f>
        <v>0.0</v>
      </c>
      <c r="N46" s="12">
        <f>IFERROR(N45/(N28*12),0)</f>
        <v>0.0</v>
      </c>
      <c r="Q46" s="12">
        <f>IFERROR(Q45/(Q28*12),0)</f>
        <v>0.0</v>
      </c>
      <c r="R46" s="12">
        <f>IFERROR(R45/(R28*12),0)</f>
        <v>0.0</v>
      </c>
      <c r="S46" s="12">
        <f>IFERROR(S45/(S28*12),0)</f>
        <v>0.0</v>
      </c>
      <c r="T46" s="12">
        <f>IFERROR(T45/(T28*12),0)</f>
        <v>0.0</v>
      </c>
      <c r="U46" s="12">
        <f>IFERROR(U45/(U28*12),0)</f>
        <v>0.0</v>
      </c>
      <c r="V46" s="12">
        <f>IFERROR(V45/(V28*12),0)</f>
        <v>0.0</v>
      </c>
      <c r="W46" s="12">
        <f>IFERROR(W45/(W28*12),0)</f>
        <v>0.0</v>
      </c>
      <c r="X46" s="12">
        <f>IFERROR(X45/(X28*12),0)</f>
        <v>0.0</v>
      </c>
      <c r="Y46" s="12">
        <f>IFERROR(Y45/(Y28*12),0)</f>
        <v>0.0</v>
      </c>
      <c r="Z46" s="12">
        <f>IFERROR(Z45/(Z28*12),0)</f>
        <v>0.0</v>
      </c>
      <c r="AA46" s="12">
        <f>IFERROR(AA45/(AA28*12),0)</f>
        <v>0.0</v>
      </c>
      <c r="AB46" s="12">
        <f>IFERROR(AB45/(AB28*12),0)</f>
        <v>0.0</v>
      </c>
      <c r="AE46" s="12">
        <f>IFERROR(AE45/(AE28*12),0)</f>
        <v>0.0</v>
      </c>
      <c r="AF46" s="12">
        <f>IFERROR(AF45/(AF28*12),0)</f>
        <v>0.0</v>
      </c>
      <c r="AG46" s="12">
        <f>IFERROR(AG45/(AG28*12),0)</f>
        <v>0.0</v>
      </c>
      <c r="AH46" s="12">
        <f>IFERROR(AH45/(AH28*12),0)</f>
        <v>0.0</v>
      </c>
      <c r="AI46" s="12">
        <f>IFERROR(AI45/(AI28*12),0)</f>
        <v>0.0</v>
      </c>
      <c r="AJ46" s="12">
        <f>IFERROR(AJ45/(AJ28*12),0)</f>
        <v>0.0</v>
      </c>
      <c r="AK46" s="12">
        <f>IFERROR(AK45/(AK28*12),0)</f>
        <v>0.0</v>
      </c>
      <c r="AL46" s="12">
        <f>IFERROR(AL45/(AL28*12),0)</f>
        <v>0.0</v>
      </c>
      <c r="AM46" s="12">
        <f>IFERROR(AM45/(AM28*12),0)</f>
        <v>0.0</v>
      </c>
      <c r="AN46" s="12">
        <f>IFERROR(AN45/(AN28*12),0)</f>
        <v>0.0</v>
      </c>
      <c r="AO46" s="12">
        <f>IFERROR(AO45/(AO28*12),0)</f>
        <v>0.0</v>
      </c>
      <c r="AP46" s="12">
        <f>IFERROR(AP45/(AP28*12),0)</f>
        <v>0.0</v>
      </c>
      <c r="AS46" s="12">
        <f>IFERROR(AS45/(AS28*12),0)</f>
        <v>0.0</v>
      </c>
      <c r="AT46" s="12">
        <f>IFERROR(AT45/(AT28*12),0)</f>
        <v>0.0</v>
      </c>
      <c r="AU46" s="12">
        <f>IFERROR(AU45/(AU28*12),0)</f>
        <v>0.0</v>
      </c>
      <c r="AV46" s="12">
        <f>IFERROR(AV45/(AV28*12),0)</f>
        <v>0.0</v>
      </c>
      <c r="AW46" s="12">
        <f>IFERROR(AW45/(AW28*12),0)</f>
        <v>0.0</v>
      </c>
      <c r="AX46" s="12">
        <f>IFERROR(AX45/(AX28*12),0)</f>
        <v>0.0</v>
      </c>
      <c r="AY46" s="12">
        <f>IFERROR(AY45/(AY28*12),0)</f>
        <v>0.0</v>
      </c>
      <c r="AZ46" s="12">
        <f>IFERROR(AZ45/(AZ28*12),0)</f>
        <v>0.0</v>
      </c>
      <c r="BA46" s="12">
        <f>IFERROR(BA45/(BA28*12),0)</f>
        <v>0.0</v>
      </c>
      <c r="BB46" s="12">
        <f>IFERROR(BB45/(BB28*12),0)</f>
        <v>0.0</v>
      </c>
      <c r="BC46" s="12">
        <f>IFERROR(BC45/(BC28*12),0)</f>
        <v>0.0</v>
      </c>
      <c r="BD46" s="12">
        <f>IFERROR(BD45/(BD28*12),0)</f>
        <v>0.0</v>
      </c>
      <c r="BG46" s="12">
        <f>IFERROR(BG45/(BG28*12),0)</f>
        <v>0.0</v>
      </c>
      <c r="BH46" s="12">
        <f>IFERROR(BH45/(BH28*12),0)</f>
        <v>0.0</v>
      </c>
      <c r="BI46" s="12">
        <f>IFERROR(BI45/(BI28*12),0)</f>
        <v>0.0</v>
      </c>
      <c r="BJ46" s="12">
        <f>IFERROR(BJ45/(BJ28*12),0)</f>
        <v>0.0</v>
      </c>
      <c r="BK46" s="12">
        <f>IFERROR(BK45/(BK28*12),0)</f>
        <v>0.0</v>
      </c>
      <c r="BL46" s="12">
        <f>IFERROR(BL45/(BL28*12),0)</f>
        <v>0.0</v>
      </c>
      <c r="BM46" s="12">
        <f>IFERROR(BM45/(BM28*12),0)</f>
        <v>0.0</v>
      </c>
      <c r="BN46" s="12">
        <f>IFERROR(BN45/(BN28*12),0)</f>
        <v>0.0</v>
      </c>
      <c r="BO46" s="12">
        <f>IFERROR(BO45/(BO28*12),0)</f>
        <v>0.0</v>
      </c>
      <c r="BP46" s="12">
        <f>IFERROR(BP45/(BP28*12),0)</f>
        <v>0.0</v>
      </c>
      <c r="BQ46" s="12">
        <f>IFERROR(BQ45/(BQ28*12),0)</f>
        <v>0.0</v>
      </c>
      <c r="BR46" s="12">
        <f>IFERROR(BR45/(BR28*12),0)</f>
        <v>0.0</v>
      </c>
    </row>
    <row r="49">
      <c r="B49" s="8" t="inlineStr">
        <is>
          <t>Budget 2026</t>
        </is>
      </c>
    </row>
    <row r="50">
      <c r="C50" s="20" t="inlineStr">
        <is>
          <t>January</t>
        </is>
      </c>
      <c r="D50" s="20" t="inlineStr">
        <is>
          <t>February</t>
        </is>
      </c>
      <c r="E50" s="20" t="inlineStr">
        <is>
          <t>March</t>
        </is>
      </c>
      <c r="F50" s="20" t="inlineStr">
        <is>
          <t>April</t>
        </is>
      </c>
      <c r="G50" s="20" t="inlineStr">
        <is>
          <t>May</t>
        </is>
      </c>
      <c r="H50" s="20" t="inlineStr">
        <is>
          <t>June</t>
        </is>
      </c>
      <c r="I50" s="20" t="inlineStr">
        <is>
          <t>July</t>
        </is>
      </c>
      <c r="J50" s="20" t="inlineStr">
        <is>
          <t>August</t>
        </is>
      </c>
      <c r="K50" s="20" t="inlineStr">
        <is>
          <t>September</t>
        </is>
      </c>
      <c r="L50" s="20" t="inlineStr">
        <is>
          <t>October</t>
        </is>
      </c>
      <c r="M50" s="20" t="inlineStr">
        <is>
          <t>November</t>
        </is>
      </c>
      <c r="N50" s="20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>
        <f>SUM(C51:N51)</f>
        <v>0.0</v>
      </c>
    </row>
    <row r="52">
      <c r="B52" t="inlineStr">
        <is>
          <t>Gross Margin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>
        <f>SUM(C52:N52)</f>
        <v>0.0</v>
      </c>
    </row>
    <row r="53">
      <c r="B53" t="inlineStr">
        <is>
          <t>Op Costs</t>
        </is>
      </c>
      <c r="C53" s="6" t="n">
        <v>-307.3</v>
      </c>
      <c r="D53" s="6" t="n">
        <v>-307.7</v>
      </c>
      <c r="E53" s="6" t="n">
        <v>-308.3</v>
      </c>
      <c r="F53" s="6" t="n">
        <v>-309.4</v>
      </c>
      <c r="G53" s="6" t="n">
        <v>-312</v>
      </c>
      <c r="H53" s="6" t="n">
        <v>-307.4</v>
      </c>
      <c r="I53" s="6" t="n">
        <v>-308</v>
      </c>
      <c r="J53" s="6" t="n">
        <v>-309.6</v>
      </c>
      <c r="K53" s="6" t="n">
        <v>-308.6</v>
      </c>
      <c r="L53" s="6" t="n">
        <v>-307.1</v>
      </c>
      <c r="M53" s="6" t="n">
        <v>-312.9</v>
      </c>
      <c r="N53" s="6" t="n">
        <v>-312</v>
      </c>
      <c r="O53" s="6">
        <f>SUM(C53:N53)</f>
        <v>-3710.2999999999997</v>
      </c>
    </row>
    <row r="54">
      <c r="B54" t="inlineStr">
        <is>
          <t>PBITA</t>
        </is>
      </c>
      <c r="C54" s="6">
        <f>C52+C53</f>
        <v>-307.3</v>
      </c>
      <c r="D54" s="6">
        <f>D52+D53</f>
        <v>-307.7</v>
      </c>
      <c r="E54" s="6">
        <f>E52+E53</f>
        <v>-308.3</v>
      </c>
      <c r="F54" s="6">
        <f>F52+F53</f>
        <v>-309.4</v>
      </c>
      <c r="G54" s="6">
        <f>G52+G53</f>
        <v>-312.0</v>
      </c>
      <c r="H54" s="6">
        <f>H52+H53</f>
        <v>-307.4</v>
      </c>
      <c r="I54" s="6">
        <f>I52+I53</f>
        <v>-308.0</v>
      </c>
      <c r="J54" s="6">
        <f>J52+J53</f>
        <v>-309.6</v>
      </c>
      <c r="K54" s="6">
        <f>K52+K53</f>
        <v>-308.6</v>
      </c>
      <c r="L54" s="6">
        <f>L52+L53</f>
        <v>-307.1</v>
      </c>
      <c r="M54" s="6">
        <f>M52+M53</f>
        <v>-312.9</v>
      </c>
      <c r="N54" s="6">
        <f>N52+N53</f>
        <v>-312.0</v>
      </c>
      <c r="O54" s="6">
        <f>SUM(C54:N54)</f>
        <v>-3710.2999999999997</v>
      </c>
    </row>
    <row r="55">
      <c r="B55" t="inlineStr">
        <is>
          <t>Net Inventory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>
        <f>N55</f>
        <v>0.0</v>
      </c>
    </row>
    <row r="56">
      <c r="B56" t="inlineStr">
        <is>
          <t>Trade Receivables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>
        <f>N56</f>
        <v>0.0</v>
      </c>
    </row>
    <row r="57">
      <c r="B57" t="inlineStr">
        <is>
          <t>Other Receivables</t>
        </is>
      </c>
      <c r="C57" s="6" t="n">
        <v>25</v>
      </c>
      <c r="D57" s="6" t="n">
        <v>25</v>
      </c>
      <c r="E57" s="6" t="n">
        <v>25</v>
      </c>
      <c r="F57" s="6" t="n">
        <v>25</v>
      </c>
      <c r="G57" s="6" t="n">
        <v>25</v>
      </c>
      <c r="H57" s="6" t="n">
        <v>25</v>
      </c>
      <c r="I57" s="6" t="n">
        <v>25</v>
      </c>
      <c r="J57" s="6" t="n">
        <v>25</v>
      </c>
      <c r="K57" s="6" t="n">
        <v>25</v>
      </c>
      <c r="L57" s="6" t="n">
        <v>25</v>
      </c>
      <c r="M57" s="6" t="n">
        <v>25</v>
      </c>
      <c r="N57" s="6" t="n">
        <v>25</v>
      </c>
      <c r="O57" s="6">
        <f>N57</f>
        <v>25.0</v>
      </c>
    </row>
    <row r="58">
      <c r="B58" t="inlineStr">
        <is>
          <t>Trade Payables</t>
        </is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>
        <f>N58</f>
        <v>0.0</v>
      </c>
    </row>
    <row r="59">
      <c r="B59" t="inlineStr">
        <is>
          <t>Other Payables</t>
        </is>
      </c>
      <c r="C59" s="6" t="n">
        <v>-180</v>
      </c>
      <c r="D59" s="6" t="n">
        <v>-180</v>
      </c>
      <c r="E59" s="6" t="n">
        <v>-180</v>
      </c>
      <c r="F59" s="6" t="n">
        <v>-180</v>
      </c>
      <c r="G59" s="6" t="n">
        <v>-180</v>
      </c>
      <c r="H59" s="6" t="n">
        <v>-180</v>
      </c>
      <c r="I59" s="6" t="n">
        <v>-180</v>
      </c>
      <c r="J59" s="6" t="n">
        <v>-180</v>
      </c>
      <c r="K59" s="6" t="n">
        <v>-180</v>
      </c>
      <c r="L59" s="6" t="n">
        <v>-180</v>
      </c>
      <c r="M59" s="6" t="n">
        <v>-180</v>
      </c>
      <c r="N59" s="6" t="n">
        <v>-180</v>
      </c>
      <c r="O59" s="6">
        <f>N59</f>
        <v>-180.0</v>
      </c>
    </row>
    <row r="60">
      <c r="B60" t="inlineStr">
        <is>
          <t>Total working capital</t>
        </is>
      </c>
      <c r="C60" s="6">
        <f>SUM(C55:C59)</f>
        <v>-155.0</v>
      </c>
      <c r="D60" s="6">
        <f>SUM(D55:D59)</f>
        <v>-155.0</v>
      </c>
      <c r="E60" s="6">
        <f>SUM(E55:E59)</f>
        <v>-155.0</v>
      </c>
      <c r="F60" s="6">
        <f>SUM(F55:F59)</f>
        <v>-155.0</v>
      </c>
      <c r="G60" s="6">
        <f>SUM(G55:G59)</f>
        <v>-155.0</v>
      </c>
      <c r="H60" s="6">
        <f>SUM(H55:H59)</f>
        <v>-155.0</v>
      </c>
      <c r="I60" s="6">
        <f>SUM(I55:I59)</f>
        <v>-155.0</v>
      </c>
      <c r="J60" s="6">
        <f>SUM(J55:J59)</f>
        <v>-155.0</v>
      </c>
      <c r="K60" s="6">
        <f>SUM(K55:K59)</f>
        <v>-155.0</v>
      </c>
      <c r="L60" s="6">
        <f>SUM(L55:L59)</f>
        <v>-155.0</v>
      </c>
      <c r="M60" s="6">
        <f>SUM(M55:M59)</f>
        <v>-155.0</v>
      </c>
      <c r="N60" s="6">
        <f>SUM(N55:N59)</f>
        <v>-155.0</v>
      </c>
      <c r="O60" s="6">
        <f>N60</f>
        <v>-155.0</v>
      </c>
    </row>
    <row r="62">
      <c r="B62" s="8" t="inlineStr">
        <is>
          <t>2025 Actual</t>
        </is>
      </c>
    </row>
    <row r="63">
      <c r="C63" s="20" t="inlineStr">
        <is>
          <t>January</t>
        </is>
      </c>
      <c r="D63" s="20" t="inlineStr">
        <is>
          <t>February</t>
        </is>
      </c>
      <c r="E63" s="20" t="inlineStr">
        <is>
          <t>March</t>
        </is>
      </c>
      <c r="F63" s="20" t="inlineStr">
        <is>
          <t>April</t>
        </is>
      </c>
      <c r="G63" s="20" t="inlineStr">
        <is>
          <t>May</t>
        </is>
      </c>
      <c r="H63" s="20" t="inlineStr">
        <is>
          <t>June</t>
        </is>
      </c>
      <c r="I63" s="20" t="inlineStr">
        <is>
          <t>July</t>
        </is>
      </c>
      <c r="J63" s="20" t="inlineStr">
        <is>
          <t>August</t>
        </is>
      </c>
      <c r="K63" s="20" t="inlineStr">
        <is>
          <t>September</t>
        </is>
      </c>
      <c r="L63" s="20" t="inlineStr">
        <is>
          <t>October</t>
        </is>
      </c>
      <c r="M63" s="20" t="inlineStr">
        <is>
          <t>November</t>
        </is>
      </c>
      <c r="N63" s="20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>
        <f>SUM(C64:N64)</f>
        <v>0.0</v>
      </c>
    </row>
    <row r="65">
      <c r="B65" t="inlineStr">
        <is>
          <t>Gross Margin</t>
        </is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>
        <f>SUM(C65:N65)</f>
        <v>0.0</v>
      </c>
    </row>
    <row r="66">
      <c r="B66" t="inlineStr">
        <is>
          <t>Op Costs</t>
        </is>
      </c>
      <c r="C66" s="6" t="n">
        <v>-299.9</v>
      </c>
      <c r="D66" s="6" t="n">
        <v>-297.1</v>
      </c>
      <c r="E66" s="6" t="n">
        <v>-298.3</v>
      </c>
      <c r="F66" s="6" t="n">
        <v>-297.5</v>
      </c>
      <c r="G66" s="6" t="n">
        <v>-299.6</v>
      </c>
      <c r="H66" s="6" t="n">
        <v>-295.8</v>
      </c>
      <c r="I66" s="6" t="n">
        <v>-299.9</v>
      </c>
      <c r="J66" s="6" t="n">
        <v>-294.1</v>
      </c>
      <c r="K66" s="6" t="n">
        <v>-299.5</v>
      </c>
      <c r="L66" s="6" t="n">
        <v>-297</v>
      </c>
      <c r="M66" s="6" t="n">
        <v>-296.8</v>
      </c>
      <c r="N66" s="6" t="n">
        <v>-298.6</v>
      </c>
      <c r="O66" s="6">
        <f>SUM(C66:N66)</f>
        <v>-3574.1</v>
      </c>
    </row>
    <row r="67">
      <c r="B67" t="inlineStr">
        <is>
          <t>PBITA</t>
        </is>
      </c>
      <c r="C67" s="6">
        <f>C65+C66</f>
        <v>-299.9</v>
      </c>
      <c r="D67" s="6">
        <f>D65+D66</f>
        <v>-297.1</v>
      </c>
      <c r="E67" s="6">
        <f>E65+E66</f>
        <v>-298.3</v>
      </c>
      <c r="F67" s="6">
        <f>F65+F66</f>
        <v>-297.5</v>
      </c>
      <c r="G67" s="6">
        <f>G65+G66</f>
        <v>-299.6</v>
      </c>
      <c r="H67" s="6">
        <f>H65+H66</f>
        <v>-295.8</v>
      </c>
      <c r="I67" s="6">
        <f>I65+I66</f>
        <v>-299.9</v>
      </c>
      <c r="J67" s="6">
        <f>J65+J66</f>
        <v>-294.1</v>
      </c>
      <c r="K67" s="6">
        <f>K65+K66</f>
        <v>-299.5</v>
      </c>
      <c r="L67" s="6">
        <f>L65+L66</f>
        <v>-297.0</v>
      </c>
      <c r="M67" s="6">
        <f>M65+M66</f>
        <v>-296.8</v>
      </c>
      <c r="N67" s="6">
        <f>N65+N66</f>
        <v>-298.6</v>
      </c>
      <c r="O67" s="6">
        <f>SUM(C67:N67)</f>
        <v>-3574.1</v>
      </c>
    </row>
    <row r="68">
      <c r="B68" t="inlineStr">
        <is>
          <t>Net Inventory</t>
        </is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>
        <f>N68</f>
        <v>0.0</v>
      </c>
    </row>
    <row r="69">
      <c r="B69" t="inlineStr">
        <is>
          <t>Trade Receivables</t>
        </is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>
        <f>N69</f>
        <v>0.0</v>
      </c>
    </row>
    <row r="70">
      <c r="B70" t="inlineStr">
        <is>
          <t>Other Receivables</t>
        </is>
      </c>
      <c r="C70" s="6" t="n">
        <v>25</v>
      </c>
      <c r="D70" s="6" t="n">
        <v>25</v>
      </c>
      <c r="E70" s="6" t="n">
        <v>25</v>
      </c>
      <c r="F70" s="6" t="n">
        <v>25</v>
      </c>
      <c r="G70" s="6" t="n">
        <v>25</v>
      </c>
      <c r="H70" s="6" t="n">
        <v>25</v>
      </c>
      <c r="I70" s="6" t="n">
        <v>25</v>
      </c>
      <c r="J70" s="6" t="n">
        <v>25</v>
      </c>
      <c r="K70" s="6" t="n">
        <v>25</v>
      </c>
      <c r="L70" s="6" t="n">
        <v>25</v>
      </c>
      <c r="M70" s="6" t="n">
        <v>25</v>
      </c>
      <c r="N70" s="6" t="n">
        <v>25</v>
      </c>
      <c r="O70" s="6">
        <f>N70</f>
        <v>25.0</v>
      </c>
    </row>
    <row r="71">
      <c r="B71" t="inlineStr">
        <is>
          <t>Trade Payables</t>
        </is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>
        <f>N71</f>
        <v>0.0</v>
      </c>
    </row>
    <row r="72">
      <c r="B72" t="inlineStr">
        <is>
          <t>Other Payables</t>
        </is>
      </c>
      <c r="C72" s="6" t="n">
        <v>-180</v>
      </c>
      <c r="D72" s="6" t="n">
        <v>-180</v>
      </c>
      <c r="E72" s="6" t="n">
        <v>-180</v>
      </c>
      <c r="F72" s="6" t="n">
        <v>-180</v>
      </c>
      <c r="G72" s="6" t="n">
        <v>-180</v>
      </c>
      <c r="H72" s="6" t="n">
        <v>-180</v>
      </c>
      <c r="I72" s="6" t="n">
        <v>-180</v>
      </c>
      <c r="J72" s="6" t="n">
        <v>-180</v>
      </c>
      <c r="K72" s="6" t="n">
        <v>-180</v>
      </c>
      <c r="L72" s="6" t="n">
        <v>-180</v>
      </c>
      <c r="M72" s="6" t="n">
        <v>-180</v>
      </c>
      <c r="N72" s="6" t="n">
        <v>-180</v>
      </c>
      <c r="O72" s="6">
        <f>N72</f>
        <v>-180.0</v>
      </c>
    </row>
    <row r="73">
      <c r="B73" t="inlineStr">
        <is>
          <t>Total working capital</t>
        </is>
      </c>
      <c r="C73" s="6">
        <f>SUM(C68:C72)</f>
        <v>-155.0</v>
      </c>
      <c r="D73" s="6">
        <f>SUM(D68:D72)</f>
        <v>-155.0</v>
      </c>
      <c r="E73" s="6">
        <f>SUM(E68:E72)</f>
        <v>-155.0</v>
      </c>
      <c r="F73" s="6">
        <f>SUM(F68:F72)</f>
        <v>-155.0</v>
      </c>
      <c r="G73" s="6">
        <f>SUM(G68:G72)</f>
        <v>-155.0</v>
      </c>
      <c r="H73" s="6">
        <f>SUM(H68:H72)</f>
        <v>-155.0</v>
      </c>
      <c r="I73" s="6">
        <f>SUM(I68:I72)</f>
        <v>-155.0</v>
      </c>
      <c r="J73" s="6">
        <f>SUM(J68:J72)</f>
        <v>-155.0</v>
      </c>
      <c r="K73" s="6">
        <f>SUM(K68:K72)</f>
        <v>-155.0</v>
      </c>
      <c r="L73" s="6">
        <f>SUM(L68:L72)</f>
        <v>-155.0</v>
      </c>
      <c r="M73" s="6">
        <f>SUM(M68:M72)</f>
        <v>-155.0</v>
      </c>
      <c r="N73" s="6">
        <f>SUM(N68:N72)</f>
        <v>-155.0</v>
      </c>
      <c r="O73" s="6">
        <f>N73</f>
        <v>-155.0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I20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60" customWidth="1" min="4" max="4"/>
    <col width="14" customWidth="1" min="5" max="5"/>
    <col width="11" customWidth="1" min="6" max="6"/>
    <col width="11" customWidth="1" min="7" max="7"/>
    <col width="14" customWidth="1" min="8" max="8"/>
    <col width="10" customWidth="1" min="9" max="9"/>
  </cols>
  <sheetData>
    <row r="1">
      <c r="B1" s="3" t="inlineStr">
        <is>
          <t>Risks and Opportunities NOT included in FCAST10</t>
        </is>
      </c>
    </row>
    <row r="2">
      <c r="B2" s="1" t="inlineStr">
        <is>
          <t>TRAINING DATA ONLY - Zava Safety and all business names and numbers are fictitious. Layout mirrors a typical HFM / Cognos reporting pack.</t>
        </is>
      </c>
    </row>
    <row r="4">
      <c r="B4" t="inlineStr">
        <is>
          <t>Likelihood</t>
        </is>
      </c>
      <c r="C4" t="inlineStr">
        <is>
          <t>Probability</t>
        </is>
      </c>
    </row>
    <row r="5">
      <c r="B5" t="inlineStr">
        <is>
          <t>Low</t>
        </is>
      </c>
      <c r="C5" s="23" t="n">
        <v>0.25</v>
      </c>
    </row>
    <row r="6">
      <c r="B6" t="inlineStr">
        <is>
          <t>Medium</t>
        </is>
      </c>
      <c r="C6" s="23" t="n">
        <v>0.5</v>
      </c>
    </row>
    <row r="7">
      <c r="B7" t="inlineStr">
        <is>
          <t>High</t>
        </is>
      </c>
      <c r="C7" s="23" t="n">
        <v>0.75</v>
      </c>
    </row>
    <row r="10">
      <c r="B10" s="4" t="inlineStr">
        <is>
          <t>Business</t>
        </is>
      </c>
      <c r="C10" s="4" t="inlineStr">
        <is>
          <t>Type</t>
        </is>
      </c>
      <c r="D10" s="4" t="inlineStr">
        <is>
          <t>Description</t>
        </is>
      </c>
      <c r="E10" s="4" t="inlineStr">
        <is>
          <t>PBITA impact ($000)</t>
        </is>
      </c>
      <c r="F10" s="4" t="inlineStr">
        <is>
          <t>Likelihood</t>
        </is>
      </c>
      <c r="G10" s="4" t="inlineStr">
        <is>
          <t>Probability</t>
        </is>
      </c>
      <c r="H10" s="4" t="inlineStr">
        <is>
          <t>Weighted impact ($000)</t>
        </is>
      </c>
      <c r="I10" s="4" t="inlineStr">
        <is>
          <t>Timing</t>
        </is>
      </c>
    </row>
    <row r="11">
      <c r="B11" t="inlineStr">
        <is>
          <t>Alder Gloves</t>
        </is>
      </c>
      <c r="C11" t="inlineStr">
        <is>
          <t>Risk</t>
        </is>
      </c>
      <c r="D11" s="24" t="inlineStr">
        <is>
          <t>Further nitrile cost increases not recovered through pricing in Q4</t>
        </is>
      </c>
      <c r="E11" s="6" t="n">
        <v>-350</v>
      </c>
      <c r="F11" t="inlineStr">
        <is>
          <t>Medium</t>
        </is>
      </c>
      <c r="G11" s="23">
        <f>VLOOKUP(F11,$B$5:$C$7,2,FALSE)</f>
        <v>0.5</v>
      </c>
      <c r="H11" s="6">
        <f>E11*G11</f>
        <v>-175.0</v>
      </c>
      <c r="I11" t="inlineStr">
        <is>
          <t>Q4 2026</t>
        </is>
      </c>
    </row>
    <row r="12">
      <c r="B12" t="inlineStr">
        <is>
          <t>Alder Gloves</t>
        </is>
      </c>
      <c r="C12" t="inlineStr">
        <is>
          <t>Opportunity</t>
        </is>
      </c>
      <c r="D12" s="24" t="inlineStr">
        <is>
          <t>Large healthcare tender awarded in November</t>
        </is>
      </c>
      <c r="E12" s="6" t="n">
        <v>180</v>
      </c>
      <c r="F12" t="inlineStr">
        <is>
          <t>Low</t>
        </is>
      </c>
      <c r="G12" s="23">
        <f>VLOOKUP(F12,$B$5:$C$7,2,FALSE)</f>
        <v>0.25</v>
      </c>
      <c r="H12" s="6">
        <f>E12*G12</f>
        <v>45.0</v>
      </c>
      <c r="I12" t="inlineStr">
        <is>
          <t>Q4 2026</t>
        </is>
      </c>
    </row>
    <row r="13">
      <c r="B13" t="inlineStr">
        <is>
          <t>Beacon Hi-Vis</t>
        </is>
      </c>
      <c r="C13" t="inlineStr">
        <is>
          <t>Opportunity</t>
        </is>
      </c>
      <c r="D13" s="24" t="inlineStr">
        <is>
          <t>Second DOT program phase starts in December</t>
        </is>
      </c>
      <c r="E13" s="6" t="n">
        <v>120</v>
      </c>
      <c r="F13" t="inlineStr">
        <is>
          <t>Medium</t>
        </is>
      </c>
      <c r="G13" s="23">
        <f>VLOOKUP(F13,$B$5:$C$7,2,FALSE)</f>
        <v>0.5</v>
      </c>
      <c r="H13" s="6">
        <f>E13*G13</f>
        <v>60.0</v>
      </c>
      <c r="I13" t="inlineStr">
        <is>
          <t>Q4 2026</t>
        </is>
      </c>
    </row>
    <row r="14">
      <c r="B14" t="inlineStr">
        <is>
          <t>Cobalt Eyewear</t>
        </is>
      </c>
      <c r="C14" t="inlineStr">
        <is>
          <t>Risk</t>
        </is>
      </c>
      <c r="D14" s="24" t="inlineStr">
        <is>
          <t>Competitor price matching spreads to more distributors</t>
        </is>
      </c>
      <c r="E14" s="6" t="n">
        <v>-200</v>
      </c>
      <c r="F14" t="inlineStr">
        <is>
          <t>Medium</t>
        </is>
      </c>
      <c r="G14" s="23">
        <f>VLOOKUP(F14,$B$5:$C$7,2,FALSE)</f>
        <v>0.5</v>
      </c>
      <c r="H14" s="6">
        <f>E14*G14</f>
        <v>-100.0</v>
      </c>
      <c r="I14" t="inlineStr">
        <is>
          <t>Q4 2026</t>
        </is>
      </c>
    </row>
    <row r="15">
      <c r="B15" t="inlineStr">
        <is>
          <t>Ember Workwear</t>
        </is>
      </c>
      <c r="C15" t="inlineStr">
        <is>
          <t>Opportunity</t>
        </is>
      </c>
      <c r="D15" s="24" t="inlineStr">
        <is>
          <t>Backorders clear earlier than planned (container arrives in October)</t>
        </is>
      </c>
      <c r="E15" s="6" t="n">
        <v>90</v>
      </c>
      <c r="F15" t="inlineStr">
        <is>
          <t>High</t>
        </is>
      </c>
      <c r="G15" s="23">
        <f>VLOOKUP(F15,$B$5:$C$7,2,FALSE)</f>
        <v>0.75</v>
      </c>
      <c r="H15" s="6">
        <f>E15*G15</f>
        <v>67.5</v>
      </c>
      <c r="I15" t="inlineStr">
        <is>
          <t>Q4 2026</t>
        </is>
      </c>
    </row>
    <row r="16">
      <c r="B16" t="inlineStr">
        <is>
          <t>Granite Gloves</t>
        </is>
      </c>
      <c r="C16" t="inlineStr">
        <is>
          <t>Risk</t>
        </is>
      </c>
      <c r="D16" s="24" t="inlineStr">
        <is>
          <t>Container receipts slip again into January</t>
        </is>
      </c>
      <c r="E16" s="6" t="n">
        <v>-110</v>
      </c>
      <c r="F16" t="inlineStr">
        <is>
          <t>Medium</t>
        </is>
      </c>
      <c r="G16" s="23">
        <f>VLOOKUP(F16,$B$5:$C$7,2,FALSE)</f>
        <v>0.5</v>
      </c>
      <c r="H16" s="6">
        <f>E16*G16</f>
        <v>-55.0</v>
      </c>
      <c r="I16" t="inlineStr">
        <is>
          <t>Q4 2026</t>
        </is>
      </c>
    </row>
    <row r="17">
      <c r="B17" t="inlineStr">
        <is>
          <t>Granite Gloves</t>
        </is>
      </c>
      <c r="C17" t="inlineStr">
        <is>
          <t>Opportunity</t>
        </is>
      </c>
      <c r="D17" s="24" t="inlineStr">
        <is>
          <t>Buying group rebate tier achieved</t>
        </is>
      </c>
      <c r="E17" s="6" t="n">
        <v>60</v>
      </c>
      <c r="F17" t="inlineStr">
        <is>
          <t>Low</t>
        </is>
      </c>
      <c r="G17" s="23">
        <f>VLOOKUP(F17,$B$5:$C$7,2,FALSE)</f>
        <v>0.25</v>
      </c>
      <c r="H17" s="6">
        <f>E17*G17</f>
        <v>15.0</v>
      </c>
      <c r="I17" t="inlineStr">
        <is>
          <t>Q4 2026</t>
        </is>
      </c>
    </row>
    <row r="18">
      <c r="B18" t="inlineStr">
        <is>
          <t>Hollis Rainwear</t>
        </is>
      </c>
      <c r="C18" t="inlineStr">
        <is>
          <t>Risk</t>
        </is>
      </c>
      <c r="D18" s="24" t="inlineStr">
        <is>
          <t>Dropship pull-forward reduces Q4 more than forecast</t>
        </is>
      </c>
      <c r="E18" s="6" t="n">
        <v>-150</v>
      </c>
      <c r="F18" t="inlineStr">
        <is>
          <t>Low</t>
        </is>
      </c>
      <c r="G18" s="23">
        <f>VLOOKUP(F18,$B$5:$C$7,2,FALSE)</f>
        <v>0.25</v>
      </c>
      <c r="H18" s="6">
        <f>E18*G18</f>
        <v>-37.5</v>
      </c>
      <c r="I18" t="inlineStr">
        <is>
          <t>Q4 2026</t>
        </is>
      </c>
    </row>
    <row r="19">
      <c r="B19" t="inlineStr">
        <is>
          <t>Falcon Hand Protection</t>
        </is>
      </c>
      <c r="C19" t="inlineStr">
        <is>
          <t>Opportunity</t>
        </is>
      </c>
      <c r="D19" s="24" t="inlineStr">
        <is>
          <t>Core product price increase accepted early by key accounts</t>
        </is>
      </c>
      <c r="E19" s="6" t="n">
        <v>140</v>
      </c>
      <c r="F19" t="inlineStr">
        <is>
          <t>Medium</t>
        </is>
      </c>
      <c r="G19" s="23">
        <f>VLOOKUP(F19,$B$5:$C$7,2,FALSE)</f>
        <v>0.5</v>
      </c>
      <c r="H19" s="6">
        <f>E19*G19</f>
        <v>70.0</v>
      </c>
      <c r="I19" t="inlineStr">
        <is>
          <t>Q4 2026</t>
        </is>
      </c>
    </row>
    <row r="20">
      <c r="D20" s="2" t="inlineStr">
        <is>
          <t>Net risks &amp; opportunities</t>
        </is>
      </c>
      <c r="E20" s="19">
        <f>SUM(E11:E19)</f>
        <v>-220.0</v>
      </c>
      <c r="H20" s="19">
        <f>SUM(H11:H19)</f>
        <v>-110.0</v>
      </c>
    </row>
  </sheetData>
  <dataValidations count="1">
    <dataValidation sqref="F11:F19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2026-10-21T21:41:50Z</dcterms:created>
  <dcterms:modified xmlns:dcterms="http://purl.org/dc/terms/" xmlns:xsi="http://www.w3.org/2001/XMLSchema-instance" xsi:type="dcterms:W3CDTF">2026-10-21T21:41:50Z</dcterms:modified>
</cp:coreProperties>
</file>