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1" documentId="11_953A845DC02C8D4C86CEB79898C241E1B8DF1B3E" xr6:coauthVersionLast="47" xr6:coauthVersionMax="47" xr10:uidLastSave="{167351E9-49B0-4503-9EFB-0A1161165AA0}"/>
  <bookViews>
    <workbookView xWindow="0" yWindow="0" windowWidth="0" windowHeight="0" xr2:uid="{00000000-000D-0000-FFFF-FFFF00000000}"/>
  </bookViews>
  <sheets>
    <sheet name="Start Here" sheetId="1" r:id="rId1"/>
    <sheet name="Overview" sheetId="2" r:id="rId2"/>
    <sheet name="Adjustments" sheetId="3" r:id="rId3"/>
    <sheet name="Forecast" sheetId="4" r:id="rId4"/>
    <sheet name="Variances" sheetId="5" r:id="rId5"/>
    <sheet name="R&amp;Os" sheetId="6" r:id="rId6"/>
    <sheet name="Billing Day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7" l="1"/>
  <c r="L13" i="7"/>
  <c r="K13" i="7"/>
  <c r="J13" i="7"/>
  <c r="I13" i="7"/>
  <c r="H13" i="7"/>
  <c r="G13" i="7"/>
  <c r="F13" i="7"/>
  <c r="E13" i="7"/>
  <c r="D13" i="7"/>
  <c r="C13" i="7"/>
  <c r="B13" i="7"/>
  <c r="N12" i="7"/>
  <c r="N11" i="7"/>
  <c r="N13" i="7" s="1"/>
  <c r="M10" i="7"/>
  <c r="L10" i="7"/>
  <c r="K10" i="7"/>
  <c r="J10" i="7"/>
  <c r="I10" i="7"/>
  <c r="H10" i="7"/>
  <c r="G10" i="7"/>
  <c r="F10" i="7"/>
  <c r="E10" i="7"/>
  <c r="D10" i="7"/>
  <c r="C10" i="7"/>
  <c r="B10" i="7"/>
  <c r="N9" i="7"/>
  <c r="N10" i="7" s="1"/>
  <c r="M8" i="7"/>
  <c r="L8" i="7"/>
  <c r="K8" i="7"/>
  <c r="J8" i="7"/>
  <c r="I8" i="7"/>
  <c r="H8" i="7"/>
  <c r="G8" i="7"/>
  <c r="F8" i="7"/>
  <c r="E8" i="7"/>
  <c r="D8" i="7"/>
  <c r="C8" i="7"/>
  <c r="B8" i="7"/>
  <c r="N7" i="7"/>
  <c r="N6" i="7"/>
  <c r="N8" i="7" s="1"/>
  <c r="E15" i="6"/>
  <c r="G14" i="6"/>
  <c r="G13" i="6"/>
  <c r="G12" i="6"/>
  <c r="G11" i="6"/>
  <c r="G10" i="6"/>
  <c r="G9" i="6"/>
  <c r="G8" i="6"/>
  <c r="G7" i="6"/>
  <c r="G6" i="6"/>
  <c r="G15" i="6" s="1"/>
  <c r="C24" i="5"/>
  <c r="C23" i="5"/>
  <c r="C22" i="5"/>
  <c r="C20" i="5"/>
  <c r="C19" i="5"/>
  <c r="C18" i="5"/>
  <c r="C16" i="5"/>
  <c r="C15" i="5"/>
  <c r="C14" i="5"/>
  <c r="C12" i="5"/>
  <c r="C11" i="5"/>
  <c r="C10" i="5"/>
  <c r="N46" i="4"/>
  <c r="M46" i="4"/>
  <c r="L46" i="4"/>
  <c r="K46" i="4"/>
  <c r="J46" i="4"/>
  <c r="I46" i="4"/>
  <c r="H46" i="4"/>
  <c r="G46" i="4"/>
  <c r="F46" i="4"/>
  <c r="E46" i="4"/>
  <c r="D46" i="4"/>
  <c r="C46" i="4"/>
  <c r="N44" i="4"/>
  <c r="N45" i="4" s="1"/>
  <c r="M44" i="4"/>
  <c r="M45" i="4" s="1"/>
  <c r="L44" i="4"/>
  <c r="L45" i="4" s="1"/>
  <c r="K44" i="4"/>
  <c r="K45" i="4" s="1"/>
  <c r="J44" i="4"/>
  <c r="J45" i="4" s="1"/>
  <c r="I44" i="4"/>
  <c r="I45" i="4" s="1"/>
  <c r="H44" i="4"/>
  <c r="H45" i="4" s="1"/>
  <c r="G44" i="4"/>
  <c r="G45" i="4" s="1"/>
  <c r="F44" i="4"/>
  <c r="F45" i="4" s="1"/>
  <c r="E44" i="4"/>
  <c r="E45" i="4" s="1"/>
  <c r="D44" i="4"/>
  <c r="D45" i="4" s="1"/>
  <c r="C44" i="4"/>
  <c r="N43" i="4"/>
  <c r="M43" i="4"/>
  <c r="L43" i="4"/>
  <c r="K43" i="4"/>
  <c r="J43" i="4"/>
  <c r="I43" i="4"/>
  <c r="H43" i="4"/>
  <c r="G43" i="4"/>
  <c r="F43" i="4"/>
  <c r="E43" i="4"/>
  <c r="D43" i="4"/>
  <c r="C43" i="4"/>
  <c r="O42" i="4"/>
  <c r="O43" i="4" s="1"/>
  <c r="N41" i="4"/>
  <c r="M41" i="4"/>
  <c r="L41" i="4"/>
  <c r="K41" i="4"/>
  <c r="J41" i="4"/>
  <c r="I41" i="4"/>
  <c r="H41" i="4"/>
  <c r="G41" i="4"/>
  <c r="F41" i="4"/>
  <c r="E41" i="4"/>
  <c r="D41" i="4"/>
  <c r="C41" i="4"/>
  <c r="O40" i="4"/>
  <c r="O41" i="4" s="1"/>
  <c r="O39" i="4"/>
  <c r="O46" i="4" s="1"/>
  <c r="N38" i="4"/>
  <c r="M38" i="4"/>
  <c r="L38" i="4"/>
  <c r="K38" i="4"/>
  <c r="J38" i="4"/>
  <c r="I38" i="4"/>
  <c r="H38" i="4"/>
  <c r="G38" i="4"/>
  <c r="F38" i="4"/>
  <c r="E38" i="4"/>
  <c r="D38" i="4"/>
  <c r="C38" i="4"/>
  <c r="N36" i="4"/>
  <c r="N37" i="4" s="1"/>
  <c r="M36" i="4"/>
  <c r="M37" i="4" s="1"/>
  <c r="L36" i="4"/>
  <c r="L37" i="4" s="1"/>
  <c r="K36" i="4"/>
  <c r="K37" i="4" s="1"/>
  <c r="J36" i="4"/>
  <c r="J37" i="4" s="1"/>
  <c r="I36" i="4"/>
  <c r="I37" i="4" s="1"/>
  <c r="H36" i="4"/>
  <c r="H37" i="4" s="1"/>
  <c r="G36" i="4"/>
  <c r="G37" i="4" s="1"/>
  <c r="F36" i="4"/>
  <c r="F37" i="4" s="1"/>
  <c r="E36" i="4"/>
  <c r="E37" i="4" s="1"/>
  <c r="D36" i="4"/>
  <c r="D37" i="4" s="1"/>
  <c r="C36" i="4"/>
  <c r="N35" i="4"/>
  <c r="M35" i="4"/>
  <c r="L35" i="4"/>
  <c r="K35" i="4"/>
  <c r="J35" i="4"/>
  <c r="I35" i="4"/>
  <c r="H35" i="4"/>
  <c r="G35" i="4"/>
  <c r="F35" i="4"/>
  <c r="E35" i="4"/>
  <c r="D35" i="4"/>
  <c r="C35" i="4"/>
  <c r="O34" i="4"/>
  <c r="O35" i="4" s="1"/>
  <c r="N33" i="4"/>
  <c r="M33" i="4"/>
  <c r="L33" i="4"/>
  <c r="K33" i="4"/>
  <c r="J33" i="4"/>
  <c r="I33" i="4"/>
  <c r="H33" i="4"/>
  <c r="G33" i="4"/>
  <c r="F33" i="4"/>
  <c r="E33" i="4"/>
  <c r="D33" i="4"/>
  <c r="C33" i="4"/>
  <c r="O32" i="4"/>
  <c r="O33" i="4" s="1"/>
  <c r="O31" i="4"/>
  <c r="O38" i="4" s="1"/>
  <c r="N30" i="4"/>
  <c r="M30" i="4"/>
  <c r="L30" i="4"/>
  <c r="K30" i="4"/>
  <c r="J30" i="4"/>
  <c r="I30" i="4"/>
  <c r="H30" i="4"/>
  <c r="G30" i="4"/>
  <c r="F30" i="4"/>
  <c r="E30" i="4"/>
  <c r="D30" i="4"/>
  <c r="C30" i="4"/>
  <c r="N28" i="4"/>
  <c r="N29" i="4" s="1"/>
  <c r="M28" i="4"/>
  <c r="M29" i="4" s="1"/>
  <c r="L28" i="4"/>
  <c r="L29" i="4" s="1"/>
  <c r="K28" i="4"/>
  <c r="K29" i="4" s="1"/>
  <c r="J28" i="4"/>
  <c r="J29" i="4" s="1"/>
  <c r="I28" i="4"/>
  <c r="I29" i="4" s="1"/>
  <c r="H28" i="4"/>
  <c r="H29" i="4" s="1"/>
  <c r="G28" i="4"/>
  <c r="G29" i="4" s="1"/>
  <c r="F28" i="4"/>
  <c r="F29" i="4" s="1"/>
  <c r="E28" i="4"/>
  <c r="E29" i="4" s="1"/>
  <c r="D28" i="4"/>
  <c r="D29" i="4" s="1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O26" i="4"/>
  <c r="O27" i="4" s="1"/>
  <c r="N25" i="4"/>
  <c r="M25" i="4"/>
  <c r="L25" i="4"/>
  <c r="K25" i="4"/>
  <c r="J25" i="4"/>
  <c r="I25" i="4"/>
  <c r="H25" i="4"/>
  <c r="G25" i="4"/>
  <c r="F25" i="4"/>
  <c r="E25" i="4"/>
  <c r="D25" i="4"/>
  <c r="C25" i="4"/>
  <c r="O24" i="4"/>
  <c r="O25" i="4" s="1"/>
  <c r="O23" i="4"/>
  <c r="O30" i="4" s="1"/>
  <c r="N22" i="4"/>
  <c r="M22" i="4"/>
  <c r="L22" i="4"/>
  <c r="K22" i="4"/>
  <c r="J22" i="4"/>
  <c r="I22" i="4"/>
  <c r="H22" i="4"/>
  <c r="G22" i="4"/>
  <c r="F22" i="4"/>
  <c r="E22" i="4"/>
  <c r="D22" i="4"/>
  <c r="C22" i="4"/>
  <c r="N20" i="4"/>
  <c r="N21" i="4" s="1"/>
  <c r="M20" i="4"/>
  <c r="M21" i="4" s="1"/>
  <c r="L20" i="4"/>
  <c r="L21" i="4" s="1"/>
  <c r="K20" i="4"/>
  <c r="K21" i="4" s="1"/>
  <c r="J20" i="4"/>
  <c r="J21" i="4" s="1"/>
  <c r="I20" i="4"/>
  <c r="I21" i="4" s="1"/>
  <c r="H20" i="4"/>
  <c r="H21" i="4" s="1"/>
  <c r="G20" i="4"/>
  <c r="G21" i="4" s="1"/>
  <c r="F20" i="4"/>
  <c r="F21" i="4" s="1"/>
  <c r="E20" i="4"/>
  <c r="E21" i="4" s="1"/>
  <c r="D20" i="4"/>
  <c r="D21" i="4" s="1"/>
  <c r="C20" i="4"/>
  <c r="N19" i="4"/>
  <c r="M19" i="4"/>
  <c r="L19" i="4"/>
  <c r="K19" i="4"/>
  <c r="J19" i="4"/>
  <c r="I19" i="4"/>
  <c r="H19" i="4"/>
  <c r="G19" i="4"/>
  <c r="F19" i="4"/>
  <c r="E19" i="4"/>
  <c r="D19" i="4"/>
  <c r="C19" i="4"/>
  <c r="O18" i="4"/>
  <c r="O19" i="4" s="1"/>
  <c r="N17" i="4"/>
  <c r="M17" i="4"/>
  <c r="L17" i="4"/>
  <c r="K17" i="4"/>
  <c r="J17" i="4"/>
  <c r="I17" i="4"/>
  <c r="H17" i="4"/>
  <c r="G17" i="4"/>
  <c r="F17" i="4"/>
  <c r="E17" i="4"/>
  <c r="D17" i="4"/>
  <c r="C17" i="4"/>
  <c r="O16" i="4"/>
  <c r="O17" i="4" s="1"/>
  <c r="O15" i="4"/>
  <c r="O22" i="4" s="1"/>
  <c r="N10" i="4"/>
  <c r="N11" i="4" s="1"/>
  <c r="M10" i="4"/>
  <c r="M11" i="4" s="1"/>
  <c r="L10" i="4"/>
  <c r="L11" i="4" s="1"/>
  <c r="K10" i="4"/>
  <c r="K11" i="4" s="1"/>
  <c r="J10" i="4"/>
  <c r="J11" i="4" s="1"/>
  <c r="I10" i="4"/>
  <c r="I11" i="4" s="1"/>
  <c r="H10" i="4"/>
  <c r="H11" i="4" s="1"/>
  <c r="G10" i="4"/>
  <c r="G11" i="4" s="1"/>
  <c r="F10" i="4"/>
  <c r="F11" i="4" s="1"/>
  <c r="E10" i="4"/>
  <c r="E11" i="4" s="1"/>
  <c r="D10" i="4"/>
  <c r="D11" i="4" s="1"/>
  <c r="C10" i="4"/>
  <c r="N8" i="4"/>
  <c r="M8" i="4"/>
  <c r="L8" i="4"/>
  <c r="K8" i="4"/>
  <c r="J8" i="4"/>
  <c r="I8" i="4"/>
  <c r="H8" i="4"/>
  <c r="G8" i="4"/>
  <c r="F8" i="4"/>
  <c r="E8" i="4"/>
  <c r="D8" i="4"/>
  <c r="C8" i="4"/>
  <c r="N7" i="4"/>
  <c r="N14" i="4" s="1"/>
  <c r="M7" i="4"/>
  <c r="M14" i="4" s="1"/>
  <c r="L7" i="4"/>
  <c r="L14" i="4" s="1"/>
  <c r="K7" i="4"/>
  <c r="K14" i="4" s="1"/>
  <c r="J7" i="4"/>
  <c r="J14" i="4" s="1"/>
  <c r="I7" i="4"/>
  <c r="I14" i="4" s="1"/>
  <c r="H7" i="4"/>
  <c r="H14" i="4" s="1"/>
  <c r="G7" i="4"/>
  <c r="G14" i="4" s="1"/>
  <c r="F7" i="4"/>
  <c r="F14" i="4" s="1"/>
  <c r="E7" i="4"/>
  <c r="E14" i="4" s="1"/>
  <c r="D7" i="4"/>
  <c r="D14" i="4" s="1"/>
  <c r="C7" i="4"/>
  <c r="H28" i="3"/>
  <c r="G28" i="3"/>
  <c r="F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28" i="3" s="1"/>
  <c r="D39" i="2"/>
  <c r="C39" i="2"/>
  <c r="D38" i="2"/>
  <c r="C38" i="2"/>
  <c r="D37" i="2"/>
  <c r="C37" i="2"/>
  <c r="C40" i="2" s="1"/>
  <c r="E36" i="2"/>
  <c r="F36" i="2" s="1"/>
  <c r="E35" i="2"/>
  <c r="E34" i="2"/>
  <c r="F34" i="2" s="1"/>
  <c r="D32" i="2"/>
  <c r="C32" i="2"/>
  <c r="D31" i="2"/>
  <c r="C31" i="2"/>
  <c r="D30" i="2"/>
  <c r="C30" i="2"/>
  <c r="C33" i="2" s="1"/>
  <c r="E29" i="2"/>
  <c r="F29" i="2" s="1"/>
  <c r="E28" i="2"/>
  <c r="E27" i="2"/>
  <c r="F27" i="2" s="1"/>
  <c r="D25" i="2"/>
  <c r="C25" i="2"/>
  <c r="D24" i="2"/>
  <c r="C24" i="2"/>
  <c r="D23" i="2"/>
  <c r="C23" i="2"/>
  <c r="C26" i="2" s="1"/>
  <c r="E22" i="2"/>
  <c r="F22" i="2" s="1"/>
  <c r="E21" i="2"/>
  <c r="E20" i="2"/>
  <c r="F20" i="2" s="1"/>
  <c r="D18" i="2"/>
  <c r="C18" i="2"/>
  <c r="D17" i="2"/>
  <c r="C17" i="2"/>
  <c r="D16" i="2"/>
  <c r="C16" i="2"/>
  <c r="C19" i="2" s="1"/>
  <c r="E15" i="2"/>
  <c r="F15" i="2" s="1"/>
  <c r="E14" i="2"/>
  <c r="E13" i="2"/>
  <c r="F13" i="2" s="1"/>
  <c r="E8" i="2"/>
  <c r="D8" i="2"/>
  <c r="C8" i="2"/>
  <c r="C11" i="2" s="1"/>
  <c r="E7" i="2"/>
  <c r="E9" i="2" s="1"/>
  <c r="D7" i="2"/>
  <c r="C7" i="2"/>
  <c r="E6" i="2"/>
  <c r="D6" i="2"/>
  <c r="C6" i="2"/>
  <c r="C45" i="4" l="1"/>
  <c r="O44" i="4"/>
  <c r="O45" i="4" s="1"/>
  <c r="C37" i="4"/>
  <c r="O36" i="4"/>
  <c r="O37" i="4" s="1"/>
  <c r="C29" i="4"/>
  <c r="O28" i="4"/>
  <c r="O29" i="4" s="1"/>
  <c r="O20" i="4"/>
  <c r="O21" i="4" s="1"/>
  <c r="C21" i="4"/>
  <c r="C11" i="4"/>
  <c r="O10" i="4"/>
  <c r="N9" i="4"/>
  <c r="N12" i="4"/>
  <c r="N13" i="4" s="1"/>
  <c r="M9" i="4"/>
  <c r="M12" i="4"/>
  <c r="M13" i="4" s="1"/>
  <c r="L9" i="4"/>
  <c r="L12" i="4"/>
  <c r="L13" i="4" s="1"/>
  <c r="K12" i="4"/>
  <c r="K13" i="4" s="1"/>
  <c r="K9" i="4"/>
  <c r="J9" i="4"/>
  <c r="J12" i="4"/>
  <c r="J13" i="4" s="1"/>
  <c r="I9" i="4"/>
  <c r="I12" i="4"/>
  <c r="I13" i="4" s="1"/>
  <c r="H12" i="4"/>
  <c r="H13" i="4" s="1"/>
  <c r="H9" i="4"/>
  <c r="G12" i="4"/>
  <c r="G13" i="4" s="1"/>
  <c r="G9" i="4"/>
  <c r="F12" i="4"/>
  <c r="F13" i="4" s="1"/>
  <c r="F9" i="4"/>
  <c r="E12" i="4"/>
  <c r="E13" i="4" s="1"/>
  <c r="E9" i="4"/>
  <c r="D12" i="4"/>
  <c r="D13" i="4" s="1"/>
  <c r="D9" i="4"/>
  <c r="C12" i="4"/>
  <c r="C9" i="4"/>
  <c r="O8" i="4"/>
  <c r="C14" i="4"/>
  <c r="O7" i="4"/>
  <c r="O14" i="4" s="1"/>
  <c r="C25" i="5"/>
  <c r="D40" i="2"/>
  <c r="G36" i="2"/>
  <c r="H36" i="2"/>
  <c r="I36" i="2"/>
  <c r="J36" i="2"/>
  <c r="F39" i="2"/>
  <c r="D24" i="5"/>
  <c r="F35" i="2"/>
  <c r="E37" i="2"/>
  <c r="G34" i="2"/>
  <c r="H34" i="2"/>
  <c r="I34" i="2"/>
  <c r="J34" i="2"/>
  <c r="D22" i="5"/>
  <c r="D33" i="2"/>
  <c r="C21" i="5"/>
  <c r="G29" i="2"/>
  <c r="H29" i="2"/>
  <c r="I29" i="2"/>
  <c r="J29" i="2"/>
  <c r="F32" i="2"/>
  <c r="D20" i="5"/>
  <c r="F28" i="2"/>
  <c r="E30" i="2"/>
  <c r="G27" i="2"/>
  <c r="H27" i="2"/>
  <c r="I27" i="2"/>
  <c r="J27" i="2"/>
  <c r="D18" i="5"/>
  <c r="C17" i="5"/>
  <c r="D26" i="2"/>
  <c r="G22" i="2"/>
  <c r="H22" i="2"/>
  <c r="I22" i="2"/>
  <c r="J22" i="2"/>
  <c r="F25" i="2"/>
  <c r="D16" i="5"/>
  <c r="E23" i="2"/>
  <c r="F21" i="2"/>
  <c r="G20" i="2"/>
  <c r="H20" i="2"/>
  <c r="I20" i="2"/>
  <c r="J20" i="2"/>
  <c r="D14" i="5"/>
  <c r="C13" i="5"/>
  <c r="D19" i="2"/>
  <c r="G15" i="2"/>
  <c r="H15" i="2"/>
  <c r="I15" i="2"/>
  <c r="J15" i="2"/>
  <c r="F18" i="2"/>
  <c r="D12" i="5"/>
  <c r="E16" i="2"/>
  <c r="F14" i="2"/>
  <c r="G13" i="2"/>
  <c r="H13" i="2"/>
  <c r="I13" i="2"/>
  <c r="J13" i="2"/>
  <c r="D10" i="5"/>
  <c r="C8" i="5"/>
  <c r="D11" i="2"/>
  <c r="F8" i="2"/>
  <c r="C7" i="5"/>
  <c r="D10" i="2"/>
  <c r="D9" i="2"/>
  <c r="F7" i="2"/>
  <c r="C10" i="2"/>
  <c r="C9" i="2"/>
  <c r="C12" i="2" s="1"/>
  <c r="C6" i="5"/>
  <c r="F6" i="2"/>
  <c r="O12" i="4" l="1"/>
  <c r="O13" i="4" s="1"/>
  <c r="C13" i="4"/>
  <c r="G39" i="2"/>
  <c r="H39" i="2"/>
  <c r="E24" i="5"/>
  <c r="F24" i="5"/>
  <c r="G35" i="2"/>
  <c r="H35" i="2"/>
  <c r="I35" i="2"/>
  <c r="J35" i="2"/>
  <c r="F37" i="2"/>
  <c r="F38" i="2"/>
  <c r="D23" i="5"/>
  <c r="E22" i="5"/>
  <c r="F22" i="5"/>
  <c r="G32" i="2"/>
  <c r="H32" i="2"/>
  <c r="E20" i="5"/>
  <c r="F20" i="5"/>
  <c r="G28" i="2"/>
  <c r="H28" i="2"/>
  <c r="I28" i="2"/>
  <c r="J28" i="2"/>
  <c r="F30" i="2"/>
  <c r="F31" i="2"/>
  <c r="D19" i="5"/>
  <c r="E18" i="5"/>
  <c r="F18" i="5"/>
  <c r="G25" i="2"/>
  <c r="H25" i="2"/>
  <c r="E16" i="5"/>
  <c r="F16" i="5"/>
  <c r="G21" i="2"/>
  <c r="H21" i="2"/>
  <c r="I21" i="2"/>
  <c r="J21" i="2"/>
  <c r="F23" i="2"/>
  <c r="F24" i="2"/>
  <c r="D15" i="5"/>
  <c r="E14" i="5"/>
  <c r="F14" i="5"/>
  <c r="G18" i="2"/>
  <c r="H18" i="2"/>
  <c r="E12" i="5"/>
  <c r="F12" i="5"/>
  <c r="G14" i="2"/>
  <c r="H14" i="2"/>
  <c r="I14" i="2"/>
  <c r="J14" i="2"/>
  <c r="F16" i="2"/>
  <c r="F17" i="2"/>
  <c r="D11" i="5"/>
  <c r="E10" i="5"/>
  <c r="F10" i="5"/>
  <c r="G8" i="2"/>
  <c r="H8" i="2"/>
  <c r="I8" i="2"/>
  <c r="J8" i="2"/>
  <c r="F11" i="2"/>
  <c r="D8" i="5"/>
  <c r="D12" i="2"/>
  <c r="C9" i="5"/>
  <c r="G7" i="2"/>
  <c r="H7" i="2"/>
  <c r="I7" i="2"/>
  <c r="J7" i="2"/>
  <c r="F9" i="2"/>
  <c r="F10" i="2"/>
  <c r="D7" i="5"/>
  <c r="G6" i="2"/>
  <c r="H6" i="2"/>
  <c r="I6" i="2"/>
  <c r="J6" i="2"/>
  <c r="D6" i="5"/>
  <c r="O11" i="4"/>
  <c r="O9" i="4"/>
  <c r="G37" i="2" l="1"/>
  <c r="H37" i="2"/>
  <c r="I37" i="2"/>
  <c r="J37" i="2"/>
  <c r="F40" i="2"/>
  <c r="D25" i="5"/>
  <c r="G38" i="2"/>
  <c r="H38" i="2"/>
  <c r="E23" i="5"/>
  <c r="F23" i="5"/>
  <c r="G30" i="2"/>
  <c r="H30" i="2"/>
  <c r="I30" i="2"/>
  <c r="J30" i="2"/>
  <c r="F33" i="2"/>
  <c r="D21" i="5"/>
  <c r="G31" i="2"/>
  <c r="H31" i="2"/>
  <c r="E19" i="5"/>
  <c r="F19" i="5"/>
  <c r="G23" i="2"/>
  <c r="H23" i="2"/>
  <c r="I23" i="2"/>
  <c r="J23" i="2"/>
  <c r="F26" i="2"/>
  <c r="D17" i="5"/>
  <c r="G24" i="2"/>
  <c r="H24" i="2"/>
  <c r="E15" i="5"/>
  <c r="F15" i="5"/>
  <c r="G16" i="2"/>
  <c r="H16" i="2"/>
  <c r="I16" i="2"/>
  <c r="J16" i="2"/>
  <c r="F19" i="2"/>
  <c r="D13" i="5"/>
  <c r="G17" i="2"/>
  <c r="H17" i="2"/>
  <c r="E11" i="5"/>
  <c r="F11" i="5"/>
  <c r="G11" i="2"/>
  <c r="H11" i="2"/>
  <c r="E8" i="5"/>
  <c r="F8" i="5"/>
  <c r="G9" i="2"/>
  <c r="H9" i="2"/>
  <c r="I9" i="2"/>
  <c r="J9" i="2"/>
  <c r="F12" i="2"/>
  <c r="D9" i="5"/>
  <c r="G10" i="2"/>
  <c r="H10" i="2"/>
  <c r="E7" i="5"/>
  <c r="F7" i="5"/>
  <c r="E6" i="5"/>
  <c r="F6" i="5"/>
  <c r="G40" i="2" l="1"/>
  <c r="H40" i="2"/>
  <c r="E25" i="5"/>
  <c r="F25" i="5"/>
  <c r="G33" i="2"/>
  <c r="H33" i="2"/>
  <c r="E21" i="5"/>
  <c r="F21" i="5"/>
  <c r="G26" i="2"/>
  <c r="H26" i="2"/>
  <c r="E17" i="5"/>
  <c r="F17" i="5"/>
  <c r="G19" i="2"/>
  <c r="H19" i="2"/>
  <c r="E13" i="5"/>
  <c r="F13" i="5"/>
  <c r="G12" i="2"/>
  <c r="H12" i="2"/>
  <c r="E9" i="5"/>
  <c r="F9" i="5"/>
</calcChain>
</file>

<file path=xl/sharedStrings.xml><?xml version="1.0" encoding="utf-8"?>
<sst xmlns="http://schemas.openxmlformats.org/spreadsheetml/2006/main" count="506" uniqueCount="202">
  <si>
    <t>Zava Supply Co. - FY2026 Forecast Pack - Q3 Update (9+3)</t>
  </si>
  <si>
    <t>Workshop file for 'Copilot for Finance Controllers'. Compare the prior (Q2, 6+6) forecast with the current (Q3, 9+3) forecast and tell the story.</t>
  </si>
  <si>
    <t>TRAINING DATA ONLY - Zava Supply Co. is a fictitious company. All names and numbers are invented for the Copilot Finance Controllers workshop.</t>
  </si>
  <si>
    <t>Sheet</t>
  </si>
  <si>
    <t>What it contains / how you will use it</t>
  </si>
  <si>
    <t>Overview</t>
  </si>
  <si>
    <t>Full-year 2026 by business unit: Budget, Prior FCAST (Q2 6+6, as reported), Operational Adjustments, Current FCAST (Q3 9+3), and changes.</t>
  </si>
  <si>
    <t>Forecast</t>
  </si>
  <si>
    <t>Current forecast by month: January-September actuals plus October-December forecast, for Sales, Gross Margin, Op Costs, PBITA, ratios and Sales/Day.</t>
  </si>
  <si>
    <t>Adjustments</t>
  </si>
  <si>
    <t>Every operational adjustment that moves the prior forecast to the current forecast, with business unit, driver category, months affected, and Sales / Gross Margin / Op Costs / PBITA impact.</t>
  </si>
  <si>
    <t>Variances</t>
  </si>
  <si>
    <t>Your working template to draft forecast-change commentary for Sales, Gross Margin, Op Costs and PBITA.</t>
  </si>
  <si>
    <t>R&amp;Os</t>
  </si>
  <si>
    <t>Risks and opportunities NOT yet included in the current forecast, with probability and weighted PBITA impact.</t>
  </si>
  <si>
    <t>Billing Days</t>
  </si>
  <si>
    <t>Billing days and daily sales by month (actuals Jan-Sep, forecast Oct-Dec).</t>
  </si>
  <si>
    <t>Data notes</t>
  </si>
  <si>
    <t>•</t>
  </si>
  <si>
    <t>All amounts are in USD thousands ($000s) unless labeled otherwise.</t>
  </si>
  <si>
    <t>Op Costs = Warehouse &amp; Delivery + Selling + G&amp;A. PBITA = Gross Margin - Op Costs.</t>
  </si>
  <si>
    <t>Sign convention: costs are shown as positive numbers. For Sales, Gross Margin and PBITA a positive variance is FAVORABLE; for Cost of Sales and Op Costs a positive variance is UNFAVORABLE. Tell Copilot this when you ask about favorable/unfavorable items.</t>
  </si>
  <si>
    <t>Budget was built as prior year + growth (sales +4%), so 'actual vs prior year' is a reasonable proxy for budget drivers at customer level. There is no customer-level budget.</t>
  </si>
  <si>
    <t>Business units: Foodservice Packaging, Janitorial &amp; Sanitation, Safety &amp; PPE, Retail Supplies. 'Consolidated' = sum of the four.</t>
  </si>
  <si>
    <t>Tip: make a copy of this workbook before you start (File &gt; Save a copy) so you can always return to the original. Ctrl+Z undoes Copilot edits.</t>
  </si>
  <si>
    <t>Prior FCAST + Operational Adjustments = Current FCAST. The 'Tie-out check' column on Overview should be zero.</t>
  </si>
  <si>
    <t>One adjustment (duplicate July utilities accrual) has no full-year impact because it reverses in October - it is a timing item.</t>
  </si>
  <si>
    <t>FY2026 Forecast Overview - Prior FCAST vs Current FCAST vs Budget</t>
  </si>
  <si>
    <t>USD $000s | Full Year 2026 | Prior FCAST = Q2 (6+6) as reported; Current FCAST = Q3 (9+3)</t>
  </si>
  <si>
    <t>Business Unit</t>
  </si>
  <si>
    <t>Metric</t>
  </si>
  <si>
    <t>Budget FY26</t>
  </si>
  <si>
    <t>Prior FCAST (Q2 6+6)</t>
  </si>
  <si>
    <t>Operational Adjustments</t>
  </si>
  <si>
    <t>Current FCAST (Q3 9+3)</t>
  </si>
  <si>
    <t>Change vs Prior FCAST %</t>
  </si>
  <si>
    <t>Current FCAST vs Budget $</t>
  </si>
  <si>
    <t>Current FCAST vs Budget %</t>
  </si>
  <si>
    <t>Tie-out check (should be 0)</t>
  </si>
  <si>
    <t>Consolidated</t>
  </si>
  <si>
    <t>Sales</t>
  </si>
  <si>
    <t>Gross Margin</t>
  </si>
  <si>
    <t>Op Costs</t>
  </si>
  <si>
    <t>PBITA</t>
  </si>
  <si>
    <t>GM %</t>
  </si>
  <si>
    <t>Op Cost %</t>
  </si>
  <si>
    <t>PBITA %</t>
  </si>
  <si>
    <t>Foodservice Packaging</t>
  </si>
  <si>
    <t>Janitorial &amp; Sanitation</t>
  </si>
  <si>
    <t>Safety &amp; PPE</t>
  </si>
  <si>
    <t>Retail Supplies</t>
  </si>
  <si>
    <t>Percentage rows: change columns are shown in percentage points (pts). Op Costs: a positive change means higher cost (unfavorable).</t>
  </si>
  <si>
    <t>Operational Adjustments - Prior FCAST (Q2 6+6) to Current FCAST (Q3 9+3) - Full Year 2026</t>
  </si>
  <si>
    <t>USD $000s | Positive Sales/GM/PBITA = improvement; positive Op Costs = higher cost</t>
  </si>
  <si>
    <t>ID</t>
  </si>
  <si>
    <t>Driver Category</t>
  </si>
  <si>
    <t>Description</t>
  </si>
  <si>
    <t>Months Affected</t>
  </si>
  <si>
    <t>ADJ-01</t>
  </si>
  <si>
    <t>New Customer</t>
  </si>
  <si>
    <t>Harbor Grill Group national account went live in July (Q2 forecast assumed a January 2027 start)</t>
  </si>
  <si>
    <t>Jul-Dec</t>
  </si>
  <si>
    <t>ADJ-02</t>
  </si>
  <si>
    <t>Price / Cost</t>
  </si>
  <si>
    <t>Resin cost deflation on cups and clamshells passed through to customers</t>
  </si>
  <si>
    <t>ADJ-03</t>
  </si>
  <si>
    <t>Volume</t>
  </si>
  <si>
    <t>Softer case volume at school and office-park customers (-2.5% vs -1% assumed)</t>
  </si>
  <si>
    <t>ADJ-04</t>
  </si>
  <si>
    <t>Brightway Hospitals expanded to six additional sites</t>
  </si>
  <si>
    <t>ADJ-05</t>
  </si>
  <si>
    <t>One-time</t>
  </si>
  <si>
    <t>Vendor rebate true-up received in September (one-time)</t>
  </si>
  <si>
    <t>Sep</t>
  </si>
  <si>
    <t>ADJ-06</t>
  </si>
  <si>
    <t>Pricing &amp; assortment consulting study in August (one-time)</t>
  </si>
  <si>
    <t>Aug</t>
  </si>
  <si>
    <t>ADJ-07</t>
  </si>
  <si>
    <t>Summit Steelworks plant shutdown in July and August</t>
  </si>
  <si>
    <t>Jul-Aug</t>
  </si>
  <si>
    <t>ADJ-08</t>
  </si>
  <si>
    <t>Cost Inflation</t>
  </si>
  <si>
    <t>Nitrile glove supplier cost increase not yet passed through to customers</t>
  </si>
  <si>
    <t>ADJ-09</t>
  </si>
  <si>
    <t>Credit Risk</t>
  </si>
  <si>
    <t>Bad debt reserve for Ridgeline Fabrication (September)</t>
  </si>
  <si>
    <t>ADJ-10</t>
  </si>
  <si>
    <t>Cost Saving</t>
  </si>
  <si>
    <t>Delivery route consolidation lowered freight and fuel cost</t>
  </si>
  <si>
    <t>ADJ-11</t>
  </si>
  <si>
    <t>Timing</t>
  </si>
  <si>
    <t>Duplicate July utilities accrual; reversal planned for October (no full-year impact)</t>
  </si>
  <si>
    <t>Jul &amp; Oct</t>
  </si>
  <si>
    <t>ADJ-12</t>
  </si>
  <si>
    <t>Lost Business</t>
  </si>
  <si>
    <t>Corner Mart moved to direct-from-manufacturer supply in August</t>
  </si>
  <si>
    <t>Aug-Dec</t>
  </si>
  <si>
    <t>ADJ-13</t>
  </si>
  <si>
    <t>Promotion</t>
  </si>
  <si>
    <t>Retailer co-op promotional program, September to November</t>
  </si>
  <si>
    <t>Sep-Nov</t>
  </si>
  <si>
    <t>ADJ-14</t>
  </si>
  <si>
    <t>Stronger holiday seasonal program commitments</t>
  </si>
  <si>
    <t>Oct-Dec</t>
  </si>
  <si>
    <t>ADJ-15</t>
  </si>
  <si>
    <t>ERP upgrade project approved in July (allocated IT costs)</t>
  </si>
  <si>
    <t>ADJ-16</t>
  </si>
  <si>
    <t>ADJ-17</t>
  </si>
  <si>
    <t>ADJ-18</t>
  </si>
  <si>
    <t>ADJ-19</t>
  </si>
  <si>
    <t>Travel &amp; entertainment running below plan</t>
  </si>
  <si>
    <t>ADJ-20</t>
  </si>
  <si>
    <t>ADJ-21</t>
  </si>
  <si>
    <t>ADJ-22</t>
  </si>
  <si>
    <t>Total Operational Adjustments</t>
  </si>
  <si>
    <t>Current Forecast (Q3 9+3) - FY2026 by Month</t>
  </si>
  <si>
    <t>USD $000s | Jan-Sep = Actual, Oct-Dec = FCAST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</si>
  <si>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</si>
  <si>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</si>
  <si>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</si>
  <si>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</si>
  <si>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</si>
  <si>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</si>
  <si>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</si>
  <si>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</si>
  <si>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</si>
  <si>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</si>
  <si>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</si>
  <si>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</si>
  <si>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Full Year</t>
  </si>
  <si>
    <t>Type</t>
  </si>
  <si>
    <t>Actual</t>
  </si>
  <si>
    <t>FCAST</t>
  </si>
  <si>
    <t>Sales/Day</t>
  </si>
  <si>
    <t>Forecast Change Commentary - Prior FCAST (Q2) to Current FCAST (Q3)</t>
  </si>
  <si>
    <t>Draft with Copilot, then edit. You own the final narrative.</t>
  </si>
  <si>
    <t>Prior FCAST</t>
  </si>
  <si>
    <t>Current FCAST</t>
  </si>
  <si>
    <t>Change $</t>
  </si>
  <si>
    <t>Change %</t>
  </si>
  <si>
    <t>Key drivers (Copilot draft)</t>
  </si>
  <si>
    <t>My color commentary / context</t>
  </si>
  <si>
    <t>Validated? (Y/N)</t>
  </si>
  <si>
    <t>Risks &amp; Opportunities - Q4 2026 (NOT included in Current FCAST)</t>
  </si>
  <si>
    <t>USD $000s | PBITA impact | Weighted = Impact x Probability</t>
  </si>
  <si>
    <t>PBITA Impact (unweighted)</t>
  </si>
  <si>
    <t>Probability</t>
  </si>
  <si>
    <t>Weighted Impact</t>
  </si>
  <si>
    <t>Owner</t>
  </si>
  <si>
    <t>Next step</t>
  </si>
  <si>
    <t>RO-01</t>
  </si>
  <si>
    <t>Risk</t>
  </si>
  <si>
    <t>Ridgeline Fabrication financial distress deepens; additional reserve beyond the September provision</t>
  </si>
  <si>
    <t>Q4</t>
  </si>
  <si>
    <t>BU Controller</t>
  </si>
  <si>
    <t>Credit review with AR team</t>
  </si>
  <si>
    <t>RO-02</t>
  </si>
  <si>
    <t>Nitrile glove price increase to customers delayed until January</t>
  </si>
  <si>
    <t>Nov-Dec</t>
  </si>
  <si>
    <t>BU Pricing Lead</t>
  </si>
  <si>
    <t>Confirm customer notice dates</t>
  </si>
  <si>
    <t>RO-03</t>
  </si>
  <si>
    <t>Opportunity</t>
  </si>
  <si>
    <t>Keystone Construction and Bluewater Utilities accept nitrile pass-through in November</t>
  </si>
  <si>
    <t>BU Sales Director</t>
  </si>
  <si>
    <t>Track acceptance letters</t>
  </si>
  <si>
    <t>RO-04</t>
  </si>
  <si>
    <t>Harbor Grill Group phase 2 (additional 120 restaurants) starts in December</t>
  </si>
  <si>
    <t>Dec</t>
  </si>
  <si>
    <t>National Accounts</t>
  </si>
  <si>
    <t>Confirm go-live date</t>
  </si>
  <si>
    <t>RO-05</t>
  </si>
  <si>
    <t>Onboarding overtime continues through December</t>
  </si>
  <si>
    <t>DC Operations Manager</t>
  </si>
  <si>
    <t>Review labor plan weekly</t>
  </si>
  <si>
    <t>RO-06</t>
  </si>
  <si>
    <t>Q4 vendor rebate tier achieved on can liners</t>
  </si>
  <si>
    <t>Purchasing</t>
  </si>
  <si>
    <t>Monitor purchase volume vs tier</t>
  </si>
  <si>
    <t>RO-07</t>
  </si>
  <si>
    <t>Flu-season demand at Brightway Hospitals</t>
  </si>
  <si>
    <t>Agree stock levels</t>
  </si>
  <si>
    <t>RO-08</t>
  </si>
  <si>
    <t>Holiday program sell-through below commitments</t>
  </si>
  <si>
    <t>Weekly POS review</t>
  </si>
  <si>
    <t>RO-09</t>
  </si>
  <si>
    <t>All</t>
  </si>
  <si>
    <t>ERP go-live slips; consultant extension required</t>
  </si>
  <si>
    <t>IT Finance Partner</t>
  </si>
  <si>
    <t>Steering committee decision</t>
  </si>
  <si>
    <t>Net risks &amp; opportunities</t>
  </si>
  <si>
    <t>Zava Supply Co. - Billing Days &amp; Daily Reported Sales - Consolidated</t>
  </si>
  <si>
    <t>USD $000s | Billing days = weekdays less company holidays</t>
  </si>
  <si>
    <t>Line</t>
  </si>
  <si>
    <t>Reported Sales 2026 (Actual / FCAST)</t>
  </si>
  <si>
    <t>Days 2026</t>
  </si>
  <si>
    <t>Daily Reported Sales 2026</t>
  </si>
  <si>
    <t>Budget Sales 2026</t>
  </si>
  <si>
    <t>Daily Budget Sales 2026</t>
  </si>
  <si>
    <t>Reported Sales 2025</t>
  </si>
  <si>
    <t>Days 2025</t>
  </si>
  <si>
    <t>Daily Reported Sales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</si>
</sst>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;[Red]\(#,##0.0\);&quot;-&quot;"/>
    <numFmt numFmtId="165" formatCode="0.0%;[Red]\-0.0%;&quot;-&quot;"/>
    <numFmt numFmtId="166" formatCode="0.0;[Red]\-0.0;&quot;OK&quot;"/>
    <numFmt numFmtId="167" formatCode="0.0&quot; pts&quot;;[Red]\-0.0&quot; pts&quot;;&quot;-&quot;"/>
  </numFmts>
  <fonts count="14">
    <font>
      <sz val="11"/>
      <color theme="1"/>
      <name val="Calibri"/>
      <family val="2"/>
      <scheme val="minor"/>
    </font>
    <font>
      <b/>
      <sz val="18"/>
      <color rgb="FF183A5D"/>
      <name val="Calibri"/>
    </font>
    <font>
      <i/>
      <sz val="11"/>
      <color rgb="FF5D6B82"/>
      <name val="Calibri"/>
    </font>
    <font>
      <b/>
      <sz val="10"/>
      <color rgb="FF9C2B2B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color rgb="FF183A5D"/>
      <name val="Calibri"/>
    </font>
    <font>
      <b/>
      <sz val="14"/>
      <color rgb="FF183A5D"/>
      <name val="Calibri"/>
    </font>
    <font>
      <sz val="9"/>
      <color rgb="FF9C2B2B"/>
      <name val="Calibri"/>
    </font>
    <font>
      <i/>
      <sz val="11"/>
      <name val="Calibri"/>
    </font>
    <font>
      <i/>
      <sz val="11"/>
      <color rgb="FF183A5D"/>
      <name val="Calibri"/>
    </font>
    <font>
      <i/>
      <sz val="11"/>
      <color rgb="FFB45309"/>
      <name val="Calibri"/>
    </font>
    <font>
      <sz val="11"/>
      <name val="Calibri"/>
    </font>
    <font>
      <i/>
      <sz val="9"/>
      <color rgb="FF5D6B8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83A5D"/>
      </patternFill>
    </fill>
    <fill>
      <patternFill patternType="solid">
        <fgColor rgb="FFEAF1F8"/>
      </patternFill>
    </fill>
  </fills>
  <borders count="2">
    <border>
      <left/>
      <right/>
      <top/>
      <bottom/>
      <diagonal/>
    </border>
    <border>
      <left/>
      <right/>
      <top style="thin">
        <color rgb="FF183A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0" fillId="0" borderId="0" xfId="0" applyAlignment="1">
      <alignment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2" borderId="0" xfId="0" applyFont="1" applyFill="1" applyAlignment="1">
      <alignment horizontal="center" vertical="center" wrapText="1"/>
    </xf>
    <xf numFmtId="0" fontId="0" fillId="3" borderId="1" xfId="0" applyFill="1" applyBorder="1"/>
    <xf numFmtId="0" fontId="5" fillId="3" borderId="1" xfId="0" applyFon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0" fontId="0" fillId="3" borderId="0" xfId="0" applyFill="1"/>
    <xf numFmtId="0" fontId="1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5" fillId="3" borderId="0" xfId="0" applyFont="1" applyFill="1"/>
    <xf numFmtId="167" fontId="0" fillId="3" borderId="0" xfId="0" applyNumberFormat="1" applyFill="1"/>
    <xf numFmtId="0" fontId="0" fillId="0" borderId="1" xfId="0" applyBorder="1"/>
    <xf numFmtId="0" fontId="5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3" fillId="0" borderId="0" xfId="0" applyFont="1"/>
    <xf numFmtId="164" fontId="5" fillId="3" borderId="0" xfId="0" applyNumberFormat="1" applyFont="1" applyFill="1"/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5" fillId="3" borderId="1" xfId="0" applyNumberFormat="1" applyFont="1" applyFill="1" applyBorder="1"/>
    <xf numFmtId="165" fontId="5" fillId="3" borderId="0" xfId="0" applyNumberFormat="1" applyFont="1" applyFill="1"/>
    <xf numFmtId="164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5"/>
  <cols>
    <col min="1" max="1" width="26" customWidth="1"/>
    <col min="2" max="2" width="110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  <c r="B5" s="4" t="s">
        <v>4</v>
      </c>
    </row>
    <row r="6" spans="1:2">
      <c r="A6" s="5" t="s">
        <v>5</v>
      </c>
      <c r="B6" s="6" t="s">
        <v>6</v>
      </c>
    </row>
    <row r="7" spans="1:2">
      <c r="A7" s="5" t="s">
        <v>7</v>
      </c>
      <c r="B7" s="6" t="s">
        <v>8</v>
      </c>
    </row>
    <row r="8" spans="1:2">
      <c r="A8" s="5" t="s">
        <v>9</v>
      </c>
      <c r="B8" s="6" t="s">
        <v>10</v>
      </c>
    </row>
    <row r="9" spans="1:2">
      <c r="A9" s="5" t="s">
        <v>11</v>
      </c>
      <c r="B9" s="6" t="s">
        <v>12</v>
      </c>
    </row>
    <row r="10" spans="1:2">
      <c r="A10" s="5" t="s">
        <v>13</v>
      </c>
      <c r="B10" s="6" t="s">
        <v>14</v>
      </c>
    </row>
    <row r="11" spans="1:2">
      <c r="A11" s="5" t="s">
        <v>15</v>
      </c>
      <c r="B11" s="6" t="s">
        <v>16</v>
      </c>
    </row>
    <row r="13" spans="1:2">
      <c r="A13" s="7" t="s">
        <v>17</v>
      </c>
    </row>
    <row r="14" spans="1:2">
      <c r="A14" t="s">
        <v>18</v>
      </c>
      <c r="B14" s="6" t="s">
        <v>19</v>
      </c>
    </row>
    <row r="15" spans="1:2">
      <c r="A15" t="s">
        <v>18</v>
      </c>
      <c r="B15" s="6" t="s">
        <v>20</v>
      </c>
    </row>
    <row r="16" spans="1:2">
      <c r="A16" t="s">
        <v>18</v>
      </c>
      <c r="B16" s="6" t="s">
        <v>21</v>
      </c>
    </row>
    <row r="17" spans="1:2">
      <c r="A17" t="s">
        <v>18</v>
      </c>
      <c r="B17" s="6" t="s">
        <v>22</v>
      </c>
    </row>
    <row r="18" spans="1:2">
      <c r="A18" t="s">
        <v>18</v>
      </c>
      <c r="B18" s="6" t="s">
        <v>23</v>
      </c>
    </row>
    <row r="19" spans="1:2">
      <c r="A19" t="s">
        <v>18</v>
      </c>
      <c r="B19" s="6" t="s">
        <v>24</v>
      </c>
    </row>
    <row r="20" spans="1:2">
      <c r="A20" t="s">
        <v>18</v>
      </c>
      <c r="B20" s="6" t="s">
        <v>25</v>
      </c>
    </row>
    <row r="21" spans="1:2">
      <c r="A21" t="s">
        <v>18</v>
      </c>
      <c r="B21" s="6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24" customWidth="1"/>
    <col min="2" max="3" width="13" customWidth="1"/>
    <col min="4" max="6" width="15" customWidth="1"/>
    <col min="7" max="7" width="13" customWidth="1"/>
    <col min="8" max="8" width="14" customWidth="1"/>
    <col min="9" max="10" width="13" customWidth="1"/>
  </cols>
  <sheetData>
    <row r="1" spans="1:10">
      <c r="A1" s="8" t="s">
        <v>27</v>
      </c>
    </row>
    <row r="2" spans="1:10">
      <c r="A2" s="2" t="s">
        <v>28</v>
      </c>
    </row>
    <row r="3" spans="1:10">
      <c r="A3" s="9" t="s">
        <v>2</v>
      </c>
    </row>
    <row r="5" spans="1:10" ht="45" customHeight="1">
      <c r="A5" s="10" t="s">
        <v>29</v>
      </c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</row>
    <row r="6" spans="1:10">
      <c r="A6" s="11" t="s">
        <v>39</v>
      </c>
      <c r="B6" s="12" t="s">
        <v>40</v>
      </c>
      <c r="C6" s="13">
        <f>C13+C20+C27+C34</f>
        <v>493192.39999999991</v>
      </c>
      <c r="D6" s="13">
        <f>D13+D20+D27+D34</f>
        <v>478399.8</v>
      </c>
      <c r="E6" s="13">
        <f>SUM(Adjustments!F6:F27)</f>
        <v>8120.6</v>
      </c>
      <c r="F6" s="13">
        <f>D6+E6</f>
        <v>486520.39999999997</v>
      </c>
      <c r="G6" s="14">
        <f>IFERROR((F6-D6)/ABS(D6),0)</f>
        <v>1.6974505424124292E-2</v>
      </c>
      <c r="H6" s="13">
        <f>F6-C6</f>
        <v>-6671.9999999999418</v>
      </c>
      <c r="I6" s="14">
        <f>IFERROR((F6-C6)/ABS(C6),0)</f>
        <v>-1.3528188998857126E-2</v>
      </c>
      <c r="J6" s="15">
        <f>ROUND(F6-Forecast!O7,1)</f>
        <v>0</v>
      </c>
    </row>
    <row r="7" spans="1:10">
      <c r="A7" s="16" t="s">
        <v>39</v>
      </c>
      <c r="B7" s="17" t="s">
        <v>41</v>
      </c>
      <c r="C7" s="18">
        <f>C14+C21+C28+C35</f>
        <v>131433.59999999998</v>
      </c>
      <c r="D7" s="18">
        <f>D14+D21+D28+D35</f>
        <v>126633.7</v>
      </c>
      <c r="E7" s="18">
        <f>SUM(Adjustments!G6:G27)</f>
        <v>484.60000000000025</v>
      </c>
      <c r="F7" s="18">
        <f>D7+E7</f>
        <v>127118.3</v>
      </c>
      <c r="G7" s="19">
        <f>IFERROR((F7-D7)/ABS(D7),0)</f>
        <v>3.8267854449487446E-3</v>
      </c>
      <c r="H7" s="18">
        <f>F7-C7</f>
        <v>-4315.2999999999738</v>
      </c>
      <c r="I7" s="19">
        <f>IFERROR((F7-C7)/ABS(C7),0)</f>
        <v>-3.2832548145983784E-2</v>
      </c>
      <c r="J7" s="20">
        <f>ROUND(F7-Forecast!O8,1)</f>
        <v>0</v>
      </c>
    </row>
    <row r="8" spans="1:10">
      <c r="A8" s="16" t="s">
        <v>39</v>
      </c>
      <c r="B8" s="17" t="s">
        <v>42</v>
      </c>
      <c r="C8" s="18">
        <f>C15+C22+C29+C36</f>
        <v>94944.4</v>
      </c>
      <c r="D8" s="18">
        <f>D15+D22+D29+D36</f>
        <v>92865.4</v>
      </c>
      <c r="E8" s="18">
        <f>SUM(Adjustments!H6:H27)</f>
        <v>3798.3</v>
      </c>
      <c r="F8" s="18">
        <f>D8+E8</f>
        <v>96663.7</v>
      </c>
      <c r="G8" s="19">
        <f>IFERROR((F8-D8)/ABS(D8),0)</f>
        <v>4.0901132176246517E-2</v>
      </c>
      <c r="H8" s="18">
        <f>F8-C8</f>
        <v>1719.3000000000029</v>
      </c>
      <c r="I8" s="19">
        <f>IFERROR((F8-C8)/ABS(C8),0)</f>
        <v>1.8108492970622839E-2</v>
      </c>
      <c r="J8" s="20">
        <f>ROUND(F8-Forecast!O10,1)</f>
        <v>0</v>
      </c>
    </row>
    <row r="9" spans="1:10">
      <c r="A9" s="16" t="s">
        <v>39</v>
      </c>
      <c r="B9" s="21" t="s">
        <v>43</v>
      </c>
      <c r="C9" s="18">
        <f>C7-C8</f>
        <v>36489.199999999983</v>
      </c>
      <c r="D9" s="18">
        <f>D7-D8</f>
        <v>33768.300000000003</v>
      </c>
      <c r="E9" s="18">
        <f>E7-E8</f>
        <v>-3313.7</v>
      </c>
      <c r="F9" s="18">
        <f>F7-F8</f>
        <v>30454.600000000006</v>
      </c>
      <c r="G9" s="19">
        <f>IFERROR((F9-D9)/ABS(D9),0)</f>
        <v>-9.8130495168545551E-2</v>
      </c>
      <c r="H9" s="18">
        <f>F9-C9</f>
        <v>-6034.5999999999767</v>
      </c>
      <c r="I9" s="19">
        <f>IFERROR((F9-C9)/ABS(C9),0)</f>
        <v>-0.165380441336066</v>
      </c>
      <c r="J9" s="20">
        <f>ROUND(F9-Forecast!O12,1)</f>
        <v>0</v>
      </c>
    </row>
    <row r="10" spans="1:10">
      <c r="A10" s="16" t="s">
        <v>39</v>
      </c>
      <c r="B10" s="17" t="s">
        <v>44</v>
      </c>
      <c r="C10" s="19">
        <f>IFERROR(C7/C6,0)</f>
        <v>0.26649559076741652</v>
      </c>
      <c r="D10" s="19">
        <f>IFERROR(D7/D6,0)</f>
        <v>0.26470266082887156</v>
      </c>
      <c r="E10" s="16"/>
      <c r="F10" s="19">
        <f>IFERROR(F7/F6,0)</f>
        <v>0.26128051362286148</v>
      </c>
      <c r="G10" s="22">
        <f>(F10-D10)*100</f>
        <v>-0.34221472060100844</v>
      </c>
      <c r="H10" s="22">
        <f>(F10-C10)*100</f>
        <v>-0.5215077144555047</v>
      </c>
      <c r="I10" s="16"/>
      <c r="J10" s="16"/>
    </row>
    <row r="11" spans="1:10">
      <c r="A11" s="16" t="s">
        <v>39</v>
      </c>
      <c r="B11" s="17" t="s">
        <v>45</v>
      </c>
      <c r="C11" s="19">
        <f>IFERROR(C8/C6,0)</f>
        <v>0.19250986024926584</v>
      </c>
      <c r="D11" s="19">
        <f>IFERROR(D8/D6,0)</f>
        <v>0.1941167199484615</v>
      </c>
      <c r="E11" s="16"/>
      <c r="F11" s="19">
        <f>IFERROR(F8/F6,0)</f>
        <v>0.19868375509022851</v>
      </c>
      <c r="G11" s="22">
        <f>(F11-D11)*100</f>
        <v>0.45670351417670119</v>
      </c>
      <c r="H11" s="22">
        <f>(F11-C11)*100</f>
        <v>0.61738948409626737</v>
      </c>
      <c r="I11" s="16"/>
      <c r="J11" s="16"/>
    </row>
    <row r="12" spans="1:10">
      <c r="A12" s="16" t="s">
        <v>39</v>
      </c>
      <c r="B12" s="17" t="s">
        <v>46</v>
      </c>
      <c r="C12" s="19">
        <f>IFERROR(C9/C6,0)</f>
        <v>7.3985730518150702E-2</v>
      </c>
      <c r="D12" s="19">
        <f>IFERROR(D9/D6,0)</f>
        <v>7.0585940880410078E-2</v>
      </c>
      <c r="E12" s="16"/>
      <c r="F12" s="19">
        <f>IFERROR(F9/F6,0)</f>
        <v>6.2596758532632982E-2</v>
      </c>
      <c r="G12" s="22">
        <f>(F12-D12)*100</f>
        <v>-0.79891823477770962</v>
      </c>
      <c r="H12" s="22">
        <f>(F12-C12)*100</f>
        <v>-1.138897198551772</v>
      </c>
      <c r="I12" s="16"/>
      <c r="J12" s="16"/>
    </row>
    <row r="13" spans="1:10">
      <c r="A13" s="23" t="s">
        <v>47</v>
      </c>
      <c r="B13" s="24" t="s">
        <v>40</v>
      </c>
      <c r="C13" s="25">
        <v>176550.8</v>
      </c>
      <c r="D13" s="25">
        <v>174753.3</v>
      </c>
      <c r="E13" s="25">
        <f>SUMIFS(Adjustments!F6:F27,Adjustments!B6:B27,A13)</f>
        <v>10547.4</v>
      </c>
      <c r="F13" s="25">
        <f>D13+E13</f>
        <v>185300.69999999998</v>
      </c>
      <c r="G13" s="26">
        <f>IFERROR((F13-D13)/ABS(D13),0)</f>
        <v>6.0355941776206769E-2</v>
      </c>
      <c r="H13" s="25">
        <f>F13-C13</f>
        <v>8749.8999999999942</v>
      </c>
      <c r="I13" s="26">
        <f>IFERROR((F13-C13)/ABS(C13),0)</f>
        <v>4.9560239885630623E-2</v>
      </c>
      <c r="J13" s="27">
        <f>ROUND(F13-Forecast!O15,1)</f>
        <v>0</v>
      </c>
    </row>
    <row r="14" spans="1:10">
      <c r="A14" t="s">
        <v>47</v>
      </c>
      <c r="B14" s="28" t="s">
        <v>41</v>
      </c>
      <c r="C14" s="29">
        <v>43254.9</v>
      </c>
      <c r="D14" s="29">
        <v>42842.5</v>
      </c>
      <c r="E14" s="29">
        <f>SUMIFS(Adjustments!G6:G27,Adjustments!B6:B27,A14)</f>
        <v>2240.6999999999998</v>
      </c>
      <c r="F14" s="29">
        <f>D14+E14</f>
        <v>45083.199999999997</v>
      </c>
      <c r="G14" s="30">
        <f>IFERROR((F14-D14)/ABS(D14),0)</f>
        <v>5.2300869463733371E-2</v>
      </c>
      <c r="H14" s="29">
        <f>F14-C14</f>
        <v>1828.2999999999956</v>
      </c>
      <c r="I14" s="30">
        <f>IFERROR((F14-C14)/ABS(C14),0)</f>
        <v>4.2268043620491448E-2</v>
      </c>
      <c r="J14" s="31">
        <f>ROUND(F14-Forecast!O16,1)</f>
        <v>0</v>
      </c>
    </row>
    <row r="15" spans="1:10">
      <c r="A15" t="s">
        <v>47</v>
      </c>
      <c r="B15" s="28" t="s">
        <v>42</v>
      </c>
      <c r="C15" s="29">
        <v>33533.699999999997</v>
      </c>
      <c r="D15" s="29">
        <v>33139.5</v>
      </c>
      <c r="E15" s="29">
        <f>SUMIFS(Adjustments!H6:H27,Adjustments!B6:B27,A15)</f>
        <v>2902.1</v>
      </c>
      <c r="F15" s="29">
        <f>D15+E15</f>
        <v>36041.599999999999</v>
      </c>
      <c r="G15" s="30">
        <f>IFERROR((F15-D15)/ABS(D15),0)</f>
        <v>8.7572232532174554E-2</v>
      </c>
      <c r="H15" s="29">
        <f>F15-C15</f>
        <v>2507.9000000000015</v>
      </c>
      <c r="I15" s="30">
        <f>IFERROR((F15-C15)/ABS(C15),0)</f>
        <v>7.4787452622287476E-2</v>
      </c>
      <c r="J15" s="31">
        <f>ROUND(F15-Forecast!O18,1)</f>
        <v>0</v>
      </c>
    </row>
    <row r="16" spans="1:10">
      <c r="A16" t="s">
        <v>47</v>
      </c>
      <c r="B16" s="5" t="s">
        <v>43</v>
      </c>
      <c r="C16" s="29">
        <f>C14-C15</f>
        <v>9721.2000000000044</v>
      </c>
      <c r="D16" s="29">
        <f>D14-D15</f>
        <v>9703</v>
      </c>
      <c r="E16" s="29">
        <f>E14-E15</f>
        <v>-661.40000000000009</v>
      </c>
      <c r="F16" s="29">
        <f>F14-F15</f>
        <v>9041.5999999999985</v>
      </c>
      <c r="G16" s="30">
        <f>IFERROR((F16-D16)/ABS(D16),0)</f>
        <v>-6.8164485210759712E-2</v>
      </c>
      <c r="H16" s="29">
        <f>F16-C16</f>
        <v>-679.60000000000582</v>
      </c>
      <c r="I16" s="30">
        <f>IFERROR((F16-C16)/ABS(C16),0)</f>
        <v>-6.9909064724520173E-2</v>
      </c>
      <c r="J16" s="31">
        <f>ROUND(F16-Forecast!O20,1)</f>
        <v>0</v>
      </c>
    </row>
    <row r="17" spans="1:10">
      <c r="A17" t="s">
        <v>47</v>
      </c>
      <c r="B17" s="28" t="s">
        <v>44</v>
      </c>
      <c r="C17" s="30">
        <f>IFERROR(C14/C13,0)</f>
        <v>0.24499973945176121</v>
      </c>
      <c r="D17" s="30">
        <f>IFERROR(D14/D13,0)</f>
        <v>0.2451598911150748</v>
      </c>
      <c r="F17" s="30">
        <f>IFERROR(F14/F13,0)</f>
        <v>0.24329751587554715</v>
      </c>
      <c r="G17" s="32">
        <f>(F17-D17)*100</f>
        <v>-0.18623752395276472</v>
      </c>
      <c r="H17" s="32">
        <f>(F17-C17)*100</f>
        <v>-0.17022235762140514</v>
      </c>
    </row>
    <row r="18" spans="1:10">
      <c r="A18" t="s">
        <v>47</v>
      </c>
      <c r="B18" s="28" t="s">
        <v>45</v>
      </c>
      <c r="C18" s="30">
        <f>IFERROR(C15/C13,0)</f>
        <v>0.18993796686279529</v>
      </c>
      <c r="D18" s="30">
        <f>IFERROR(D15/D13,0)</f>
        <v>0.18963590387134321</v>
      </c>
      <c r="F18" s="30">
        <f>IFERROR(F15/F13,0)</f>
        <v>0.19450331272358928</v>
      </c>
      <c r="G18" s="32">
        <f>(F18-D18)*100</f>
        <v>0.4867408852246069</v>
      </c>
      <c r="H18" s="32">
        <f>(F18-C18)*100</f>
        <v>0.45653458607939901</v>
      </c>
    </row>
    <row r="19" spans="1:10">
      <c r="A19" t="s">
        <v>47</v>
      </c>
      <c r="B19" s="28" t="s">
        <v>46</v>
      </c>
      <c r="C19" s="30">
        <f>IFERROR(C16/C13,0)</f>
        <v>5.5061772588965927E-2</v>
      </c>
      <c r="D19" s="30">
        <f>IFERROR(D16/D13,0)</f>
        <v>5.5523987243731594E-2</v>
      </c>
      <c r="F19" s="30">
        <f>IFERROR(F16/F13,0)</f>
        <v>4.8794203151957871E-2</v>
      </c>
      <c r="G19" s="32">
        <f>(F19-D19)*100</f>
        <v>-0.67297840917737228</v>
      </c>
      <c r="H19" s="32">
        <f>(F19-C19)*100</f>
        <v>-0.62675694370080559</v>
      </c>
    </row>
    <row r="20" spans="1:10">
      <c r="A20" s="23" t="s">
        <v>48</v>
      </c>
      <c r="B20" s="24" t="s">
        <v>40</v>
      </c>
      <c r="C20" s="25">
        <v>121804.4</v>
      </c>
      <c r="D20" s="25">
        <v>118103.9</v>
      </c>
      <c r="E20" s="25">
        <f>SUMIFS(Adjustments!F6:F27,Adjustments!B6:B27,A20)</f>
        <v>-310.39999999999998</v>
      </c>
      <c r="F20" s="25">
        <f>D20+E20</f>
        <v>117793.5</v>
      </c>
      <c r="G20" s="26">
        <f>IFERROR((F20-D20)/ABS(D20),0)</f>
        <v>-2.6281943271982905E-3</v>
      </c>
      <c r="H20" s="25">
        <f>F20-C20</f>
        <v>-4010.8999999999942</v>
      </c>
      <c r="I20" s="26">
        <f>IFERROR((F20-C20)/ABS(C20),0)</f>
        <v>-3.2929023910466246E-2</v>
      </c>
      <c r="J20" s="27">
        <f>ROUND(F20-Forecast!O23,1)</f>
        <v>0</v>
      </c>
    </row>
    <row r="21" spans="1:10">
      <c r="A21" t="s">
        <v>48</v>
      </c>
      <c r="B21" s="28" t="s">
        <v>41</v>
      </c>
      <c r="C21" s="29">
        <v>34592.5</v>
      </c>
      <c r="D21" s="29">
        <v>33620.199999999997</v>
      </c>
      <c r="E21" s="29">
        <f>SUMIFS(Adjustments!G6:G27,Adjustments!B6:B27,A21)</f>
        <v>161.70000000000002</v>
      </c>
      <c r="F21" s="29">
        <f>D21+E21</f>
        <v>33781.899999999994</v>
      </c>
      <c r="G21" s="30">
        <f>IFERROR((F21-D21)/ABS(D21),0)</f>
        <v>4.809608509169996E-3</v>
      </c>
      <c r="H21" s="29">
        <f>F21-C21</f>
        <v>-810.60000000000582</v>
      </c>
      <c r="I21" s="30">
        <f>IFERROR((F21-C21)/ABS(C21),0)</f>
        <v>-2.3432825034328419E-2</v>
      </c>
      <c r="J21" s="31">
        <f>ROUND(F21-Forecast!O24,1)</f>
        <v>0</v>
      </c>
    </row>
    <row r="22" spans="1:10">
      <c r="A22" t="s">
        <v>48</v>
      </c>
      <c r="B22" s="28" t="s">
        <v>42</v>
      </c>
      <c r="C22" s="29">
        <v>23529.9</v>
      </c>
      <c r="D22" s="29">
        <v>23051.200000000001</v>
      </c>
      <c r="E22" s="29">
        <f>SUMIFS(Adjustments!H6:H27,Adjustments!B6:B27,A22)</f>
        <v>333.40000000000003</v>
      </c>
      <c r="F22" s="29">
        <f>D22+E22</f>
        <v>23384.600000000002</v>
      </c>
      <c r="G22" s="30">
        <f>IFERROR((F22-D22)/ABS(D22),0)</f>
        <v>1.4463455264801896E-2</v>
      </c>
      <c r="H22" s="29">
        <f>F22-C22</f>
        <v>-145.29999999999927</v>
      </c>
      <c r="I22" s="30">
        <f>IFERROR((F22-C22)/ABS(C22),0)</f>
        <v>-6.1751218662212445E-3</v>
      </c>
      <c r="J22" s="31">
        <f>ROUND(F22-Forecast!O26,1)</f>
        <v>0</v>
      </c>
    </row>
    <row r="23" spans="1:10">
      <c r="A23" t="s">
        <v>48</v>
      </c>
      <c r="B23" s="5" t="s">
        <v>43</v>
      </c>
      <c r="C23" s="29">
        <f>C21-C22</f>
        <v>11062.599999999999</v>
      </c>
      <c r="D23" s="29">
        <f>D21-D22</f>
        <v>10568.999999999996</v>
      </c>
      <c r="E23" s="29">
        <f>E21-E22</f>
        <v>-171.70000000000002</v>
      </c>
      <c r="F23" s="29">
        <f>F21-F22</f>
        <v>10397.299999999992</v>
      </c>
      <c r="G23" s="30">
        <f>IFERROR((F23-D23)/ABS(D23),0)</f>
        <v>-1.6245623994701905E-2</v>
      </c>
      <c r="H23" s="29">
        <f>F23-C23</f>
        <v>-665.30000000000655</v>
      </c>
      <c r="I23" s="30">
        <f>IFERROR((F23-C23)/ABS(C23),0)</f>
        <v>-6.0139569359825597E-2</v>
      </c>
      <c r="J23" s="31">
        <f>ROUND(F23-Forecast!O28,1)</f>
        <v>0</v>
      </c>
    </row>
    <row r="24" spans="1:10">
      <c r="A24" t="s">
        <v>48</v>
      </c>
      <c r="B24" s="28" t="s">
        <v>44</v>
      </c>
      <c r="C24" s="30">
        <f>IFERROR(C21/C20,0)</f>
        <v>0.28400041377815582</v>
      </c>
      <c r="D24" s="30">
        <f>IFERROR(D21/D20,0)</f>
        <v>0.28466629806467014</v>
      </c>
      <c r="F24" s="30">
        <f>IFERROR(F21/F20,0)</f>
        <v>0.28678916918166109</v>
      </c>
      <c r="G24" s="32">
        <f>(F24-D24)*100</f>
        <v>0.21228711169909431</v>
      </c>
      <c r="H24" s="32">
        <f>(F24-C24)*100</f>
        <v>0.27887554035052609</v>
      </c>
    </row>
    <row r="25" spans="1:10">
      <c r="A25" t="s">
        <v>48</v>
      </c>
      <c r="B25" s="28" t="s">
        <v>45</v>
      </c>
      <c r="C25" s="30">
        <f>IFERROR(C22/C20,0)</f>
        <v>0.19317775055745115</v>
      </c>
      <c r="D25" s="30">
        <f>IFERROR(D22/D20,0)</f>
        <v>0.19517729727807467</v>
      </c>
      <c r="F25" s="30">
        <f>IFERROR(F22/F20,0)</f>
        <v>0.19852198975325466</v>
      </c>
      <c r="G25" s="32">
        <f>(F25-D25)*100</f>
        <v>0.33446924751799889</v>
      </c>
      <c r="H25" s="32">
        <f>(F25-C25)*100</f>
        <v>0.53442391958035129</v>
      </c>
    </row>
    <row r="26" spans="1:10">
      <c r="A26" t="s">
        <v>48</v>
      </c>
      <c r="B26" s="28" t="s">
        <v>46</v>
      </c>
      <c r="C26" s="30">
        <f>IFERROR(C23/C20,0)</f>
        <v>9.0822663220704661E-2</v>
      </c>
      <c r="D26" s="30">
        <f>IFERROR(D23/D20,0)</f>
        <v>8.948900078659551E-2</v>
      </c>
      <c r="F26" s="30">
        <f>IFERROR(F23/F20,0)</f>
        <v>8.8267179428406423E-2</v>
      </c>
      <c r="G26" s="32">
        <f>(F26-D26)*100</f>
        <v>-0.12218213581890874</v>
      </c>
      <c r="H26" s="32">
        <f>(F26-C26)*100</f>
        <v>-0.25554837922982382</v>
      </c>
    </row>
    <row r="27" spans="1:10">
      <c r="A27" s="23" t="s">
        <v>49</v>
      </c>
      <c r="B27" s="24" t="s">
        <v>40</v>
      </c>
      <c r="C27" s="25">
        <v>117479.6</v>
      </c>
      <c r="D27" s="25">
        <v>109493.4</v>
      </c>
      <c r="E27" s="25">
        <f>SUMIFS(Adjustments!F6:F27,Adjustments!B6:B27,A27)</f>
        <v>-1143.5</v>
      </c>
      <c r="F27" s="25">
        <f>D27+E27</f>
        <v>108349.9</v>
      </c>
      <c r="G27" s="26">
        <f>IFERROR((F27-D27)/ABS(D27),0)</f>
        <v>-1.0443551848787234E-2</v>
      </c>
      <c r="H27" s="25">
        <f>F27-C27</f>
        <v>-9129.7000000000116</v>
      </c>
      <c r="I27" s="26">
        <f>IFERROR((F27-C27)/ABS(C27),0)</f>
        <v>-7.7713066779253687E-2</v>
      </c>
      <c r="J27" s="27">
        <f>ROUND(F27-Forecast!O31,1)</f>
        <v>0</v>
      </c>
    </row>
    <row r="28" spans="1:10">
      <c r="A28" t="s">
        <v>49</v>
      </c>
      <c r="B28" s="28" t="s">
        <v>41</v>
      </c>
      <c r="C28" s="29">
        <v>35948.699999999997</v>
      </c>
      <c r="D28" s="29">
        <v>33036.5</v>
      </c>
      <c r="E28" s="29">
        <f>SUMIFS(Adjustments!G6:G27,Adjustments!B6:B27,A28)</f>
        <v>-1664.2</v>
      </c>
      <c r="F28" s="29">
        <f>D28+E28</f>
        <v>31372.3</v>
      </c>
      <c r="G28" s="30">
        <f>IFERROR((F28-D28)/ABS(D28),0)</f>
        <v>-5.037458568552966E-2</v>
      </c>
      <c r="H28" s="29">
        <f>F28-C28</f>
        <v>-4576.3999999999978</v>
      </c>
      <c r="I28" s="30">
        <f>IFERROR((F28-C28)/ABS(C28),0)</f>
        <v>-0.1273036298948223</v>
      </c>
      <c r="J28" s="31">
        <f>ROUND(F28-Forecast!O32,1)</f>
        <v>0</v>
      </c>
    </row>
    <row r="29" spans="1:10">
      <c r="A29" t="s">
        <v>49</v>
      </c>
      <c r="B29" s="28" t="s">
        <v>42</v>
      </c>
      <c r="C29" s="29">
        <v>22211.9</v>
      </c>
      <c r="D29" s="29">
        <v>21242</v>
      </c>
      <c r="E29" s="29">
        <f>SUMIFS(Adjustments!H6:H27,Adjustments!B6:B27,A29)</f>
        <v>251.80000000000007</v>
      </c>
      <c r="F29" s="29">
        <f>D29+E29</f>
        <v>21493.8</v>
      </c>
      <c r="G29" s="30">
        <f>IFERROR((F29-D29)/ABS(D29),0)</f>
        <v>1.1853874399773999E-2</v>
      </c>
      <c r="H29" s="29">
        <f>F29-C29</f>
        <v>-718.10000000000218</v>
      </c>
      <c r="I29" s="30">
        <f>IFERROR((F29-C29)/ABS(C29),0)</f>
        <v>-3.232951706067478E-2</v>
      </c>
      <c r="J29" s="31">
        <f>ROUND(F29-Forecast!O34,1)</f>
        <v>0</v>
      </c>
    </row>
    <row r="30" spans="1:10">
      <c r="A30" t="s">
        <v>49</v>
      </c>
      <c r="B30" s="5" t="s">
        <v>43</v>
      </c>
      <c r="C30" s="29">
        <f>C28-C29</f>
        <v>13736.799999999996</v>
      </c>
      <c r="D30" s="29">
        <f>D28-D29</f>
        <v>11794.5</v>
      </c>
      <c r="E30" s="29">
        <f>E28-E29</f>
        <v>-1916</v>
      </c>
      <c r="F30" s="29">
        <f>F28-F29</f>
        <v>9878.5</v>
      </c>
      <c r="G30" s="30">
        <f>IFERROR((F30-D30)/ABS(D30),0)</f>
        <v>-0.16244859892322694</v>
      </c>
      <c r="H30" s="29">
        <f>F30-C30</f>
        <v>-3858.2999999999956</v>
      </c>
      <c r="I30" s="30">
        <f>IFERROR((F30-C30)/ABS(C30),0)</f>
        <v>-0.28087327470735518</v>
      </c>
      <c r="J30" s="31">
        <f>ROUND(F30-Forecast!O36,1)</f>
        <v>0</v>
      </c>
    </row>
    <row r="31" spans="1:10">
      <c r="A31" t="s">
        <v>49</v>
      </c>
      <c r="B31" s="28" t="s">
        <v>44</v>
      </c>
      <c r="C31" s="30">
        <f>IFERROR(C28/C27,0)</f>
        <v>0.30599950970210993</v>
      </c>
      <c r="D31" s="30">
        <f>IFERROR(D28/D27,0)</f>
        <v>0.30172138229336198</v>
      </c>
      <c r="F31" s="30">
        <f>IFERROR(F28/F27,0)</f>
        <v>0.28954618324520837</v>
      </c>
      <c r="G31" s="32">
        <f>(F31-D31)*100</f>
        <v>-1.2175199048153618</v>
      </c>
      <c r="H31" s="32">
        <f>(F31-C31)*100</f>
        <v>-1.6453326456901562</v>
      </c>
    </row>
    <row r="32" spans="1:10">
      <c r="A32" t="s">
        <v>49</v>
      </c>
      <c r="B32" s="28" t="s">
        <v>45</v>
      </c>
      <c r="C32" s="30">
        <f>IFERROR(C29/C27,0)</f>
        <v>0.18907027262605594</v>
      </c>
      <c r="D32" s="30">
        <f>IFERROR(D29/D27,0)</f>
        <v>0.19400256088494833</v>
      </c>
      <c r="F32" s="30">
        <f>IFERROR(F29/F27,0)</f>
        <v>0.19837397173416865</v>
      </c>
      <c r="G32" s="32">
        <f>(F32-D32)*100</f>
        <v>0.43714108492203252</v>
      </c>
      <c r="H32" s="32">
        <f>(F32-C32)*100</f>
        <v>0.93036991081127118</v>
      </c>
    </row>
    <row r="33" spans="1:10">
      <c r="A33" t="s">
        <v>49</v>
      </c>
      <c r="B33" s="28" t="s">
        <v>46</v>
      </c>
      <c r="C33" s="30">
        <f>IFERROR(C30/C27,0)</f>
        <v>0.11692923707605402</v>
      </c>
      <c r="D33" s="30">
        <f>IFERROR(D30/D27,0)</f>
        <v>0.10771882140841367</v>
      </c>
      <c r="F33" s="30">
        <f>IFERROR(F30/F27,0)</f>
        <v>9.11722115110397E-2</v>
      </c>
      <c r="G33" s="32">
        <f>(F33-D33)*100</f>
        <v>-1.6546609897373972</v>
      </c>
      <c r="H33" s="32">
        <f>(F33-C33)*100</f>
        <v>-2.5757025565014318</v>
      </c>
    </row>
    <row r="34" spans="1:10">
      <c r="A34" s="23" t="s">
        <v>50</v>
      </c>
      <c r="B34" s="24" t="s">
        <v>40</v>
      </c>
      <c r="C34" s="25">
        <v>77357.600000000006</v>
      </c>
      <c r="D34" s="25">
        <v>76049.2</v>
      </c>
      <c r="E34" s="25">
        <f>SUMIFS(Adjustments!F6:F27,Adjustments!B6:B27,A34)</f>
        <v>-972.89999999999975</v>
      </c>
      <c r="F34" s="25">
        <f>D34+E34</f>
        <v>75076.3</v>
      </c>
      <c r="G34" s="26">
        <f>IFERROR((F34-D34)/ABS(D34),0)</f>
        <v>-1.279303398326339E-2</v>
      </c>
      <c r="H34" s="25">
        <f>F34-C34</f>
        <v>-2281.3000000000029</v>
      </c>
      <c r="I34" s="26">
        <f>IFERROR((F34-C34)/ABS(C34),0)</f>
        <v>-2.9490315108017865E-2</v>
      </c>
      <c r="J34" s="27">
        <f>ROUND(F34-Forecast!O39,1)</f>
        <v>0</v>
      </c>
    </row>
    <row r="35" spans="1:10">
      <c r="A35" t="s">
        <v>50</v>
      </c>
      <c r="B35" s="28" t="s">
        <v>41</v>
      </c>
      <c r="C35" s="29">
        <v>17637.5</v>
      </c>
      <c r="D35" s="29">
        <v>17134.5</v>
      </c>
      <c r="E35" s="29">
        <f>SUMIFS(Adjustments!G6:G27,Adjustments!B6:B27,A35)</f>
        <v>-253.6</v>
      </c>
      <c r="F35" s="29">
        <f>D35+E35</f>
        <v>16880.900000000001</v>
      </c>
      <c r="G35" s="30">
        <f>IFERROR((F35-D35)/ABS(D35),0)</f>
        <v>-1.4800548600776127E-2</v>
      </c>
      <c r="H35" s="29">
        <f>F35-C35</f>
        <v>-756.59999999999854</v>
      </c>
      <c r="I35" s="30">
        <f>IFERROR((F35-C35)/ABS(C35),0)</f>
        <v>-4.2897236002834786E-2</v>
      </c>
      <c r="J35" s="31">
        <f>ROUND(F35-Forecast!O40,1)</f>
        <v>0</v>
      </c>
    </row>
    <row r="36" spans="1:10">
      <c r="A36" t="s">
        <v>50</v>
      </c>
      <c r="B36" s="28" t="s">
        <v>42</v>
      </c>
      <c r="C36" s="29">
        <v>15668.9</v>
      </c>
      <c r="D36" s="29">
        <v>15432.7</v>
      </c>
      <c r="E36" s="29">
        <f>SUMIFS(Adjustments!H6:H27,Adjustments!B6:B27,A36)</f>
        <v>311</v>
      </c>
      <c r="F36" s="29">
        <f>D36+E36</f>
        <v>15743.7</v>
      </c>
      <c r="G36" s="30">
        <f>IFERROR((F36-D36)/ABS(D36),0)</f>
        <v>2.015201487750037E-2</v>
      </c>
      <c r="H36" s="29">
        <f>F36-C36</f>
        <v>74.800000000001091</v>
      </c>
      <c r="I36" s="30">
        <f>IFERROR((F36-C36)/ABS(C36),0)</f>
        <v>4.7737875664533623E-3</v>
      </c>
      <c r="J36" s="31">
        <f>ROUND(F36-Forecast!O42,1)</f>
        <v>0</v>
      </c>
    </row>
    <row r="37" spans="1:10">
      <c r="A37" t="s">
        <v>50</v>
      </c>
      <c r="B37" s="5" t="s">
        <v>43</v>
      </c>
      <c r="C37" s="29">
        <f>C35-C36</f>
        <v>1968.6000000000004</v>
      </c>
      <c r="D37" s="29">
        <f>D35-D36</f>
        <v>1701.7999999999993</v>
      </c>
      <c r="E37" s="29">
        <f>E35-E36</f>
        <v>-564.6</v>
      </c>
      <c r="F37" s="29">
        <f>F35-F36</f>
        <v>1137.2000000000007</v>
      </c>
      <c r="G37" s="30">
        <f>IFERROR((F37-D37)/ABS(D37),0)</f>
        <v>-0.33176636502526663</v>
      </c>
      <c r="H37" s="29">
        <f>F37-C37</f>
        <v>-831.39999999999964</v>
      </c>
      <c r="I37" s="30">
        <f>IFERROR((F37-C37)/ABS(C37),0)</f>
        <v>-0.42233059026719472</v>
      </c>
      <c r="J37" s="31">
        <f>ROUND(F37-Forecast!O44,1)</f>
        <v>0</v>
      </c>
    </row>
    <row r="38" spans="1:10">
      <c r="A38" t="s">
        <v>50</v>
      </c>
      <c r="B38" s="28" t="s">
        <v>44</v>
      </c>
      <c r="C38" s="30">
        <f>IFERROR(C35/C34,0)</f>
        <v>0.22799957599511875</v>
      </c>
      <c r="D38" s="30">
        <f>IFERROR(D35/D34,0)</f>
        <v>0.22530809002593058</v>
      </c>
      <c r="F38" s="30">
        <f>IFERROR(F35/F34,0)</f>
        <v>0.22484991934871593</v>
      </c>
      <c r="G38" s="32">
        <f>(F38-D38)*100</f>
        <v>-4.5817067721465321E-2</v>
      </c>
      <c r="H38" s="32">
        <f>(F38-C38)*100</f>
        <v>-0.31496566464028208</v>
      </c>
    </row>
    <row r="39" spans="1:10">
      <c r="A39" t="s">
        <v>50</v>
      </c>
      <c r="B39" s="28" t="s">
        <v>45</v>
      </c>
      <c r="C39" s="30">
        <f>IFERROR(C36/C34,0)</f>
        <v>0.20255152693465153</v>
      </c>
      <c r="D39" s="30">
        <f>IFERROR(D36/D34,0)</f>
        <v>0.20293047132645711</v>
      </c>
      <c r="F39" s="30">
        <f>IFERROR(F36/F34,0)</f>
        <v>0.2097026624913588</v>
      </c>
      <c r="G39" s="32">
        <f>(F39-D39)*100</f>
        <v>0.67721911649016864</v>
      </c>
      <c r="H39" s="32">
        <f>(F39-C39)*100</f>
        <v>0.71511355567072665</v>
      </c>
    </row>
    <row r="40" spans="1:10">
      <c r="A40" t="s">
        <v>50</v>
      </c>
      <c r="B40" s="28" t="s">
        <v>46</v>
      </c>
      <c r="C40" s="30">
        <f>IFERROR(C37/C34,0)</f>
        <v>2.5448049060467236E-2</v>
      </c>
      <c r="D40" s="30">
        <f>IFERROR(D37/D34,0)</f>
        <v>2.2377618699473491E-2</v>
      </c>
      <c r="F40" s="30">
        <f>IFERROR(F37/F34,0)</f>
        <v>1.5147256857357124E-2</v>
      </c>
      <c r="G40" s="32">
        <f>(F40-D40)*100</f>
        <v>-0.72303618421163673</v>
      </c>
      <c r="H40" s="32">
        <f>(F40-C40)*100</f>
        <v>-1.0300792203110112</v>
      </c>
    </row>
    <row r="42" spans="1:10">
      <c r="A42" s="33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9" customWidth="1"/>
    <col min="2" max="2" width="24" customWidth="1"/>
    <col min="3" max="3" width="15" customWidth="1"/>
    <col min="4" max="4" width="70" customWidth="1"/>
    <col min="5" max="5" width="14" customWidth="1"/>
    <col min="6" max="6" width="11" customWidth="1"/>
    <col min="7" max="7" width="13" customWidth="1"/>
    <col min="8" max="9" width="11" customWidth="1"/>
  </cols>
  <sheetData>
    <row r="1" spans="1:9">
      <c r="A1" s="8" t="s">
        <v>52</v>
      </c>
    </row>
    <row r="2" spans="1:9">
      <c r="A2" s="2" t="s">
        <v>53</v>
      </c>
    </row>
    <row r="3" spans="1:9">
      <c r="A3" s="9" t="s">
        <v>2</v>
      </c>
    </row>
    <row r="5" spans="1:9">
      <c r="A5" s="10" t="s">
        <v>54</v>
      </c>
      <c r="B5" s="10" t="s">
        <v>29</v>
      </c>
      <c r="C5" s="10" t="s">
        <v>55</v>
      </c>
      <c r="D5" s="10" t="s">
        <v>56</v>
      </c>
      <c r="E5" s="10" t="s">
        <v>57</v>
      </c>
      <c r="F5" s="10" t="s">
        <v>40</v>
      </c>
      <c r="G5" s="10" t="s">
        <v>41</v>
      </c>
      <c r="H5" s="10" t="s">
        <v>42</v>
      </c>
      <c r="I5" s="10" t="s">
        <v>43</v>
      </c>
    </row>
    <row r="6" spans="1:9">
      <c r="A6" t="s">
        <v>58</v>
      </c>
      <c r="B6" t="s">
        <v>47</v>
      </c>
      <c r="C6" t="s">
        <v>59</v>
      </c>
      <c r="D6" s="6" t="s">
        <v>60</v>
      </c>
      <c r="E6" t="s">
        <v>61</v>
      </c>
      <c r="F6" s="29">
        <v>11100</v>
      </c>
      <c r="G6" s="29">
        <v>2115.1</v>
      </c>
      <c r="H6" s="29">
        <v>2850.4</v>
      </c>
      <c r="I6" s="29">
        <f>G6-H6</f>
        <v>-735.30000000000018</v>
      </c>
    </row>
    <row r="7" spans="1:9">
      <c r="A7" t="s">
        <v>62</v>
      </c>
      <c r="B7" t="s">
        <v>47</v>
      </c>
      <c r="C7" t="s">
        <v>63</v>
      </c>
      <c r="D7" s="6" t="s">
        <v>64</v>
      </c>
      <c r="E7" t="s">
        <v>61</v>
      </c>
      <c r="F7" s="29">
        <v>-552.6</v>
      </c>
      <c r="G7" s="29">
        <v>125.6</v>
      </c>
      <c r="H7" s="29">
        <v>-52</v>
      </c>
      <c r="I7" s="29">
        <f>G7-H7</f>
        <v>177.6</v>
      </c>
    </row>
    <row r="8" spans="1:9">
      <c r="A8" t="s">
        <v>65</v>
      </c>
      <c r="B8" t="s">
        <v>48</v>
      </c>
      <c r="C8" t="s">
        <v>66</v>
      </c>
      <c r="D8" s="6" t="s">
        <v>67</v>
      </c>
      <c r="E8" t="s">
        <v>61</v>
      </c>
      <c r="F8" s="29">
        <v>-897.1</v>
      </c>
      <c r="G8" s="29">
        <v>-255.2</v>
      </c>
      <c r="H8" s="29">
        <v>-84.4</v>
      </c>
      <c r="I8" s="29">
        <f>G8-H8</f>
        <v>-170.79999999999998</v>
      </c>
    </row>
    <row r="9" spans="1:9">
      <c r="A9" t="s">
        <v>68</v>
      </c>
      <c r="B9" t="s">
        <v>48</v>
      </c>
      <c r="C9" t="s">
        <v>59</v>
      </c>
      <c r="D9" s="6" t="s">
        <v>69</v>
      </c>
      <c r="E9" t="s">
        <v>61</v>
      </c>
      <c r="F9" s="29">
        <v>586.70000000000005</v>
      </c>
      <c r="G9" s="29">
        <v>167</v>
      </c>
      <c r="H9" s="29">
        <v>55.2</v>
      </c>
      <c r="I9" s="29">
        <f>G9-H9</f>
        <v>111.8</v>
      </c>
    </row>
    <row r="10" spans="1:9">
      <c r="A10" t="s">
        <v>70</v>
      </c>
      <c r="B10" t="s">
        <v>48</v>
      </c>
      <c r="C10" t="s">
        <v>71</v>
      </c>
      <c r="D10" s="6" t="s">
        <v>72</v>
      </c>
      <c r="E10" t="s">
        <v>73</v>
      </c>
      <c r="F10" s="29">
        <v>0</v>
      </c>
      <c r="G10" s="29">
        <v>249.9</v>
      </c>
      <c r="H10" s="29">
        <v>0</v>
      </c>
      <c r="I10" s="29">
        <f>G10-H10</f>
        <v>249.9</v>
      </c>
    </row>
    <row r="11" spans="1:9">
      <c r="A11" t="s">
        <v>74</v>
      </c>
      <c r="B11" t="s">
        <v>48</v>
      </c>
      <c r="C11" t="s">
        <v>71</v>
      </c>
      <c r="D11" s="6" t="s">
        <v>75</v>
      </c>
      <c r="E11" t="s">
        <v>76</v>
      </c>
      <c r="F11" s="29">
        <v>0</v>
      </c>
      <c r="G11" s="29">
        <v>0</v>
      </c>
      <c r="H11" s="29">
        <v>266</v>
      </c>
      <c r="I11" s="29">
        <f>G11-H11</f>
        <v>-266</v>
      </c>
    </row>
    <row r="12" spans="1:9">
      <c r="A12" t="s">
        <v>77</v>
      </c>
      <c r="B12" t="s">
        <v>49</v>
      </c>
      <c r="C12" t="s">
        <v>66</v>
      </c>
      <c r="D12" s="6" t="s">
        <v>78</v>
      </c>
      <c r="E12" t="s">
        <v>79</v>
      </c>
      <c r="F12" s="29">
        <v>-1143.5</v>
      </c>
      <c r="G12" s="29">
        <v>-346.7</v>
      </c>
      <c r="H12" s="29">
        <v>-106.4</v>
      </c>
      <c r="I12" s="29">
        <f>G12-H12</f>
        <v>-240.29999999999998</v>
      </c>
    </row>
    <row r="13" spans="1:9">
      <c r="A13" t="s">
        <v>80</v>
      </c>
      <c r="B13" t="s">
        <v>49</v>
      </c>
      <c r="C13" t="s">
        <v>81</v>
      </c>
      <c r="D13" s="6" t="s">
        <v>82</v>
      </c>
      <c r="E13" t="s">
        <v>61</v>
      </c>
      <c r="F13" s="29">
        <v>0</v>
      </c>
      <c r="G13" s="29">
        <v>-1317.5</v>
      </c>
      <c r="H13" s="29">
        <v>0</v>
      </c>
      <c r="I13" s="29">
        <f>G13-H13</f>
        <v>-1317.5</v>
      </c>
    </row>
    <row r="14" spans="1:9">
      <c r="A14" t="s">
        <v>83</v>
      </c>
      <c r="B14" t="s">
        <v>49</v>
      </c>
      <c r="C14" t="s">
        <v>84</v>
      </c>
      <c r="D14" s="6" t="s">
        <v>85</v>
      </c>
      <c r="E14" t="s">
        <v>73</v>
      </c>
      <c r="F14" s="29">
        <v>0</v>
      </c>
      <c r="G14" s="29">
        <v>0</v>
      </c>
      <c r="H14" s="29">
        <v>399.5</v>
      </c>
      <c r="I14" s="29">
        <f>G14-H14</f>
        <v>-399.5</v>
      </c>
    </row>
    <row r="15" spans="1:9">
      <c r="A15" t="s">
        <v>86</v>
      </c>
      <c r="B15" t="s">
        <v>49</v>
      </c>
      <c r="C15" t="s">
        <v>87</v>
      </c>
      <c r="D15" s="6" t="s">
        <v>88</v>
      </c>
      <c r="E15" t="s">
        <v>61</v>
      </c>
      <c r="F15" s="29">
        <v>0</v>
      </c>
      <c r="G15" s="29">
        <v>0</v>
      </c>
      <c r="H15" s="29">
        <v>-122.6</v>
      </c>
      <c r="I15" s="29">
        <f>G15-H15</f>
        <v>122.6</v>
      </c>
    </row>
    <row r="16" spans="1:9">
      <c r="A16" t="s">
        <v>89</v>
      </c>
      <c r="B16" t="s">
        <v>49</v>
      </c>
      <c r="C16" t="s">
        <v>90</v>
      </c>
      <c r="D16" s="6" t="s">
        <v>91</v>
      </c>
      <c r="E16" t="s">
        <v>92</v>
      </c>
      <c r="F16" s="29">
        <v>0</v>
      </c>
      <c r="G16" s="29">
        <v>0</v>
      </c>
      <c r="H16" s="29">
        <v>0</v>
      </c>
      <c r="I16" s="29">
        <f>G16-H16</f>
        <v>0</v>
      </c>
    </row>
    <row r="17" spans="1:9">
      <c r="A17" t="s">
        <v>93</v>
      </c>
      <c r="B17" t="s">
        <v>50</v>
      </c>
      <c r="C17" t="s">
        <v>94</v>
      </c>
      <c r="D17" s="6" t="s">
        <v>95</v>
      </c>
      <c r="E17" t="s">
        <v>96</v>
      </c>
      <c r="F17" s="29">
        <v>-2157.6999999999998</v>
      </c>
      <c r="G17" s="29">
        <v>-488.2</v>
      </c>
      <c r="H17" s="29">
        <v>-202.4</v>
      </c>
      <c r="I17" s="29">
        <f>G17-H17</f>
        <v>-285.79999999999995</v>
      </c>
    </row>
    <row r="18" spans="1:9">
      <c r="A18" t="s">
        <v>97</v>
      </c>
      <c r="B18" t="s">
        <v>50</v>
      </c>
      <c r="C18" t="s">
        <v>98</v>
      </c>
      <c r="D18" s="6" t="s">
        <v>99</v>
      </c>
      <c r="E18" t="s">
        <v>100</v>
      </c>
      <c r="F18" s="29">
        <v>447.2</v>
      </c>
      <c r="G18" s="29">
        <v>67.2</v>
      </c>
      <c r="H18" s="29">
        <v>371.9</v>
      </c>
      <c r="I18" s="29">
        <f>G18-H18</f>
        <v>-304.7</v>
      </c>
    </row>
    <row r="19" spans="1:9">
      <c r="A19" t="s">
        <v>101</v>
      </c>
      <c r="B19" t="s">
        <v>50</v>
      </c>
      <c r="C19" t="s">
        <v>66</v>
      </c>
      <c r="D19" s="6" t="s">
        <v>102</v>
      </c>
      <c r="E19" t="s">
        <v>103</v>
      </c>
      <c r="F19" s="29">
        <v>737.6</v>
      </c>
      <c r="G19" s="29">
        <v>167.4</v>
      </c>
      <c r="H19" s="29">
        <v>69.099999999999994</v>
      </c>
      <c r="I19" s="29">
        <f>G19-H19</f>
        <v>98.300000000000011</v>
      </c>
    </row>
    <row r="20" spans="1:9">
      <c r="A20" t="s">
        <v>104</v>
      </c>
      <c r="B20" t="s">
        <v>47</v>
      </c>
      <c r="C20" t="s">
        <v>71</v>
      </c>
      <c r="D20" s="6" t="s">
        <v>105</v>
      </c>
      <c r="E20" t="s">
        <v>61</v>
      </c>
      <c r="F20" s="29">
        <v>0</v>
      </c>
      <c r="G20" s="29">
        <v>0</v>
      </c>
      <c r="H20" s="29">
        <v>180</v>
      </c>
      <c r="I20" s="29">
        <f>G20-H20</f>
        <v>-180</v>
      </c>
    </row>
    <row r="21" spans="1:9">
      <c r="A21" t="s">
        <v>106</v>
      </c>
      <c r="B21" t="s">
        <v>48</v>
      </c>
      <c r="C21" t="s">
        <v>71</v>
      </c>
      <c r="D21" s="6" t="s">
        <v>105</v>
      </c>
      <c r="E21" t="s">
        <v>61</v>
      </c>
      <c r="F21" s="29">
        <v>0</v>
      </c>
      <c r="G21" s="29">
        <v>0</v>
      </c>
      <c r="H21" s="29">
        <v>150.30000000000001</v>
      </c>
      <c r="I21" s="29">
        <f>G21-H21</f>
        <v>-150.30000000000001</v>
      </c>
    </row>
    <row r="22" spans="1:9">
      <c r="A22" t="s">
        <v>107</v>
      </c>
      <c r="B22" t="s">
        <v>49</v>
      </c>
      <c r="C22" t="s">
        <v>71</v>
      </c>
      <c r="D22" s="6" t="s">
        <v>105</v>
      </c>
      <c r="E22" t="s">
        <v>61</v>
      </c>
      <c r="F22" s="29">
        <v>0</v>
      </c>
      <c r="G22" s="29">
        <v>0</v>
      </c>
      <c r="H22" s="29">
        <v>130.80000000000001</v>
      </c>
      <c r="I22" s="29">
        <f>G22-H22</f>
        <v>-130.80000000000001</v>
      </c>
    </row>
    <row r="23" spans="1:9">
      <c r="A23" t="s">
        <v>108</v>
      </c>
      <c r="B23" t="s">
        <v>50</v>
      </c>
      <c r="C23" t="s">
        <v>71</v>
      </c>
      <c r="D23" s="6" t="s">
        <v>105</v>
      </c>
      <c r="E23" t="s">
        <v>61</v>
      </c>
      <c r="F23" s="29">
        <v>0</v>
      </c>
      <c r="G23" s="29">
        <v>0</v>
      </c>
      <c r="H23" s="29">
        <v>108.4</v>
      </c>
      <c r="I23" s="29">
        <f>G23-H23</f>
        <v>-108.4</v>
      </c>
    </row>
    <row r="24" spans="1:9">
      <c r="A24" t="s">
        <v>109</v>
      </c>
      <c r="B24" t="s">
        <v>47</v>
      </c>
      <c r="C24" t="s">
        <v>87</v>
      </c>
      <c r="D24" s="6" t="s">
        <v>110</v>
      </c>
      <c r="E24" t="s">
        <v>61</v>
      </c>
      <c r="F24" s="29">
        <v>0</v>
      </c>
      <c r="G24" s="29">
        <v>0</v>
      </c>
      <c r="H24" s="29">
        <v>-76.3</v>
      </c>
      <c r="I24" s="29">
        <f>G24-H24</f>
        <v>76.3</v>
      </c>
    </row>
    <row r="25" spans="1:9">
      <c r="A25" t="s">
        <v>111</v>
      </c>
      <c r="B25" t="s">
        <v>48</v>
      </c>
      <c r="C25" t="s">
        <v>87</v>
      </c>
      <c r="D25" s="6" t="s">
        <v>110</v>
      </c>
      <c r="E25" t="s">
        <v>61</v>
      </c>
      <c r="F25" s="29">
        <v>0</v>
      </c>
      <c r="G25" s="29">
        <v>0</v>
      </c>
      <c r="H25" s="29">
        <v>-53.7</v>
      </c>
      <c r="I25" s="29">
        <f>G25-H25</f>
        <v>53.7</v>
      </c>
    </row>
    <row r="26" spans="1:9">
      <c r="A26" t="s">
        <v>112</v>
      </c>
      <c r="B26" t="s">
        <v>49</v>
      </c>
      <c r="C26" t="s">
        <v>87</v>
      </c>
      <c r="D26" s="6" t="s">
        <v>110</v>
      </c>
      <c r="E26" t="s">
        <v>61</v>
      </c>
      <c r="F26" s="29">
        <v>0</v>
      </c>
      <c r="G26" s="29">
        <v>0</v>
      </c>
      <c r="H26" s="29">
        <v>-49.5</v>
      </c>
      <c r="I26" s="29">
        <f>G26-H26</f>
        <v>49.5</v>
      </c>
    </row>
    <row r="27" spans="1:9">
      <c r="A27" t="s">
        <v>113</v>
      </c>
      <c r="B27" t="s">
        <v>50</v>
      </c>
      <c r="C27" t="s">
        <v>87</v>
      </c>
      <c r="D27" s="6" t="s">
        <v>110</v>
      </c>
      <c r="E27" t="s">
        <v>61</v>
      </c>
      <c r="F27" s="29">
        <v>0</v>
      </c>
      <c r="G27" s="29">
        <v>0</v>
      </c>
      <c r="H27" s="29">
        <v>-36</v>
      </c>
      <c r="I27" s="29">
        <f>G27-H27</f>
        <v>36</v>
      </c>
    </row>
    <row r="28" spans="1:9">
      <c r="D28" s="5" t="s">
        <v>114</v>
      </c>
      <c r="F28" s="34">
        <f>SUM(F6:F27)</f>
        <v>8120.6</v>
      </c>
      <c r="G28" s="34">
        <f>SUM(G6:G27)</f>
        <v>484.60000000000025</v>
      </c>
      <c r="H28" s="34">
        <f>SUM(H6:H27)</f>
        <v>3798.3</v>
      </c>
      <c r="I28" s="34">
        <f>SUM(I6:I27)</f>
        <v>-3313.7000000000003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workbookViewId="0">
      <pane xSplit="2" ySplit="6" topLeftCell="C7" activePane="bottomRight" state="frozen"/>
      <selection pane="bottomRight"/>
      <selection pane="bottomLeft"/>
      <selection pane="topRight"/>
    </sheetView>
  </sheetViews>
  <sheetFormatPr defaultRowHeight="15"/>
  <cols>
    <col min="1" max="1" width="24" customWidth="1"/>
    <col min="2" max="2" width="12" customWidth="1"/>
    <col min="3" max="15" width="11" customWidth="1"/>
  </cols>
  <sheetData>
    <row r="1" spans="1:15">
      <c r="A1" s="8" t="s">
        <v>115</v>
      </c>
    </row>
    <row r="2" spans="1:15">
      <c r="A2" s="2" t="s">
        <v>116</v>
      </c>
    </row>
    <row r="3" spans="1:15">
      <c r="A3" s="9" t="s">
        <v>2</v>
      </c>
    </row>
    <row r="5" spans="1:15">
      <c r="A5" s="10" t="s">
        <v>29</v>
      </c>
      <c r="B5" s="10" t="s">
        <v>30</v>
      </c>
      <c r="C5" s="10" t="s">
        <v>117</v>
      </c>
      <c r="D5" s="10" t="s">
        <v>118</v>
      </c>
      <c r="E5" s="10" t="s">
        <v>119</v>
      </c>
      <c r="F5" s="10" t="s">
        <v>120</v>
      </c>
      <c r="G5" s="10" t="s">
        <v>121</v>
      </c>
      <c r="H5" s="10" t="s">
        <v>122</v>
      </c>
      <c r="I5" s="10" t="s">
        <v>123</v>
      </c>
      <c r="J5" s="10" t="s">
        <v>124</v>
      </c>
      <c r="K5" s="10" t="s">
        <v>125</v>
      </c>
      <c r="L5" s="10" t="s">
        <v>126</v>
      </c>
      <c r="M5" s="10" t="s">
        <v>127</v>
      </c>
      <c r="N5" s="10" t="s">
        <v>128</v>
      </c>
      <c r="O5" s="10" t="s">
        <v>129</v>
      </c>
    </row>
    <row r="6" spans="1:15">
      <c r="A6" s="35" t="s">
        <v>130</v>
      </c>
      <c r="C6" s="36" t="s">
        <v>131</v>
      </c>
      <c r="D6" s="36" t="s">
        <v>131</v>
      </c>
      <c r="E6" s="36" t="s">
        <v>131</v>
      </c>
      <c r="F6" s="36" t="s">
        <v>131</v>
      </c>
      <c r="G6" s="36" t="s">
        <v>131</v>
      </c>
      <c r="H6" s="36" t="s">
        <v>131</v>
      </c>
      <c r="I6" s="36" t="s">
        <v>131</v>
      </c>
      <c r="J6" s="36" t="s">
        <v>131</v>
      </c>
      <c r="K6" s="36" t="s">
        <v>131</v>
      </c>
      <c r="L6" s="37" t="s">
        <v>132</v>
      </c>
      <c r="M6" s="37" t="s">
        <v>132</v>
      </c>
      <c r="N6" s="37" t="s">
        <v>132</v>
      </c>
    </row>
    <row r="7" spans="1:15">
      <c r="A7" s="11" t="s">
        <v>39</v>
      </c>
      <c r="B7" s="12" t="s">
        <v>40</v>
      </c>
      <c r="C7" s="13">
        <f>C15+C23+C31+C39</f>
        <v>37522.300000000003</v>
      </c>
      <c r="D7" s="13">
        <f>D15+D23+D31+D39</f>
        <v>36649.200000000004</v>
      </c>
      <c r="E7" s="13">
        <f>E15+E23+E31+E39</f>
        <v>40120.100000000006</v>
      </c>
      <c r="F7" s="13">
        <f>F15+F23+F31+F39</f>
        <v>40264.1</v>
      </c>
      <c r="G7" s="13">
        <f>G15+G23+G31+G39</f>
        <v>41056</v>
      </c>
      <c r="H7" s="13">
        <f>H15+H23+H31+H39</f>
        <v>41353.5</v>
      </c>
      <c r="I7" s="13">
        <f>I15+I23+I31+I39</f>
        <v>41113.4</v>
      </c>
      <c r="J7" s="13">
        <f>J15+J23+J31+J39</f>
        <v>41508.199999999997</v>
      </c>
      <c r="K7" s="13">
        <f>K15+K23+K31+K39</f>
        <v>41899.9</v>
      </c>
      <c r="L7" s="13">
        <f>L15+L23+L31+L39</f>
        <v>42230</v>
      </c>
      <c r="M7" s="13">
        <f>M15+M23+M31+M39</f>
        <v>41494.700000000004</v>
      </c>
      <c r="N7" s="13">
        <f>N15+N23+N31+N39</f>
        <v>41309</v>
      </c>
      <c r="O7" s="38">
        <f>SUM(C7:N7)</f>
        <v>486520.40000000008</v>
      </c>
    </row>
    <row r="8" spans="1:15">
      <c r="A8" s="16" t="s">
        <v>39</v>
      </c>
      <c r="B8" s="17" t="s">
        <v>41</v>
      </c>
      <c r="C8" s="18">
        <f>C16+C24+C32+C40</f>
        <v>9926.7999999999993</v>
      </c>
      <c r="D8" s="18">
        <f>D16+D24+D32+D40</f>
        <v>9756.5</v>
      </c>
      <c r="E8" s="18">
        <f>E16+E24+E32+E40</f>
        <v>10701.1</v>
      </c>
      <c r="F8" s="18">
        <f>F16+F24+F32+F40</f>
        <v>10684.2</v>
      </c>
      <c r="G8" s="18">
        <f>G16+G24+G32+G40</f>
        <v>10809.8</v>
      </c>
      <c r="H8" s="18">
        <f>H16+H24+H32+H40</f>
        <v>10780.800000000001</v>
      </c>
      <c r="I8" s="18">
        <f>I16+I24+I32+I40</f>
        <v>10561.1</v>
      </c>
      <c r="J8" s="18">
        <f>J16+J24+J32+J40</f>
        <v>10694.5</v>
      </c>
      <c r="K8" s="18">
        <f>K16+K24+K32+K40</f>
        <v>11053.199999999999</v>
      </c>
      <c r="L8" s="18">
        <f>L16+L24+L32+L40</f>
        <v>10834.1</v>
      </c>
      <c r="M8" s="18">
        <f>M16+M24+M32+M40</f>
        <v>10706.800000000001</v>
      </c>
      <c r="N8" s="18">
        <f>N16+N24+N32+N40</f>
        <v>10609.4</v>
      </c>
      <c r="O8" s="34">
        <f>SUM(C8:N8)</f>
        <v>127118.30000000002</v>
      </c>
    </row>
    <row r="9" spans="1:15">
      <c r="A9" s="16" t="s">
        <v>39</v>
      </c>
      <c r="B9" s="17" t="s">
        <v>44</v>
      </c>
      <c r="C9" s="19">
        <f>IFERROR(C8/C7,0)</f>
        <v>0.26455734323322394</v>
      </c>
      <c r="D9" s="19">
        <f>IFERROR(D8/D7,0)</f>
        <v>0.26621317791384258</v>
      </c>
      <c r="E9" s="19">
        <f>IFERROR(E8/E7,0)</f>
        <v>0.26672665322369582</v>
      </c>
      <c r="F9" s="19">
        <f>IFERROR(F8/F7,0)</f>
        <v>0.26535300677278273</v>
      </c>
      <c r="G9" s="19">
        <f>IFERROR(G8/G7,0)</f>
        <v>0.26329403741231489</v>
      </c>
      <c r="H9" s="19">
        <f>IFERROR(H8/H7,0)</f>
        <v>0.26069861075846062</v>
      </c>
      <c r="I9" s="19">
        <f>IFERROR(I8/I7,0)</f>
        <v>0.25687731980327583</v>
      </c>
      <c r="J9" s="19">
        <f>IFERROR(J8/J7,0)</f>
        <v>0.25764788644171516</v>
      </c>
      <c r="K9" s="19">
        <f>IFERROR(K8/K7,0)</f>
        <v>0.26380015226766645</v>
      </c>
      <c r="L9" s="19">
        <f>IFERROR(L8/L7,0)</f>
        <v>0.25654984608098508</v>
      </c>
      <c r="M9" s="19">
        <f>IFERROR(M8/M7,0)</f>
        <v>0.25802813371346223</v>
      </c>
      <c r="N9" s="19">
        <f>IFERROR(N8/N7,0)</f>
        <v>0.25683023070033162</v>
      </c>
      <c r="O9" s="39">
        <f>IFERROR(O8/O7,0)</f>
        <v>0.26128051362286142</v>
      </c>
    </row>
    <row r="10" spans="1:15">
      <c r="A10" s="16" t="s">
        <v>39</v>
      </c>
      <c r="B10" s="17" t="s">
        <v>42</v>
      </c>
      <c r="C10" s="18">
        <f>C18+C26+C34+C42</f>
        <v>7455.8</v>
      </c>
      <c r="D10" s="18">
        <f>D18+D26+D34+D42</f>
        <v>7388</v>
      </c>
      <c r="E10" s="18">
        <f>E18+E26+E34+E42</f>
        <v>7694.4000000000005</v>
      </c>
      <c r="F10" s="18">
        <f>F18+F26+F34+F42</f>
        <v>7724.9</v>
      </c>
      <c r="G10" s="18">
        <f>G18+G26+G34+G42</f>
        <v>7839.6</v>
      </c>
      <c r="H10" s="18">
        <f>H18+H26+H34+H42</f>
        <v>7977.2000000000007</v>
      </c>
      <c r="I10" s="18">
        <f>I18+I26+I34+I42</f>
        <v>8454.5</v>
      </c>
      <c r="J10" s="18">
        <f>J18+J26+J34+J42</f>
        <v>8707.7000000000007</v>
      </c>
      <c r="K10" s="18">
        <f>K18+K26+K34+K42</f>
        <v>8948.2000000000007</v>
      </c>
      <c r="L10" s="18">
        <f>L18+L26+L34+L42</f>
        <v>8304.2000000000007</v>
      </c>
      <c r="M10" s="18">
        <f>M18+M26+M34+M42</f>
        <v>8208.6</v>
      </c>
      <c r="N10" s="18">
        <f>N18+N26+N34+N42</f>
        <v>7960.6</v>
      </c>
      <c r="O10" s="34">
        <f>SUM(C10:N10)</f>
        <v>96663.7</v>
      </c>
    </row>
    <row r="11" spans="1:15">
      <c r="A11" s="16" t="s">
        <v>39</v>
      </c>
      <c r="B11" s="17" t="s">
        <v>45</v>
      </c>
      <c r="C11" s="19">
        <f>IFERROR(C10/C7,0)</f>
        <v>0.19870317118087111</v>
      </c>
      <c r="D11" s="19">
        <f>IFERROR(D10/D7,0)</f>
        <v>0.20158693777763223</v>
      </c>
      <c r="E11" s="19">
        <f>IFERROR(E10/E7,0)</f>
        <v>0.19178416803547349</v>
      </c>
      <c r="F11" s="19">
        <f>IFERROR(F10/F7,0)</f>
        <v>0.19185577226362938</v>
      </c>
      <c r="G11" s="19">
        <f>IFERROR(G10/G7,0)</f>
        <v>0.19094894777864382</v>
      </c>
      <c r="H11" s="19">
        <f>IFERROR(H10/H7,0)</f>
        <v>0.19290265636524118</v>
      </c>
      <c r="I11" s="19">
        <f>IFERROR(I10/I7,0)</f>
        <v>0.20563855093473174</v>
      </c>
      <c r="J11" s="19">
        <f>IFERROR(J10/J7,0)</f>
        <v>0.20978264535682109</v>
      </c>
      <c r="K11" s="19">
        <f>IFERROR(K10/K7,0)</f>
        <v>0.21356136888154864</v>
      </c>
      <c r="L11" s="19">
        <f>IFERROR(L10/L7,0)</f>
        <v>0.19664219748993608</v>
      </c>
      <c r="M11" s="19">
        <f>IFERROR(M10/M7,0)</f>
        <v>0.19782285448503062</v>
      </c>
      <c r="N11" s="19">
        <f>IFERROR(N10/N7,0)</f>
        <v>0.19270861071437217</v>
      </c>
      <c r="O11" s="39">
        <f>IFERROR(O10/O7,0)</f>
        <v>0.19868375509022845</v>
      </c>
    </row>
    <row r="12" spans="1:15">
      <c r="A12" s="16" t="s">
        <v>39</v>
      </c>
      <c r="B12" s="21" t="s">
        <v>43</v>
      </c>
      <c r="C12" s="18">
        <f>C8-C10</f>
        <v>2470.9999999999991</v>
      </c>
      <c r="D12" s="18">
        <f>D8-D10</f>
        <v>2368.5</v>
      </c>
      <c r="E12" s="18">
        <f>E8-E10</f>
        <v>3006.7</v>
      </c>
      <c r="F12" s="18">
        <f>F8-F10</f>
        <v>2959.3000000000011</v>
      </c>
      <c r="G12" s="18">
        <f>G8-G10</f>
        <v>2970.1999999999989</v>
      </c>
      <c r="H12" s="18">
        <f>H8-H10</f>
        <v>2803.6000000000004</v>
      </c>
      <c r="I12" s="18">
        <f>I8-I10</f>
        <v>2106.6000000000004</v>
      </c>
      <c r="J12" s="18">
        <f>J8-J10</f>
        <v>1986.7999999999993</v>
      </c>
      <c r="K12" s="18">
        <f>K8-K10</f>
        <v>2104.9999999999982</v>
      </c>
      <c r="L12" s="18">
        <f>L8-L10</f>
        <v>2529.8999999999996</v>
      </c>
      <c r="M12" s="18">
        <f>M8-M10</f>
        <v>2498.2000000000007</v>
      </c>
      <c r="N12" s="18">
        <f>N8-N10</f>
        <v>2648.7999999999993</v>
      </c>
      <c r="O12" s="34">
        <f>SUM(C12:N12)</f>
        <v>30454.6</v>
      </c>
    </row>
    <row r="13" spans="1:15">
      <c r="A13" s="16" t="s">
        <v>39</v>
      </c>
      <c r="B13" s="17" t="s">
        <v>46</v>
      </c>
      <c r="C13" s="19">
        <f>IFERROR(C12/C7,0)</f>
        <v>6.5854172052352833E-2</v>
      </c>
      <c r="D13" s="19">
        <f>IFERROR(D12/D7,0)</f>
        <v>6.4626240136210336E-2</v>
      </c>
      <c r="E13" s="19">
        <f>IFERROR(E12/E7,0)</f>
        <v>7.4942485188222344E-2</v>
      </c>
      <c r="F13" s="19">
        <f>IFERROR(F12/F7,0)</f>
        <v>7.3497234509153339E-2</v>
      </c>
      <c r="G13" s="19">
        <f>IFERROR(G12/G7,0)</f>
        <v>7.2345089633671061E-2</v>
      </c>
      <c r="H13" s="19">
        <f>IFERROR(H12/H7,0)</f>
        <v>6.7795954393219449E-2</v>
      </c>
      <c r="I13" s="19">
        <f>IFERROR(I12/I7,0)</f>
        <v>5.1238768868544081E-2</v>
      </c>
      <c r="J13" s="19">
        <f>IFERROR(J12/J7,0)</f>
        <v>4.7865241084894053E-2</v>
      </c>
      <c r="K13" s="19">
        <f>IFERROR(K12/K7,0)</f>
        <v>5.023878338611782E-2</v>
      </c>
      <c r="L13" s="19">
        <f>IFERROR(L12/L7,0)</f>
        <v>5.9907648591049009E-2</v>
      </c>
      <c r="M13" s="19">
        <f>IFERROR(M12/M7,0)</f>
        <v>6.0205279228431594E-2</v>
      </c>
      <c r="N13" s="19">
        <f>IFERROR(N12/N7,0)</f>
        <v>6.4121619985959458E-2</v>
      </c>
      <c r="O13" s="39">
        <f>IFERROR(O12/O7,0)</f>
        <v>6.259675853263294E-2</v>
      </c>
    </row>
    <row r="14" spans="1:15">
      <c r="A14" s="16" t="s">
        <v>39</v>
      </c>
      <c r="B14" s="17" t="s">
        <v>133</v>
      </c>
      <c r="C14" s="18">
        <f>IFERROR(C7/21,0)</f>
        <v>1786.7761904761905</v>
      </c>
      <c r="D14" s="18">
        <f>IFERROR(D7/20,0)</f>
        <v>1832.4600000000003</v>
      </c>
      <c r="E14" s="18">
        <f>IFERROR(E7/22,0)</f>
        <v>1823.6409090909094</v>
      </c>
      <c r="F14" s="18">
        <f>IFERROR(F7/22,0)</f>
        <v>1830.1863636363635</v>
      </c>
      <c r="G14" s="18">
        <f>IFERROR(G7/20,0)</f>
        <v>2052.8000000000002</v>
      </c>
      <c r="H14" s="18">
        <f>IFERROR(H7/22,0)</f>
        <v>1879.7045454545455</v>
      </c>
      <c r="I14" s="18">
        <f>IFERROR(I7/22,0)</f>
        <v>1868.7909090909091</v>
      </c>
      <c r="J14" s="18">
        <f>IFERROR(J7/21,0)</f>
        <v>1976.5809523809523</v>
      </c>
      <c r="K14" s="18">
        <f>IFERROR(K7/21,0)</f>
        <v>1995.2333333333333</v>
      </c>
      <c r="L14" s="18">
        <f>IFERROR(L7/22,0)</f>
        <v>1919.5454545454545</v>
      </c>
      <c r="M14" s="18">
        <f>IFERROR(M7/19,0)</f>
        <v>2183.9315789473685</v>
      </c>
      <c r="N14" s="18">
        <f>IFERROR(N7/22,0)</f>
        <v>1877.6818181818182</v>
      </c>
      <c r="O14" s="34">
        <f>IFERROR(O7/254,0)</f>
        <v>1915.4346456692917</v>
      </c>
    </row>
    <row r="15" spans="1:15">
      <c r="A15" s="23" t="s">
        <v>47</v>
      </c>
      <c r="B15" s="24" t="s">
        <v>40</v>
      </c>
      <c r="C15" s="25">
        <v>13664.2</v>
      </c>
      <c r="D15" s="25">
        <v>13486.1</v>
      </c>
      <c r="E15" s="25">
        <v>14747.3</v>
      </c>
      <c r="F15" s="25">
        <v>14652.1</v>
      </c>
      <c r="G15" s="25">
        <v>15277.9</v>
      </c>
      <c r="H15" s="25">
        <v>15250.6</v>
      </c>
      <c r="I15" s="25">
        <v>16380.7</v>
      </c>
      <c r="J15" s="25">
        <v>16613.099999999999</v>
      </c>
      <c r="K15" s="25">
        <v>16662.7</v>
      </c>
      <c r="L15" s="25">
        <v>16461.7</v>
      </c>
      <c r="M15" s="25">
        <v>16061.2</v>
      </c>
      <c r="N15" s="25">
        <v>16043.1</v>
      </c>
      <c r="O15" s="40">
        <f>SUM(C15:N15)</f>
        <v>185300.70000000004</v>
      </c>
    </row>
    <row r="16" spans="1:15">
      <c r="A16" t="s">
        <v>47</v>
      </c>
      <c r="B16" s="28" t="s">
        <v>41</v>
      </c>
      <c r="C16" s="29">
        <v>3341.6</v>
      </c>
      <c r="D16" s="29">
        <v>3305.1</v>
      </c>
      <c r="E16" s="29">
        <v>3635</v>
      </c>
      <c r="F16" s="29">
        <v>3570.2</v>
      </c>
      <c r="G16" s="29">
        <v>3699.2</v>
      </c>
      <c r="H16" s="29">
        <v>3766.7</v>
      </c>
      <c r="I16" s="29">
        <v>3958.9</v>
      </c>
      <c r="J16" s="29">
        <v>4026.4</v>
      </c>
      <c r="K16" s="29">
        <v>4052.9</v>
      </c>
      <c r="L16" s="29">
        <v>3951.4</v>
      </c>
      <c r="M16" s="29">
        <v>3896.2</v>
      </c>
      <c r="N16" s="29">
        <v>3879.6</v>
      </c>
      <c r="O16" s="41">
        <f>SUM(C16:N16)</f>
        <v>45083.200000000004</v>
      </c>
    </row>
    <row r="17" spans="1:15">
      <c r="A17" t="s">
        <v>47</v>
      </c>
      <c r="B17" s="28" t="s">
        <v>44</v>
      </c>
      <c r="C17" s="30">
        <f>IFERROR(C16/C15,0)</f>
        <v>0.24455145562857686</v>
      </c>
      <c r="D17" s="30">
        <f>IFERROR(D16/D15,0)</f>
        <v>0.24507455824886362</v>
      </c>
      <c r="E17" s="30">
        <f>IFERROR(E16/E15,0)</f>
        <v>0.24648579740020207</v>
      </c>
      <c r="F17" s="30">
        <f>IFERROR(F16/F15,0)</f>
        <v>0.24366473065294392</v>
      </c>
      <c r="G17" s="30">
        <f>IFERROR(G16/G15,0)</f>
        <v>0.24212751752531433</v>
      </c>
      <c r="H17" s="30">
        <f>IFERROR(H16/H15,0)</f>
        <v>0.24698700379001481</v>
      </c>
      <c r="I17" s="30">
        <f>IFERROR(I16/I15,0)</f>
        <v>0.24168075845354595</v>
      </c>
      <c r="J17" s="30">
        <f>IFERROR(J16/J15,0)</f>
        <v>0.24236295453587833</v>
      </c>
      <c r="K17" s="30">
        <f>IFERROR(K16/K15,0)</f>
        <v>0.24323188918962713</v>
      </c>
      <c r="L17" s="30">
        <f>IFERROR(L16/L15,0)</f>
        <v>0.24003596226392171</v>
      </c>
      <c r="M17" s="30">
        <f>IFERROR(M16/M15,0)</f>
        <v>0.24258461385201602</v>
      </c>
      <c r="N17" s="30">
        <f>IFERROR(N16/N15,0)</f>
        <v>0.24182358771060455</v>
      </c>
      <c r="O17" s="42">
        <f>IFERROR(O16/O15,0)</f>
        <v>0.24329751587554713</v>
      </c>
    </row>
    <row r="18" spans="1:15">
      <c r="A18" t="s">
        <v>47</v>
      </c>
      <c r="B18" s="28" t="s">
        <v>42</v>
      </c>
      <c r="C18" s="29">
        <v>2663.7</v>
      </c>
      <c r="D18" s="29">
        <v>2638</v>
      </c>
      <c r="E18" s="29">
        <v>2761.4</v>
      </c>
      <c r="F18" s="29">
        <v>2751.3</v>
      </c>
      <c r="G18" s="29">
        <v>2819.9</v>
      </c>
      <c r="H18" s="29">
        <v>2856.3</v>
      </c>
      <c r="I18" s="29">
        <v>3395.9</v>
      </c>
      <c r="J18" s="29">
        <v>3451.2</v>
      </c>
      <c r="K18" s="29">
        <v>3439.4</v>
      </c>
      <c r="L18" s="29">
        <v>3227.9</v>
      </c>
      <c r="M18" s="29">
        <v>3071.6</v>
      </c>
      <c r="N18" s="29">
        <v>2965</v>
      </c>
      <c r="O18" s="41">
        <f>SUM(C18:N18)</f>
        <v>36041.600000000006</v>
      </c>
    </row>
    <row r="19" spans="1:15">
      <c r="A19" t="s">
        <v>47</v>
      </c>
      <c r="B19" s="28" t="s">
        <v>45</v>
      </c>
      <c r="C19" s="30">
        <f>IFERROR(C18/C15,0)</f>
        <v>0.1949400623527173</v>
      </c>
      <c r="D19" s="30">
        <f>IFERROR(D18/D15,0)</f>
        <v>0.19560881203609642</v>
      </c>
      <c r="E19" s="30">
        <f>IFERROR(E18/E15,0)</f>
        <v>0.18724783519695132</v>
      </c>
      <c r="F19" s="30">
        <f>IFERROR(F18/F15,0)</f>
        <v>0.18777513120986072</v>
      </c>
      <c r="G19" s="30">
        <f>IFERROR(G18/G15,0)</f>
        <v>0.18457379613690364</v>
      </c>
      <c r="H19" s="30">
        <f>IFERROR(H18/H15,0)</f>
        <v>0.18729099182982967</v>
      </c>
      <c r="I19" s="30">
        <f>IFERROR(I18/I15,0)</f>
        <v>0.20731104287362567</v>
      </c>
      <c r="J19" s="30">
        <f>IFERROR(J18/J15,0)</f>
        <v>0.20773967531646714</v>
      </c>
      <c r="K19" s="30">
        <f>IFERROR(K18/K15,0)</f>
        <v>0.20641312632406511</v>
      </c>
      <c r="L19" s="30">
        <f>IFERROR(L18/L15,0)</f>
        <v>0.196085458974468</v>
      </c>
      <c r="M19" s="30">
        <f>IFERROR(M18/M15,0)</f>
        <v>0.19124349363683907</v>
      </c>
      <c r="N19" s="30">
        <f>IFERROR(N18/N15,0)</f>
        <v>0.18481465552168844</v>
      </c>
      <c r="O19" s="42">
        <f>IFERROR(O18/O15,0)</f>
        <v>0.19450331272358926</v>
      </c>
    </row>
    <row r="20" spans="1:15">
      <c r="A20" t="s">
        <v>47</v>
      </c>
      <c r="B20" s="5" t="s">
        <v>43</v>
      </c>
      <c r="C20" s="29">
        <f>C16-C18</f>
        <v>677.90000000000009</v>
      </c>
      <c r="D20" s="29">
        <f>D16-D18</f>
        <v>667.09999999999991</v>
      </c>
      <c r="E20" s="29">
        <f>E16-E18</f>
        <v>873.59999999999991</v>
      </c>
      <c r="F20" s="29">
        <f>F16-F18</f>
        <v>818.89999999999964</v>
      </c>
      <c r="G20" s="29">
        <f>G16-G18</f>
        <v>879.29999999999973</v>
      </c>
      <c r="H20" s="29">
        <f>H16-H18</f>
        <v>910.39999999999964</v>
      </c>
      <c r="I20" s="29">
        <f>I16-I18</f>
        <v>563</v>
      </c>
      <c r="J20" s="29">
        <f>J16-J18</f>
        <v>575.20000000000027</v>
      </c>
      <c r="K20" s="29">
        <f>K16-K18</f>
        <v>613.5</v>
      </c>
      <c r="L20" s="29">
        <f>L16-L18</f>
        <v>723.5</v>
      </c>
      <c r="M20" s="29">
        <f>M16-M18</f>
        <v>824.59999999999991</v>
      </c>
      <c r="N20" s="29">
        <f>N16-N18</f>
        <v>914.59999999999991</v>
      </c>
      <c r="O20" s="41">
        <f>SUM(C20:N20)</f>
        <v>9041.6</v>
      </c>
    </row>
    <row r="21" spans="1:15">
      <c r="A21" t="s">
        <v>47</v>
      </c>
      <c r="B21" s="28" t="s">
        <v>46</v>
      </c>
      <c r="C21" s="30">
        <f>IFERROR(C20/C15,0)</f>
        <v>4.9611393275859547E-2</v>
      </c>
      <c r="D21" s="30">
        <f>IFERROR(D20/D15,0)</f>
        <v>4.9465746212767212E-2</v>
      </c>
      <c r="E21" s="30">
        <f>IFERROR(E20/E15,0)</f>
        <v>5.9237962203250762E-2</v>
      </c>
      <c r="F21" s="30">
        <f>IFERROR(F20/F15,0)</f>
        <v>5.5889599443083221E-2</v>
      </c>
      <c r="G21" s="30">
        <f>IFERROR(G20/G15,0)</f>
        <v>5.7553721388410695E-2</v>
      </c>
      <c r="H21" s="30">
        <f>IFERROR(H20/H15,0)</f>
        <v>5.9696011960185147E-2</v>
      </c>
      <c r="I21" s="30">
        <f>IFERROR(I20/I15,0)</f>
        <v>3.4369715579920274E-2</v>
      </c>
      <c r="J21" s="30">
        <f>IFERROR(J20/J15,0)</f>
        <v>3.4623279219411204E-2</v>
      </c>
      <c r="K21" s="30">
        <f>IFERROR(K20/K15,0)</f>
        <v>3.6818762865562002E-2</v>
      </c>
      <c r="L21" s="30">
        <f>IFERROR(L20/L15,0)</f>
        <v>4.3950503289453699E-2</v>
      </c>
      <c r="M21" s="30">
        <f>IFERROR(M20/M15,0)</f>
        <v>5.1341120215176943E-2</v>
      </c>
      <c r="N21" s="30">
        <f>IFERROR(N20/N15,0)</f>
        <v>5.7008932188916103E-2</v>
      </c>
      <c r="O21" s="42">
        <f>IFERROR(O20/O15,0)</f>
        <v>4.8794203151957864E-2</v>
      </c>
    </row>
    <row r="22" spans="1:15">
      <c r="A22" t="s">
        <v>47</v>
      </c>
      <c r="B22" s="28" t="s">
        <v>133</v>
      </c>
      <c r="C22" s="29">
        <f>IFERROR(C15/21,0)</f>
        <v>650.67619047619053</v>
      </c>
      <c r="D22" s="29">
        <f>IFERROR(D15/20,0)</f>
        <v>674.30500000000006</v>
      </c>
      <c r="E22" s="29">
        <f>IFERROR(E15/22,0)</f>
        <v>670.33181818181811</v>
      </c>
      <c r="F22" s="29">
        <f>IFERROR(F15/22,0)</f>
        <v>666.00454545454545</v>
      </c>
      <c r="G22" s="29">
        <f>IFERROR(G15/20,0)</f>
        <v>763.89499999999998</v>
      </c>
      <c r="H22" s="29">
        <f>IFERROR(H15/22,0)</f>
        <v>693.20909090909095</v>
      </c>
      <c r="I22" s="29">
        <f>IFERROR(I15/22,0)</f>
        <v>744.57727272727277</v>
      </c>
      <c r="J22" s="29">
        <f>IFERROR(J15/21,0)</f>
        <v>791.09999999999991</v>
      </c>
      <c r="K22" s="29">
        <f>IFERROR(K15/21,0)</f>
        <v>793.46190476190475</v>
      </c>
      <c r="L22" s="29">
        <f>IFERROR(L15/22,0)</f>
        <v>748.2590909090909</v>
      </c>
      <c r="M22" s="29">
        <f>IFERROR(M15/19,0)</f>
        <v>845.32631578947371</v>
      </c>
      <c r="N22" s="29">
        <f>IFERROR(N15/22,0)</f>
        <v>729.2318181818182</v>
      </c>
      <c r="O22" s="41">
        <f>IFERROR(O15/254,0)</f>
        <v>729.53031496063011</v>
      </c>
    </row>
    <row r="23" spans="1:15">
      <c r="A23" s="23" t="s">
        <v>48</v>
      </c>
      <c r="B23" s="24" t="s">
        <v>40</v>
      </c>
      <c r="C23" s="25">
        <v>9103.1</v>
      </c>
      <c r="D23" s="25">
        <v>8825.7000000000007</v>
      </c>
      <c r="E23" s="25">
        <v>9498.7999999999993</v>
      </c>
      <c r="F23" s="25">
        <v>9707.6</v>
      </c>
      <c r="G23" s="25">
        <v>10062.9</v>
      </c>
      <c r="H23" s="25">
        <v>10372</v>
      </c>
      <c r="I23" s="25">
        <v>10070.9</v>
      </c>
      <c r="J23" s="25">
        <v>10311.700000000001</v>
      </c>
      <c r="K23" s="25">
        <v>10172.1</v>
      </c>
      <c r="L23" s="25">
        <v>10219.4</v>
      </c>
      <c r="M23" s="25">
        <v>9810.7000000000007</v>
      </c>
      <c r="N23" s="25">
        <v>9638.6</v>
      </c>
      <c r="O23" s="40">
        <f>SUM(C23:N23)</f>
        <v>117793.5</v>
      </c>
    </row>
    <row r="24" spans="1:15">
      <c r="A24" t="s">
        <v>48</v>
      </c>
      <c r="B24" s="28" t="s">
        <v>41</v>
      </c>
      <c r="C24" s="29">
        <v>2576.8000000000002</v>
      </c>
      <c r="D24" s="29">
        <v>2530.9</v>
      </c>
      <c r="E24" s="29">
        <v>2699.2</v>
      </c>
      <c r="F24" s="29">
        <v>2770.4</v>
      </c>
      <c r="G24" s="29">
        <v>2852.3</v>
      </c>
      <c r="H24" s="29">
        <v>2971.5</v>
      </c>
      <c r="I24" s="29">
        <v>2853.1</v>
      </c>
      <c r="J24" s="29">
        <v>2915.4</v>
      </c>
      <c r="K24" s="29">
        <v>3150.9</v>
      </c>
      <c r="L24" s="29">
        <v>2912.7</v>
      </c>
      <c r="M24" s="29">
        <v>2814.8</v>
      </c>
      <c r="N24" s="29">
        <v>2733.9</v>
      </c>
      <c r="O24" s="41">
        <f>SUM(C24:N24)</f>
        <v>33781.9</v>
      </c>
    </row>
    <row r="25" spans="1:15">
      <c r="A25" t="s">
        <v>48</v>
      </c>
      <c r="B25" s="28" t="s">
        <v>44</v>
      </c>
      <c r="C25" s="30">
        <f>IFERROR(C24/C23,0)</f>
        <v>0.28306840526853488</v>
      </c>
      <c r="D25" s="30">
        <f>IFERROR(D24/D23,0)</f>
        <v>0.28676478919519133</v>
      </c>
      <c r="E25" s="30">
        <f>IFERROR(E24/E23,0)</f>
        <v>0.28416220996336378</v>
      </c>
      <c r="F25" s="30">
        <f>IFERROR(F24/F23,0)</f>
        <v>0.28538464708063788</v>
      </c>
      <c r="G25" s="30">
        <f>IFERROR(G24/G23,0)</f>
        <v>0.28344711763010666</v>
      </c>
      <c r="H25" s="30">
        <f>IFERROR(H24/H23,0)</f>
        <v>0.28649247975318165</v>
      </c>
      <c r="I25" s="30">
        <f>IFERROR(I24/I23,0)</f>
        <v>0.28330139312275965</v>
      </c>
      <c r="J25" s="30">
        <f>IFERROR(J24/J23,0)</f>
        <v>0.2827273873367146</v>
      </c>
      <c r="K25" s="30">
        <f>IFERROR(K24/K23,0)</f>
        <v>0.30975904680449462</v>
      </c>
      <c r="L25" s="30">
        <f>IFERROR(L24/L23,0)</f>
        <v>0.28501673288059964</v>
      </c>
      <c r="M25" s="30">
        <f>IFERROR(M24/M23,0)</f>
        <v>0.28691122957587123</v>
      </c>
      <c r="N25" s="30">
        <f>IFERROR(N24/N23,0)</f>
        <v>0.28364077770630591</v>
      </c>
      <c r="O25" s="42">
        <f>IFERROR(O24/O23,0)</f>
        <v>0.28678916918166114</v>
      </c>
    </row>
    <row r="26" spans="1:15">
      <c r="A26" t="s">
        <v>48</v>
      </c>
      <c r="B26" s="28" t="s">
        <v>42</v>
      </c>
      <c r="C26" s="29">
        <v>1830</v>
      </c>
      <c r="D26" s="29">
        <v>1822.5</v>
      </c>
      <c r="E26" s="29">
        <v>1869.3</v>
      </c>
      <c r="F26" s="29">
        <v>1882.6</v>
      </c>
      <c r="G26" s="29">
        <v>1941.6</v>
      </c>
      <c r="H26" s="29">
        <v>1999.4</v>
      </c>
      <c r="I26" s="29">
        <v>1976.3</v>
      </c>
      <c r="J26" s="29">
        <v>2263.6999999999998</v>
      </c>
      <c r="K26" s="29">
        <v>1975.6</v>
      </c>
      <c r="L26" s="29">
        <v>1968.9</v>
      </c>
      <c r="M26" s="29">
        <v>1935.9</v>
      </c>
      <c r="N26" s="29">
        <v>1918.8</v>
      </c>
      <c r="O26" s="41">
        <f>SUM(C26:N26)</f>
        <v>23384.6</v>
      </c>
    </row>
    <row r="27" spans="1:15">
      <c r="A27" t="s">
        <v>48</v>
      </c>
      <c r="B27" s="28" t="s">
        <v>45</v>
      </c>
      <c r="C27" s="30">
        <f>IFERROR(C26/C23,0)</f>
        <v>0.20103041820918147</v>
      </c>
      <c r="D27" s="30">
        <f>IFERROR(D26/D23,0)</f>
        <v>0.20649920119650564</v>
      </c>
      <c r="E27" s="30">
        <f>IFERROR(E26/E23,0)</f>
        <v>0.19679327915105066</v>
      </c>
      <c r="F27" s="30">
        <f>IFERROR(F26/F23,0)</f>
        <v>0.19393052865795871</v>
      </c>
      <c r="G27" s="30">
        <f>IFERROR(G26/G23,0)</f>
        <v>0.19294636734937246</v>
      </c>
      <c r="H27" s="30">
        <f>IFERROR(H26/H23,0)</f>
        <v>0.1927689934438874</v>
      </c>
      <c r="I27" s="30">
        <f>IFERROR(I26/I23,0)</f>
        <v>0.19623866784497909</v>
      </c>
      <c r="J27" s="30">
        <f>IFERROR(J26/J23,0)</f>
        <v>0.21952733302947133</v>
      </c>
      <c r="K27" s="30">
        <f>IFERROR(K26/K23,0)</f>
        <v>0.19421751654034072</v>
      </c>
      <c r="L27" s="30">
        <f>IFERROR(L26/L23,0)</f>
        <v>0.19266297434291643</v>
      </c>
      <c r="M27" s="30">
        <f>IFERROR(M26/M23,0)</f>
        <v>0.19732536923970767</v>
      </c>
      <c r="N27" s="30">
        <f>IFERROR(N26/N23,0)</f>
        <v>0.1990745543958666</v>
      </c>
      <c r="O27" s="42">
        <f>IFERROR(O26/O23,0)</f>
        <v>0.19852198975325464</v>
      </c>
    </row>
    <row r="28" spans="1:15">
      <c r="A28" t="s">
        <v>48</v>
      </c>
      <c r="B28" s="5" t="s">
        <v>43</v>
      </c>
      <c r="C28" s="29">
        <f>C24-C26</f>
        <v>746.80000000000018</v>
      </c>
      <c r="D28" s="29">
        <f>D24-D26</f>
        <v>708.40000000000009</v>
      </c>
      <c r="E28" s="29">
        <f>E24-E26</f>
        <v>829.89999999999986</v>
      </c>
      <c r="F28" s="29">
        <f>F24-F26</f>
        <v>887.80000000000018</v>
      </c>
      <c r="G28" s="29">
        <f>G24-G26</f>
        <v>910.70000000000027</v>
      </c>
      <c r="H28" s="29">
        <f>H24-H26</f>
        <v>972.09999999999991</v>
      </c>
      <c r="I28" s="29">
        <f>I24-I26</f>
        <v>876.8</v>
      </c>
      <c r="J28" s="29">
        <f>J24-J26</f>
        <v>651.70000000000027</v>
      </c>
      <c r="K28" s="29">
        <f>K24-K26</f>
        <v>1175.3000000000002</v>
      </c>
      <c r="L28" s="29">
        <f>L24-L26</f>
        <v>943.79999999999973</v>
      </c>
      <c r="M28" s="29">
        <f>M24-M26</f>
        <v>878.90000000000009</v>
      </c>
      <c r="N28" s="29">
        <f>N24-N26</f>
        <v>815.10000000000014</v>
      </c>
      <c r="O28" s="41">
        <f>SUM(C28:N28)</f>
        <v>10397.300000000001</v>
      </c>
    </row>
    <row r="29" spans="1:15">
      <c r="A29" t="s">
        <v>48</v>
      </c>
      <c r="B29" s="28" t="s">
        <v>46</v>
      </c>
      <c r="C29" s="30">
        <f>IFERROR(C28/C23,0)</f>
        <v>8.2037987059353418E-2</v>
      </c>
      <c r="D29" s="30">
        <f>IFERROR(D28/D23,0)</f>
        <v>8.0265587998685661E-2</v>
      </c>
      <c r="E29" s="30">
        <f>IFERROR(E28/E23,0)</f>
        <v>8.7368930812313131E-2</v>
      </c>
      <c r="F29" s="30">
        <f>IFERROR(F28/F23,0)</f>
        <v>9.1454118422679156E-2</v>
      </c>
      <c r="G29" s="30">
        <f>IFERROR(G28/G23,0)</f>
        <v>9.0500750280734218E-2</v>
      </c>
      <c r="H29" s="30">
        <f>IFERROR(H28/H23,0)</f>
        <v>9.3723486309294252E-2</v>
      </c>
      <c r="I29" s="30">
        <f>IFERROR(I28/I23,0)</f>
        <v>8.7062725277780528E-2</v>
      </c>
      <c r="J29" s="30">
        <f>IFERROR(J28/J23,0)</f>
        <v>6.320005430724325E-2</v>
      </c>
      <c r="K29" s="30">
        <f>IFERROR(K28/K23,0)</f>
        <v>0.11554153026415392</v>
      </c>
      <c r="L29" s="30">
        <f>IFERROR(L28/L23,0)</f>
        <v>9.2353758537683212E-2</v>
      </c>
      <c r="M29" s="30">
        <f>IFERROR(M28/M23,0)</f>
        <v>8.9585860336163572E-2</v>
      </c>
      <c r="N29" s="30">
        <f>IFERROR(N28/N23,0)</f>
        <v>8.4566223310439281E-2</v>
      </c>
      <c r="O29" s="42">
        <f>IFERROR(O28/O23,0)</f>
        <v>8.8267179428406506E-2</v>
      </c>
    </row>
    <row r="30" spans="1:15">
      <c r="A30" t="s">
        <v>48</v>
      </c>
      <c r="B30" s="28" t="s">
        <v>133</v>
      </c>
      <c r="C30" s="29">
        <f>IFERROR(C23/21,0)</f>
        <v>433.48095238095237</v>
      </c>
      <c r="D30" s="29">
        <f>IFERROR(D23/20,0)</f>
        <v>441.28500000000003</v>
      </c>
      <c r="E30" s="29">
        <f>IFERROR(E23/22,0)</f>
        <v>431.76363636363635</v>
      </c>
      <c r="F30" s="29">
        <f>IFERROR(F23/22,0)</f>
        <v>441.25454545454545</v>
      </c>
      <c r="G30" s="29">
        <f>IFERROR(G23/20,0)</f>
        <v>503.14499999999998</v>
      </c>
      <c r="H30" s="29">
        <f>IFERROR(H23/22,0)</f>
        <v>471.45454545454544</v>
      </c>
      <c r="I30" s="29">
        <f>IFERROR(I23/22,0)</f>
        <v>457.7681818181818</v>
      </c>
      <c r="J30" s="29">
        <f>IFERROR(J23/21,0)</f>
        <v>491.03333333333336</v>
      </c>
      <c r="K30" s="29">
        <f>IFERROR(K23/21,0)</f>
        <v>484.3857142857143</v>
      </c>
      <c r="L30" s="29">
        <f>IFERROR(L23/22,0)</f>
        <v>464.5181818181818</v>
      </c>
      <c r="M30" s="29">
        <f>IFERROR(M23/19,0)</f>
        <v>516.35263157894735</v>
      </c>
      <c r="N30" s="29">
        <f>IFERROR(N23/22,0)</f>
        <v>438.11818181818182</v>
      </c>
      <c r="O30" s="41">
        <f>IFERROR(O23/254,0)</f>
        <v>463.75393700787401</v>
      </c>
    </row>
    <row r="31" spans="1:15">
      <c r="A31" s="23" t="s">
        <v>49</v>
      </c>
      <c r="B31" s="24" t="s">
        <v>40</v>
      </c>
      <c r="C31" s="25">
        <v>9040.7000000000007</v>
      </c>
      <c r="D31" s="25">
        <v>8722</v>
      </c>
      <c r="E31" s="25">
        <v>9736.2000000000007</v>
      </c>
      <c r="F31" s="25">
        <v>9677.2999999999993</v>
      </c>
      <c r="G31" s="25">
        <v>9287.6</v>
      </c>
      <c r="H31" s="25">
        <v>9306.6</v>
      </c>
      <c r="I31" s="25">
        <v>8522.9</v>
      </c>
      <c r="J31" s="25">
        <v>8588.2999999999993</v>
      </c>
      <c r="K31" s="25">
        <v>9115.5</v>
      </c>
      <c r="L31" s="25">
        <v>8988.6</v>
      </c>
      <c r="M31" s="25">
        <v>8764.7000000000007</v>
      </c>
      <c r="N31" s="25">
        <v>8599.5</v>
      </c>
      <c r="O31" s="40">
        <f>SUM(C31:N31)</f>
        <v>108349.9</v>
      </c>
    </row>
    <row r="32" spans="1:15">
      <c r="A32" t="s">
        <v>49</v>
      </c>
      <c r="B32" s="28" t="s">
        <v>41</v>
      </c>
      <c r="C32" s="29">
        <v>2738.7</v>
      </c>
      <c r="D32" s="29">
        <v>2666.5</v>
      </c>
      <c r="E32" s="29">
        <v>2982.8</v>
      </c>
      <c r="F32" s="29">
        <v>2945.6</v>
      </c>
      <c r="G32" s="29">
        <v>2816.4</v>
      </c>
      <c r="H32" s="29">
        <v>2586.9</v>
      </c>
      <c r="I32" s="29">
        <v>2366.1999999999998</v>
      </c>
      <c r="J32" s="29">
        <v>2392.4</v>
      </c>
      <c r="K32" s="29">
        <v>2530.5</v>
      </c>
      <c r="L32" s="29">
        <v>2493.5</v>
      </c>
      <c r="M32" s="29">
        <v>2452.6999999999998</v>
      </c>
      <c r="N32" s="29">
        <v>2400.1</v>
      </c>
      <c r="O32" s="41">
        <f>SUM(C32:N32)</f>
        <v>31372.300000000003</v>
      </c>
    </row>
    <row r="33" spans="1:15">
      <c r="A33" t="s">
        <v>49</v>
      </c>
      <c r="B33" s="28" t="s">
        <v>44</v>
      </c>
      <c r="C33" s="30">
        <f>IFERROR(C32/C31,0)</f>
        <v>0.30293008284756706</v>
      </c>
      <c r="D33" s="30">
        <f>IFERROR(D32/D31,0)</f>
        <v>0.30572116487044254</v>
      </c>
      <c r="E33" s="30">
        <f>IFERROR(E32/E31,0)</f>
        <v>0.30636182494196912</v>
      </c>
      <c r="F33" s="30">
        <f>IFERROR(F32/F31,0)</f>
        <v>0.30438242071652216</v>
      </c>
      <c r="G33" s="30">
        <f>IFERROR(G32/G31,0)</f>
        <v>0.30324303372238254</v>
      </c>
      <c r="H33" s="30">
        <f>IFERROR(H32/H31,0)</f>
        <v>0.27796402553026883</v>
      </c>
      <c r="I33" s="30">
        <f>IFERROR(I32/I31,0)</f>
        <v>0.2776285067289303</v>
      </c>
      <c r="J33" s="30">
        <f>IFERROR(J32/J31,0)</f>
        <v>0.27856502451008935</v>
      </c>
      <c r="K33" s="30">
        <f>IFERROR(K32/K31,0)</f>
        <v>0.27760408096100048</v>
      </c>
      <c r="L33" s="30">
        <f>IFERROR(L32/L31,0)</f>
        <v>0.27740693767661256</v>
      </c>
      <c r="M33" s="30">
        <f>IFERROR(M32/M31,0)</f>
        <v>0.27983844284459247</v>
      </c>
      <c r="N33" s="30">
        <f>IFERROR(N32/N31,0)</f>
        <v>0.27909762195476479</v>
      </c>
      <c r="O33" s="42">
        <f>IFERROR(O32/O31,0)</f>
        <v>0.28954618324520837</v>
      </c>
    </row>
    <row r="34" spans="1:15">
      <c r="A34" t="s">
        <v>49</v>
      </c>
      <c r="B34" s="28" t="s">
        <v>42</v>
      </c>
      <c r="C34" s="29">
        <v>1745.4</v>
      </c>
      <c r="D34" s="29">
        <v>1719.8</v>
      </c>
      <c r="E34" s="29">
        <v>1810.9</v>
      </c>
      <c r="F34" s="29">
        <v>1818</v>
      </c>
      <c r="G34" s="29">
        <v>1783.6</v>
      </c>
      <c r="H34" s="29">
        <v>1806.2</v>
      </c>
      <c r="I34" s="29">
        <v>1790.1</v>
      </c>
      <c r="J34" s="29">
        <v>1719.3</v>
      </c>
      <c r="K34" s="29">
        <v>2157.8000000000002</v>
      </c>
      <c r="L34" s="29">
        <v>1680.3</v>
      </c>
      <c r="M34" s="29">
        <v>1747.1</v>
      </c>
      <c r="N34" s="29">
        <v>1715.3</v>
      </c>
      <c r="O34" s="41">
        <f>SUM(C34:N34)</f>
        <v>21493.8</v>
      </c>
    </row>
    <row r="35" spans="1:15">
      <c r="A35" t="s">
        <v>49</v>
      </c>
      <c r="B35" s="28" t="s">
        <v>45</v>
      </c>
      <c r="C35" s="30">
        <f>IFERROR(C34/C31,0)</f>
        <v>0.19306027188160207</v>
      </c>
      <c r="D35" s="30">
        <f>IFERROR(D34/D31,0)</f>
        <v>0.19717954597569365</v>
      </c>
      <c r="E35" s="30">
        <f>IFERROR(E34/E31,0)</f>
        <v>0.18599659004539759</v>
      </c>
      <c r="F35" s="30">
        <f>IFERROR(F34/F31,0)</f>
        <v>0.18786231696857597</v>
      </c>
      <c r="G35" s="30">
        <f>IFERROR(G34/G31,0)</f>
        <v>0.19204100090443169</v>
      </c>
      <c r="H35" s="30">
        <f>IFERROR(H34/H31,0)</f>
        <v>0.19407732147078416</v>
      </c>
      <c r="I35" s="30">
        <f>IFERROR(I34/I31,0)</f>
        <v>0.21003414330802894</v>
      </c>
      <c r="J35" s="30">
        <f>IFERROR(J34/J31,0)</f>
        <v>0.20019095746538898</v>
      </c>
      <c r="K35" s="30">
        <f>IFERROR(K34/K31,0)</f>
        <v>0.23671767867917284</v>
      </c>
      <c r="L35" s="30">
        <f>IFERROR(L34/L31,0)</f>
        <v>0.18693678659635538</v>
      </c>
      <c r="M35" s="30">
        <f>IFERROR(M34/M31,0)</f>
        <v>0.19933369082798039</v>
      </c>
      <c r="N35" s="30">
        <f>IFERROR(N34/N31,0)</f>
        <v>0.19946508517937089</v>
      </c>
      <c r="O35" s="42">
        <f>IFERROR(O34/O31,0)</f>
        <v>0.19837397173416865</v>
      </c>
    </row>
    <row r="36" spans="1:15">
      <c r="A36" t="s">
        <v>49</v>
      </c>
      <c r="B36" s="5" t="s">
        <v>43</v>
      </c>
      <c r="C36" s="29">
        <f>C32-C34</f>
        <v>993.29999999999973</v>
      </c>
      <c r="D36" s="29">
        <f>D32-D34</f>
        <v>946.7</v>
      </c>
      <c r="E36" s="29">
        <f>E32-E34</f>
        <v>1171.9000000000001</v>
      </c>
      <c r="F36" s="29">
        <f>F32-F34</f>
        <v>1127.5999999999999</v>
      </c>
      <c r="G36" s="29">
        <f>G32-G34</f>
        <v>1032.8000000000002</v>
      </c>
      <c r="H36" s="29">
        <f>H32-H34</f>
        <v>780.7</v>
      </c>
      <c r="I36" s="29">
        <f>I32-I34</f>
        <v>576.09999999999991</v>
      </c>
      <c r="J36" s="29">
        <f>J32-J34</f>
        <v>673.10000000000014</v>
      </c>
      <c r="K36" s="29">
        <f>K32-K34</f>
        <v>372.69999999999982</v>
      </c>
      <c r="L36" s="29">
        <f>L32-L34</f>
        <v>813.2</v>
      </c>
      <c r="M36" s="29">
        <f>M32-M34</f>
        <v>705.59999999999991</v>
      </c>
      <c r="N36" s="29">
        <f>N32-N34</f>
        <v>684.8</v>
      </c>
      <c r="O36" s="41">
        <f>SUM(C36:N36)</f>
        <v>9878.5</v>
      </c>
    </row>
    <row r="37" spans="1:15">
      <c r="A37" t="s">
        <v>49</v>
      </c>
      <c r="B37" s="28" t="s">
        <v>46</v>
      </c>
      <c r="C37" s="30">
        <f>IFERROR(C36/C31,0)</f>
        <v>0.10986981096596499</v>
      </c>
      <c r="D37" s="30">
        <f>IFERROR(D36/D31,0)</f>
        <v>0.10854161889474892</v>
      </c>
      <c r="E37" s="30">
        <f>IFERROR(E36/E31,0)</f>
        <v>0.12036523489657155</v>
      </c>
      <c r="F37" s="30">
        <f>IFERROR(F36/F31,0)</f>
        <v>0.11652010374794622</v>
      </c>
      <c r="G37" s="30">
        <f>IFERROR(G36/G31,0)</f>
        <v>0.11120203281795084</v>
      </c>
      <c r="H37" s="30">
        <f>IFERROR(H36/H31,0)</f>
        <v>8.3886704059484674E-2</v>
      </c>
      <c r="I37" s="30">
        <f>IFERROR(I36/I31,0)</f>
        <v>6.7594363420901332E-2</v>
      </c>
      <c r="J37" s="30">
        <f>IFERROR(J36/J31,0)</f>
        <v>7.8374067044700374E-2</v>
      </c>
      <c r="K37" s="30">
        <f>IFERROR(K36/K31,0)</f>
        <v>4.0886402281827633E-2</v>
      </c>
      <c r="L37" s="30">
        <f>IFERROR(L36/L31,0)</f>
        <v>9.0470151080257216E-2</v>
      </c>
      <c r="M37" s="30">
        <f>IFERROR(M36/M31,0)</f>
        <v>8.0504752016612072E-2</v>
      </c>
      <c r="N37" s="30">
        <f>IFERROR(N36/N31,0)</f>
        <v>7.963253677539392E-2</v>
      </c>
      <c r="O37" s="42">
        <f>IFERROR(O36/O31,0)</f>
        <v>9.11722115110397E-2</v>
      </c>
    </row>
    <row r="38" spans="1:15">
      <c r="A38" t="s">
        <v>49</v>
      </c>
      <c r="B38" s="28" t="s">
        <v>133</v>
      </c>
      <c r="C38" s="29">
        <f>IFERROR(C31/21,0)</f>
        <v>430.50952380952384</v>
      </c>
      <c r="D38" s="29">
        <f>IFERROR(D31/20,0)</f>
        <v>436.1</v>
      </c>
      <c r="E38" s="29">
        <f>IFERROR(E31/22,0)</f>
        <v>442.55454545454546</v>
      </c>
      <c r="F38" s="29">
        <f>IFERROR(F31/22,0)</f>
        <v>439.87727272727267</v>
      </c>
      <c r="G38" s="29">
        <f>IFERROR(G31/20,0)</f>
        <v>464.38</v>
      </c>
      <c r="H38" s="29">
        <f>IFERROR(H31/22,0)</f>
        <v>423.02727272727276</v>
      </c>
      <c r="I38" s="29">
        <f>IFERROR(I31/22,0)</f>
        <v>387.40454545454543</v>
      </c>
      <c r="J38" s="29">
        <f>IFERROR(J31/21,0)</f>
        <v>408.96666666666664</v>
      </c>
      <c r="K38" s="29">
        <f>IFERROR(K31/21,0)</f>
        <v>434.07142857142856</v>
      </c>
      <c r="L38" s="29">
        <f>IFERROR(L31/22,0)</f>
        <v>408.57272727272726</v>
      </c>
      <c r="M38" s="29">
        <f>IFERROR(M31/19,0)</f>
        <v>461.3</v>
      </c>
      <c r="N38" s="29">
        <f>IFERROR(N31/22,0)</f>
        <v>390.88636363636363</v>
      </c>
      <c r="O38" s="41">
        <f>IFERROR(O31/254,0)</f>
        <v>426.57440944881887</v>
      </c>
    </row>
    <row r="39" spans="1:15">
      <c r="A39" s="23" t="s">
        <v>50</v>
      </c>
      <c r="B39" s="24" t="s">
        <v>40</v>
      </c>
      <c r="C39" s="25">
        <v>5714.3</v>
      </c>
      <c r="D39" s="25">
        <v>5615.4</v>
      </c>
      <c r="E39" s="25">
        <v>6137.8</v>
      </c>
      <c r="F39" s="25">
        <v>6227.1</v>
      </c>
      <c r="G39" s="25">
        <v>6427.6</v>
      </c>
      <c r="H39" s="25">
        <v>6424.3</v>
      </c>
      <c r="I39" s="25">
        <v>6138.9</v>
      </c>
      <c r="J39" s="25">
        <v>5995.1</v>
      </c>
      <c r="K39" s="25">
        <v>5949.6</v>
      </c>
      <c r="L39" s="25">
        <v>6560.3</v>
      </c>
      <c r="M39" s="25">
        <v>6858.1</v>
      </c>
      <c r="N39" s="25">
        <v>7027.8</v>
      </c>
      <c r="O39" s="40">
        <f>SUM(C39:N39)</f>
        <v>75076.3</v>
      </c>
    </row>
    <row r="40" spans="1:15">
      <c r="A40" t="s">
        <v>50</v>
      </c>
      <c r="B40" s="28" t="s">
        <v>41</v>
      </c>
      <c r="C40" s="29">
        <v>1269.7</v>
      </c>
      <c r="D40" s="29">
        <v>1254</v>
      </c>
      <c r="E40" s="29">
        <v>1384.1</v>
      </c>
      <c r="F40" s="29">
        <v>1398</v>
      </c>
      <c r="G40" s="29">
        <v>1441.9</v>
      </c>
      <c r="H40" s="29">
        <v>1455.7</v>
      </c>
      <c r="I40" s="29">
        <v>1382.9</v>
      </c>
      <c r="J40" s="29">
        <v>1360.3</v>
      </c>
      <c r="K40" s="29">
        <v>1318.9</v>
      </c>
      <c r="L40" s="29">
        <v>1476.5</v>
      </c>
      <c r="M40" s="29">
        <v>1543.1</v>
      </c>
      <c r="N40" s="29">
        <v>1595.8</v>
      </c>
      <c r="O40" s="41">
        <f>SUM(C40:N40)</f>
        <v>16880.899999999998</v>
      </c>
    </row>
    <row r="41" spans="1:15">
      <c r="A41" t="s">
        <v>50</v>
      </c>
      <c r="B41" s="28" t="s">
        <v>44</v>
      </c>
      <c r="C41" s="30">
        <f>IFERROR(C40/C39,0)</f>
        <v>0.22219694450763874</v>
      </c>
      <c r="D41" s="30">
        <f>IFERROR(D40/D39,0)</f>
        <v>0.22331445667272146</v>
      </c>
      <c r="E41" s="30">
        <f>IFERROR(E40/E39,0)</f>
        <v>0.22550425233797125</v>
      </c>
      <c r="F41" s="30">
        <f>IFERROR(F40/F39,0)</f>
        <v>0.2245025774437539</v>
      </c>
      <c r="G41" s="30">
        <f>IFERROR(G40/G39,0)</f>
        <v>0.22432945422863901</v>
      </c>
      <c r="H41" s="30">
        <f>IFERROR(H40/H39,0)</f>
        <v>0.22659278053640086</v>
      </c>
      <c r="I41" s="30">
        <f>IFERROR(I40/I39,0)</f>
        <v>0.22526837055498544</v>
      </c>
      <c r="J41" s="30">
        <f>IFERROR(J40/J39,0)</f>
        <v>0.22690196994211936</v>
      </c>
      <c r="K41" s="30">
        <f>IFERROR(K40/K39,0)</f>
        <v>0.22167876832055936</v>
      </c>
      <c r="L41" s="30">
        <f>IFERROR(L40/L39,0)</f>
        <v>0.22506592686310076</v>
      </c>
      <c r="M41" s="30">
        <f>IFERROR(M40/M39,0)</f>
        <v>0.22500400985695745</v>
      </c>
      <c r="N41" s="30">
        <f>IFERROR(N40/N39,0)</f>
        <v>0.22706963772446567</v>
      </c>
      <c r="O41" s="42">
        <f>IFERROR(O40/O39,0)</f>
        <v>0.22484991934871587</v>
      </c>
    </row>
    <row r="42" spans="1:15">
      <c r="A42" t="s">
        <v>50</v>
      </c>
      <c r="B42" s="28" t="s">
        <v>42</v>
      </c>
      <c r="C42" s="29">
        <v>1216.7</v>
      </c>
      <c r="D42" s="29">
        <v>1207.7</v>
      </c>
      <c r="E42" s="29">
        <v>1252.8</v>
      </c>
      <c r="F42" s="29">
        <v>1273</v>
      </c>
      <c r="G42" s="29">
        <v>1294.5</v>
      </c>
      <c r="H42" s="29">
        <v>1315.3</v>
      </c>
      <c r="I42" s="29">
        <v>1292.2</v>
      </c>
      <c r="J42" s="29">
        <v>1273.5</v>
      </c>
      <c r="K42" s="29">
        <v>1375.4</v>
      </c>
      <c r="L42" s="29">
        <v>1427.1</v>
      </c>
      <c r="M42" s="29">
        <v>1454</v>
      </c>
      <c r="N42" s="29">
        <v>1361.5</v>
      </c>
      <c r="O42" s="41">
        <f>SUM(C42:N42)</f>
        <v>15743.7</v>
      </c>
    </row>
    <row r="43" spans="1:15">
      <c r="A43" t="s">
        <v>50</v>
      </c>
      <c r="B43" s="28" t="s">
        <v>45</v>
      </c>
      <c r="C43" s="30">
        <f>IFERROR(C42/C39,0)</f>
        <v>0.21292196769508076</v>
      </c>
      <c r="D43" s="30">
        <f>IFERROR(D42/D39,0)</f>
        <v>0.21506927378281157</v>
      </c>
      <c r="E43" s="30">
        <f>IFERROR(E42/E39,0)</f>
        <v>0.2041122226204829</v>
      </c>
      <c r="F43" s="30">
        <f>IFERROR(F42/F39,0)</f>
        <v>0.2044290279584397</v>
      </c>
      <c r="G43" s="30">
        <f>IFERROR(G42/G39,0)</f>
        <v>0.20139710000622316</v>
      </c>
      <c r="H43" s="30">
        <f>IFERROR(H42/H39,0)</f>
        <v>0.20473825942125989</v>
      </c>
      <c r="I43" s="30">
        <f>IFERROR(I42/I39,0)</f>
        <v>0.21049373666292009</v>
      </c>
      <c r="J43" s="30">
        <f>IFERROR(J42/J39,0)</f>
        <v>0.21242347917465929</v>
      </c>
      <c r="K43" s="30">
        <f>IFERROR(K42/K39,0)</f>
        <v>0.23117520505580208</v>
      </c>
      <c r="L43" s="30">
        <f>IFERROR(L42/L39,0)</f>
        <v>0.2175357834245385</v>
      </c>
      <c r="M43" s="30">
        <f>IFERROR(M42/M39,0)</f>
        <v>0.21201207331476646</v>
      </c>
      <c r="N43" s="30">
        <f>IFERROR(N42/N39,0)</f>
        <v>0.19373061270952502</v>
      </c>
      <c r="O43" s="42">
        <f>IFERROR(O42/O39,0)</f>
        <v>0.2097026624913588</v>
      </c>
    </row>
    <row r="44" spans="1:15">
      <c r="A44" t="s">
        <v>50</v>
      </c>
      <c r="B44" s="5" t="s">
        <v>43</v>
      </c>
      <c r="C44" s="29">
        <f>C40-C42</f>
        <v>53</v>
      </c>
      <c r="D44" s="29">
        <f>D40-D42</f>
        <v>46.299999999999955</v>
      </c>
      <c r="E44" s="29">
        <f>E40-E42</f>
        <v>131.29999999999995</v>
      </c>
      <c r="F44" s="29">
        <f>F40-F42</f>
        <v>125</v>
      </c>
      <c r="G44" s="29">
        <f>G40-G42</f>
        <v>147.40000000000009</v>
      </c>
      <c r="H44" s="29">
        <f>H40-H42</f>
        <v>140.40000000000009</v>
      </c>
      <c r="I44" s="29">
        <f>I40-I42</f>
        <v>90.700000000000045</v>
      </c>
      <c r="J44" s="29">
        <f>J40-J42</f>
        <v>86.799999999999955</v>
      </c>
      <c r="K44" s="29">
        <f>K40-K42</f>
        <v>-56.5</v>
      </c>
      <c r="L44" s="29">
        <f>L40-L42</f>
        <v>49.400000000000091</v>
      </c>
      <c r="M44" s="29">
        <f>M40-M42</f>
        <v>89.099999999999909</v>
      </c>
      <c r="N44" s="29">
        <f>N40-N42</f>
        <v>234.29999999999995</v>
      </c>
      <c r="O44" s="41">
        <f>SUM(C44:N44)</f>
        <v>1137.2</v>
      </c>
    </row>
    <row r="45" spans="1:15">
      <c r="A45" t="s">
        <v>50</v>
      </c>
      <c r="B45" s="28" t="s">
        <v>46</v>
      </c>
      <c r="C45" s="30">
        <f>IFERROR(C44/C39,0)</f>
        <v>9.2749768125579678E-3</v>
      </c>
      <c r="D45" s="30">
        <f>IFERROR(D44/D39,0)</f>
        <v>8.2451828899098838E-3</v>
      </c>
      <c r="E45" s="30">
        <f>IFERROR(E44/E39,0)</f>
        <v>2.1392029717488343E-2</v>
      </c>
      <c r="F45" s="30">
        <f>IFERROR(F44/F39,0)</f>
        <v>2.0073549485314191E-2</v>
      </c>
      <c r="G45" s="30">
        <f>IFERROR(G44/G39,0)</f>
        <v>2.2932354222415845E-2</v>
      </c>
      <c r="H45" s="30">
        <f>IFERROR(H44/H39,0)</f>
        <v>2.1854521115140961E-2</v>
      </c>
      <c r="I45" s="30">
        <f>IFERROR(I44/I39,0)</f>
        <v>1.4774633892065361E-2</v>
      </c>
      <c r="J45" s="30">
        <f>IFERROR(J44/J39,0)</f>
        <v>1.4478490767460083E-2</v>
      </c>
      <c r="K45" s="30">
        <f>IFERROR(K44/K39,0)</f>
        <v>-9.496436735242704E-3</v>
      </c>
      <c r="L45" s="30">
        <f>IFERROR(L44/L39,0)</f>
        <v>7.5301434385622746E-3</v>
      </c>
      <c r="M45" s="30">
        <f>IFERROR(M44/M39,0)</f>
        <v>1.2991936542190972E-2</v>
      </c>
      <c r="N45" s="30">
        <f>IFERROR(N44/N39,0)</f>
        <v>3.3339025014940654E-2</v>
      </c>
      <c r="O45" s="42">
        <f>IFERROR(O44/O39,0)</f>
        <v>1.5147256857357115E-2</v>
      </c>
    </row>
    <row r="46" spans="1:15">
      <c r="A46" t="s">
        <v>50</v>
      </c>
      <c r="B46" s="28" t="s">
        <v>133</v>
      </c>
      <c r="C46" s="29">
        <f>IFERROR(C39/21,0)</f>
        <v>272.10952380952381</v>
      </c>
      <c r="D46" s="29">
        <f>IFERROR(D39/20,0)</f>
        <v>280.77</v>
      </c>
      <c r="E46" s="29">
        <f>IFERROR(E39/22,0)</f>
        <v>278.9909090909091</v>
      </c>
      <c r="F46" s="29">
        <f>IFERROR(F39/22,0)</f>
        <v>283.05</v>
      </c>
      <c r="G46" s="29">
        <f>IFERROR(G39/20,0)</f>
        <v>321.38</v>
      </c>
      <c r="H46" s="29">
        <f>IFERROR(H39/22,0)</f>
        <v>292.01363636363635</v>
      </c>
      <c r="I46" s="29">
        <f>IFERROR(I39/22,0)</f>
        <v>279.04090909090905</v>
      </c>
      <c r="J46" s="29">
        <f>IFERROR(J39/21,0)</f>
        <v>285.48095238095237</v>
      </c>
      <c r="K46" s="29">
        <f>IFERROR(K39/21,0)</f>
        <v>283.31428571428575</v>
      </c>
      <c r="L46" s="29">
        <f>IFERROR(L39/22,0)</f>
        <v>298.19545454545454</v>
      </c>
      <c r="M46" s="29">
        <f>IFERROR(M39/19,0)</f>
        <v>360.95263157894738</v>
      </c>
      <c r="N46" s="29">
        <f>IFERROR(N39/22,0)</f>
        <v>319.44545454545454</v>
      </c>
      <c r="O46" s="41">
        <f>IFERROR(O39/254,0)</f>
        <v>295.57598425196852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24" customWidth="1"/>
    <col min="2" max="2" width="13" customWidth="1"/>
    <col min="3" max="3" width="12" customWidth="1"/>
    <col min="4" max="4" width="13" customWidth="1"/>
    <col min="5" max="5" width="11" customWidth="1"/>
    <col min="6" max="6" width="10" customWidth="1"/>
    <col min="7" max="7" width="55" customWidth="1"/>
    <col min="8" max="8" width="40" customWidth="1"/>
    <col min="9" max="9" width="11" customWidth="1"/>
  </cols>
  <sheetData>
    <row r="1" spans="1:9">
      <c r="A1" s="8" t="s">
        <v>134</v>
      </c>
    </row>
    <row r="2" spans="1:9">
      <c r="A2" s="2" t="s">
        <v>135</v>
      </c>
    </row>
    <row r="3" spans="1:9">
      <c r="A3" s="9" t="s">
        <v>2</v>
      </c>
    </row>
    <row r="5" spans="1:9">
      <c r="A5" s="10" t="s">
        <v>29</v>
      </c>
      <c r="B5" s="10" t="s">
        <v>30</v>
      </c>
      <c r="C5" s="10" t="s">
        <v>136</v>
      </c>
      <c r="D5" s="10" t="s">
        <v>137</v>
      </c>
      <c r="E5" s="10" t="s">
        <v>138</v>
      </c>
      <c r="F5" s="10" t="s">
        <v>139</v>
      </c>
      <c r="G5" s="10" t="s">
        <v>140</v>
      </c>
      <c r="H5" s="10" t="s">
        <v>141</v>
      </c>
      <c r="I5" s="10" t="s">
        <v>142</v>
      </c>
    </row>
    <row r="6" spans="1:9" ht="30" customHeight="1">
      <c r="A6" t="s">
        <v>39</v>
      </c>
      <c r="B6" t="s">
        <v>40</v>
      </c>
      <c r="C6" s="29">
        <f>Overview!D6</f>
        <v>478399.8</v>
      </c>
      <c r="D6" s="29">
        <f>Overview!F6</f>
        <v>486520.39999999997</v>
      </c>
      <c r="E6" s="29">
        <f>D6-C6</f>
        <v>8120.5999999999767</v>
      </c>
      <c r="F6" s="30">
        <f>IFERROR((D6-C6)/ABS(C6),0)</f>
        <v>1.6974505424124292E-2</v>
      </c>
      <c r="G6" s="6"/>
      <c r="H6" s="6"/>
    </row>
    <row r="7" spans="1:9" ht="30" customHeight="1">
      <c r="A7" t="s">
        <v>39</v>
      </c>
      <c r="B7" t="s">
        <v>41</v>
      </c>
      <c r="C7" s="29">
        <f>Overview!D7</f>
        <v>126633.7</v>
      </c>
      <c r="D7" s="29">
        <f>Overview!F7</f>
        <v>127118.3</v>
      </c>
      <c r="E7" s="29">
        <f>D7-C7</f>
        <v>484.60000000000582</v>
      </c>
      <c r="F7" s="30">
        <f>IFERROR((D7-C7)/ABS(C7),0)</f>
        <v>3.8267854449487446E-3</v>
      </c>
      <c r="G7" s="6"/>
      <c r="H7" s="6"/>
    </row>
    <row r="8" spans="1:9" ht="30" customHeight="1">
      <c r="A8" t="s">
        <v>39</v>
      </c>
      <c r="B8" t="s">
        <v>42</v>
      </c>
      <c r="C8" s="29">
        <f>Overview!D8</f>
        <v>92865.4</v>
      </c>
      <c r="D8" s="29">
        <f>Overview!F8</f>
        <v>96663.7</v>
      </c>
      <c r="E8" s="29">
        <f>D8-C8</f>
        <v>3798.3000000000029</v>
      </c>
      <c r="F8" s="30">
        <f>IFERROR((D8-C8)/ABS(C8),0)</f>
        <v>4.0901132176246517E-2</v>
      </c>
      <c r="G8" s="6"/>
      <c r="H8" s="6"/>
    </row>
    <row r="9" spans="1:9" ht="30" customHeight="1">
      <c r="A9" t="s">
        <v>39</v>
      </c>
      <c r="B9" t="s">
        <v>43</v>
      </c>
      <c r="C9" s="29">
        <f>Overview!D9</f>
        <v>33768.300000000003</v>
      </c>
      <c r="D9" s="29">
        <f>Overview!F9</f>
        <v>30454.600000000006</v>
      </c>
      <c r="E9" s="29">
        <f>D9-C9</f>
        <v>-3313.6999999999971</v>
      </c>
      <c r="F9" s="30">
        <f>IFERROR((D9-C9)/ABS(C9),0)</f>
        <v>-9.8130495168545551E-2</v>
      </c>
      <c r="G9" s="6"/>
      <c r="H9" s="6"/>
    </row>
    <row r="10" spans="1:9" ht="30" customHeight="1">
      <c r="A10" t="s">
        <v>47</v>
      </c>
      <c r="B10" t="s">
        <v>40</v>
      </c>
      <c r="C10" s="29">
        <f>Overview!D13</f>
        <v>174753.3</v>
      </c>
      <c r="D10" s="29">
        <f>Overview!F13</f>
        <v>185300.69999999998</v>
      </c>
      <c r="E10" s="29">
        <f>D10-C10</f>
        <v>10547.399999999994</v>
      </c>
      <c r="F10" s="30">
        <f>IFERROR((D10-C10)/ABS(C10),0)</f>
        <v>6.0355941776206769E-2</v>
      </c>
      <c r="G10" s="6"/>
      <c r="H10" s="6"/>
    </row>
    <row r="11" spans="1:9" ht="30" customHeight="1">
      <c r="A11" t="s">
        <v>47</v>
      </c>
      <c r="B11" t="s">
        <v>41</v>
      </c>
      <c r="C11" s="29">
        <f>Overview!D14</f>
        <v>42842.5</v>
      </c>
      <c r="D11" s="29">
        <f>Overview!F14</f>
        <v>45083.199999999997</v>
      </c>
      <c r="E11" s="29">
        <f>D11-C11</f>
        <v>2240.6999999999971</v>
      </c>
      <c r="F11" s="30">
        <f>IFERROR((D11-C11)/ABS(C11),0)</f>
        <v>5.2300869463733371E-2</v>
      </c>
      <c r="G11" s="6"/>
      <c r="H11" s="6"/>
    </row>
    <row r="12" spans="1:9" ht="30" customHeight="1">
      <c r="A12" t="s">
        <v>47</v>
      </c>
      <c r="B12" t="s">
        <v>42</v>
      </c>
      <c r="C12" s="29">
        <f>Overview!D15</f>
        <v>33139.5</v>
      </c>
      <c r="D12" s="29">
        <f>Overview!F15</f>
        <v>36041.599999999999</v>
      </c>
      <c r="E12" s="29">
        <f>D12-C12</f>
        <v>2902.0999999999985</v>
      </c>
      <c r="F12" s="30">
        <f>IFERROR((D12-C12)/ABS(C12),0)</f>
        <v>8.7572232532174554E-2</v>
      </c>
      <c r="G12" s="6"/>
      <c r="H12" s="6"/>
    </row>
    <row r="13" spans="1:9" ht="30" customHeight="1">
      <c r="A13" t="s">
        <v>47</v>
      </c>
      <c r="B13" t="s">
        <v>43</v>
      </c>
      <c r="C13" s="29">
        <f>Overview!D16</f>
        <v>9703</v>
      </c>
      <c r="D13" s="29">
        <f>Overview!F16</f>
        <v>9041.5999999999985</v>
      </c>
      <c r="E13" s="29">
        <f>D13-C13</f>
        <v>-661.40000000000146</v>
      </c>
      <c r="F13" s="30">
        <f>IFERROR((D13-C13)/ABS(C13),0)</f>
        <v>-6.8164485210759712E-2</v>
      </c>
      <c r="G13" s="6"/>
      <c r="H13" s="6"/>
    </row>
    <row r="14" spans="1:9" ht="30" customHeight="1">
      <c r="A14" t="s">
        <v>48</v>
      </c>
      <c r="B14" t="s">
        <v>40</v>
      </c>
      <c r="C14" s="29">
        <f>Overview!D20</f>
        <v>118103.9</v>
      </c>
      <c r="D14" s="29">
        <f>Overview!F20</f>
        <v>117793.5</v>
      </c>
      <c r="E14" s="29">
        <f>D14-C14</f>
        <v>-310.39999999999418</v>
      </c>
      <c r="F14" s="30">
        <f>IFERROR((D14-C14)/ABS(C14),0)</f>
        <v>-2.6281943271982905E-3</v>
      </c>
      <c r="G14" s="6"/>
      <c r="H14" s="6"/>
    </row>
    <row r="15" spans="1:9" ht="30" customHeight="1">
      <c r="A15" t="s">
        <v>48</v>
      </c>
      <c r="B15" t="s">
        <v>41</v>
      </c>
      <c r="C15" s="29">
        <f>Overview!D21</f>
        <v>33620.199999999997</v>
      </c>
      <c r="D15" s="29">
        <f>Overview!F21</f>
        <v>33781.899999999994</v>
      </c>
      <c r="E15" s="29">
        <f>D15-C15</f>
        <v>161.69999999999709</v>
      </c>
      <c r="F15" s="30">
        <f>IFERROR((D15-C15)/ABS(C15),0)</f>
        <v>4.809608509169996E-3</v>
      </c>
      <c r="G15" s="6"/>
      <c r="H15" s="6"/>
    </row>
    <row r="16" spans="1:9" ht="30" customHeight="1">
      <c r="A16" t="s">
        <v>48</v>
      </c>
      <c r="B16" t="s">
        <v>42</v>
      </c>
      <c r="C16" s="29">
        <f>Overview!D22</f>
        <v>23051.200000000001</v>
      </c>
      <c r="D16" s="29">
        <f>Overview!F22</f>
        <v>23384.600000000002</v>
      </c>
      <c r="E16" s="29">
        <f>D16-C16</f>
        <v>333.40000000000146</v>
      </c>
      <c r="F16" s="30">
        <f>IFERROR((D16-C16)/ABS(C16),0)</f>
        <v>1.4463455264801896E-2</v>
      </c>
      <c r="G16" s="6"/>
      <c r="H16" s="6"/>
    </row>
    <row r="17" spans="1:8" ht="30" customHeight="1">
      <c r="A17" t="s">
        <v>48</v>
      </c>
      <c r="B17" t="s">
        <v>43</v>
      </c>
      <c r="C17" s="29">
        <f>Overview!D23</f>
        <v>10568.999999999996</v>
      </c>
      <c r="D17" s="29">
        <f>Overview!F23</f>
        <v>10397.299999999992</v>
      </c>
      <c r="E17" s="29">
        <f>D17-C17</f>
        <v>-171.70000000000437</v>
      </c>
      <c r="F17" s="30">
        <f>IFERROR((D17-C17)/ABS(C17),0)</f>
        <v>-1.6245623994701905E-2</v>
      </c>
      <c r="G17" s="6"/>
      <c r="H17" s="6"/>
    </row>
    <row r="18" spans="1:8" ht="30" customHeight="1">
      <c r="A18" t="s">
        <v>49</v>
      </c>
      <c r="B18" t="s">
        <v>40</v>
      </c>
      <c r="C18" s="29">
        <f>Overview!D27</f>
        <v>109493.4</v>
      </c>
      <c r="D18" s="29">
        <f>Overview!F27</f>
        <v>108349.9</v>
      </c>
      <c r="E18" s="29">
        <f>D18-C18</f>
        <v>-1143.5</v>
      </c>
      <c r="F18" s="30">
        <f>IFERROR((D18-C18)/ABS(C18),0)</f>
        <v>-1.0443551848787234E-2</v>
      </c>
      <c r="G18" s="6"/>
      <c r="H18" s="6"/>
    </row>
    <row r="19" spans="1:8" ht="30" customHeight="1">
      <c r="A19" t="s">
        <v>49</v>
      </c>
      <c r="B19" t="s">
        <v>41</v>
      </c>
      <c r="C19" s="29">
        <f>Overview!D28</f>
        <v>33036.5</v>
      </c>
      <c r="D19" s="29">
        <f>Overview!F28</f>
        <v>31372.3</v>
      </c>
      <c r="E19" s="29">
        <f>D19-C19</f>
        <v>-1664.2000000000007</v>
      </c>
      <c r="F19" s="30">
        <f>IFERROR((D19-C19)/ABS(C19),0)</f>
        <v>-5.037458568552966E-2</v>
      </c>
      <c r="G19" s="6"/>
      <c r="H19" s="6"/>
    </row>
    <row r="20" spans="1:8" ht="30" customHeight="1">
      <c r="A20" t="s">
        <v>49</v>
      </c>
      <c r="B20" t="s">
        <v>42</v>
      </c>
      <c r="C20" s="29">
        <f>Overview!D29</f>
        <v>21242</v>
      </c>
      <c r="D20" s="29">
        <f>Overview!F29</f>
        <v>21493.8</v>
      </c>
      <c r="E20" s="29">
        <f>D20-C20</f>
        <v>251.79999999999927</v>
      </c>
      <c r="F20" s="30">
        <f>IFERROR((D20-C20)/ABS(C20),0)</f>
        <v>1.1853874399773999E-2</v>
      </c>
      <c r="G20" s="6"/>
      <c r="H20" s="6"/>
    </row>
    <row r="21" spans="1:8" ht="30" customHeight="1">
      <c r="A21" t="s">
        <v>49</v>
      </c>
      <c r="B21" t="s">
        <v>43</v>
      </c>
      <c r="C21" s="29">
        <f>Overview!D30</f>
        <v>11794.5</v>
      </c>
      <c r="D21" s="29">
        <f>Overview!F30</f>
        <v>9878.5</v>
      </c>
      <c r="E21" s="29">
        <f>D21-C21</f>
        <v>-1916</v>
      </c>
      <c r="F21" s="30">
        <f>IFERROR((D21-C21)/ABS(C21),0)</f>
        <v>-0.16244859892322694</v>
      </c>
      <c r="G21" s="6"/>
      <c r="H21" s="6"/>
    </row>
    <row r="22" spans="1:8" ht="30" customHeight="1">
      <c r="A22" t="s">
        <v>50</v>
      </c>
      <c r="B22" t="s">
        <v>40</v>
      </c>
      <c r="C22" s="29">
        <f>Overview!D34</f>
        <v>76049.2</v>
      </c>
      <c r="D22" s="29">
        <f>Overview!F34</f>
        <v>75076.3</v>
      </c>
      <c r="E22" s="29">
        <f>D22-C22</f>
        <v>-972.89999999999418</v>
      </c>
      <c r="F22" s="30">
        <f>IFERROR((D22-C22)/ABS(C22),0)</f>
        <v>-1.279303398326339E-2</v>
      </c>
      <c r="G22" s="6"/>
      <c r="H22" s="6"/>
    </row>
    <row r="23" spans="1:8" ht="30" customHeight="1">
      <c r="A23" t="s">
        <v>50</v>
      </c>
      <c r="B23" t="s">
        <v>41</v>
      </c>
      <c r="C23" s="29">
        <f>Overview!D35</f>
        <v>17134.5</v>
      </c>
      <c r="D23" s="29">
        <f>Overview!F35</f>
        <v>16880.900000000001</v>
      </c>
      <c r="E23" s="29">
        <f>D23-C23</f>
        <v>-253.59999999999854</v>
      </c>
      <c r="F23" s="30">
        <f>IFERROR((D23-C23)/ABS(C23),0)</f>
        <v>-1.4800548600776127E-2</v>
      </c>
      <c r="G23" s="6"/>
      <c r="H23" s="6"/>
    </row>
    <row r="24" spans="1:8" ht="30" customHeight="1">
      <c r="A24" t="s">
        <v>50</v>
      </c>
      <c r="B24" t="s">
        <v>42</v>
      </c>
      <c r="C24" s="29">
        <f>Overview!D36</f>
        <v>15432.7</v>
      </c>
      <c r="D24" s="29">
        <f>Overview!F36</f>
        <v>15743.7</v>
      </c>
      <c r="E24" s="29">
        <f>D24-C24</f>
        <v>311</v>
      </c>
      <c r="F24" s="30">
        <f>IFERROR((D24-C24)/ABS(C24),0)</f>
        <v>2.015201487750037E-2</v>
      </c>
      <c r="G24" s="6"/>
      <c r="H24" s="6"/>
    </row>
    <row r="25" spans="1:8" ht="30" customHeight="1">
      <c r="A25" t="s">
        <v>50</v>
      </c>
      <c r="B25" t="s">
        <v>43</v>
      </c>
      <c r="C25" s="29">
        <f>Overview!D37</f>
        <v>1701.7999999999993</v>
      </c>
      <c r="D25" s="29">
        <f>Overview!F37</f>
        <v>1137.2000000000007</v>
      </c>
      <c r="E25" s="29">
        <f>D25-C25</f>
        <v>-564.59999999999854</v>
      </c>
      <c r="F25" s="30">
        <f>IFERROR((D25-C25)/ABS(C25),0)</f>
        <v>-0.33176636502526663</v>
      </c>
      <c r="G25" s="6"/>
      <c r="H25" s="6"/>
    </row>
  </sheetData>
  <dataValidations count="1">
    <dataValidation type="list" allowBlank="1" sqref="I6:I25" xr:uid="{00000000-0002-0000-0400-000000000000}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workbookViewId="0"/>
  </sheetViews>
  <sheetFormatPr defaultRowHeight="15"/>
  <cols>
    <col min="1" max="1" width="8" customWidth="1"/>
    <col min="2" max="2" width="24" customWidth="1"/>
    <col min="3" max="3" width="12" customWidth="1"/>
    <col min="4" max="4" width="62" customWidth="1"/>
    <col min="5" max="5" width="14" customWidth="1"/>
    <col min="6" max="6" width="11" customWidth="1"/>
    <col min="7" max="7" width="12" customWidth="1"/>
    <col min="8" max="8" width="10" customWidth="1"/>
    <col min="9" max="9" width="22" customWidth="1"/>
    <col min="10" max="10" width="30" customWidth="1"/>
  </cols>
  <sheetData>
    <row r="1" spans="1:10">
      <c r="A1" s="8" t="s">
        <v>143</v>
      </c>
    </row>
    <row r="2" spans="1:10">
      <c r="A2" s="2" t="s">
        <v>144</v>
      </c>
    </row>
    <row r="3" spans="1:10">
      <c r="A3" s="9" t="s">
        <v>2</v>
      </c>
    </row>
    <row r="5" spans="1:10">
      <c r="A5" s="10" t="s">
        <v>54</v>
      </c>
      <c r="B5" s="10" t="s">
        <v>29</v>
      </c>
      <c r="C5" s="10" t="s">
        <v>130</v>
      </c>
      <c r="D5" s="10" t="s">
        <v>56</v>
      </c>
      <c r="E5" s="10" t="s">
        <v>145</v>
      </c>
      <c r="F5" s="10" t="s">
        <v>146</v>
      </c>
      <c r="G5" s="10" t="s">
        <v>147</v>
      </c>
      <c r="H5" s="10" t="s">
        <v>90</v>
      </c>
      <c r="I5" s="10" t="s">
        <v>148</v>
      </c>
      <c r="J5" s="10" t="s">
        <v>149</v>
      </c>
    </row>
    <row r="6" spans="1:10">
      <c r="A6" t="s">
        <v>150</v>
      </c>
      <c r="B6" t="s">
        <v>49</v>
      </c>
      <c r="C6" t="s">
        <v>151</v>
      </c>
      <c r="D6" s="6" t="s">
        <v>152</v>
      </c>
      <c r="E6" s="29">
        <v>-250</v>
      </c>
      <c r="F6" s="43">
        <v>0.4</v>
      </c>
      <c r="G6" s="29">
        <f>E6*F6</f>
        <v>-100</v>
      </c>
      <c r="H6" t="s">
        <v>153</v>
      </c>
      <c r="I6" t="s">
        <v>154</v>
      </c>
      <c r="J6" t="s">
        <v>155</v>
      </c>
    </row>
    <row r="7" spans="1:10">
      <c r="A7" t="s">
        <v>156</v>
      </c>
      <c r="B7" t="s">
        <v>49</v>
      </c>
      <c r="C7" t="s">
        <v>151</v>
      </c>
      <c r="D7" s="6" t="s">
        <v>157</v>
      </c>
      <c r="E7" s="29">
        <v>-300</v>
      </c>
      <c r="F7" s="43">
        <v>0.5</v>
      </c>
      <c r="G7" s="29">
        <f>E7*F7</f>
        <v>-150</v>
      </c>
      <c r="H7" t="s">
        <v>158</v>
      </c>
      <c r="I7" t="s">
        <v>159</v>
      </c>
      <c r="J7" t="s">
        <v>160</v>
      </c>
    </row>
    <row r="8" spans="1:10">
      <c r="A8" t="s">
        <v>161</v>
      </c>
      <c r="B8" t="s">
        <v>49</v>
      </c>
      <c r="C8" t="s">
        <v>162</v>
      </c>
      <c r="D8" s="6" t="s">
        <v>163</v>
      </c>
      <c r="E8" s="29">
        <v>180</v>
      </c>
      <c r="F8" s="43">
        <v>0.6</v>
      </c>
      <c r="G8" s="29">
        <f>E8*F8</f>
        <v>108</v>
      </c>
      <c r="H8" t="s">
        <v>158</v>
      </c>
      <c r="I8" t="s">
        <v>164</v>
      </c>
      <c r="J8" t="s">
        <v>165</v>
      </c>
    </row>
    <row r="9" spans="1:10">
      <c r="A9" t="s">
        <v>166</v>
      </c>
      <c r="B9" t="s">
        <v>47</v>
      </c>
      <c r="C9" t="s">
        <v>162</v>
      </c>
      <c r="D9" s="6" t="s">
        <v>167</v>
      </c>
      <c r="E9" s="29">
        <v>140</v>
      </c>
      <c r="F9" s="43">
        <v>0.3</v>
      </c>
      <c r="G9" s="29">
        <f>E9*F9</f>
        <v>42</v>
      </c>
      <c r="H9" t="s">
        <v>168</v>
      </c>
      <c r="I9" t="s">
        <v>169</v>
      </c>
      <c r="J9" t="s">
        <v>170</v>
      </c>
    </row>
    <row r="10" spans="1:10">
      <c r="A10" t="s">
        <v>171</v>
      </c>
      <c r="B10" t="s">
        <v>47</v>
      </c>
      <c r="C10" t="s">
        <v>151</v>
      </c>
      <c r="D10" s="6" t="s">
        <v>172</v>
      </c>
      <c r="E10" s="29">
        <v>-120</v>
      </c>
      <c r="F10" s="43">
        <v>0.5</v>
      </c>
      <c r="G10" s="29">
        <f>E10*F10</f>
        <v>-60</v>
      </c>
      <c r="H10" t="s">
        <v>168</v>
      </c>
      <c r="I10" t="s">
        <v>173</v>
      </c>
      <c r="J10" t="s">
        <v>174</v>
      </c>
    </row>
    <row r="11" spans="1:10">
      <c r="A11" t="s">
        <v>175</v>
      </c>
      <c r="B11" t="s">
        <v>48</v>
      </c>
      <c r="C11" t="s">
        <v>162</v>
      </c>
      <c r="D11" s="6" t="s">
        <v>176</v>
      </c>
      <c r="E11" s="29">
        <v>150</v>
      </c>
      <c r="F11" s="43">
        <v>0.4</v>
      </c>
      <c r="G11" s="29">
        <f>E11*F11</f>
        <v>60</v>
      </c>
      <c r="H11" t="s">
        <v>168</v>
      </c>
      <c r="I11" t="s">
        <v>177</v>
      </c>
      <c r="J11" t="s">
        <v>178</v>
      </c>
    </row>
    <row r="12" spans="1:10">
      <c r="A12" t="s">
        <v>179</v>
      </c>
      <c r="B12" t="s">
        <v>48</v>
      </c>
      <c r="C12" t="s">
        <v>162</v>
      </c>
      <c r="D12" s="6" t="s">
        <v>180</v>
      </c>
      <c r="E12" s="29">
        <v>90</v>
      </c>
      <c r="F12" s="43">
        <v>0.5</v>
      </c>
      <c r="G12" s="29">
        <f>E12*F12</f>
        <v>45</v>
      </c>
      <c r="H12" t="s">
        <v>158</v>
      </c>
      <c r="I12" t="s">
        <v>164</v>
      </c>
      <c r="J12" t="s">
        <v>181</v>
      </c>
    </row>
    <row r="13" spans="1:10">
      <c r="A13" t="s">
        <v>182</v>
      </c>
      <c r="B13" t="s">
        <v>50</v>
      </c>
      <c r="C13" t="s">
        <v>151</v>
      </c>
      <c r="D13" s="6" t="s">
        <v>183</v>
      </c>
      <c r="E13" s="29">
        <v>-110</v>
      </c>
      <c r="F13" s="43">
        <v>0.35</v>
      </c>
      <c r="G13" s="29">
        <f>E13*F13</f>
        <v>-38.5</v>
      </c>
      <c r="H13" t="s">
        <v>158</v>
      </c>
      <c r="I13" t="s">
        <v>154</v>
      </c>
      <c r="J13" t="s">
        <v>184</v>
      </c>
    </row>
    <row r="14" spans="1:10">
      <c r="A14" t="s">
        <v>185</v>
      </c>
      <c r="B14" t="s">
        <v>186</v>
      </c>
      <c r="C14" t="s">
        <v>151</v>
      </c>
      <c r="D14" s="6" t="s">
        <v>187</v>
      </c>
      <c r="E14" s="29">
        <v>-160</v>
      </c>
      <c r="F14" s="43">
        <v>0.3</v>
      </c>
      <c r="G14" s="29">
        <f>E14*F14</f>
        <v>-48</v>
      </c>
      <c r="H14" t="s">
        <v>168</v>
      </c>
      <c r="I14" t="s">
        <v>188</v>
      </c>
      <c r="J14" t="s">
        <v>189</v>
      </c>
    </row>
    <row r="15" spans="1:10">
      <c r="D15" s="5" t="s">
        <v>190</v>
      </c>
      <c r="E15" s="41">
        <f>SUM(E6:E14)</f>
        <v>-380</v>
      </c>
      <c r="G15" s="41">
        <f>SUM(G6:G14)</f>
        <v>-141.5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"/>
  <sheetViews>
    <sheetView workbookViewId="0"/>
  </sheetViews>
  <sheetFormatPr defaultRowHeight="15"/>
  <cols>
    <col min="1" max="1" width="34" customWidth="1"/>
    <col min="2" max="14" width="11" customWidth="1"/>
  </cols>
  <sheetData>
    <row r="1" spans="1:14">
      <c r="A1" s="8" t="s">
        <v>191</v>
      </c>
    </row>
    <row r="2" spans="1:14">
      <c r="A2" s="2" t="s">
        <v>192</v>
      </c>
    </row>
    <row r="3" spans="1:14">
      <c r="A3" s="9" t="s">
        <v>2</v>
      </c>
    </row>
    <row r="5" spans="1:14">
      <c r="A5" s="10" t="s">
        <v>193</v>
      </c>
      <c r="B5" s="10" t="s">
        <v>117</v>
      </c>
      <c r="C5" s="10" t="s">
        <v>118</v>
      </c>
      <c r="D5" s="10" t="s">
        <v>119</v>
      </c>
      <c r="E5" s="10" t="s">
        <v>120</v>
      </c>
      <c r="F5" s="10" t="s">
        <v>121</v>
      </c>
      <c r="G5" s="10" t="s">
        <v>122</v>
      </c>
      <c r="H5" s="10" t="s">
        <v>123</v>
      </c>
      <c r="I5" s="10" t="s">
        <v>124</v>
      </c>
      <c r="J5" s="10" t="s">
        <v>125</v>
      </c>
      <c r="K5" s="10" t="s">
        <v>126</v>
      </c>
      <c r="L5" s="10" t="s">
        <v>127</v>
      </c>
      <c r="M5" s="10" t="s">
        <v>128</v>
      </c>
      <c r="N5" s="10" t="s">
        <v>129</v>
      </c>
    </row>
    <row r="6" spans="1:14">
      <c r="A6" s="28" t="s">
        <v>194</v>
      </c>
      <c r="B6" s="29">
        <v>37522.300000000003</v>
      </c>
      <c r="C6" s="29">
        <v>36649.199999999997</v>
      </c>
      <c r="D6" s="29">
        <v>40120.1</v>
      </c>
      <c r="E6" s="29">
        <v>40264.1</v>
      </c>
      <c r="F6" s="29">
        <v>41056</v>
      </c>
      <c r="G6" s="29">
        <v>41353.5</v>
      </c>
      <c r="H6" s="29">
        <v>41113.4</v>
      </c>
      <c r="I6" s="29">
        <v>41508.199999999997</v>
      </c>
      <c r="J6" s="29">
        <v>41899.9</v>
      </c>
      <c r="K6" s="29">
        <v>42230</v>
      </c>
      <c r="L6" s="29">
        <v>41494.699999999997</v>
      </c>
      <c r="M6" s="29">
        <v>41309</v>
      </c>
      <c r="N6" s="29">
        <f>SUM(B6:M6)</f>
        <v>486520.40000000008</v>
      </c>
    </row>
    <row r="7" spans="1:14">
      <c r="A7" s="28" t="s">
        <v>195</v>
      </c>
      <c r="B7" s="44">
        <v>21</v>
      </c>
      <c r="C7" s="44">
        <v>20</v>
      </c>
      <c r="D7" s="44">
        <v>22</v>
      </c>
      <c r="E7" s="44">
        <v>22</v>
      </c>
      <c r="F7" s="44">
        <v>20</v>
      </c>
      <c r="G7" s="44">
        <v>22</v>
      </c>
      <c r="H7" s="44">
        <v>22</v>
      </c>
      <c r="I7" s="44">
        <v>21</v>
      </c>
      <c r="J7" s="44">
        <v>21</v>
      </c>
      <c r="K7" s="44">
        <v>22</v>
      </c>
      <c r="L7" s="44">
        <v>19</v>
      </c>
      <c r="M7" s="44">
        <v>22</v>
      </c>
      <c r="N7" s="44">
        <f>SUM(B7:M7)</f>
        <v>254</v>
      </c>
    </row>
    <row r="8" spans="1:14">
      <c r="A8" s="5" t="s">
        <v>196</v>
      </c>
      <c r="B8" s="29">
        <f>IF(B6="","",B6/B7)</f>
        <v>1786.7761904761905</v>
      </c>
      <c r="C8" s="29">
        <f>IF(C6="","",C6/C7)</f>
        <v>1832.4599999999998</v>
      </c>
      <c r="D8" s="29">
        <f>IF(D6="","",D6/D7)</f>
        <v>1823.640909090909</v>
      </c>
      <c r="E8" s="29">
        <f>IF(E6="","",E6/E7)</f>
        <v>1830.1863636363635</v>
      </c>
      <c r="F8" s="29">
        <f>IF(F6="","",F6/F7)</f>
        <v>2052.8000000000002</v>
      </c>
      <c r="G8" s="29">
        <f>IF(G6="","",G6/G7)</f>
        <v>1879.7045454545455</v>
      </c>
      <c r="H8" s="29">
        <f>IF(H6="","",H6/H7)</f>
        <v>1868.7909090909091</v>
      </c>
      <c r="I8" s="29">
        <f>IF(I6="","",I6/I7)</f>
        <v>1976.5809523809523</v>
      </c>
      <c r="J8" s="29">
        <f>IF(J6="","",J6/J7)</f>
        <v>1995.2333333333333</v>
      </c>
      <c r="K8" s="29">
        <f>IF(K6="","",K6/K7)</f>
        <v>1919.5454545454545</v>
      </c>
      <c r="L8" s="29">
        <f>IF(L6="","",L6/L7)</f>
        <v>2183.9315789473681</v>
      </c>
      <c r="M8" s="29">
        <f>IF(M6="","",M6/M7)</f>
        <v>1877.6818181818182</v>
      </c>
      <c r="N8" s="29">
        <f>N6/N7</f>
        <v>1915.4346456692917</v>
      </c>
    </row>
    <row r="9" spans="1:14">
      <c r="A9" s="28" t="s">
        <v>197</v>
      </c>
      <c r="B9" s="29">
        <v>38510.800000000003</v>
      </c>
      <c r="C9" s="29">
        <v>37650.9</v>
      </c>
      <c r="D9" s="29">
        <v>41080.699999999997</v>
      </c>
      <c r="E9" s="29">
        <v>41208.800000000003</v>
      </c>
      <c r="F9" s="29">
        <v>42143.6</v>
      </c>
      <c r="G9" s="29">
        <v>42700.6</v>
      </c>
      <c r="H9" s="29">
        <v>41971.3</v>
      </c>
      <c r="I9" s="29">
        <v>42186.8</v>
      </c>
      <c r="J9" s="29">
        <v>41279.1</v>
      </c>
      <c r="K9" s="29">
        <v>42351.199999999997</v>
      </c>
      <c r="L9" s="29">
        <v>41047.800000000003</v>
      </c>
      <c r="M9" s="29">
        <v>41060.800000000003</v>
      </c>
      <c r="N9" s="29">
        <f>SUM(B9:M9)</f>
        <v>493192.39999999997</v>
      </c>
    </row>
    <row r="10" spans="1:14">
      <c r="A10" s="5" t="s">
        <v>198</v>
      </c>
      <c r="B10" s="29">
        <f>IF(B9="","",B9/B7)</f>
        <v>1833.8476190476192</v>
      </c>
      <c r="C10" s="29">
        <f>IF(C9="","",C9/C7)</f>
        <v>1882.5450000000001</v>
      </c>
      <c r="D10" s="29">
        <f>IF(D9="","",D9/D7)</f>
        <v>1867.3045454545454</v>
      </c>
      <c r="E10" s="29">
        <f>IF(E9="","",E9/E7)</f>
        <v>1873.1272727272728</v>
      </c>
      <c r="F10" s="29">
        <f>IF(F9="","",F9/F7)</f>
        <v>2107.1799999999998</v>
      </c>
      <c r="G10" s="29">
        <f>IF(G9="","",G9/G7)</f>
        <v>1940.9363636363635</v>
      </c>
      <c r="H10" s="29">
        <f>IF(H9="","",H9/H7)</f>
        <v>1907.7863636363638</v>
      </c>
      <c r="I10" s="29">
        <f>IF(I9="","",I9/I7)</f>
        <v>2008.8952380952383</v>
      </c>
      <c r="J10" s="29">
        <f>IF(J9="","",J9/J7)</f>
        <v>1965.6714285714286</v>
      </c>
      <c r="K10" s="29">
        <f>IF(K9="","",K9/K7)</f>
        <v>1925.0545454545454</v>
      </c>
      <c r="L10" s="29">
        <f>IF(L9="","",L9/L7)</f>
        <v>2160.4105263157894</v>
      </c>
      <c r="M10" s="29">
        <f>IF(M9="","",M9/M7)</f>
        <v>1866.4</v>
      </c>
      <c r="N10" s="29">
        <f>N9/N7</f>
        <v>1941.7023622047243</v>
      </c>
    </row>
    <row r="11" spans="1:14">
      <c r="A11" s="28" t="s">
        <v>199</v>
      </c>
      <c r="B11" s="29">
        <v>37029.5</v>
      </c>
      <c r="C11" s="29">
        <v>36202.800000000003</v>
      </c>
      <c r="D11" s="29">
        <v>39500.6</v>
      </c>
      <c r="E11" s="29">
        <v>39623.9</v>
      </c>
      <c r="F11" s="29">
        <v>40522.6</v>
      </c>
      <c r="G11" s="29">
        <v>41058.300000000003</v>
      </c>
      <c r="H11" s="29">
        <v>40357</v>
      </c>
      <c r="I11" s="29">
        <v>40564.1</v>
      </c>
      <c r="J11" s="29">
        <v>39691.300000000003</v>
      </c>
      <c r="K11" s="29">
        <v>40722.300000000003</v>
      </c>
      <c r="L11" s="29">
        <v>39469.1</v>
      </c>
      <c r="M11" s="29">
        <v>39481.599999999999</v>
      </c>
      <c r="N11" s="29">
        <f>SUM(B11:M11)</f>
        <v>474223.09999999992</v>
      </c>
    </row>
    <row r="12" spans="1:14">
      <c r="A12" s="28" t="s">
        <v>200</v>
      </c>
      <c r="B12" s="44">
        <v>22</v>
      </c>
      <c r="C12" s="44">
        <v>20</v>
      </c>
      <c r="D12" s="44">
        <v>21</v>
      </c>
      <c r="E12" s="44">
        <v>22</v>
      </c>
      <c r="F12" s="44">
        <v>21</v>
      </c>
      <c r="G12" s="44">
        <v>21</v>
      </c>
      <c r="H12" s="44">
        <v>22</v>
      </c>
      <c r="I12" s="44">
        <v>21</v>
      </c>
      <c r="J12" s="44">
        <v>21</v>
      </c>
      <c r="K12" s="44">
        <v>23</v>
      </c>
      <c r="L12" s="44">
        <v>18</v>
      </c>
      <c r="M12" s="44">
        <v>22</v>
      </c>
      <c r="N12" s="44">
        <f>SUM(B12:M12)</f>
        <v>254</v>
      </c>
    </row>
    <row r="13" spans="1:14">
      <c r="A13" s="5" t="s">
        <v>201</v>
      </c>
      <c r="B13" s="29">
        <f>IF(B11="","",B11/B12)</f>
        <v>1683.159090909091</v>
      </c>
      <c r="C13" s="29">
        <f>IF(C11="","",C11/C12)</f>
        <v>1810.14</v>
      </c>
      <c r="D13" s="29">
        <f>IF(D11="","",D11/D12)</f>
        <v>1880.9809523809522</v>
      </c>
      <c r="E13" s="29">
        <f>IF(E11="","",E11/E12)</f>
        <v>1801.0863636363638</v>
      </c>
      <c r="F13" s="29">
        <f>IF(F11="","",F11/F12)</f>
        <v>1929.6476190476189</v>
      </c>
      <c r="G13" s="29">
        <f>IF(G11="","",G11/G12)</f>
        <v>1955.1571428571431</v>
      </c>
      <c r="H13" s="29">
        <f>IF(H11="","",H11/H12)</f>
        <v>1834.409090909091</v>
      </c>
      <c r="I13" s="29">
        <f>IF(I11="","",I11/I12)</f>
        <v>1931.6238095238095</v>
      </c>
      <c r="J13" s="29">
        <f>IF(J11="","",J11/J12)</f>
        <v>1890.061904761905</v>
      </c>
      <c r="K13" s="29">
        <f>IF(K11="","",K11/K12)</f>
        <v>1770.5347826086959</v>
      </c>
      <c r="L13" s="29">
        <f>IF(L11="","",L11/L12)</f>
        <v>2192.7277777777776</v>
      </c>
      <c r="M13" s="29">
        <f>IF(M11="","",M11/M12)</f>
        <v>1794.6181818181817</v>
      </c>
      <c r="N13" s="29">
        <f>N11/N12</f>
        <v>1867.0200787401573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Erik Montes</cp:lastModifiedBy>
  <cp:revision/>
  <dcterms:created xsi:type="dcterms:W3CDTF">2026-10-16T16:22:40Z</dcterms:created>
  <dcterms:modified xsi:type="dcterms:W3CDTF">2026-10-16T18:04:04Z</dcterms:modified>
  <cp:category/>
  <cp:contentStatus/>
</cp:coreProperties>
</file>