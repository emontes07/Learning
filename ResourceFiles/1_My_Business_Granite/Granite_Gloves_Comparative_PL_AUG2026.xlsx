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" sheetId="1" state="visible" r:id="rId1"/>
    <sheet xmlns:r="http://schemas.openxmlformats.org/officeDocument/2006/relationships" name="Story" sheetId="2" state="visible" r:id="rId2"/>
    <sheet xmlns:r="http://schemas.openxmlformats.org/officeDocument/2006/relationships" name="Picklist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&quot;-&quot;"/>
    <numFmt numFmtId="165" formatCode="0.0%;[Red]-0.0%;&quot;-&quot;"/>
  </numFmts>
  <fonts count="10">
    <font>
      <name val="Calibri"/>
      <family val="2"/>
      <color theme="1"/>
      <sz val="11"/>
      <scheme val="minor"/>
    </font>
    <font>
      <i val="1"/>
      <color rgb="00C00000"/>
      <sz val="9"/>
    </font>
    <font>
      <color rgb="00808080"/>
      <sz val="8"/>
    </font>
    <font>
      <b val="1"/>
    </font>
    <font/>
    <font>
      <i val="1"/>
    </font>
    <font>
      <b val="1"/>
      <color rgb="00FFFFFF"/>
    </font>
    <font>
      <b val="1"/>
      <color rgb="001F3864"/>
      <sz val="16"/>
    </font>
    <font>
      <i val="1"/>
      <color rgb="005D6B82"/>
    </font>
    <font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6F2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5:V122"/>
  <sheetViews>
    <sheetView showGridLines="0" workbookViewId="0">
      <pane xSplit="5" ySplit="35" topLeftCell="F3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" customWidth="1" min="3" max="3"/>
    <col width="2" customWidth="1" min="4" max="4"/>
    <col width="2" customWidth="1" min="5" max="5"/>
    <col width="12" customWidth="1" min="6" max="6"/>
    <col width="12" customWidth="1" min="7" max="7"/>
    <col width="12" customWidth="1" min="8" max="8"/>
    <col width="12" customWidth="1" min="9" max="9"/>
    <col width="2" customWidth="1" min="10" max="10"/>
    <col width="12" customWidth="1" min="11" max="11"/>
    <col width="12" customWidth="1" min="12" max="12"/>
    <col width="12" customWidth="1" min="13" max="13"/>
    <col width="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" customWidth="1" min="19" max="19"/>
    <col width="12" customWidth="1" min="20" max="20"/>
    <col width="12" customWidth="1" min="21" max="21"/>
    <col width="12" customWidth="1" min="22" max="22"/>
  </cols>
  <sheetData>
    <row r="15">
      <c r="B15" s="1" t="inlineStr">
        <is>
          <t>TRAINING DATA ONLY - Zava Safety and all business names and numbers are fictitious. Layout mirrors a typical HFM / Cognos reporting pack.</t>
        </is>
      </c>
    </row>
    <row r="17">
      <c r="A17" s="2" t="inlineStr">
        <is>
          <t>Budget:Financial</t>
        </is>
      </c>
    </row>
    <row r="18">
      <c r="A18" s="2" t="inlineStr">
        <is>
          <t>Budget</t>
        </is>
      </c>
    </row>
    <row r="19">
      <c r="C19" s="3" t="inlineStr">
        <is>
          <t>General Ledger P&amp;L</t>
        </is>
      </c>
    </row>
    <row r="20">
      <c r="C20" s="4" t="inlineStr">
        <is>
          <t>Currency</t>
        </is>
      </c>
      <c r="D20" t="inlineStr">
        <is>
          <t>USD</t>
        </is>
      </c>
    </row>
    <row r="21">
      <c r="C21" s="4" t="inlineStr">
        <is>
          <t>mFinancialReport</t>
        </is>
      </c>
      <c r="D21" t="inlineStr">
        <is>
          <t>Value</t>
        </is>
      </c>
    </row>
    <row r="22">
      <c r="C22" s="4" t="inlineStr">
        <is>
          <t>Entity-GL</t>
        </is>
      </c>
      <c r="D22" t="inlineStr">
        <is>
          <t>Granite Gloves</t>
        </is>
      </c>
    </row>
    <row r="23">
      <c r="C23" s="4" t="inlineStr">
        <is>
          <t>Month</t>
        </is>
      </c>
      <c r="D23" t="inlineStr">
        <is>
          <t>Aug</t>
        </is>
      </c>
    </row>
    <row r="24">
      <c r="C24" s="4" t="inlineStr">
        <is>
          <t>Year</t>
        </is>
      </c>
      <c r="D24" t="n">
        <v>2026</v>
      </c>
      <c r="F24" t="n">
        <v>2025</v>
      </c>
    </row>
    <row r="25">
      <c r="C25" s="4" t="inlineStr">
        <is>
          <t>Subset</t>
        </is>
      </c>
      <c r="D25" t="inlineStr">
        <is>
          <t>PL - Detailed</t>
        </is>
      </c>
    </row>
    <row r="30">
      <c r="B30" s="2" t="inlineStr">
        <is>
          <t>09/15/2026 08:05</t>
        </is>
      </c>
    </row>
    <row r="32" ht="30" customHeight="1">
      <c r="B32" s="5" t="inlineStr">
        <is>
          <t>* In Thousands</t>
        </is>
      </c>
      <c r="F32" s="6" t="inlineStr">
        <is>
          <t>Aug</t>
        </is>
      </c>
      <c r="G32" s="6" t="inlineStr">
        <is>
          <t>Aug</t>
        </is>
      </c>
      <c r="H32" s="6" t="inlineStr">
        <is>
          <t>Act vs Bud Var $</t>
        </is>
      </c>
      <c r="I32" s="6" t="inlineStr">
        <is>
          <t>Act vs Bud Var %</t>
        </is>
      </c>
      <c r="K32" s="6" t="inlineStr">
        <is>
          <t>Aug</t>
        </is>
      </c>
      <c r="L32" s="6" t="inlineStr">
        <is>
          <t>Act vs PY Act Var $</t>
        </is>
      </c>
      <c r="M32" s="6" t="inlineStr">
        <is>
          <t>Act vs PY Act Var %</t>
        </is>
      </c>
      <c r="O32" s="6" t="inlineStr">
        <is>
          <t>YTD Aug</t>
        </is>
      </c>
      <c r="P32" s="6" t="inlineStr">
        <is>
          <t>YTD Aug</t>
        </is>
      </c>
      <c r="Q32" s="6" t="inlineStr">
        <is>
          <t>Act YTD vs Bud YTD Var $</t>
        </is>
      </c>
      <c r="R32" s="6" t="inlineStr">
        <is>
          <t>Act YTD vs Bud YTD Var %</t>
        </is>
      </c>
      <c r="T32" s="6" t="inlineStr">
        <is>
          <t>YTD Aug</t>
        </is>
      </c>
      <c r="U32" s="6" t="inlineStr">
        <is>
          <t>Act YTD vs PY YTD Var $</t>
        </is>
      </c>
      <c r="V32" s="6" t="inlineStr">
        <is>
          <t>Act YTD vs PY YTD Var %</t>
        </is>
      </c>
    </row>
    <row r="33">
      <c r="F33" s="6" t="n">
        <v>2026</v>
      </c>
      <c r="G33" s="6" t="n">
        <v>2026</v>
      </c>
      <c r="H33" s="6" t="n"/>
      <c r="I33" s="6" t="n"/>
      <c r="K33" s="6" t="n">
        <v>2025</v>
      </c>
      <c r="L33" s="6" t="n"/>
      <c r="M33" s="6" t="n"/>
      <c r="O33" s="6" t="n">
        <v>2026</v>
      </c>
      <c r="P33" s="6" t="n">
        <v>2026</v>
      </c>
      <c r="Q33" s="6" t="n"/>
      <c r="R33" s="6" t="n"/>
      <c r="T33" s="6" t="n">
        <v>2025</v>
      </c>
      <c r="U33" s="6" t="n"/>
      <c r="V33" s="6" t="n"/>
    </row>
    <row r="34">
      <c r="F34" s="6" t="inlineStr">
        <is>
          <t>Actual</t>
        </is>
      </c>
      <c r="G34" s="6" t="inlineStr">
        <is>
          <t>CY Budget</t>
        </is>
      </c>
      <c r="H34" s="6" t="n"/>
      <c r="I34" s="6" t="n"/>
      <c r="K34" s="6" t="inlineStr">
        <is>
          <t>Actual</t>
        </is>
      </c>
      <c r="L34" s="6" t="n"/>
      <c r="M34" s="6" t="n"/>
      <c r="O34" s="6" t="inlineStr">
        <is>
          <t>Actual</t>
        </is>
      </c>
      <c r="P34" s="6" t="inlineStr">
        <is>
          <t>CY Budget</t>
        </is>
      </c>
      <c r="Q34" s="6" t="n"/>
      <c r="R34" s="6" t="n"/>
      <c r="T34" s="6" t="inlineStr">
        <is>
          <t>Actual</t>
        </is>
      </c>
      <c r="U34" s="6" t="n"/>
      <c r="V34" s="6" t="n"/>
    </row>
    <row r="36">
      <c r="B36" t="inlineStr">
        <is>
          <t>4100-1000 - WAREHOUSE</t>
        </is>
      </c>
      <c r="F36" s="7" t="n">
        <v>5032.8</v>
      </c>
      <c r="G36" s="7" t="n">
        <v>5317</v>
      </c>
      <c r="H36" s="7" t="n">
        <v>-284.2</v>
      </c>
      <c r="I36" s="8" t="n">
        <v>-0.0535</v>
      </c>
      <c r="K36" s="7" t="n">
        <v>5092.5</v>
      </c>
      <c r="L36" s="7" t="n">
        <v>-59.7</v>
      </c>
      <c r="M36" s="8" t="n">
        <v>-0.0117</v>
      </c>
      <c r="O36" s="7" t="n">
        <v>40372.9</v>
      </c>
      <c r="P36" s="7" t="n">
        <v>42482.6</v>
      </c>
      <c r="Q36" s="7" t="n">
        <v>-2109.7</v>
      </c>
      <c r="R36" s="8" t="n">
        <v>-0.0497</v>
      </c>
      <c r="T36" s="7" t="n">
        <v>41262.5</v>
      </c>
      <c r="U36" s="7" t="n">
        <v>-889.6</v>
      </c>
      <c r="V36" s="8" t="n">
        <v>-0.0216</v>
      </c>
    </row>
    <row r="37">
      <c r="B37" s="3" t="inlineStr">
        <is>
          <t>Sales-Warehouse</t>
        </is>
      </c>
      <c r="C37" s="3" t="n"/>
      <c r="D37" s="3" t="n"/>
      <c r="E37" s="3" t="n"/>
      <c r="F37" s="9" t="n">
        <v>5032.8</v>
      </c>
      <c r="G37" s="9" t="n">
        <v>5317</v>
      </c>
      <c r="H37" s="9" t="n">
        <v>-284.2</v>
      </c>
      <c r="I37" s="10" t="n">
        <v>-0.0535</v>
      </c>
      <c r="J37" s="3" t="n"/>
      <c r="K37" s="9" t="n">
        <v>5092.5</v>
      </c>
      <c r="L37" s="9" t="n">
        <v>-59.7</v>
      </c>
      <c r="M37" s="10" t="n">
        <v>-0.0117</v>
      </c>
      <c r="N37" s="3" t="n"/>
      <c r="O37" s="9" t="n">
        <v>40372.9</v>
      </c>
      <c r="P37" s="9" t="n">
        <v>42482.6</v>
      </c>
      <c r="Q37" s="9" t="n">
        <v>-2109.7</v>
      </c>
      <c r="R37" s="10" t="n">
        <v>-0.0497</v>
      </c>
      <c r="S37" s="3" t="n"/>
      <c r="T37" s="9" t="n">
        <v>41262.5</v>
      </c>
      <c r="U37" s="9" t="n">
        <v>-889.6</v>
      </c>
      <c r="V37" s="10" t="n">
        <v>-0.0216</v>
      </c>
    </row>
    <row r="38">
      <c r="B38" t="inlineStr">
        <is>
          <t>4100-1010 - DIRECT SHIP</t>
        </is>
      </c>
      <c r="F38" s="7" t="n">
        <v>209.7</v>
      </c>
      <c r="G38" s="7" t="n">
        <v>221.5</v>
      </c>
      <c r="H38" s="7" t="n">
        <v>-11.8</v>
      </c>
      <c r="I38" s="8" t="n">
        <v>-0.0533</v>
      </c>
      <c r="K38" s="7" t="n">
        <v>212.2</v>
      </c>
      <c r="L38" s="7" t="n">
        <v>-2.5</v>
      </c>
      <c r="M38" s="8" t="n">
        <v>-0.0118</v>
      </c>
      <c r="O38" s="7" t="n">
        <v>1682.1</v>
      </c>
      <c r="P38" s="7" t="n">
        <v>1770.1</v>
      </c>
      <c r="Q38" s="7" t="n">
        <v>-88</v>
      </c>
      <c r="R38" s="8" t="n">
        <v>-0.0497</v>
      </c>
      <c r="T38" s="7" t="n">
        <v>1719.2</v>
      </c>
      <c r="U38" s="7" t="n">
        <v>-37.1</v>
      </c>
      <c r="V38" s="8" t="n">
        <v>-0.0216</v>
      </c>
    </row>
    <row r="39">
      <c r="B39" s="3" t="inlineStr">
        <is>
          <t>Sales-Dropships</t>
        </is>
      </c>
      <c r="C39" s="3" t="n"/>
      <c r="D39" s="3" t="n"/>
      <c r="E39" s="3" t="n"/>
      <c r="F39" s="9" t="n">
        <v>209.7</v>
      </c>
      <c r="G39" s="9" t="n">
        <v>221.5</v>
      </c>
      <c r="H39" s="9" t="n">
        <v>-11.8</v>
      </c>
      <c r="I39" s="10" t="n">
        <v>-0.0533</v>
      </c>
      <c r="J39" s="3" t="n"/>
      <c r="K39" s="9" t="n">
        <v>212.2</v>
      </c>
      <c r="L39" s="9" t="n">
        <v>-2.5</v>
      </c>
      <c r="M39" s="10" t="n">
        <v>-0.0118</v>
      </c>
      <c r="N39" s="3" t="n"/>
      <c r="O39" s="9" t="n">
        <v>1682.1</v>
      </c>
      <c r="P39" s="9" t="n">
        <v>1770.1</v>
      </c>
      <c r="Q39" s="9" t="n">
        <v>-88</v>
      </c>
      <c r="R39" s="10" t="n">
        <v>-0.0497</v>
      </c>
      <c r="S39" s="3" t="n"/>
      <c r="T39" s="9" t="n">
        <v>1719.2</v>
      </c>
      <c r="U39" s="9" t="n">
        <v>-37.1</v>
      </c>
      <c r="V39" s="10" t="n">
        <v>-0.0216</v>
      </c>
    </row>
    <row r="40">
      <c r="B40" t="inlineStr">
        <is>
          <t>4100-1100 - RETURNS AND ALLOWANCES</t>
        </is>
      </c>
      <c r="F40" s="7" t="n">
        <v>-35.4</v>
      </c>
      <c r="G40" s="7" t="n">
        <v>-36.9</v>
      </c>
      <c r="H40" s="7" t="n">
        <v>1.5</v>
      </c>
      <c r="I40" s="8" t="n">
        <v>-0.0407</v>
      </c>
      <c r="K40" s="7" t="n">
        <v>-33.8</v>
      </c>
      <c r="L40" s="7" t="n">
        <v>-1.6</v>
      </c>
      <c r="M40" s="8" t="n">
        <v>0.0473</v>
      </c>
      <c r="O40" s="7" t="n">
        <v>-275.6</v>
      </c>
      <c r="P40" s="7" t="n">
        <v>-296.6</v>
      </c>
      <c r="Q40" s="7" t="n">
        <v>21</v>
      </c>
      <c r="R40" s="8" t="n">
        <v>-0.0708</v>
      </c>
      <c r="T40" s="7" t="n">
        <v>-278.1</v>
      </c>
      <c r="U40" s="7" t="n">
        <v>2.5</v>
      </c>
      <c r="V40" s="8" t="n">
        <v>-0.008999999999999999</v>
      </c>
    </row>
    <row r="41">
      <c r="B41" t="inlineStr">
        <is>
          <t>4100-1110 - CUSTOMER TERMS DISCOUNT</t>
        </is>
      </c>
      <c r="F41" s="7" t="n">
        <v>-24.9</v>
      </c>
      <c r="G41" s="7" t="n">
        <v>-25.4</v>
      </c>
      <c r="H41" s="7" t="n">
        <v>0.5</v>
      </c>
      <c r="I41" s="8" t="n">
        <v>-0.0197</v>
      </c>
      <c r="K41" s="7" t="n">
        <v>-27.3</v>
      </c>
      <c r="L41" s="7" t="n">
        <v>2.4</v>
      </c>
      <c r="M41" s="8" t="n">
        <v>-0.08790000000000001</v>
      </c>
      <c r="O41" s="7" t="n">
        <v>-201</v>
      </c>
      <c r="P41" s="7" t="n">
        <v>-215.4</v>
      </c>
      <c r="Q41" s="7" t="n">
        <v>14.4</v>
      </c>
      <c r="R41" s="8" t="n">
        <v>-0.0669</v>
      </c>
      <c r="T41" s="7" t="n">
        <v>-209.8</v>
      </c>
      <c r="U41" s="7" t="n">
        <v>8.800000000000001</v>
      </c>
      <c r="V41" s="8" t="n">
        <v>-0.0419</v>
      </c>
    </row>
    <row r="42">
      <c r="B42" t="inlineStr">
        <is>
          <t>4100-1130 - TRADE DISCOUNTS</t>
        </is>
      </c>
      <c r="F42" s="7" t="n">
        <v>-55.2</v>
      </c>
      <c r="G42" s="7" t="n">
        <v>-58.5</v>
      </c>
      <c r="H42" s="7" t="n">
        <v>3.3</v>
      </c>
      <c r="I42" s="8" t="n">
        <v>-0.0564</v>
      </c>
      <c r="K42" s="7" t="n">
        <v>-55.6</v>
      </c>
      <c r="L42" s="7" t="n">
        <v>0.4</v>
      </c>
      <c r="M42" s="8" t="n">
        <v>-0.0072</v>
      </c>
      <c r="O42" s="7" t="n">
        <v>-451.8</v>
      </c>
      <c r="P42" s="7" t="n">
        <v>-462.8</v>
      </c>
      <c r="Q42" s="7" t="n">
        <v>11</v>
      </c>
      <c r="R42" s="8" t="n">
        <v>-0.0238</v>
      </c>
      <c r="T42" s="7" t="n">
        <v>-456.3</v>
      </c>
      <c r="U42" s="7" t="n">
        <v>4.5</v>
      </c>
      <c r="V42" s="8" t="n">
        <v>-0.009900000000000001</v>
      </c>
    </row>
    <row r="43">
      <c r="B43" t="inlineStr">
        <is>
          <t>4100-1225 - MISC. ALLOWANCES</t>
        </is>
      </c>
      <c r="F43" s="7" t="n">
        <v>-7</v>
      </c>
      <c r="G43" s="7" t="n">
        <v>-7.8</v>
      </c>
      <c r="H43" s="7" t="n">
        <v>0.8</v>
      </c>
      <c r="I43" s="8" t="n">
        <v>-0.1026</v>
      </c>
      <c r="K43" s="7" t="n">
        <v>-7</v>
      </c>
      <c r="L43" s="7" t="n">
        <v>0</v>
      </c>
      <c r="M43" s="8" t="n">
        <v>-0</v>
      </c>
      <c r="O43" s="7" t="n">
        <v>-54.3</v>
      </c>
      <c r="P43" s="7" t="n">
        <v>-57.4</v>
      </c>
      <c r="Q43" s="7" t="n">
        <v>3.1</v>
      </c>
      <c r="R43" s="8" t="n">
        <v>-0.054</v>
      </c>
      <c r="T43" s="7" t="n">
        <v>-56.8</v>
      </c>
      <c r="U43" s="7" t="n">
        <v>2.5</v>
      </c>
      <c r="V43" s="8" t="n">
        <v>-0.044</v>
      </c>
    </row>
    <row r="44">
      <c r="B44" t="inlineStr">
        <is>
          <t>4100-1300 - FREIGHT BILLED</t>
        </is>
      </c>
      <c r="F44" s="7" t="n">
        <v>7.1</v>
      </c>
      <c r="G44" s="7" t="n">
        <v>6.8</v>
      </c>
      <c r="H44" s="7" t="n">
        <v>0.3</v>
      </c>
      <c r="I44" s="8" t="n">
        <v>0.0441</v>
      </c>
      <c r="K44" s="7" t="n">
        <v>7.1</v>
      </c>
      <c r="L44" s="7" t="n">
        <v>0</v>
      </c>
      <c r="M44" s="8" t="n">
        <v>0</v>
      </c>
      <c r="O44" s="7" t="n">
        <v>57.5</v>
      </c>
      <c r="P44" s="7" t="n">
        <v>58.7</v>
      </c>
      <c r="Q44" s="7" t="n">
        <v>-1.2</v>
      </c>
      <c r="R44" s="8" t="n">
        <v>-0.0204</v>
      </c>
      <c r="T44" s="7" t="n">
        <v>55.4</v>
      </c>
      <c r="U44" s="7" t="n">
        <v>2.1</v>
      </c>
      <c r="V44" s="8" t="n">
        <v>0.0379</v>
      </c>
    </row>
    <row r="45">
      <c r="B45" s="3" t="inlineStr">
        <is>
          <t>Sales-Other</t>
        </is>
      </c>
      <c r="C45" s="3" t="n"/>
      <c r="D45" s="3" t="n"/>
      <c r="E45" s="3" t="n"/>
      <c r="F45" s="9" t="n">
        <v>-115.4</v>
      </c>
      <c r="G45" s="9" t="n">
        <v>-121.8</v>
      </c>
      <c r="H45" s="9" t="n">
        <v>6.4</v>
      </c>
      <c r="I45" s="10" t="n">
        <v>-0.0525</v>
      </c>
      <c r="J45" s="3" t="n"/>
      <c r="K45" s="9" t="n">
        <v>-116.6</v>
      </c>
      <c r="L45" s="9" t="n">
        <v>1.2</v>
      </c>
      <c r="M45" s="10" t="n">
        <v>-0.0103</v>
      </c>
      <c r="N45" s="3" t="n"/>
      <c r="O45" s="9" t="n">
        <v>-925.2</v>
      </c>
      <c r="P45" s="9" t="n">
        <v>-973.5</v>
      </c>
      <c r="Q45" s="9" t="n">
        <v>48.3</v>
      </c>
      <c r="R45" s="10" t="n">
        <v>-0.0496</v>
      </c>
      <c r="S45" s="3" t="n"/>
      <c r="T45" s="9" t="n">
        <v>-945.6</v>
      </c>
      <c r="U45" s="9" t="n">
        <v>20.4</v>
      </c>
      <c r="V45" s="10" t="n">
        <v>-0.0216</v>
      </c>
    </row>
    <row r="46">
      <c r="B46" s="11" t="inlineStr">
        <is>
          <t>Total Sales</t>
        </is>
      </c>
      <c r="C46" s="11" t="n"/>
      <c r="D46" s="11" t="n"/>
      <c r="E46" s="11" t="n"/>
      <c r="F46" s="12" t="n">
        <v>5127.1</v>
      </c>
      <c r="G46" s="12" t="n">
        <v>5416.7</v>
      </c>
      <c r="H46" s="12" t="n">
        <v>-289.6</v>
      </c>
      <c r="I46" s="13" t="n">
        <v>-0.0535</v>
      </c>
      <c r="J46" s="11" t="n"/>
      <c r="K46" s="12" t="n">
        <v>5188.1</v>
      </c>
      <c r="L46" s="12" t="n">
        <v>-61</v>
      </c>
      <c r="M46" s="13" t="n">
        <v>-0.0118</v>
      </c>
      <c r="N46" s="11" t="n"/>
      <c r="O46" s="12" t="n">
        <v>41129.8</v>
      </c>
      <c r="P46" s="12" t="n">
        <v>43279.2</v>
      </c>
      <c r="Q46" s="12" t="n">
        <v>-2149.4</v>
      </c>
      <c r="R46" s="13" t="n">
        <v>-0.0497</v>
      </c>
      <c r="S46" s="11" t="n"/>
      <c r="T46" s="12" t="n">
        <v>42036.1</v>
      </c>
      <c r="U46" s="12" t="n">
        <v>-906.3</v>
      </c>
      <c r="V46" s="13" t="n">
        <v>-0.0216</v>
      </c>
    </row>
    <row r="47">
      <c r="B47" t="inlineStr">
        <is>
          <t>4200-1000 - WAREHOUSE</t>
        </is>
      </c>
      <c r="F47" s="7" t="n">
        <v>3481.7</v>
      </c>
      <c r="G47" s="7" t="n">
        <v>3579.1</v>
      </c>
      <c r="H47" s="7" t="n">
        <v>-97.40000000000001</v>
      </c>
      <c r="I47" s="8" t="n">
        <v>-0.0272</v>
      </c>
      <c r="K47" s="7" t="n">
        <v>3383.5</v>
      </c>
      <c r="L47" s="7" t="n">
        <v>98.2</v>
      </c>
      <c r="M47" s="8" t="n">
        <v>0.029</v>
      </c>
      <c r="O47" s="7" t="n">
        <v>27778.5</v>
      </c>
      <c r="P47" s="7" t="n">
        <v>28607.7</v>
      </c>
      <c r="Q47" s="7" t="n">
        <v>-829.2</v>
      </c>
      <c r="R47" s="8" t="n">
        <v>-0.029</v>
      </c>
      <c r="T47" s="7" t="n">
        <v>27518.2</v>
      </c>
      <c r="U47" s="7" t="n">
        <v>260.3</v>
      </c>
      <c r="V47" s="8" t="n">
        <v>0.0095</v>
      </c>
    </row>
    <row r="48">
      <c r="B48" t="inlineStr">
        <is>
          <t>4200-1005 - INVENTORY ADJUSTMENT</t>
        </is>
      </c>
      <c r="F48" s="7" t="n">
        <v>8.1</v>
      </c>
      <c r="G48" s="7" t="n">
        <v>12.9</v>
      </c>
      <c r="H48" s="7" t="n">
        <v>-4.8</v>
      </c>
      <c r="I48" s="8" t="n">
        <v>-0.3721</v>
      </c>
      <c r="K48" s="7" t="n">
        <v>12.5</v>
      </c>
      <c r="L48" s="7" t="n">
        <v>-4.4</v>
      </c>
      <c r="M48" s="8" t="n">
        <v>-0.352</v>
      </c>
      <c r="O48" s="7" t="n">
        <v>88.59999999999999</v>
      </c>
      <c r="P48" s="7" t="n">
        <v>92.09999999999999</v>
      </c>
      <c r="Q48" s="7" t="n">
        <v>-3.5</v>
      </c>
      <c r="R48" s="8" t="n">
        <v>-0.038</v>
      </c>
      <c r="T48" s="7" t="n">
        <v>95.7</v>
      </c>
      <c r="U48" s="7" t="n">
        <v>-7.1</v>
      </c>
      <c r="V48" s="8" t="n">
        <v>-0.0742</v>
      </c>
    </row>
    <row r="49">
      <c r="B49" s="3" t="inlineStr">
        <is>
          <t>Cost of Sales-Warehouse</t>
        </is>
      </c>
      <c r="C49" s="3" t="n"/>
      <c r="D49" s="3" t="n"/>
      <c r="E49" s="3" t="n"/>
      <c r="F49" s="9" t="n">
        <v>3489.8</v>
      </c>
      <c r="G49" s="9" t="n">
        <v>3592</v>
      </c>
      <c r="H49" s="9" t="n">
        <v>-102.2</v>
      </c>
      <c r="I49" s="10" t="n">
        <v>-0.0285</v>
      </c>
      <c r="J49" s="3" t="n"/>
      <c r="K49" s="9" t="n">
        <v>3396</v>
      </c>
      <c r="L49" s="9" t="n">
        <v>93.8</v>
      </c>
      <c r="M49" s="10" t="n">
        <v>0.0276</v>
      </c>
      <c r="N49" s="3" t="n"/>
      <c r="O49" s="9" t="n">
        <v>27867.1</v>
      </c>
      <c r="P49" s="9" t="n">
        <v>28699.8</v>
      </c>
      <c r="Q49" s="9" t="n">
        <v>-832.7</v>
      </c>
      <c r="R49" s="10" t="n">
        <v>-0.029</v>
      </c>
      <c r="S49" s="3" t="n"/>
      <c r="T49" s="9" t="n">
        <v>27613.9</v>
      </c>
      <c r="U49" s="9" t="n">
        <v>253.2</v>
      </c>
      <c r="V49" s="10" t="n">
        <v>0.0092</v>
      </c>
    </row>
    <row r="50">
      <c r="B50" t="inlineStr">
        <is>
          <t>4200-1010 - DIRECT SHIP</t>
        </is>
      </c>
      <c r="F50" s="7" t="n">
        <v>178.2</v>
      </c>
      <c r="G50" s="7" t="n">
        <v>188.3</v>
      </c>
      <c r="H50" s="7" t="n">
        <v>-10.1</v>
      </c>
      <c r="I50" s="8" t="n">
        <v>-0.0536</v>
      </c>
      <c r="K50" s="7" t="n">
        <v>180.4</v>
      </c>
      <c r="L50" s="7" t="n">
        <v>-2.2</v>
      </c>
      <c r="M50" s="8" t="n">
        <v>-0.0122</v>
      </c>
      <c r="O50" s="7" t="n">
        <v>1429.8</v>
      </c>
      <c r="P50" s="7" t="n">
        <v>1504.6</v>
      </c>
      <c r="Q50" s="7" t="n">
        <v>-74.8</v>
      </c>
      <c r="R50" s="8" t="n">
        <v>-0.0497</v>
      </c>
      <c r="T50" s="7" t="n">
        <v>1461.3</v>
      </c>
      <c r="U50" s="7" t="n">
        <v>-31.5</v>
      </c>
      <c r="V50" s="8" t="n">
        <v>-0.0216</v>
      </c>
    </row>
    <row r="51">
      <c r="B51" s="3" t="inlineStr">
        <is>
          <t>Cost of Sales-Dropships</t>
        </is>
      </c>
      <c r="C51" s="3" t="n"/>
      <c r="D51" s="3" t="n"/>
      <c r="E51" s="3" t="n"/>
      <c r="F51" s="9" t="n">
        <v>178.2</v>
      </c>
      <c r="G51" s="9" t="n">
        <v>188.3</v>
      </c>
      <c r="H51" s="9" t="n">
        <v>-10.1</v>
      </c>
      <c r="I51" s="10" t="n">
        <v>-0.0536</v>
      </c>
      <c r="J51" s="3" t="n"/>
      <c r="K51" s="9" t="n">
        <v>180.4</v>
      </c>
      <c r="L51" s="9" t="n">
        <v>-2.2</v>
      </c>
      <c r="M51" s="10" t="n">
        <v>-0.0122</v>
      </c>
      <c r="N51" s="3" t="n"/>
      <c r="O51" s="9" t="n">
        <v>1429.8</v>
      </c>
      <c r="P51" s="9" t="n">
        <v>1504.6</v>
      </c>
      <c r="Q51" s="9" t="n">
        <v>-74.8</v>
      </c>
      <c r="R51" s="10" t="n">
        <v>-0.0497</v>
      </c>
      <c r="S51" s="3" t="n"/>
      <c r="T51" s="9" t="n">
        <v>1461.3</v>
      </c>
      <c r="U51" s="9" t="n">
        <v>-31.5</v>
      </c>
      <c r="V51" s="10" t="n">
        <v>-0.0216</v>
      </c>
    </row>
    <row r="52">
      <c r="B52" t="inlineStr">
        <is>
          <t>4200-1200 - VENDOR TERMS DISCOUNT</t>
        </is>
      </c>
      <c r="F52" s="7" t="n">
        <v>-29.4</v>
      </c>
      <c r="G52" s="7" t="n">
        <v>-30.3</v>
      </c>
      <c r="H52" s="7" t="n">
        <v>0.9</v>
      </c>
      <c r="I52" s="8" t="n">
        <v>-0.0297</v>
      </c>
      <c r="K52" s="7" t="n">
        <v>-28.7</v>
      </c>
      <c r="L52" s="7" t="n">
        <v>-0.7</v>
      </c>
      <c r="M52" s="8" t="n">
        <v>0.0244</v>
      </c>
      <c r="O52" s="7" t="n">
        <v>-235.1</v>
      </c>
      <c r="P52" s="7" t="n">
        <v>-242.2</v>
      </c>
      <c r="Q52" s="7" t="n">
        <v>7.1</v>
      </c>
      <c r="R52" s="8" t="n">
        <v>-0.0293</v>
      </c>
      <c r="T52" s="7" t="n">
        <v>-233.4</v>
      </c>
      <c r="U52" s="7" t="n">
        <v>-1.7</v>
      </c>
      <c r="V52" s="8" t="n">
        <v>0.0073</v>
      </c>
    </row>
    <row r="53">
      <c r="B53" t="inlineStr">
        <is>
          <t>4200-1210 - VENDOR VOLUME REBATES</t>
        </is>
      </c>
      <c r="F53" s="7" t="n">
        <v>-92</v>
      </c>
      <c r="G53" s="7" t="n">
        <v>-94.8</v>
      </c>
      <c r="H53" s="7" t="n">
        <v>2.8</v>
      </c>
      <c r="I53" s="8" t="n">
        <v>-0.0295</v>
      </c>
      <c r="K53" s="7" t="n">
        <v>-89.7</v>
      </c>
      <c r="L53" s="7" t="n">
        <v>-2.3</v>
      </c>
      <c r="M53" s="8" t="n">
        <v>0.0256</v>
      </c>
      <c r="O53" s="7" t="n">
        <v>-734.7</v>
      </c>
      <c r="P53" s="7" t="n">
        <v>-757.5</v>
      </c>
      <c r="Q53" s="7" t="n">
        <v>22.8</v>
      </c>
      <c r="R53" s="8" t="n">
        <v>-0.0301</v>
      </c>
      <c r="T53" s="7" t="n">
        <v>-729</v>
      </c>
      <c r="U53" s="7" t="n">
        <v>-5.7</v>
      </c>
      <c r="V53" s="8" t="n">
        <v>0.0078</v>
      </c>
    </row>
    <row r="54">
      <c r="B54" s="3" t="inlineStr">
        <is>
          <t>Rebates and Disc</t>
        </is>
      </c>
      <c r="C54" s="3" t="n"/>
      <c r="D54" s="3" t="n"/>
      <c r="E54" s="3" t="n"/>
      <c r="F54" s="9" t="n">
        <v>-121.4</v>
      </c>
      <c r="G54" s="9" t="n">
        <v>-125.1</v>
      </c>
      <c r="H54" s="9" t="n">
        <v>3.7</v>
      </c>
      <c r="I54" s="10" t="n">
        <v>-0.0296</v>
      </c>
      <c r="J54" s="3" t="n"/>
      <c r="K54" s="9" t="n">
        <v>-118.4</v>
      </c>
      <c r="L54" s="9" t="n">
        <v>-3</v>
      </c>
      <c r="M54" s="10" t="n">
        <v>0.0253</v>
      </c>
      <c r="N54" s="3" t="n"/>
      <c r="O54" s="9" t="n">
        <v>-969.8</v>
      </c>
      <c r="P54" s="9" t="n">
        <v>-999.7</v>
      </c>
      <c r="Q54" s="9" t="n">
        <v>29.9</v>
      </c>
      <c r="R54" s="10" t="n">
        <v>-0.0299</v>
      </c>
      <c r="S54" s="3" t="n"/>
      <c r="T54" s="9" t="n">
        <v>-962.4</v>
      </c>
      <c r="U54" s="9" t="n">
        <v>-7.4</v>
      </c>
      <c r="V54" s="10" t="n">
        <v>0.0077</v>
      </c>
    </row>
    <row r="55">
      <c r="B55" t="inlineStr">
        <is>
          <t>4200-1300 - FREIGHT IN</t>
        </is>
      </c>
      <c r="F55" s="7" t="n">
        <v>110.4</v>
      </c>
      <c r="G55" s="7" t="n">
        <v>113.7</v>
      </c>
      <c r="H55" s="7" t="n">
        <v>-3.3</v>
      </c>
      <c r="I55" s="8" t="n">
        <v>-0.029</v>
      </c>
      <c r="K55" s="7" t="n">
        <v>107.6</v>
      </c>
      <c r="L55" s="7" t="n">
        <v>2.8</v>
      </c>
      <c r="M55" s="8" t="n">
        <v>0.026</v>
      </c>
      <c r="O55" s="7" t="n">
        <v>881.6</v>
      </c>
      <c r="P55" s="7" t="n">
        <v>908.9</v>
      </c>
      <c r="Q55" s="7" t="n">
        <v>-27.3</v>
      </c>
      <c r="R55" s="8" t="n">
        <v>-0.03</v>
      </c>
      <c r="T55" s="7" t="n">
        <v>874.8</v>
      </c>
      <c r="U55" s="7" t="n">
        <v>6.8</v>
      </c>
      <c r="V55" s="8" t="n">
        <v>0.0078</v>
      </c>
    </row>
    <row r="56">
      <c r="B56" t="inlineStr">
        <is>
          <t>4200-1400 - OBSOLETE INVENTORY</t>
        </is>
      </c>
      <c r="F56" s="7" t="n">
        <v>14.7</v>
      </c>
      <c r="G56" s="7" t="n">
        <v>15.2</v>
      </c>
      <c r="H56" s="7" t="n">
        <v>-0.5</v>
      </c>
      <c r="I56" s="8" t="n">
        <v>-0.0329</v>
      </c>
      <c r="K56" s="7" t="n">
        <v>14.3</v>
      </c>
      <c r="L56" s="7" t="n">
        <v>0.4</v>
      </c>
      <c r="M56" s="8" t="n">
        <v>0.028</v>
      </c>
      <c r="O56" s="7" t="n">
        <v>117.6</v>
      </c>
      <c r="P56" s="7" t="n">
        <v>121.3</v>
      </c>
      <c r="Q56" s="7" t="n">
        <v>-3.7</v>
      </c>
      <c r="R56" s="8" t="n">
        <v>-0.0305</v>
      </c>
      <c r="T56" s="7" t="n">
        <v>116.6</v>
      </c>
      <c r="U56" s="7" t="n">
        <v>1</v>
      </c>
      <c r="V56" s="8" t="n">
        <v>0.0086</v>
      </c>
    </row>
    <row r="57">
      <c r="B57" t="inlineStr">
        <is>
          <t>4200-1410 - DAMAGED INVENTORY</t>
        </is>
      </c>
      <c r="F57" s="7" t="n">
        <v>7.4</v>
      </c>
      <c r="G57" s="7" t="n">
        <v>7.6</v>
      </c>
      <c r="H57" s="7" t="n">
        <v>-0.2</v>
      </c>
      <c r="I57" s="8" t="n">
        <v>-0.0263</v>
      </c>
      <c r="K57" s="7" t="n">
        <v>7.2</v>
      </c>
      <c r="L57" s="7" t="n">
        <v>0.2</v>
      </c>
      <c r="M57" s="8" t="n">
        <v>0.0278</v>
      </c>
      <c r="O57" s="7" t="n">
        <v>58.7</v>
      </c>
      <c r="P57" s="7" t="n">
        <v>60.6</v>
      </c>
      <c r="Q57" s="7" t="n">
        <v>-1.9</v>
      </c>
      <c r="R57" s="8" t="n">
        <v>-0.0314</v>
      </c>
      <c r="T57" s="7" t="n">
        <v>58.3</v>
      </c>
      <c r="U57" s="7" t="n">
        <v>0.4</v>
      </c>
      <c r="V57" s="8" t="n">
        <v>0.0069</v>
      </c>
    </row>
    <row r="58">
      <c r="B58" s="3" t="inlineStr">
        <is>
          <t>Cost of Sales-Other</t>
        </is>
      </c>
      <c r="C58" s="3" t="n"/>
      <c r="D58" s="3" t="n"/>
      <c r="E58" s="3" t="n"/>
      <c r="F58" s="9" t="n">
        <v>132.5</v>
      </c>
      <c r="G58" s="9" t="n">
        <v>136.5</v>
      </c>
      <c r="H58" s="9" t="n">
        <v>-4</v>
      </c>
      <c r="I58" s="10" t="n">
        <v>-0.0293</v>
      </c>
      <c r="J58" s="3" t="n"/>
      <c r="K58" s="9" t="n">
        <v>129.1</v>
      </c>
      <c r="L58" s="9" t="n">
        <v>3.4</v>
      </c>
      <c r="M58" s="10" t="n">
        <v>0.0263</v>
      </c>
      <c r="N58" s="3" t="n"/>
      <c r="O58" s="9" t="n">
        <v>1057.9</v>
      </c>
      <c r="P58" s="9" t="n">
        <v>1090.8</v>
      </c>
      <c r="Q58" s="9" t="n">
        <v>-32.9</v>
      </c>
      <c r="R58" s="10" t="n">
        <v>-0.0302</v>
      </c>
      <c r="S58" s="3" t="n"/>
      <c r="T58" s="9" t="n">
        <v>1049.7</v>
      </c>
      <c r="U58" s="9" t="n">
        <v>8.199999999999999</v>
      </c>
      <c r="V58" s="10" t="n">
        <v>0.0078</v>
      </c>
    </row>
    <row r="59">
      <c r="B59" s="11" t="inlineStr">
        <is>
          <t>Total Cost of Sales</t>
        </is>
      </c>
      <c r="C59" s="11" t="n"/>
      <c r="D59" s="11" t="n"/>
      <c r="E59" s="11" t="n"/>
      <c r="F59" s="12" t="n">
        <v>3679.1</v>
      </c>
      <c r="G59" s="12" t="n">
        <v>3791.7</v>
      </c>
      <c r="H59" s="12" t="n">
        <v>-112.6</v>
      </c>
      <c r="I59" s="13" t="n">
        <v>-0.0297</v>
      </c>
      <c r="J59" s="11" t="n"/>
      <c r="K59" s="12" t="n">
        <v>3587.1</v>
      </c>
      <c r="L59" s="12" t="n">
        <v>92</v>
      </c>
      <c r="M59" s="13" t="n">
        <v>0.0256</v>
      </c>
      <c r="N59" s="11" t="n"/>
      <c r="O59" s="12" t="n">
        <v>29385</v>
      </c>
      <c r="P59" s="12" t="n">
        <v>30295.5</v>
      </c>
      <c r="Q59" s="12" t="n">
        <v>-910.5</v>
      </c>
      <c r="R59" s="13" t="n">
        <v>-0.0301</v>
      </c>
      <c r="S59" s="11" t="n"/>
      <c r="T59" s="12" t="n">
        <v>29162.5</v>
      </c>
      <c r="U59" s="12" t="n">
        <v>222.5</v>
      </c>
      <c r="V59" s="13" t="n">
        <v>0.0076</v>
      </c>
    </row>
    <row r="60">
      <c r="B60" s="11" t="inlineStr">
        <is>
          <t>Gross Margin</t>
        </is>
      </c>
      <c r="C60" s="11" t="n"/>
      <c r="D60" s="11" t="n"/>
      <c r="E60" s="11" t="n"/>
      <c r="F60" s="12" t="n">
        <v>1448</v>
      </c>
      <c r="G60" s="12" t="n">
        <v>1625</v>
      </c>
      <c r="H60" s="12" t="n">
        <v>-177</v>
      </c>
      <c r="I60" s="13" t="n">
        <v>-0.1089</v>
      </c>
      <c r="J60" s="11" t="n"/>
      <c r="K60" s="12" t="n">
        <v>1601</v>
      </c>
      <c r="L60" s="12" t="n">
        <v>-153</v>
      </c>
      <c r="M60" s="13" t="n">
        <v>-0.0956</v>
      </c>
      <c r="N60" s="11" t="n"/>
      <c r="O60" s="12" t="n">
        <v>11744.8</v>
      </c>
      <c r="P60" s="12" t="n">
        <v>12983.7</v>
      </c>
      <c r="Q60" s="12" t="n">
        <v>-1238.9</v>
      </c>
      <c r="R60" s="13" t="n">
        <v>-0.0954</v>
      </c>
      <c r="S60" s="11" t="n"/>
      <c r="T60" s="12" t="n">
        <v>12873.6</v>
      </c>
      <c r="U60" s="12" t="n">
        <v>-1128.8</v>
      </c>
      <c r="V60" s="13" t="n">
        <v>-0.0877</v>
      </c>
    </row>
    <row r="61">
      <c r="B61" s="11" t="inlineStr">
        <is>
          <t>Gross Margin %</t>
        </is>
      </c>
      <c r="C61" s="11" t="n"/>
      <c r="D61" s="11" t="n"/>
      <c r="E61" s="11" t="n"/>
      <c r="F61" s="13" t="n">
        <v>0.2824208616956954</v>
      </c>
      <c r="G61" s="13" t="n">
        <v>0.2999981538575147</v>
      </c>
      <c r="H61" s="13" t="n">
        <v>-0.01758</v>
      </c>
      <c r="I61" s="11" t="n"/>
      <c r="J61" s="11" t="n"/>
      <c r="K61" s="13" t="n">
        <v>0.3085908135926447</v>
      </c>
      <c r="L61" s="13" t="n">
        <v>-0.02617</v>
      </c>
      <c r="M61" s="11" t="n"/>
      <c r="N61" s="11" t="n"/>
      <c r="O61" s="13" t="n">
        <v>0.2855545127863495</v>
      </c>
      <c r="P61" s="13" t="n">
        <v>0.2999986136527478</v>
      </c>
      <c r="Q61" s="13" t="n">
        <v>-0.01444</v>
      </c>
      <c r="R61" s="11" t="n"/>
      <c r="S61" s="11" t="n"/>
      <c r="T61" s="13" t="n">
        <v>0.3062510556402711</v>
      </c>
      <c r="U61" s="13" t="n">
        <v>-0.0207</v>
      </c>
      <c r="V61" s="11" t="n"/>
    </row>
    <row r="62">
      <c r="B62" t="inlineStr">
        <is>
          <t>5100-2100 - SALES SALARIES</t>
        </is>
      </c>
      <c r="F62" s="7" t="n">
        <v>158.1</v>
      </c>
      <c r="G62" s="7" t="n">
        <v>162.1</v>
      </c>
      <c r="H62" s="7" t="n">
        <v>-4</v>
      </c>
      <c r="I62" s="8" t="n">
        <v>-0.0247</v>
      </c>
      <c r="K62" s="7" t="n">
        <v>163.5</v>
      </c>
      <c r="L62" s="7" t="n">
        <v>-5.4</v>
      </c>
      <c r="M62" s="8" t="n">
        <v>-0.033</v>
      </c>
      <c r="O62" s="7" t="n">
        <v>1274.5</v>
      </c>
      <c r="P62" s="7" t="n">
        <v>1294.9</v>
      </c>
      <c r="Q62" s="7" t="n">
        <v>-20.4</v>
      </c>
      <c r="R62" s="8" t="n">
        <v>-0.0158</v>
      </c>
      <c r="T62" s="7" t="n">
        <v>1260.5</v>
      </c>
      <c r="U62" s="7" t="n">
        <v>14</v>
      </c>
      <c r="V62" s="8" t="n">
        <v>0.0111</v>
      </c>
    </row>
    <row r="63">
      <c r="B63" t="inlineStr">
        <is>
          <t>5100-2200 - COMMISSIONS</t>
        </is>
      </c>
      <c r="F63" s="7" t="n">
        <v>48.9</v>
      </c>
      <c r="G63" s="7" t="n">
        <v>51.6</v>
      </c>
      <c r="H63" s="7" t="n">
        <v>-2.7</v>
      </c>
      <c r="I63" s="8" t="n">
        <v>-0.0523</v>
      </c>
      <c r="K63" s="7" t="n">
        <v>50.8</v>
      </c>
      <c r="L63" s="7" t="n">
        <v>-1.9</v>
      </c>
      <c r="M63" s="8" t="n">
        <v>-0.0374</v>
      </c>
      <c r="O63" s="7" t="n">
        <v>388.3</v>
      </c>
      <c r="P63" s="7" t="n">
        <v>412.1</v>
      </c>
      <c r="Q63" s="7" t="n">
        <v>-23.8</v>
      </c>
      <c r="R63" s="8" t="n">
        <v>-0.0578</v>
      </c>
      <c r="T63" s="7" t="n">
        <v>409.4</v>
      </c>
      <c r="U63" s="7" t="n">
        <v>-21.1</v>
      </c>
      <c r="V63" s="8" t="n">
        <v>-0.0515</v>
      </c>
    </row>
    <row r="64">
      <c r="B64" t="inlineStr">
        <is>
          <t>5100-2500 - BONUSES</t>
        </is>
      </c>
      <c r="F64" s="7" t="n">
        <v>18.3</v>
      </c>
      <c r="G64" s="7" t="n">
        <v>18.4</v>
      </c>
      <c r="H64" s="7" t="n">
        <v>-0.1</v>
      </c>
      <c r="I64" s="8" t="n">
        <v>-0.0054</v>
      </c>
      <c r="K64" s="7" t="n">
        <v>18.6</v>
      </c>
      <c r="L64" s="7" t="n">
        <v>-0.3</v>
      </c>
      <c r="M64" s="8" t="n">
        <v>-0.0161</v>
      </c>
      <c r="O64" s="7" t="n">
        <v>143.6</v>
      </c>
      <c r="P64" s="7" t="n">
        <v>147.1</v>
      </c>
      <c r="Q64" s="7" t="n">
        <v>-3.5</v>
      </c>
      <c r="R64" s="8" t="n">
        <v>-0.0238</v>
      </c>
      <c r="T64" s="7" t="n">
        <v>142.9</v>
      </c>
      <c r="U64" s="7" t="n">
        <v>0.7</v>
      </c>
      <c r="V64" s="8" t="n">
        <v>0.0049</v>
      </c>
    </row>
    <row r="65">
      <c r="B65" s="3" t="inlineStr">
        <is>
          <t>Payroll Exp - Selling</t>
        </is>
      </c>
      <c r="C65" s="3" t="n"/>
      <c r="D65" s="3" t="n"/>
      <c r="E65" s="3" t="n"/>
      <c r="F65" s="9" t="n">
        <v>225.3</v>
      </c>
      <c r="G65" s="9" t="n">
        <v>232.1</v>
      </c>
      <c r="H65" s="9" t="n">
        <v>-6.8</v>
      </c>
      <c r="I65" s="10" t="n">
        <v>-0.0293</v>
      </c>
      <c r="J65" s="3" t="n"/>
      <c r="K65" s="9" t="n">
        <v>232.9</v>
      </c>
      <c r="L65" s="9" t="n">
        <v>-7.6</v>
      </c>
      <c r="M65" s="10" t="n">
        <v>-0.0326</v>
      </c>
      <c r="N65" s="3" t="n"/>
      <c r="O65" s="9" t="n">
        <v>1806.4</v>
      </c>
      <c r="P65" s="9" t="n">
        <v>1854.1</v>
      </c>
      <c r="Q65" s="9" t="n">
        <v>-47.7</v>
      </c>
      <c r="R65" s="10" t="n">
        <v>-0.0257</v>
      </c>
      <c r="S65" s="3" t="n"/>
      <c r="T65" s="9" t="n">
        <v>1812.8</v>
      </c>
      <c r="U65" s="9" t="n">
        <v>-6.4</v>
      </c>
      <c r="V65" s="10" t="n">
        <v>-0.0035</v>
      </c>
    </row>
    <row r="66">
      <c r="B66" t="inlineStr">
        <is>
          <t>5100-3010 - P/R TAXES</t>
        </is>
      </c>
      <c r="F66" s="7" t="n">
        <v>17.8</v>
      </c>
      <c r="G66" s="7" t="n">
        <v>18.4</v>
      </c>
      <c r="H66" s="7" t="n">
        <v>-0.6</v>
      </c>
      <c r="I66" s="8" t="n">
        <v>-0.0326</v>
      </c>
      <c r="K66" s="7" t="n">
        <v>17.8</v>
      </c>
      <c r="L66" s="7" t="n">
        <v>0</v>
      </c>
      <c r="M66" s="8" t="n">
        <v>0</v>
      </c>
      <c r="O66" s="7" t="n">
        <v>146</v>
      </c>
      <c r="P66" s="7" t="n">
        <v>147.1</v>
      </c>
      <c r="Q66" s="7" t="n">
        <v>-1.1</v>
      </c>
      <c r="R66" s="8" t="n">
        <v>-0.0075</v>
      </c>
      <c r="T66" s="7" t="n">
        <v>144.9</v>
      </c>
      <c r="U66" s="7" t="n">
        <v>1.1</v>
      </c>
      <c r="V66" s="8" t="n">
        <v>0.0076</v>
      </c>
    </row>
    <row r="67">
      <c r="B67" t="inlineStr">
        <is>
          <t>5100-3100 - BENEFITS - HEALTH</t>
        </is>
      </c>
      <c r="F67" s="7" t="n">
        <v>28.6</v>
      </c>
      <c r="G67" s="7" t="n">
        <v>29.5</v>
      </c>
      <c r="H67" s="7" t="n">
        <v>-0.9</v>
      </c>
      <c r="I67" s="8" t="n">
        <v>-0.0305</v>
      </c>
      <c r="K67" s="7" t="n">
        <v>28.2</v>
      </c>
      <c r="L67" s="7" t="n">
        <v>0.4</v>
      </c>
      <c r="M67" s="8" t="n">
        <v>0.0142</v>
      </c>
      <c r="O67" s="7" t="n">
        <v>229.3</v>
      </c>
      <c r="P67" s="7" t="n">
        <v>235.6</v>
      </c>
      <c r="Q67" s="7" t="n">
        <v>-6.3</v>
      </c>
      <c r="R67" s="8" t="n">
        <v>-0.0267</v>
      </c>
      <c r="T67" s="7" t="n">
        <v>226.5</v>
      </c>
      <c r="U67" s="7" t="n">
        <v>2.8</v>
      </c>
      <c r="V67" s="8" t="n">
        <v>0.0124</v>
      </c>
    </row>
    <row r="68">
      <c r="B68" s="3" t="inlineStr">
        <is>
          <t>P/R Tax/Benefit - Selling</t>
        </is>
      </c>
      <c r="C68" s="3" t="n"/>
      <c r="D68" s="3" t="n"/>
      <c r="E68" s="3" t="n"/>
      <c r="F68" s="9" t="n">
        <v>46.4</v>
      </c>
      <c r="G68" s="9" t="n">
        <v>47.9</v>
      </c>
      <c r="H68" s="9" t="n">
        <v>-1.5</v>
      </c>
      <c r="I68" s="10" t="n">
        <v>-0.0313</v>
      </c>
      <c r="J68" s="3" t="n"/>
      <c r="K68" s="9" t="n">
        <v>46</v>
      </c>
      <c r="L68" s="9" t="n">
        <v>0.4</v>
      </c>
      <c r="M68" s="10" t="n">
        <v>0.008699999999999999</v>
      </c>
      <c r="N68" s="3" t="n"/>
      <c r="O68" s="9" t="n">
        <v>375.3</v>
      </c>
      <c r="P68" s="9" t="n">
        <v>382.7</v>
      </c>
      <c r="Q68" s="9" t="n">
        <v>-7.4</v>
      </c>
      <c r="R68" s="10" t="n">
        <v>-0.0193</v>
      </c>
      <c r="S68" s="3" t="n"/>
      <c r="T68" s="9" t="n">
        <v>371.4</v>
      </c>
      <c r="U68" s="9" t="n">
        <v>3.9</v>
      </c>
      <c r="V68" s="10" t="n">
        <v>0.0105</v>
      </c>
    </row>
    <row r="69">
      <c r="B69" t="inlineStr">
        <is>
          <t>5100-5600 - AIRFARE</t>
        </is>
      </c>
      <c r="F69" s="7" t="n">
        <v>14.6</v>
      </c>
      <c r="G69" s="7" t="n">
        <v>14.7</v>
      </c>
      <c r="H69" s="7" t="n">
        <v>-0.1</v>
      </c>
      <c r="I69" s="8" t="n">
        <v>-0.0068</v>
      </c>
      <c r="K69" s="7" t="n">
        <v>14.4</v>
      </c>
      <c r="L69" s="7" t="n">
        <v>0.2</v>
      </c>
      <c r="M69" s="8" t="n">
        <v>0.0139</v>
      </c>
      <c r="O69" s="7" t="n">
        <v>116</v>
      </c>
      <c r="P69" s="7" t="n">
        <v>117.6</v>
      </c>
      <c r="Q69" s="7" t="n">
        <v>-1.6</v>
      </c>
      <c r="R69" s="8" t="n">
        <v>-0.0136</v>
      </c>
      <c r="T69" s="7" t="n">
        <v>114.8</v>
      </c>
      <c r="U69" s="7" t="n">
        <v>1.2</v>
      </c>
      <c r="V69" s="8" t="n">
        <v>0.0105</v>
      </c>
    </row>
    <row r="70">
      <c r="B70" t="inlineStr">
        <is>
          <t>5100-5610 - LODGING</t>
        </is>
      </c>
      <c r="F70" s="7" t="n">
        <v>10.9</v>
      </c>
      <c r="G70" s="7" t="n">
        <v>11.1</v>
      </c>
      <c r="H70" s="7" t="n">
        <v>-0.2</v>
      </c>
      <c r="I70" s="8" t="n">
        <v>-0.018</v>
      </c>
      <c r="K70" s="7" t="n">
        <v>10.8</v>
      </c>
      <c r="L70" s="7" t="n">
        <v>0.1</v>
      </c>
      <c r="M70" s="8" t="n">
        <v>0.009299999999999999</v>
      </c>
      <c r="O70" s="7" t="n">
        <v>86.3</v>
      </c>
      <c r="P70" s="7" t="n">
        <v>88.40000000000001</v>
      </c>
      <c r="Q70" s="7" t="n">
        <v>-2.1</v>
      </c>
      <c r="R70" s="8" t="n">
        <v>-0.0238</v>
      </c>
      <c r="T70" s="7" t="n">
        <v>86.90000000000001</v>
      </c>
      <c r="U70" s="7" t="n">
        <v>-0.6</v>
      </c>
      <c r="V70" s="8" t="n">
        <v>-0.0069</v>
      </c>
    </row>
    <row r="71">
      <c r="B71" t="inlineStr">
        <is>
          <t>5100-5680 - T&amp;E MEALS &amp; ENTERTAINMENT</t>
        </is>
      </c>
      <c r="F71" s="7" t="n">
        <v>10.8</v>
      </c>
      <c r="G71" s="7" t="n">
        <v>11.1</v>
      </c>
      <c r="H71" s="7" t="n">
        <v>-0.3</v>
      </c>
      <c r="I71" s="8" t="n">
        <v>-0.027</v>
      </c>
      <c r="K71" s="7" t="n">
        <v>10.6</v>
      </c>
      <c r="L71" s="7" t="n">
        <v>0.2</v>
      </c>
      <c r="M71" s="8" t="n">
        <v>0.0189</v>
      </c>
      <c r="O71" s="7" t="n">
        <v>86</v>
      </c>
      <c r="P71" s="7" t="n">
        <v>88.40000000000001</v>
      </c>
      <c r="Q71" s="7" t="n">
        <v>-2.4</v>
      </c>
      <c r="R71" s="8" t="n">
        <v>-0.0271</v>
      </c>
      <c r="T71" s="7" t="n">
        <v>87.40000000000001</v>
      </c>
      <c r="U71" s="7" t="n">
        <v>-1.4</v>
      </c>
      <c r="V71" s="8" t="n">
        <v>-0.016</v>
      </c>
    </row>
    <row r="72">
      <c r="B72" s="3" t="inlineStr">
        <is>
          <t>Travel/Entertainment - Selling</t>
        </is>
      </c>
      <c r="C72" s="3" t="n"/>
      <c r="D72" s="3" t="n"/>
      <c r="E72" s="3" t="n"/>
      <c r="F72" s="9" t="n">
        <v>36.3</v>
      </c>
      <c r="G72" s="9" t="n">
        <v>36.9</v>
      </c>
      <c r="H72" s="9" t="n">
        <v>-0.6</v>
      </c>
      <c r="I72" s="10" t="n">
        <v>-0.0163</v>
      </c>
      <c r="J72" s="3" t="n"/>
      <c r="K72" s="9" t="n">
        <v>35.8</v>
      </c>
      <c r="L72" s="9" t="n">
        <v>0.5</v>
      </c>
      <c r="M72" s="10" t="n">
        <v>0.014</v>
      </c>
      <c r="N72" s="3" t="n"/>
      <c r="O72" s="9" t="n">
        <v>288.3</v>
      </c>
      <c r="P72" s="9" t="n">
        <v>294.4</v>
      </c>
      <c r="Q72" s="9" t="n">
        <v>-6.1</v>
      </c>
      <c r="R72" s="10" t="n">
        <v>-0.0207</v>
      </c>
      <c r="S72" s="3" t="n"/>
      <c r="T72" s="9" t="n">
        <v>289.1</v>
      </c>
      <c r="U72" s="9" t="n">
        <v>-0.8</v>
      </c>
      <c r="V72" s="10" t="n">
        <v>-0.0028</v>
      </c>
    </row>
    <row r="73">
      <c r="B73" t="inlineStr">
        <is>
          <t>5100-6100 - SAMPLES &amp; PROMOTIONS</t>
        </is>
      </c>
      <c r="F73" s="7" t="n">
        <v>27.6</v>
      </c>
      <c r="G73" s="7" t="n">
        <v>29.5</v>
      </c>
      <c r="H73" s="7" t="n">
        <v>-1.9</v>
      </c>
      <c r="I73" s="8" t="n">
        <v>-0.0644</v>
      </c>
      <c r="K73" s="7" t="n">
        <v>29.2</v>
      </c>
      <c r="L73" s="7" t="n">
        <v>-1.6</v>
      </c>
      <c r="M73" s="8" t="n">
        <v>-0.0548</v>
      </c>
      <c r="O73" s="7" t="n">
        <v>225.2</v>
      </c>
      <c r="P73" s="7" t="n">
        <v>235.6</v>
      </c>
      <c r="Q73" s="7" t="n">
        <v>-10.4</v>
      </c>
      <c r="R73" s="8" t="n">
        <v>-0.0441</v>
      </c>
      <c r="T73" s="7" t="n">
        <v>229.4</v>
      </c>
      <c r="U73" s="7" t="n">
        <v>-4.2</v>
      </c>
      <c r="V73" s="8" t="n">
        <v>-0.0183</v>
      </c>
    </row>
    <row r="74">
      <c r="B74" s="3" t="inlineStr">
        <is>
          <t>Promotional Exp - Selling</t>
        </is>
      </c>
      <c r="C74" s="3" t="n"/>
      <c r="D74" s="3" t="n"/>
      <c r="E74" s="3" t="n"/>
      <c r="F74" s="9" t="n">
        <v>27.6</v>
      </c>
      <c r="G74" s="9" t="n">
        <v>29.5</v>
      </c>
      <c r="H74" s="9" t="n">
        <v>-1.9</v>
      </c>
      <c r="I74" s="10" t="n">
        <v>-0.0644</v>
      </c>
      <c r="J74" s="3" t="n"/>
      <c r="K74" s="9" t="n">
        <v>29.2</v>
      </c>
      <c r="L74" s="9" t="n">
        <v>-1.6</v>
      </c>
      <c r="M74" s="10" t="n">
        <v>-0.0548</v>
      </c>
      <c r="N74" s="3" t="n"/>
      <c r="O74" s="9" t="n">
        <v>225.2</v>
      </c>
      <c r="P74" s="9" t="n">
        <v>235.6</v>
      </c>
      <c r="Q74" s="9" t="n">
        <v>-10.4</v>
      </c>
      <c r="R74" s="10" t="n">
        <v>-0.0441</v>
      </c>
      <c r="S74" s="3" t="n"/>
      <c r="T74" s="9" t="n">
        <v>229.4</v>
      </c>
      <c r="U74" s="9" t="n">
        <v>-4.2</v>
      </c>
      <c r="V74" s="10" t="n">
        <v>-0.0183</v>
      </c>
    </row>
    <row r="75">
      <c r="B75" t="inlineStr">
        <is>
          <t>5100-5900 - MISCELLANEOUS</t>
        </is>
      </c>
      <c r="F75" s="7" t="n">
        <v>21.6</v>
      </c>
      <c r="G75" s="7" t="n">
        <v>22.1</v>
      </c>
      <c r="H75" s="7" t="n">
        <v>-0.5</v>
      </c>
      <c r="I75" s="8" t="n">
        <v>-0.0226</v>
      </c>
      <c r="K75" s="7" t="n">
        <v>21.6</v>
      </c>
      <c r="L75" s="7" t="n">
        <v>0</v>
      </c>
      <c r="M75" s="8" t="n">
        <v>0</v>
      </c>
      <c r="O75" s="7" t="n">
        <v>174.6</v>
      </c>
      <c r="P75" s="7" t="n">
        <v>176.7</v>
      </c>
      <c r="Q75" s="7" t="n">
        <v>-2.1</v>
      </c>
      <c r="R75" s="8" t="n">
        <v>-0.0119</v>
      </c>
      <c r="T75" s="7" t="n">
        <v>173.8</v>
      </c>
      <c r="U75" s="7" t="n">
        <v>0.8</v>
      </c>
      <c r="V75" s="8" t="n">
        <v>0.0046</v>
      </c>
    </row>
    <row r="76">
      <c r="B76" s="3" t="inlineStr">
        <is>
          <t>General Costs - Selling</t>
        </is>
      </c>
      <c r="C76" s="3" t="n"/>
      <c r="D76" s="3" t="n"/>
      <c r="E76" s="3" t="n"/>
      <c r="F76" s="9" t="n">
        <v>21.6</v>
      </c>
      <c r="G76" s="9" t="n">
        <v>22.1</v>
      </c>
      <c r="H76" s="9" t="n">
        <v>-0.5</v>
      </c>
      <c r="I76" s="10" t="n">
        <v>-0.0226</v>
      </c>
      <c r="J76" s="3" t="n"/>
      <c r="K76" s="9" t="n">
        <v>21.6</v>
      </c>
      <c r="L76" s="9" t="n">
        <v>0</v>
      </c>
      <c r="M76" s="10" t="n">
        <v>0</v>
      </c>
      <c r="N76" s="3" t="n"/>
      <c r="O76" s="9" t="n">
        <v>174.6</v>
      </c>
      <c r="P76" s="9" t="n">
        <v>176.7</v>
      </c>
      <c r="Q76" s="9" t="n">
        <v>-2.1</v>
      </c>
      <c r="R76" s="10" t="n">
        <v>-0.0119</v>
      </c>
      <c r="S76" s="3" t="n"/>
      <c r="T76" s="9" t="n">
        <v>173.8</v>
      </c>
      <c r="U76" s="9" t="n">
        <v>0.8</v>
      </c>
      <c r="V76" s="10" t="n">
        <v>0.0046</v>
      </c>
    </row>
    <row r="77">
      <c r="B77" s="11" t="inlineStr">
        <is>
          <t>Selling Costs</t>
        </is>
      </c>
      <c r="C77" s="11" t="n"/>
      <c r="D77" s="11" t="n"/>
      <c r="E77" s="11" t="n"/>
      <c r="F77" s="12" t="n">
        <v>357.2</v>
      </c>
      <c r="G77" s="12" t="n">
        <v>368.5</v>
      </c>
      <c r="H77" s="12" t="n">
        <v>-11.3</v>
      </c>
      <c r="I77" s="13" t="n">
        <v>-0.0307</v>
      </c>
      <c r="J77" s="11" t="n"/>
      <c r="K77" s="12" t="n">
        <v>365.5</v>
      </c>
      <c r="L77" s="12" t="n">
        <v>-8.300000000000001</v>
      </c>
      <c r="M77" s="13" t="n">
        <v>-0.0227</v>
      </c>
      <c r="N77" s="11" t="n"/>
      <c r="O77" s="12" t="n">
        <v>2869.8</v>
      </c>
      <c r="P77" s="12" t="n">
        <v>2943.5</v>
      </c>
      <c r="Q77" s="12" t="n">
        <v>-73.7</v>
      </c>
      <c r="R77" s="13" t="n">
        <v>-0.025</v>
      </c>
      <c r="S77" s="11" t="n"/>
      <c r="T77" s="12" t="n">
        <v>2876.5</v>
      </c>
      <c r="U77" s="12" t="n">
        <v>-6.7</v>
      </c>
      <c r="V77" s="13" t="n">
        <v>-0.0023</v>
      </c>
    </row>
    <row r="78">
      <c r="B78" t="inlineStr">
        <is>
          <t>5300-2100 - WAREHOUSE SALARY - REG</t>
        </is>
      </c>
      <c r="F78" s="7" t="n">
        <v>150.1</v>
      </c>
      <c r="G78" s="7" t="n">
        <v>156</v>
      </c>
      <c r="H78" s="7" t="n">
        <v>-5.9</v>
      </c>
      <c r="I78" s="8" t="n">
        <v>-0.0378</v>
      </c>
      <c r="K78" s="7" t="n">
        <v>156.8</v>
      </c>
      <c r="L78" s="7" t="n">
        <v>-6.7</v>
      </c>
      <c r="M78" s="8" t="n">
        <v>-0.0427</v>
      </c>
      <c r="O78" s="7" t="n">
        <v>1225</v>
      </c>
      <c r="P78" s="7" t="n">
        <v>1246.5</v>
      </c>
      <c r="Q78" s="7" t="n">
        <v>-21.5</v>
      </c>
      <c r="R78" s="8" t="n">
        <v>-0.0172</v>
      </c>
      <c r="T78" s="7" t="n">
        <v>1222.6</v>
      </c>
      <c r="U78" s="7" t="n">
        <v>2.4</v>
      </c>
      <c r="V78" s="8" t="n">
        <v>0.002</v>
      </c>
    </row>
    <row r="79">
      <c r="B79" t="inlineStr">
        <is>
          <t>5300-2105 - WAREHOUSE SALARY - OT</t>
        </is>
      </c>
      <c r="F79" s="7" t="n">
        <v>12.6</v>
      </c>
      <c r="G79" s="7" t="n">
        <v>13</v>
      </c>
      <c r="H79" s="7" t="n">
        <v>-0.4</v>
      </c>
      <c r="I79" s="8" t="n">
        <v>-0.0308</v>
      </c>
      <c r="K79" s="7" t="n">
        <v>12.7</v>
      </c>
      <c r="L79" s="7" t="n">
        <v>-0.1</v>
      </c>
      <c r="M79" s="8" t="n">
        <v>-0.007900000000000001</v>
      </c>
      <c r="O79" s="7" t="n">
        <v>97.59999999999999</v>
      </c>
      <c r="P79" s="7" t="n">
        <v>103.8</v>
      </c>
      <c r="Q79" s="7" t="n">
        <v>-6.2</v>
      </c>
      <c r="R79" s="8" t="n">
        <v>-0.0597</v>
      </c>
      <c r="T79" s="7" t="n">
        <v>101.4</v>
      </c>
      <c r="U79" s="7" t="n">
        <v>-3.8</v>
      </c>
      <c r="V79" s="8" t="n">
        <v>-0.0375</v>
      </c>
    </row>
    <row r="80">
      <c r="B80" t="inlineStr">
        <is>
          <t>5300-2530 - TEMPORARY LABOR</t>
        </is>
      </c>
      <c r="F80" s="7" t="n">
        <v>12.6</v>
      </c>
      <c r="G80" s="7" t="n">
        <v>13</v>
      </c>
      <c r="H80" s="7" t="n">
        <v>-0.4</v>
      </c>
      <c r="I80" s="8" t="n">
        <v>-0.0308</v>
      </c>
      <c r="K80" s="7" t="n">
        <v>13.1</v>
      </c>
      <c r="L80" s="7" t="n">
        <v>-0.5</v>
      </c>
      <c r="M80" s="8" t="n">
        <v>-0.0382</v>
      </c>
      <c r="O80" s="7" t="n">
        <v>98.90000000000001</v>
      </c>
      <c r="P80" s="7" t="n">
        <v>103.8</v>
      </c>
      <c r="Q80" s="7" t="n">
        <v>-4.9</v>
      </c>
      <c r="R80" s="8" t="n">
        <v>-0.0472</v>
      </c>
      <c r="T80" s="7" t="n">
        <v>102.4</v>
      </c>
      <c r="U80" s="7" t="n">
        <v>-3.5</v>
      </c>
      <c r="V80" s="8" t="n">
        <v>-0.0342</v>
      </c>
    </row>
    <row r="81">
      <c r="B81" s="3" t="inlineStr">
        <is>
          <t>Payroll Exp - D&amp;W</t>
        </is>
      </c>
      <c r="C81" s="3" t="n"/>
      <c r="D81" s="3" t="n"/>
      <c r="E81" s="3" t="n"/>
      <c r="F81" s="9" t="n">
        <v>175.3</v>
      </c>
      <c r="G81" s="9" t="n">
        <v>182</v>
      </c>
      <c r="H81" s="9" t="n">
        <v>-6.7</v>
      </c>
      <c r="I81" s="10" t="n">
        <v>-0.0368</v>
      </c>
      <c r="J81" s="3" t="n"/>
      <c r="K81" s="9" t="n">
        <v>182.6</v>
      </c>
      <c r="L81" s="9" t="n">
        <v>-7.3</v>
      </c>
      <c r="M81" s="10" t="n">
        <v>-0.04</v>
      </c>
      <c r="N81" s="3" t="n"/>
      <c r="O81" s="9" t="n">
        <v>1421.5</v>
      </c>
      <c r="P81" s="9" t="n">
        <v>1454.1</v>
      </c>
      <c r="Q81" s="9" t="n">
        <v>-32.6</v>
      </c>
      <c r="R81" s="10" t="n">
        <v>-0.0224</v>
      </c>
      <c r="S81" s="3" t="n"/>
      <c r="T81" s="9" t="n">
        <v>1426.4</v>
      </c>
      <c r="U81" s="9" t="n">
        <v>-4.9</v>
      </c>
      <c r="V81" s="10" t="n">
        <v>-0.0034</v>
      </c>
    </row>
    <row r="82">
      <c r="B82" t="inlineStr">
        <is>
          <t>5300-3010 - P/R TAXES</t>
        </is>
      </c>
      <c r="F82" s="7" t="n">
        <v>17.5</v>
      </c>
      <c r="G82" s="7" t="n">
        <v>17.3</v>
      </c>
      <c r="H82" s="7" t="n">
        <v>0.2</v>
      </c>
      <c r="I82" s="8" t="n">
        <v>0.0116</v>
      </c>
      <c r="K82" s="7" t="n">
        <v>16.9</v>
      </c>
      <c r="L82" s="7" t="n">
        <v>0.6</v>
      </c>
      <c r="M82" s="8" t="n">
        <v>0.0355</v>
      </c>
      <c r="O82" s="7" t="n">
        <v>137.5</v>
      </c>
      <c r="P82" s="7" t="n">
        <v>138.5</v>
      </c>
      <c r="Q82" s="7" t="n">
        <v>-1</v>
      </c>
      <c r="R82" s="8" t="n">
        <v>-0.0072</v>
      </c>
      <c r="T82" s="7" t="n">
        <v>136.1</v>
      </c>
      <c r="U82" s="7" t="n">
        <v>1.4</v>
      </c>
      <c r="V82" s="8" t="n">
        <v>0.0103</v>
      </c>
    </row>
    <row r="83">
      <c r="B83" t="inlineStr">
        <is>
          <t>5300-3100 - BENEFITS - HEALTH</t>
        </is>
      </c>
      <c r="F83" s="7" t="n">
        <v>29.7</v>
      </c>
      <c r="G83" s="7" t="n">
        <v>30.3</v>
      </c>
      <c r="H83" s="7" t="n">
        <v>-0.6</v>
      </c>
      <c r="I83" s="8" t="n">
        <v>-0.0198</v>
      </c>
      <c r="K83" s="7" t="n">
        <v>30.4</v>
      </c>
      <c r="L83" s="7" t="n">
        <v>-0.7</v>
      </c>
      <c r="M83" s="8" t="n">
        <v>-0.023</v>
      </c>
      <c r="O83" s="7" t="n">
        <v>236.4</v>
      </c>
      <c r="P83" s="7" t="n">
        <v>242.2</v>
      </c>
      <c r="Q83" s="7" t="n">
        <v>-5.8</v>
      </c>
      <c r="R83" s="8" t="n">
        <v>-0.0239</v>
      </c>
      <c r="T83" s="7" t="n">
        <v>239.3</v>
      </c>
      <c r="U83" s="7" t="n">
        <v>-2.9</v>
      </c>
      <c r="V83" s="8" t="n">
        <v>-0.0121</v>
      </c>
    </row>
    <row r="84">
      <c r="B84" s="3" t="inlineStr">
        <is>
          <t>P/R Tax/Benefits - D&amp;W</t>
        </is>
      </c>
      <c r="C84" s="3" t="n"/>
      <c r="D84" s="3" t="n"/>
      <c r="E84" s="3" t="n"/>
      <c r="F84" s="9" t="n">
        <v>47.2</v>
      </c>
      <c r="G84" s="9" t="n">
        <v>47.6</v>
      </c>
      <c r="H84" s="9" t="n">
        <v>-0.4</v>
      </c>
      <c r="I84" s="10" t="n">
        <v>-0.008399999999999999</v>
      </c>
      <c r="J84" s="3" t="n"/>
      <c r="K84" s="9" t="n">
        <v>47.3</v>
      </c>
      <c r="L84" s="9" t="n">
        <v>-0.1</v>
      </c>
      <c r="M84" s="10" t="n">
        <v>-0.0021</v>
      </c>
      <c r="N84" s="3" t="n"/>
      <c r="O84" s="9" t="n">
        <v>373.9</v>
      </c>
      <c r="P84" s="9" t="n">
        <v>380.7</v>
      </c>
      <c r="Q84" s="9" t="n">
        <v>-6.8</v>
      </c>
      <c r="R84" s="10" t="n">
        <v>-0.0179</v>
      </c>
      <c r="S84" s="3" t="n"/>
      <c r="T84" s="9" t="n">
        <v>375.4</v>
      </c>
      <c r="U84" s="9" t="n">
        <v>-1.5</v>
      </c>
      <c r="V84" s="10" t="n">
        <v>-0.004</v>
      </c>
    </row>
    <row r="85">
      <c r="B85" t="inlineStr">
        <is>
          <t>5300-4500 - FREIGHT OUT - GENERAL</t>
        </is>
      </c>
      <c r="F85" s="7" t="n">
        <v>108.2</v>
      </c>
      <c r="G85" s="7" t="n">
        <v>86.7</v>
      </c>
      <c r="H85" s="7" t="n">
        <v>21.5</v>
      </c>
      <c r="I85" s="8" t="n">
        <v>0.248</v>
      </c>
      <c r="K85" s="7" t="n">
        <v>83.59999999999999</v>
      </c>
      <c r="L85" s="7" t="n">
        <v>24.6</v>
      </c>
      <c r="M85" s="8" t="n">
        <v>0.2943</v>
      </c>
      <c r="O85" s="7" t="n">
        <v>679.1</v>
      </c>
      <c r="P85" s="7" t="n">
        <v>692.5</v>
      </c>
      <c r="Q85" s="7" t="n">
        <v>-13.4</v>
      </c>
      <c r="R85" s="8" t="n">
        <v>-0.0194</v>
      </c>
      <c r="T85" s="7" t="n">
        <v>675.5</v>
      </c>
      <c r="U85" s="7" t="n">
        <v>3.6</v>
      </c>
      <c r="V85" s="8" t="n">
        <v>0.0053</v>
      </c>
    </row>
    <row r="86">
      <c r="B86" t="inlineStr">
        <is>
          <t>5300-4010 - FUEL/OIL</t>
        </is>
      </c>
      <c r="F86" s="7" t="n">
        <v>16.4</v>
      </c>
      <c r="G86" s="7" t="n">
        <v>17.3</v>
      </c>
      <c r="H86" s="7" t="n">
        <v>-0.9</v>
      </c>
      <c r="I86" s="8" t="n">
        <v>-0.052</v>
      </c>
      <c r="K86" s="7" t="n">
        <v>17.1</v>
      </c>
      <c r="L86" s="7" t="n">
        <v>-0.7</v>
      </c>
      <c r="M86" s="8" t="n">
        <v>-0.0409</v>
      </c>
      <c r="O86" s="7" t="n">
        <v>131.8</v>
      </c>
      <c r="P86" s="7" t="n">
        <v>138.5</v>
      </c>
      <c r="Q86" s="7" t="n">
        <v>-6.7</v>
      </c>
      <c r="R86" s="8" t="n">
        <v>-0.0484</v>
      </c>
      <c r="T86" s="7" t="n">
        <v>136.7</v>
      </c>
      <c r="U86" s="7" t="n">
        <v>-4.9</v>
      </c>
      <c r="V86" s="8" t="n">
        <v>-0.0358</v>
      </c>
    </row>
    <row r="87">
      <c r="B87" s="3" t="inlineStr">
        <is>
          <t>Freight Exp - D&amp;W</t>
        </is>
      </c>
      <c r="C87" s="3" t="n"/>
      <c r="D87" s="3" t="n"/>
      <c r="E87" s="3" t="n"/>
      <c r="F87" s="9" t="n">
        <v>124.6</v>
      </c>
      <c r="G87" s="9" t="n">
        <v>104</v>
      </c>
      <c r="H87" s="9" t="n">
        <v>20.6</v>
      </c>
      <c r="I87" s="10" t="n">
        <v>0.1981</v>
      </c>
      <c r="J87" s="3" t="n"/>
      <c r="K87" s="9" t="n">
        <v>100.7</v>
      </c>
      <c r="L87" s="9" t="n">
        <v>23.9</v>
      </c>
      <c r="M87" s="10" t="n">
        <v>0.2373</v>
      </c>
      <c r="N87" s="3" t="n"/>
      <c r="O87" s="9" t="n">
        <v>810.9</v>
      </c>
      <c r="P87" s="9" t="n">
        <v>831</v>
      </c>
      <c r="Q87" s="9" t="n">
        <v>-20.1</v>
      </c>
      <c r="R87" s="10" t="n">
        <v>-0.0242</v>
      </c>
      <c r="S87" s="3" t="n"/>
      <c r="T87" s="9" t="n">
        <v>812.2</v>
      </c>
      <c r="U87" s="9" t="n">
        <v>-1.3</v>
      </c>
      <c r="V87" s="10" t="n">
        <v>-0.0016</v>
      </c>
    </row>
    <row r="88">
      <c r="B88" t="inlineStr">
        <is>
          <t>5300-4110 - SUPPLIES</t>
        </is>
      </c>
      <c r="F88" s="7" t="n">
        <v>16.3</v>
      </c>
      <c r="G88" s="7" t="n">
        <v>17.3</v>
      </c>
      <c r="H88" s="7" t="n">
        <v>-1</v>
      </c>
      <c r="I88" s="8" t="n">
        <v>-0.0578</v>
      </c>
      <c r="K88" s="7" t="n">
        <v>16.8</v>
      </c>
      <c r="L88" s="7" t="n">
        <v>-0.5</v>
      </c>
      <c r="M88" s="8" t="n">
        <v>-0.0298</v>
      </c>
      <c r="O88" s="7" t="n">
        <v>130.6</v>
      </c>
      <c r="P88" s="7" t="n">
        <v>138.5</v>
      </c>
      <c r="Q88" s="7" t="n">
        <v>-7.9</v>
      </c>
      <c r="R88" s="8" t="n">
        <v>-0.057</v>
      </c>
      <c r="T88" s="7" t="n">
        <v>135.9</v>
      </c>
      <c r="U88" s="7" t="n">
        <v>-5.3</v>
      </c>
      <c r="V88" s="8" t="n">
        <v>-0.039</v>
      </c>
    </row>
    <row r="89">
      <c r="B89" t="inlineStr">
        <is>
          <t>5300-4030 - REPAIRS</t>
        </is>
      </c>
      <c r="F89" s="7" t="n">
        <v>13.1</v>
      </c>
      <c r="G89" s="7" t="n">
        <v>13</v>
      </c>
      <c r="H89" s="7" t="n">
        <v>0.1</v>
      </c>
      <c r="I89" s="8" t="n">
        <v>0.0077</v>
      </c>
      <c r="K89" s="7" t="n">
        <v>13.1</v>
      </c>
      <c r="L89" s="7" t="n">
        <v>0</v>
      </c>
      <c r="M89" s="8" t="n">
        <v>0</v>
      </c>
      <c r="O89" s="7" t="n">
        <v>102.8</v>
      </c>
      <c r="P89" s="7" t="n">
        <v>103.8</v>
      </c>
      <c r="Q89" s="7" t="n">
        <v>-1</v>
      </c>
      <c r="R89" s="8" t="n">
        <v>-0.009599999999999999</v>
      </c>
      <c r="T89" s="7" t="n">
        <v>102</v>
      </c>
      <c r="U89" s="7" t="n">
        <v>0.8</v>
      </c>
      <c r="V89" s="8" t="n">
        <v>0.0078</v>
      </c>
    </row>
    <row r="90">
      <c r="B90" s="3" t="inlineStr">
        <is>
          <t>Warehouse Exp - D&amp;W</t>
        </is>
      </c>
      <c r="C90" s="3" t="n"/>
      <c r="D90" s="3" t="n"/>
      <c r="E90" s="3" t="n"/>
      <c r="F90" s="9" t="n">
        <v>29.4</v>
      </c>
      <c r="G90" s="9" t="n">
        <v>30.3</v>
      </c>
      <c r="H90" s="9" t="n">
        <v>-0.9</v>
      </c>
      <c r="I90" s="10" t="n">
        <v>-0.0297</v>
      </c>
      <c r="J90" s="3" t="n"/>
      <c r="K90" s="9" t="n">
        <v>29.9</v>
      </c>
      <c r="L90" s="9" t="n">
        <v>-0.5</v>
      </c>
      <c r="M90" s="10" t="n">
        <v>-0.0167</v>
      </c>
      <c r="N90" s="3" t="n"/>
      <c r="O90" s="9" t="n">
        <v>233.4</v>
      </c>
      <c r="P90" s="9" t="n">
        <v>242.3</v>
      </c>
      <c r="Q90" s="9" t="n">
        <v>-8.9</v>
      </c>
      <c r="R90" s="10" t="n">
        <v>-0.0367</v>
      </c>
      <c r="S90" s="3" t="n"/>
      <c r="T90" s="9" t="n">
        <v>237.9</v>
      </c>
      <c r="U90" s="9" t="n">
        <v>-4.5</v>
      </c>
      <c r="V90" s="10" t="n">
        <v>-0.0189</v>
      </c>
    </row>
    <row r="91">
      <c r="B91" t="inlineStr">
        <is>
          <t>5300-4250 - RENT EXPENSE</t>
        </is>
      </c>
      <c r="F91" s="7" t="n">
        <v>137.1</v>
      </c>
      <c r="G91" s="7" t="n">
        <v>43.3</v>
      </c>
      <c r="H91" s="7" t="n">
        <v>93.8</v>
      </c>
      <c r="I91" s="8" t="n">
        <v>2.1663</v>
      </c>
      <c r="K91" s="7" t="n">
        <v>41.9</v>
      </c>
      <c r="L91" s="7" t="n">
        <v>95.2</v>
      </c>
      <c r="M91" s="8" t="n">
        <v>2.2721</v>
      </c>
      <c r="O91" s="7" t="n">
        <v>434.2</v>
      </c>
      <c r="P91" s="7" t="n">
        <v>346.2</v>
      </c>
      <c r="Q91" s="7" t="n">
        <v>88</v>
      </c>
      <c r="R91" s="8" t="n">
        <v>0.2542</v>
      </c>
      <c r="T91" s="7" t="n">
        <v>339.4</v>
      </c>
      <c r="U91" s="7" t="n">
        <v>94.8</v>
      </c>
      <c r="V91" s="8" t="n">
        <v>0.2793</v>
      </c>
    </row>
    <row r="92">
      <c r="B92" t="inlineStr">
        <is>
          <t>5300-4310 - UTILITIES</t>
        </is>
      </c>
      <c r="F92" s="7" t="n">
        <v>8.800000000000001</v>
      </c>
      <c r="G92" s="7" t="n">
        <v>8.699999999999999</v>
      </c>
      <c r="H92" s="7" t="n">
        <v>0.1</v>
      </c>
      <c r="I92" s="8" t="n">
        <v>0.0115</v>
      </c>
      <c r="K92" s="7" t="n">
        <v>8.699999999999999</v>
      </c>
      <c r="L92" s="7" t="n">
        <v>0.1</v>
      </c>
      <c r="M92" s="8" t="n">
        <v>0.0115</v>
      </c>
      <c r="O92" s="7" t="n">
        <v>68.8</v>
      </c>
      <c r="P92" s="7" t="n">
        <v>69.3</v>
      </c>
      <c r="Q92" s="7" t="n">
        <v>-0.5</v>
      </c>
      <c r="R92" s="8" t="n">
        <v>-0.0072</v>
      </c>
      <c r="T92" s="7" t="n">
        <v>67.8</v>
      </c>
      <c r="U92" s="7" t="n">
        <v>1</v>
      </c>
      <c r="V92" s="8" t="n">
        <v>0.0147</v>
      </c>
    </row>
    <row r="93">
      <c r="B93" t="inlineStr">
        <is>
          <t>5300-4800 - OCCUPANCY ALLOCATION</t>
        </is>
      </c>
      <c r="F93" s="7" t="n">
        <v>8.699999999999999</v>
      </c>
      <c r="G93" s="7" t="n">
        <v>8.699999999999999</v>
      </c>
      <c r="H93" s="7" t="n">
        <v>0</v>
      </c>
      <c r="I93" s="8" t="n">
        <v>0</v>
      </c>
      <c r="K93" s="7" t="n">
        <v>8.699999999999999</v>
      </c>
      <c r="L93" s="7" t="n">
        <v>0</v>
      </c>
      <c r="M93" s="8" t="n">
        <v>0</v>
      </c>
      <c r="O93" s="7" t="n">
        <v>68.2</v>
      </c>
      <c r="P93" s="7" t="n">
        <v>69.3</v>
      </c>
      <c r="Q93" s="7" t="n">
        <v>-1.1</v>
      </c>
      <c r="R93" s="8" t="n">
        <v>-0.0159</v>
      </c>
      <c r="T93" s="7" t="n">
        <v>68.3</v>
      </c>
      <c r="U93" s="7" t="n">
        <v>-0.1</v>
      </c>
      <c r="V93" s="8" t="n">
        <v>-0.0015</v>
      </c>
    </row>
    <row r="94">
      <c r="B94" s="3" t="inlineStr">
        <is>
          <t>Occupancy Costs - D&amp;W</t>
        </is>
      </c>
      <c r="C94" s="3" t="n"/>
      <c r="D94" s="3" t="n"/>
      <c r="E94" s="3" t="n"/>
      <c r="F94" s="9" t="n">
        <v>154.6</v>
      </c>
      <c r="G94" s="9" t="n">
        <v>60.7</v>
      </c>
      <c r="H94" s="9" t="n">
        <v>93.90000000000001</v>
      </c>
      <c r="I94" s="10" t="n">
        <v>1.547</v>
      </c>
      <c r="J94" s="3" t="n"/>
      <c r="K94" s="9" t="n">
        <v>59.3</v>
      </c>
      <c r="L94" s="9" t="n">
        <v>95.3</v>
      </c>
      <c r="M94" s="10" t="n">
        <v>1.6071</v>
      </c>
      <c r="N94" s="3" t="n"/>
      <c r="O94" s="9" t="n">
        <v>571.2</v>
      </c>
      <c r="P94" s="9" t="n">
        <v>484.8</v>
      </c>
      <c r="Q94" s="9" t="n">
        <v>86.40000000000001</v>
      </c>
      <c r="R94" s="10" t="n">
        <v>0.1782</v>
      </c>
      <c r="S94" s="3" t="n"/>
      <c r="T94" s="9" t="n">
        <v>475.5</v>
      </c>
      <c r="U94" s="9" t="n">
        <v>95.7</v>
      </c>
      <c r="V94" s="10" t="n">
        <v>0.2013</v>
      </c>
    </row>
    <row r="95">
      <c r="B95" t="inlineStr">
        <is>
          <t>5300-6085 - DEPRECIATION</t>
        </is>
      </c>
      <c r="F95" s="7" t="n">
        <v>8.699999999999999</v>
      </c>
      <c r="G95" s="7" t="n">
        <v>8.699999999999999</v>
      </c>
      <c r="H95" s="7" t="n">
        <v>0</v>
      </c>
      <c r="I95" s="8" t="n">
        <v>0</v>
      </c>
      <c r="K95" s="7" t="n">
        <v>8.6</v>
      </c>
      <c r="L95" s="7" t="n">
        <v>0.1</v>
      </c>
      <c r="M95" s="8" t="n">
        <v>0.0116</v>
      </c>
      <c r="O95" s="7" t="n">
        <v>68.40000000000001</v>
      </c>
      <c r="P95" s="7" t="n">
        <v>69.3</v>
      </c>
      <c r="Q95" s="7" t="n">
        <v>-0.9</v>
      </c>
      <c r="R95" s="8" t="n">
        <v>-0.013</v>
      </c>
      <c r="T95" s="7" t="n">
        <v>68.2</v>
      </c>
      <c r="U95" s="7" t="n">
        <v>0.2</v>
      </c>
      <c r="V95" s="8" t="n">
        <v>0.0029</v>
      </c>
    </row>
    <row r="96">
      <c r="B96" s="3" t="inlineStr">
        <is>
          <t>Depreciation Exp - D&amp;W</t>
        </is>
      </c>
      <c r="C96" s="3" t="n"/>
      <c r="D96" s="3" t="n"/>
      <c r="E96" s="3" t="n"/>
      <c r="F96" s="9" t="n">
        <v>8.699999999999999</v>
      </c>
      <c r="G96" s="9" t="n">
        <v>8.699999999999999</v>
      </c>
      <c r="H96" s="9" t="n">
        <v>0</v>
      </c>
      <c r="I96" s="10" t="n">
        <v>0</v>
      </c>
      <c r="J96" s="3" t="n"/>
      <c r="K96" s="9" t="n">
        <v>8.6</v>
      </c>
      <c r="L96" s="9" t="n">
        <v>0.1</v>
      </c>
      <c r="M96" s="10" t="n">
        <v>0.0116</v>
      </c>
      <c r="N96" s="3" t="n"/>
      <c r="O96" s="9" t="n">
        <v>68.40000000000001</v>
      </c>
      <c r="P96" s="9" t="n">
        <v>69.3</v>
      </c>
      <c r="Q96" s="9" t="n">
        <v>-0.9</v>
      </c>
      <c r="R96" s="10" t="n">
        <v>-0.013</v>
      </c>
      <c r="S96" s="3" t="n"/>
      <c r="T96" s="9" t="n">
        <v>68.2</v>
      </c>
      <c r="U96" s="9" t="n">
        <v>0.2</v>
      </c>
      <c r="V96" s="10" t="n">
        <v>0.0029</v>
      </c>
    </row>
    <row r="97">
      <c r="B97" s="11" t="inlineStr">
        <is>
          <t>Delivery and Warehouse Costs</t>
        </is>
      </c>
      <c r="C97" s="11" t="n"/>
      <c r="D97" s="11" t="n"/>
      <c r="E97" s="11" t="n"/>
      <c r="F97" s="12" t="n">
        <v>539.8</v>
      </c>
      <c r="G97" s="12" t="n">
        <v>433.3</v>
      </c>
      <c r="H97" s="12" t="n">
        <v>106.5</v>
      </c>
      <c r="I97" s="13" t="n">
        <v>0.2458</v>
      </c>
      <c r="J97" s="11" t="n"/>
      <c r="K97" s="12" t="n">
        <v>428.4</v>
      </c>
      <c r="L97" s="12" t="n">
        <v>111.4</v>
      </c>
      <c r="M97" s="13" t="n">
        <v>0.26</v>
      </c>
      <c r="N97" s="11" t="n"/>
      <c r="O97" s="12" t="n">
        <v>3479.3</v>
      </c>
      <c r="P97" s="12" t="n">
        <v>3462.2</v>
      </c>
      <c r="Q97" s="12" t="n">
        <v>17.1</v>
      </c>
      <c r="R97" s="13" t="n">
        <v>0.0049</v>
      </c>
      <c r="S97" s="11" t="n"/>
      <c r="T97" s="12" t="n">
        <v>3395.6</v>
      </c>
      <c r="U97" s="12" t="n">
        <v>83.7</v>
      </c>
      <c r="V97" s="13" t="n">
        <v>0.0246</v>
      </c>
    </row>
    <row r="98">
      <c r="B98" t="inlineStr">
        <is>
          <t>5500-2100 - ADMIN SALARIES</t>
        </is>
      </c>
      <c r="F98" s="7" t="n">
        <v>135.8</v>
      </c>
      <c r="G98" s="7" t="n">
        <v>134.3</v>
      </c>
      <c r="H98" s="7" t="n">
        <v>1.5</v>
      </c>
      <c r="I98" s="8" t="n">
        <v>0.0112</v>
      </c>
      <c r="K98" s="7" t="n">
        <v>128.1</v>
      </c>
      <c r="L98" s="7" t="n">
        <v>7.7</v>
      </c>
      <c r="M98" s="8" t="n">
        <v>0.0601</v>
      </c>
      <c r="O98" s="7" t="n">
        <v>1065.2</v>
      </c>
      <c r="P98" s="7" t="n">
        <v>1073.2</v>
      </c>
      <c r="Q98" s="7" t="n">
        <v>-8</v>
      </c>
      <c r="R98" s="8" t="n">
        <v>-0.0075</v>
      </c>
      <c r="T98" s="7" t="n">
        <v>1046</v>
      </c>
      <c r="U98" s="7" t="n">
        <v>19.2</v>
      </c>
      <c r="V98" s="8" t="n">
        <v>0.0184</v>
      </c>
    </row>
    <row r="99">
      <c r="B99" t="inlineStr">
        <is>
          <t>5500-2500 - BONUSES</t>
        </is>
      </c>
      <c r="F99" s="7" t="n">
        <v>16.8</v>
      </c>
      <c r="G99" s="7" t="n">
        <v>16.8</v>
      </c>
      <c r="H99" s="7" t="n">
        <v>0</v>
      </c>
      <c r="I99" s="8" t="n">
        <v>0</v>
      </c>
      <c r="K99" s="7" t="n">
        <v>16.6</v>
      </c>
      <c r="L99" s="7" t="n">
        <v>0.2</v>
      </c>
      <c r="M99" s="8" t="n">
        <v>0.012</v>
      </c>
      <c r="O99" s="7" t="n">
        <v>132.7</v>
      </c>
      <c r="P99" s="7" t="n">
        <v>134.2</v>
      </c>
      <c r="Q99" s="7" t="n">
        <v>-1.5</v>
      </c>
      <c r="R99" s="8" t="n">
        <v>-0.0112</v>
      </c>
      <c r="T99" s="7" t="n">
        <v>131.2</v>
      </c>
      <c r="U99" s="7" t="n">
        <v>1.5</v>
      </c>
      <c r="V99" s="8" t="n">
        <v>0.0114</v>
      </c>
    </row>
    <row r="100">
      <c r="B100" s="3" t="inlineStr">
        <is>
          <t>Payroll Exp - G&amp;A</t>
        </is>
      </c>
      <c r="C100" s="3" t="n"/>
      <c r="D100" s="3" t="n"/>
      <c r="E100" s="3" t="n"/>
      <c r="F100" s="9" t="n">
        <v>152.6</v>
      </c>
      <c r="G100" s="9" t="n">
        <v>151.1</v>
      </c>
      <c r="H100" s="9" t="n">
        <v>1.5</v>
      </c>
      <c r="I100" s="10" t="n">
        <v>0.009900000000000001</v>
      </c>
      <c r="J100" s="3" t="n"/>
      <c r="K100" s="9" t="n">
        <v>144.7</v>
      </c>
      <c r="L100" s="9" t="n">
        <v>7.9</v>
      </c>
      <c r="M100" s="10" t="n">
        <v>0.0546</v>
      </c>
      <c r="N100" s="3" t="n"/>
      <c r="O100" s="9" t="n">
        <v>1197.9</v>
      </c>
      <c r="P100" s="9" t="n">
        <v>1207.4</v>
      </c>
      <c r="Q100" s="9" t="n">
        <v>-9.5</v>
      </c>
      <c r="R100" s="10" t="n">
        <v>-0.007900000000000001</v>
      </c>
      <c r="S100" s="3" t="n"/>
      <c r="T100" s="9" t="n">
        <v>1177.2</v>
      </c>
      <c r="U100" s="9" t="n">
        <v>20.7</v>
      </c>
      <c r="V100" s="10" t="n">
        <v>0.0176</v>
      </c>
    </row>
    <row r="101">
      <c r="B101" t="inlineStr">
        <is>
          <t>5500-3010 - P/R TAXES</t>
        </is>
      </c>
      <c r="F101" s="7" t="n">
        <v>16.2</v>
      </c>
      <c r="G101" s="7" t="n">
        <v>16.8</v>
      </c>
      <c r="H101" s="7" t="n">
        <v>-0.6</v>
      </c>
      <c r="I101" s="8" t="n">
        <v>-0.0357</v>
      </c>
      <c r="K101" s="7" t="n">
        <v>16.9</v>
      </c>
      <c r="L101" s="7" t="n">
        <v>-0.7</v>
      </c>
      <c r="M101" s="8" t="n">
        <v>-0.0414</v>
      </c>
      <c r="O101" s="7" t="n">
        <v>131.8</v>
      </c>
      <c r="P101" s="7" t="n">
        <v>134.2</v>
      </c>
      <c r="Q101" s="7" t="n">
        <v>-2.4</v>
      </c>
      <c r="R101" s="8" t="n">
        <v>-0.0179</v>
      </c>
      <c r="T101" s="7" t="n">
        <v>130.8</v>
      </c>
      <c r="U101" s="7" t="n">
        <v>1</v>
      </c>
      <c r="V101" s="8" t="n">
        <v>0.0076</v>
      </c>
    </row>
    <row r="102">
      <c r="B102" t="inlineStr">
        <is>
          <t>5500-3100 - BENEFITS - HEALTH</t>
        </is>
      </c>
      <c r="F102" s="7" t="n">
        <v>26</v>
      </c>
      <c r="G102" s="7" t="n">
        <v>26.9</v>
      </c>
      <c r="H102" s="7" t="n">
        <v>-0.9</v>
      </c>
      <c r="I102" s="8" t="n">
        <v>-0.0335</v>
      </c>
      <c r="K102" s="7" t="n">
        <v>26.4</v>
      </c>
      <c r="L102" s="7" t="n">
        <v>-0.4</v>
      </c>
      <c r="M102" s="8" t="n">
        <v>-0.0152</v>
      </c>
      <c r="O102" s="7" t="n">
        <v>210.4</v>
      </c>
      <c r="P102" s="7" t="n">
        <v>214.7</v>
      </c>
      <c r="Q102" s="7" t="n">
        <v>-4.3</v>
      </c>
      <c r="R102" s="8" t="n">
        <v>-0.02</v>
      </c>
      <c r="T102" s="7" t="n">
        <v>212.2</v>
      </c>
      <c r="U102" s="7" t="n">
        <v>-1.8</v>
      </c>
      <c r="V102" s="8" t="n">
        <v>-0.008500000000000001</v>
      </c>
    </row>
    <row r="103">
      <c r="B103" s="3" t="inlineStr">
        <is>
          <t>P/R Tax/Benefits - G&amp;A</t>
        </is>
      </c>
      <c r="C103" s="3" t="n"/>
      <c r="D103" s="3" t="n"/>
      <c r="E103" s="3" t="n"/>
      <c r="F103" s="9" t="n">
        <v>42.2</v>
      </c>
      <c r="G103" s="9" t="n">
        <v>43.7</v>
      </c>
      <c r="H103" s="9" t="n">
        <v>-1.5</v>
      </c>
      <c r="I103" s="10" t="n">
        <v>-0.0343</v>
      </c>
      <c r="J103" s="3" t="n"/>
      <c r="K103" s="9" t="n">
        <v>43.3</v>
      </c>
      <c r="L103" s="9" t="n">
        <v>-1.1</v>
      </c>
      <c r="M103" s="10" t="n">
        <v>-0.0254</v>
      </c>
      <c r="N103" s="3" t="n"/>
      <c r="O103" s="9" t="n">
        <v>342.2</v>
      </c>
      <c r="P103" s="9" t="n">
        <v>348.9</v>
      </c>
      <c r="Q103" s="9" t="n">
        <v>-6.7</v>
      </c>
      <c r="R103" s="10" t="n">
        <v>-0.0192</v>
      </c>
      <c r="S103" s="3" t="n"/>
      <c r="T103" s="9" t="n">
        <v>343</v>
      </c>
      <c r="U103" s="9" t="n">
        <v>-0.8</v>
      </c>
      <c r="V103" s="10" t="n">
        <v>-0.0023</v>
      </c>
    </row>
    <row r="104">
      <c r="B104" t="inlineStr">
        <is>
          <t>5500-5900 - GENERAL OFFICE EXPENSE</t>
        </is>
      </c>
      <c r="F104" s="7" t="n">
        <v>27.1</v>
      </c>
      <c r="G104" s="7" t="n">
        <v>26.9</v>
      </c>
      <c r="H104" s="7" t="n">
        <v>0.2</v>
      </c>
      <c r="I104" s="8" t="n">
        <v>0.0074</v>
      </c>
      <c r="K104" s="7" t="n">
        <v>27.1</v>
      </c>
      <c r="L104" s="7" t="n">
        <v>0</v>
      </c>
      <c r="M104" s="8" t="n">
        <v>0</v>
      </c>
      <c r="O104" s="7" t="n">
        <v>212</v>
      </c>
      <c r="P104" s="7" t="n">
        <v>214.7</v>
      </c>
      <c r="Q104" s="7" t="n">
        <v>-2.7</v>
      </c>
      <c r="R104" s="8" t="n">
        <v>-0.0126</v>
      </c>
      <c r="T104" s="7" t="n">
        <v>213.7</v>
      </c>
      <c r="U104" s="7" t="n">
        <v>-1.7</v>
      </c>
      <c r="V104" s="8" t="n">
        <v>-0.008</v>
      </c>
    </row>
    <row r="105">
      <c r="B105" t="inlineStr">
        <is>
          <t>5500-5910 - INSURANCE</t>
        </is>
      </c>
      <c r="F105" s="7" t="n">
        <v>16.2</v>
      </c>
      <c r="G105" s="7" t="n">
        <v>16.8</v>
      </c>
      <c r="H105" s="7" t="n">
        <v>-0.6</v>
      </c>
      <c r="I105" s="8" t="n">
        <v>-0.0357</v>
      </c>
      <c r="K105" s="7" t="n">
        <v>16.3</v>
      </c>
      <c r="L105" s="7" t="n">
        <v>-0.1</v>
      </c>
      <c r="M105" s="8" t="n">
        <v>-0.0061</v>
      </c>
      <c r="O105" s="7" t="n">
        <v>131.4</v>
      </c>
      <c r="P105" s="7" t="n">
        <v>134.2</v>
      </c>
      <c r="Q105" s="7" t="n">
        <v>-2.8</v>
      </c>
      <c r="R105" s="8" t="n">
        <v>-0.0209</v>
      </c>
      <c r="T105" s="7" t="n">
        <v>132.9</v>
      </c>
      <c r="U105" s="7" t="n">
        <v>-1.5</v>
      </c>
      <c r="V105" s="8" t="n">
        <v>-0.0113</v>
      </c>
    </row>
    <row r="106">
      <c r="B106" s="3" t="inlineStr">
        <is>
          <t>General Office Exp - G&amp;A</t>
        </is>
      </c>
      <c r="C106" s="3" t="n"/>
      <c r="D106" s="3" t="n"/>
      <c r="E106" s="3" t="n"/>
      <c r="F106" s="9" t="n">
        <v>43.3</v>
      </c>
      <c r="G106" s="9" t="n">
        <v>43.7</v>
      </c>
      <c r="H106" s="9" t="n">
        <v>-0.4</v>
      </c>
      <c r="I106" s="10" t="n">
        <v>-0.0092</v>
      </c>
      <c r="J106" s="3" t="n"/>
      <c r="K106" s="9" t="n">
        <v>43.4</v>
      </c>
      <c r="L106" s="9" t="n">
        <v>-0.1</v>
      </c>
      <c r="M106" s="10" t="n">
        <v>-0.0023</v>
      </c>
      <c r="N106" s="3" t="n"/>
      <c r="O106" s="9" t="n">
        <v>343.4</v>
      </c>
      <c r="P106" s="9" t="n">
        <v>348.9</v>
      </c>
      <c r="Q106" s="9" t="n">
        <v>-5.5</v>
      </c>
      <c r="R106" s="10" t="n">
        <v>-0.0158</v>
      </c>
      <c r="S106" s="3" t="n"/>
      <c r="T106" s="9" t="n">
        <v>346.6</v>
      </c>
      <c r="U106" s="9" t="n">
        <v>-3.2</v>
      </c>
      <c r="V106" s="10" t="n">
        <v>-0.0092</v>
      </c>
    </row>
    <row r="107">
      <c r="B107" t="inlineStr">
        <is>
          <t>5500-6200 - PROFESSIONAL SERVICES</t>
        </is>
      </c>
      <c r="F107" s="7" t="n">
        <v>19.3</v>
      </c>
      <c r="G107" s="7" t="n">
        <v>20.2</v>
      </c>
      <c r="H107" s="7" t="n">
        <v>-0.9</v>
      </c>
      <c r="I107" s="8" t="n">
        <v>-0.0446</v>
      </c>
      <c r="K107" s="7" t="n">
        <v>19.4</v>
      </c>
      <c r="L107" s="7" t="n">
        <v>-0.1</v>
      </c>
      <c r="M107" s="8" t="n">
        <v>-0.0052</v>
      </c>
      <c r="O107" s="7" t="n">
        <v>157.4</v>
      </c>
      <c r="P107" s="7" t="n">
        <v>161.1</v>
      </c>
      <c r="Q107" s="7" t="n">
        <v>-3.7</v>
      </c>
      <c r="R107" s="8" t="n">
        <v>-0.023</v>
      </c>
      <c r="T107" s="7" t="n">
        <v>157.8</v>
      </c>
      <c r="U107" s="7" t="n">
        <v>-0.4</v>
      </c>
      <c r="V107" s="8" t="n">
        <v>-0.0025</v>
      </c>
    </row>
    <row r="108">
      <c r="B108" s="3" t="inlineStr">
        <is>
          <t>Professional Services - G&amp;A</t>
        </is>
      </c>
      <c r="C108" s="3" t="n"/>
      <c r="D108" s="3" t="n"/>
      <c r="E108" s="3" t="n"/>
      <c r="F108" s="9" t="n">
        <v>19.3</v>
      </c>
      <c r="G108" s="9" t="n">
        <v>20.2</v>
      </c>
      <c r="H108" s="9" t="n">
        <v>-0.9</v>
      </c>
      <c r="I108" s="10" t="n">
        <v>-0.0446</v>
      </c>
      <c r="J108" s="3" t="n"/>
      <c r="K108" s="9" t="n">
        <v>19.4</v>
      </c>
      <c r="L108" s="9" t="n">
        <v>-0.1</v>
      </c>
      <c r="M108" s="10" t="n">
        <v>-0.0052</v>
      </c>
      <c r="N108" s="3" t="n"/>
      <c r="O108" s="9" t="n">
        <v>157.4</v>
      </c>
      <c r="P108" s="9" t="n">
        <v>161.1</v>
      </c>
      <c r="Q108" s="9" t="n">
        <v>-3.7</v>
      </c>
      <c r="R108" s="10" t="n">
        <v>-0.023</v>
      </c>
      <c r="S108" s="3" t="n"/>
      <c r="T108" s="9" t="n">
        <v>157.8</v>
      </c>
      <c r="U108" s="9" t="n">
        <v>-0.4</v>
      </c>
      <c r="V108" s="10" t="n">
        <v>-0.0025</v>
      </c>
    </row>
    <row r="109">
      <c r="B109" t="inlineStr">
        <is>
          <t>5500-6300 - MIS EXPENSE</t>
        </is>
      </c>
      <c r="F109" s="7" t="n">
        <v>32.4</v>
      </c>
      <c r="G109" s="7" t="n">
        <v>33.6</v>
      </c>
      <c r="H109" s="7" t="n">
        <v>-1.2</v>
      </c>
      <c r="I109" s="8" t="n">
        <v>-0.0357</v>
      </c>
      <c r="K109" s="7" t="n">
        <v>32.7</v>
      </c>
      <c r="L109" s="7" t="n">
        <v>-0.3</v>
      </c>
      <c r="M109" s="8" t="n">
        <v>-0.0092</v>
      </c>
      <c r="O109" s="7" t="n">
        <v>262.8</v>
      </c>
      <c r="P109" s="7" t="n">
        <v>268.4</v>
      </c>
      <c r="Q109" s="7" t="n">
        <v>-5.6</v>
      </c>
      <c r="R109" s="8" t="n">
        <v>-0.0209</v>
      </c>
      <c r="T109" s="7" t="n">
        <v>263.1</v>
      </c>
      <c r="U109" s="7" t="n">
        <v>-0.3</v>
      </c>
      <c r="V109" s="8" t="n">
        <v>-0.0011</v>
      </c>
    </row>
    <row r="110">
      <c r="B110" s="3" t="inlineStr">
        <is>
          <t>MIS Exp - G&amp;A</t>
        </is>
      </c>
      <c r="C110" s="3" t="n"/>
      <c r="D110" s="3" t="n"/>
      <c r="E110" s="3" t="n"/>
      <c r="F110" s="9" t="n">
        <v>32.4</v>
      </c>
      <c r="G110" s="9" t="n">
        <v>33.6</v>
      </c>
      <c r="H110" s="9" t="n">
        <v>-1.2</v>
      </c>
      <c r="I110" s="10" t="n">
        <v>-0.0357</v>
      </c>
      <c r="J110" s="3" t="n"/>
      <c r="K110" s="9" t="n">
        <v>32.7</v>
      </c>
      <c r="L110" s="9" t="n">
        <v>-0.3</v>
      </c>
      <c r="M110" s="10" t="n">
        <v>-0.0092</v>
      </c>
      <c r="N110" s="3" t="n"/>
      <c r="O110" s="9" t="n">
        <v>262.8</v>
      </c>
      <c r="P110" s="9" t="n">
        <v>268.4</v>
      </c>
      <c r="Q110" s="9" t="n">
        <v>-5.6</v>
      </c>
      <c r="R110" s="10" t="n">
        <v>-0.0209</v>
      </c>
      <c r="S110" s="3" t="n"/>
      <c r="T110" s="9" t="n">
        <v>263.1</v>
      </c>
      <c r="U110" s="9" t="n">
        <v>-0.3</v>
      </c>
      <c r="V110" s="10" t="n">
        <v>-0.0011</v>
      </c>
    </row>
    <row r="111">
      <c r="B111" t="inlineStr">
        <is>
          <t>5500-4250 - RENT EXPENSE</t>
        </is>
      </c>
      <c r="F111" s="7" t="n">
        <v>20.3</v>
      </c>
      <c r="G111" s="7" t="n">
        <v>20.2</v>
      </c>
      <c r="H111" s="7" t="n">
        <v>0.1</v>
      </c>
      <c r="I111" s="8" t="n">
        <v>0.005</v>
      </c>
      <c r="K111" s="7" t="n">
        <v>20.3</v>
      </c>
      <c r="L111" s="7" t="n">
        <v>0</v>
      </c>
      <c r="M111" s="8" t="n">
        <v>0</v>
      </c>
      <c r="O111" s="7" t="n">
        <v>158.4</v>
      </c>
      <c r="P111" s="7" t="n">
        <v>161.1</v>
      </c>
      <c r="Q111" s="7" t="n">
        <v>-2.7</v>
      </c>
      <c r="R111" s="8" t="n">
        <v>-0.0168</v>
      </c>
      <c r="T111" s="7" t="n">
        <v>159.4</v>
      </c>
      <c r="U111" s="7" t="n">
        <v>-1</v>
      </c>
      <c r="V111" s="8" t="n">
        <v>-0.0063</v>
      </c>
    </row>
    <row r="112">
      <c r="B112" t="inlineStr">
        <is>
          <t>5500-4800 - OCCUPANCY ALLOCATION</t>
        </is>
      </c>
      <c r="F112" s="7" t="n">
        <v>10.1</v>
      </c>
      <c r="G112" s="7" t="n">
        <v>10.1</v>
      </c>
      <c r="H112" s="7" t="n">
        <v>0</v>
      </c>
      <c r="I112" s="8" t="n">
        <v>0</v>
      </c>
      <c r="K112" s="7" t="n">
        <v>9.9</v>
      </c>
      <c r="L112" s="7" t="n">
        <v>0.2</v>
      </c>
      <c r="M112" s="8" t="n">
        <v>0.0202</v>
      </c>
      <c r="O112" s="7" t="n">
        <v>79.5</v>
      </c>
      <c r="P112" s="7" t="n">
        <v>80.7</v>
      </c>
      <c r="Q112" s="7" t="n">
        <v>-1.2</v>
      </c>
      <c r="R112" s="8" t="n">
        <v>-0.0149</v>
      </c>
      <c r="T112" s="7" t="n">
        <v>78.5</v>
      </c>
      <c r="U112" s="7" t="n">
        <v>1</v>
      </c>
      <c r="V112" s="8" t="n">
        <v>0.0127</v>
      </c>
    </row>
    <row r="113">
      <c r="B113" s="3" t="inlineStr">
        <is>
          <t>Occupancy Costs - G&amp;A</t>
        </is>
      </c>
      <c r="C113" s="3" t="n"/>
      <c r="D113" s="3" t="n"/>
      <c r="E113" s="3" t="n"/>
      <c r="F113" s="9" t="n">
        <v>30.4</v>
      </c>
      <c r="G113" s="9" t="n">
        <v>30.3</v>
      </c>
      <c r="H113" s="9" t="n">
        <v>0.1</v>
      </c>
      <c r="I113" s="10" t="n">
        <v>0.0033</v>
      </c>
      <c r="J113" s="3" t="n"/>
      <c r="K113" s="9" t="n">
        <v>30.2</v>
      </c>
      <c r="L113" s="9" t="n">
        <v>0.2</v>
      </c>
      <c r="M113" s="10" t="n">
        <v>0.0066</v>
      </c>
      <c r="N113" s="3" t="n"/>
      <c r="O113" s="9" t="n">
        <v>237.9</v>
      </c>
      <c r="P113" s="9" t="n">
        <v>241.8</v>
      </c>
      <c r="Q113" s="9" t="n">
        <v>-3.9</v>
      </c>
      <c r="R113" s="10" t="n">
        <v>-0.0161</v>
      </c>
      <c r="S113" s="3" t="n"/>
      <c r="T113" s="9" t="n">
        <v>237.9</v>
      </c>
      <c r="U113" s="9" t="n">
        <v>0</v>
      </c>
      <c r="V113" s="10" t="n">
        <v>0</v>
      </c>
    </row>
    <row r="114">
      <c r="B114" t="inlineStr">
        <is>
          <t>5500-6085 - DEPRECIATION</t>
        </is>
      </c>
      <c r="F114" s="7" t="n">
        <v>13.5</v>
      </c>
      <c r="G114" s="7" t="n">
        <v>13.4</v>
      </c>
      <c r="H114" s="7" t="n">
        <v>0.1</v>
      </c>
      <c r="I114" s="8" t="n">
        <v>0.0075</v>
      </c>
      <c r="K114" s="7" t="n">
        <v>13</v>
      </c>
      <c r="L114" s="7" t="n">
        <v>0.5</v>
      </c>
      <c r="M114" s="8" t="n">
        <v>0.0385</v>
      </c>
      <c r="O114" s="7" t="n">
        <v>105</v>
      </c>
      <c r="P114" s="7" t="n">
        <v>107.3</v>
      </c>
      <c r="Q114" s="7" t="n">
        <v>-2.3</v>
      </c>
      <c r="R114" s="8" t="n">
        <v>-0.0214</v>
      </c>
      <c r="T114" s="7" t="n">
        <v>105.6</v>
      </c>
      <c r="U114" s="7" t="n">
        <v>-0.6</v>
      </c>
      <c r="V114" s="8" t="n">
        <v>-0.0057</v>
      </c>
    </row>
    <row r="115">
      <c r="B115" s="3" t="inlineStr">
        <is>
          <t>Depreciation Exp - G&amp;A</t>
        </is>
      </c>
      <c r="C115" s="3" t="n"/>
      <c r="D115" s="3" t="n"/>
      <c r="E115" s="3" t="n"/>
      <c r="F115" s="9" t="n">
        <v>13.5</v>
      </c>
      <c r="G115" s="9" t="n">
        <v>13.4</v>
      </c>
      <c r="H115" s="9" t="n">
        <v>0.1</v>
      </c>
      <c r="I115" s="10" t="n">
        <v>0.0075</v>
      </c>
      <c r="J115" s="3" t="n"/>
      <c r="K115" s="9" t="n">
        <v>13</v>
      </c>
      <c r="L115" s="9" t="n">
        <v>0.5</v>
      </c>
      <c r="M115" s="10" t="n">
        <v>0.0385</v>
      </c>
      <c r="N115" s="3" t="n"/>
      <c r="O115" s="9" t="n">
        <v>105</v>
      </c>
      <c r="P115" s="9" t="n">
        <v>107.3</v>
      </c>
      <c r="Q115" s="9" t="n">
        <v>-2.3</v>
      </c>
      <c r="R115" s="10" t="n">
        <v>-0.0214</v>
      </c>
      <c r="S115" s="3" t="n"/>
      <c r="T115" s="9" t="n">
        <v>105.6</v>
      </c>
      <c r="U115" s="9" t="n">
        <v>-0.6</v>
      </c>
      <c r="V115" s="10" t="n">
        <v>-0.0057</v>
      </c>
    </row>
    <row r="116">
      <c r="B116" s="11" t="inlineStr">
        <is>
          <t>General &amp; Admin Costs</t>
        </is>
      </c>
      <c r="C116" s="11" t="n"/>
      <c r="D116" s="11" t="n"/>
      <c r="E116" s="11" t="n"/>
      <c r="F116" s="12" t="n">
        <v>333.7</v>
      </c>
      <c r="G116" s="12" t="n">
        <v>336</v>
      </c>
      <c r="H116" s="12" t="n">
        <v>-2.3</v>
      </c>
      <c r="I116" s="13" t="n">
        <v>-0.0068</v>
      </c>
      <c r="J116" s="11" t="n"/>
      <c r="K116" s="12" t="n">
        <v>326.7</v>
      </c>
      <c r="L116" s="12" t="n">
        <v>7</v>
      </c>
      <c r="M116" s="13" t="n">
        <v>0.0214</v>
      </c>
      <c r="N116" s="11" t="n"/>
      <c r="O116" s="12" t="n">
        <v>2646.6</v>
      </c>
      <c r="P116" s="12" t="n">
        <v>2683.8</v>
      </c>
      <c r="Q116" s="12" t="n">
        <v>-37.2</v>
      </c>
      <c r="R116" s="13" t="n">
        <v>-0.0139</v>
      </c>
      <c r="S116" s="11" t="n"/>
      <c r="T116" s="12" t="n">
        <v>2631.2</v>
      </c>
      <c r="U116" s="12" t="n">
        <v>15.4</v>
      </c>
      <c r="V116" s="13" t="n">
        <v>0.0059</v>
      </c>
    </row>
    <row r="117">
      <c r="B117" s="11" t="inlineStr">
        <is>
          <t>Operating Costs</t>
        </is>
      </c>
      <c r="C117" s="11" t="n"/>
      <c r="D117" s="11" t="n"/>
      <c r="E117" s="11" t="n"/>
      <c r="F117" s="12" t="n">
        <v>1230.7</v>
      </c>
      <c r="G117" s="12" t="n">
        <v>1137.8</v>
      </c>
      <c r="H117" s="12" t="n">
        <v>92.90000000000001</v>
      </c>
      <c r="I117" s="13" t="n">
        <v>0.08160000000000001</v>
      </c>
      <c r="J117" s="11" t="n"/>
      <c r="K117" s="12" t="n">
        <v>1120.6</v>
      </c>
      <c r="L117" s="12" t="n">
        <v>110.1</v>
      </c>
      <c r="M117" s="13" t="n">
        <v>0.0983</v>
      </c>
      <c r="N117" s="11" t="n"/>
      <c r="O117" s="12" t="n">
        <v>8995.700000000001</v>
      </c>
      <c r="P117" s="12" t="n">
        <v>9089.5</v>
      </c>
      <c r="Q117" s="12" t="n">
        <v>-93.8</v>
      </c>
      <c r="R117" s="13" t="n">
        <v>-0.0103</v>
      </c>
      <c r="S117" s="11" t="n"/>
      <c r="T117" s="12" t="n">
        <v>8903.299999999999</v>
      </c>
      <c r="U117" s="12" t="n">
        <v>92.40000000000001</v>
      </c>
      <c r="V117" s="13" t="n">
        <v>0.0104</v>
      </c>
    </row>
    <row r="118">
      <c r="B118" s="11" t="inlineStr">
        <is>
          <t>Operating Costs %</t>
        </is>
      </c>
      <c r="C118" s="11" t="n"/>
      <c r="D118" s="11" t="n"/>
      <c r="E118" s="11" t="n"/>
      <c r="F118" s="13" t="n">
        <v>0.2400382282381853</v>
      </c>
      <c r="G118" s="13" t="n">
        <v>0.2100540919748186</v>
      </c>
      <c r="H118" s="13" t="n">
        <v>0.02998</v>
      </c>
      <c r="I118" s="11" t="n"/>
      <c r="J118" s="11" t="n"/>
      <c r="K118" s="13" t="n">
        <v>0.2159942946358011</v>
      </c>
      <c r="L118" s="13" t="n">
        <v>0.02404</v>
      </c>
      <c r="M118" s="11" t="n"/>
      <c r="N118" s="11" t="n"/>
      <c r="O118" s="13" t="n">
        <v>0.2187148977140662</v>
      </c>
      <c r="P118" s="13" t="n">
        <v>0.2100200558235827</v>
      </c>
      <c r="Q118" s="13" t="n">
        <v>0.00869</v>
      </c>
      <c r="R118" s="11" t="n"/>
      <c r="S118" s="11" t="n"/>
      <c r="T118" s="13" t="n">
        <v>0.2118012850859143</v>
      </c>
      <c r="U118" s="13" t="n">
        <v>0.00691</v>
      </c>
      <c r="V118" s="11" t="n"/>
    </row>
    <row r="119">
      <c r="B119" s="11" t="inlineStr">
        <is>
          <t>Operating Profit</t>
        </is>
      </c>
      <c r="C119" s="11" t="n"/>
      <c r="D119" s="11" t="n"/>
      <c r="E119" s="11" t="n"/>
      <c r="F119" s="12" t="n">
        <v>217.3</v>
      </c>
      <c r="G119" s="12" t="n">
        <v>487.2</v>
      </c>
      <c r="H119" s="12" t="n">
        <v>-269.9</v>
      </c>
      <c r="I119" s="13" t="n">
        <v>-0.554</v>
      </c>
      <c r="J119" s="11" t="n"/>
      <c r="K119" s="12" t="n">
        <v>480.4</v>
      </c>
      <c r="L119" s="12" t="n">
        <v>-263.1</v>
      </c>
      <c r="M119" s="13" t="n">
        <v>-0.5477</v>
      </c>
      <c r="N119" s="11" t="n"/>
      <c r="O119" s="12" t="n">
        <v>2749.1</v>
      </c>
      <c r="P119" s="12" t="n">
        <v>3894.2</v>
      </c>
      <c r="Q119" s="12" t="n">
        <v>-1145.1</v>
      </c>
      <c r="R119" s="13" t="n">
        <v>-0.2941</v>
      </c>
      <c r="S119" s="11" t="n"/>
      <c r="T119" s="12" t="n">
        <v>3970.3</v>
      </c>
      <c r="U119" s="12" t="n">
        <v>-1221.2</v>
      </c>
      <c r="V119" s="13" t="n">
        <v>-0.3076</v>
      </c>
    </row>
    <row r="120">
      <c r="B120" t="inlineStr">
        <is>
          <t>5900-1000 - SPECIAL EXPENSE (INCOME)</t>
        </is>
      </c>
      <c r="F120" s="7" t="n">
        <v>0</v>
      </c>
      <c r="G120" s="7" t="n">
        <v>0</v>
      </c>
      <c r="H120" s="7" t="n">
        <v>0</v>
      </c>
      <c r="I120" s="8" t="n">
        <v>0</v>
      </c>
      <c r="K120" s="7" t="n">
        <v>0</v>
      </c>
      <c r="L120" s="7" t="n">
        <v>0</v>
      </c>
      <c r="M120" s="8" t="n">
        <v>0</v>
      </c>
      <c r="O120" s="7" t="n">
        <v>0</v>
      </c>
      <c r="P120" s="7" t="n">
        <v>0</v>
      </c>
      <c r="Q120" s="7" t="n">
        <v>0</v>
      </c>
      <c r="R120" s="8" t="n">
        <v>0</v>
      </c>
      <c r="T120" s="7" t="n">
        <v>0</v>
      </c>
      <c r="U120" s="7" t="n">
        <v>0</v>
      </c>
      <c r="V120" s="8" t="n">
        <v>0</v>
      </c>
    </row>
    <row r="121">
      <c r="B121" s="11" t="inlineStr">
        <is>
          <t>PBIT</t>
        </is>
      </c>
      <c r="C121" s="11" t="n"/>
      <c r="D121" s="11" t="n"/>
      <c r="E121" s="11" t="n"/>
      <c r="F121" s="12" t="n">
        <v>217.3</v>
      </c>
      <c r="G121" s="12" t="n">
        <v>487.2</v>
      </c>
      <c r="H121" s="12" t="n">
        <v>-269.9</v>
      </c>
      <c r="I121" s="13" t="n">
        <v>-0.554</v>
      </c>
      <c r="J121" s="11" t="n"/>
      <c r="K121" s="12" t="n">
        <v>480.4</v>
      </c>
      <c r="L121" s="12" t="n">
        <v>-263.1</v>
      </c>
      <c r="M121" s="13" t="n">
        <v>-0.5477</v>
      </c>
      <c r="N121" s="11" t="n"/>
      <c r="O121" s="12" t="n">
        <v>2749.1</v>
      </c>
      <c r="P121" s="12" t="n">
        <v>3894.2</v>
      </c>
      <c r="Q121" s="12" t="n">
        <v>-1145.1</v>
      </c>
      <c r="R121" s="13" t="n">
        <v>-0.2941</v>
      </c>
      <c r="S121" s="11" t="n"/>
      <c r="T121" s="12" t="n">
        <v>3970.3</v>
      </c>
      <c r="U121" s="12" t="n">
        <v>-1221.2</v>
      </c>
      <c r="V121" s="13" t="n">
        <v>-0.3076</v>
      </c>
    </row>
    <row r="122">
      <c r="B122" s="11" t="inlineStr">
        <is>
          <t>PBIT %</t>
        </is>
      </c>
      <c r="C122" s="11" t="n"/>
      <c r="D122" s="11" t="n"/>
      <c r="E122" s="11" t="n"/>
      <c r="F122" s="13" t="n">
        <v>0.0423826334575101</v>
      </c>
      <c r="G122" s="13" t="n">
        <v>0.0899440618826961</v>
      </c>
      <c r="H122" s="13" t="n">
        <v>-0.04756</v>
      </c>
      <c r="I122" s="11" t="n"/>
      <c r="J122" s="11" t="n"/>
      <c r="K122" s="13" t="n">
        <v>0.09259651895684354</v>
      </c>
      <c r="L122" s="13" t="n">
        <v>-0.05021</v>
      </c>
      <c r="M122" s="11" t="n"/>
      <c r="N122" s="11" t="n"/>
      <c r="O122" s="13" t="n">
        <v>0.06683961507228335</v>
      </c>
      <c r="P122" s="13" t="n">
        <v>0.08997855782916506</v>
      </c>
      <c r="Q122" s="13" t="n">
        <v>-0.02314</v>
      </c>
      <c r="R122" s="11" t="n"/>
      <c r="S122" s="11" t="n"/>
      <c r="T122" s="13" t="n">
        <v>0.09444977055435685</v>
      </c>
      <c r="U122" s="13" t="n">
        <v>-0.02761</v>
      </c>
      <c r="V122" s="11" t="n"/>
    </row>
  </sheetData>
  <mergeCells count="9">
    <mergeCell ref="B32:D34"/>
    <mergeCell ref="U32:U34"/>
    <mergeCell ref="H32:H34"/>
    <mergeCell ref="Q32:Q34"/>
    <mergeCell ref="R32:R34"/>
    <mergeCell ref="M32:M34"/>
    <mergeCell ref="V32:V34"/>
    <mergeCell ref="I32:I34"/>
    <mergeCell ref="L32:L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40" customWidth="1" min="3" max="3"/>
    <col width="14" customWidth="1" min="4" max="4"/>
    <col width="18" customWidth="1" min="5" max="5"/>
    <col width="60" customWidth="1" min="6" max="6"/>
  </cols>
  <sheetData>
    <row r="1">
      <c r="A1" s="14" t="inlineStr">
        <is>
          <t>Granite Gloves - August 2026 Month-End Story</t>
        </is>
      </c>
    </row>
    <row r="2">
      <c r="A2" s="15" t="inlineStr">
        <is>
          <t>Each chapter of the workshop adds to this sheet. By Chapter 5 it holds everything you need to build your decks.</t>
        </is>
      </c>
    </row>
    <row r="3">
      <c r="A3" s="1" t="inlineStr">
        <is>
          <t>TRAINING DATA ONLY - Zava Safety and all business names and numbers are fictitious. Layout mirrors a typical HFM / Cognos reporting pack.</t>
        </is>
      </c>
    </row>
    <row r="4">
      <c r="A4" s="16" t="inlineStr">
        <is>
          <t>1. What happened (Chapter 1)</t>
        </is>
      </c>
    </row>
    <row r="5">
      <c r="A5" s="6" t="inlineStr">
        <is>
          <t>#</t>
        </is>
      </c>
      <c r="B5" s="6" t="inlineStr">
        <is>
          <t>Finding</t>
        </is>
      </c>
      <c r="C5" s="6" t="inlineStr">
        <is>
          <t>Where I saw it (row / cells)</t>
        </is>
      </c>
    </row>
    <row r="6" ht="46" customHeight="1">
      <c r="A6" s="17" t="n"/>
      <c r="B6" s="17" t="n"/>
      <c r="C6" s="17" t="n"/>
    </row>
    <row r="7" ht="46" customHeight="1">
      <c r="A7" s="17" t="n"/>
      <c r="B7" s="17" t="n"/>
      <c r="C7" s="17" t="n"/>
    </row>
    <row r="8" ht="46" customHeight="1">
      <c r="A8" s="17" t="n"/>
      <c r="B8" s="17" t="n"/>
      <c r="C8" s="17" t="n"/>
    </row>
    <row r="9" ht="46" customHeight="1">
      <c r="A9" s="17" t="n"/>
      <c r="B9" s="17" t="n"/>
      <c r="C9" s="17" t="n"/>
    </row>
    <row r="10" ht="46" customHeight="1">
      <c r="A10" s="17" t="n"/>
      <c r="B10" s="17" t="n"/>
      <c r="C10" s="17" t="n"/>
    </row>
    <row r="11" ht="46" customHeight="1"/>
    <row r="12" ht="46" customHeight="1">
      <c r="A12" s="16" t="inlineStr">
        <is>
          <t>2. Drivers and questions (Chapter 2)</t>
        </is>
      </c>
    </row>
    <row r="13" ht="46" customHeight="1">
      <c r="A13" s="6" t="inlineStr">
        <is>
          <t>Account</t>
        </is>
      </c>
      <c r="B13" s="6" t="inlineStr">
        <is>
          <t>Month Var vs Bud $</t>
        </is>
      </c>
      <c r="C13" s="6" t="inlineStr">
        <is>
          <t>Month Var vs PY $</t>
        </is>
      </c>
      <c r="D13" s="6" t="inlineStr">
        <is>
          <t>Fav / Unfav</t>
        </is>
      </c>
      <c r="E13" s="6" t="inlineStr">
        <is>
          <t>Type</t>
        </is>
      </c>
      <c r="F13" s="6" t="inlineStr">
        <is>
          <t>Question for the business</t>
        </is>
      </c>
    </row>
    <row r="14" ht="46" customHeight="1">
      <c r="A14" s="17" t="n"/>
      <c r="B14" s="17" t="n"/>
      <c r="C14" s="17" t="n"/>
      <c r="D14" s="17" t="n"/>
      <c r="E14" s="17" t="n"/>
      <c r="F14" s="17" t="n"/>
    </row>
    <row r="15" ht="46" customHeight="1">
      <c r="A15" s="17" t="n"/>
      <c r="B15" s="17" t="n"/>
      <c r="C15" s="17" t="n"/>
      <c r="D15" s="17" t="n"/>
      <c r="E15" s="17" t="n"/>
      <c r="F15" s="17" t="n"/>
    </row>
    <row r="16" ht="46" customHeight="1">
      <c r="A16" s="17" t="n"/>
      <c r="B16" s="17" t="n"/>
      <c r="C16" s="17" t="n"/>
      <c r="D16" s="17" t="n"/>
      <c r="E16" s="17" t="n"/>
      <c r="F16" s="17" t="n"/>
    </row>
    <row r="17" ht="46" customHeight="1">
      <c r="A17" s="17" t="n"/>
      <c r="B17" s="17" t="n"/>
      <c r="C17" s="17" t="n"/>
      <c r="D17" s="17" t="n"/>
      <c r="E17" s="17" t="n"/>
      <c r="F17" s="17" t="n"/>
    </row>
    <row r="18" ht="46" customHeight="1">
      <c r="A18" s="17" t="n"/>
      <c r="B18" s="17" t="n"/>
      <c r="C18" s="17" t="n"/>
      <c r="D18" s="17" t="n"/>
      <c r="E18" s="17" t="n"/>
      <c r="F18" s="17" t="n"/>
    </row>
    <row r="19" ht="46" customHeight="1">
      <c r="A19" s="17" t="n"/>
      <c r="B19" s="17" t="n"/>
      <c r="C19" s="17" t="n"/>
      <c r="D19" s="17" t="n"/>
      <c r="E19" s="17" t="n"/>
      <c r="F19" s="17" t="n"/>
    </row>
    <row r="20" ht="46" customHeight="1">
      <c r="A20" s="17" t="n"/>
      <c r="B20" s="17" t="n"/>
      <c r="C20" s="17" t="n"/>
      <c r="D20" s="17" t="n"/>
      <c r="E20" s="17" t="n"/>
      <c r="F20" s="17" t="n"/>
    </row>
    <row r="21" ht="46" customHeight="1">
      <c r="A21" s="17" t="n"/>
      <c r="B21" s="17" t="n"/>
      <c r="C21" s="17" t="n"/>
      <c r="D21" s="17" t="n"/>
      <c r="E21" s="17" t="n"/>
      <c r="F21" s="17" t="n"/>
    </row>
    <row r="22" ht="46" customHeight="1"/>
    <row r="23" ht="46" customHeight="1"/>
    <row r="24" ht="46" customHeight="1">
      <c r="A24" s="16" t="inlineStr">
        <is>
          <t>3. The why: forecast file and working capital (Chapter 3)</t>
        </is>
      </c>
    </row>
    <row r="25" ht="46" customHeight="1">
      <c r="A25" s="6" t="inlineStr">
        <is>
          <t>Topic</t>
        </is>
      </c>
      <c r="B25" s="6" t="inlineStr">
        <is>
          <t>What the forecast file says</t>
        </is>
      </c>
      <c r="C25" s="6" t="inlineStr">
        <is>
          <t>Amount ($000)</t>
        </is>
      </c>
    </row>
    <row r="26" ht="46" customHeight="1">
      <c r="A26" s="17" t="n"/>
      <c r="B26" s="17" t="n"/>
      <c r="C26" s="17" t="n"/>
    </row>
    <row r="27" ht="46" customHeight="1">
      <c r="A27" s="17" t="n"/>
      <c r="B27" s="17" t="n"/>
      <c r="C27" s="17" t="n"/>
    </row>
    <row r="28" ht="46" customHeight="1">
      <c r="A28" s="17" t="n"/>
      <c r="B28" s="17" t="n"/>
      <c r="C28" s="17" t="n"/>
    </row>
    <row r="29" ht="46" customHeight="1">
      <c r="A29" s="17" t="n"/>
      <c r="B29" s="17" t="n"/>
      <c r="C29" s="17" t="n"/>
    </row>
    <row r="30" ht="46" customHeight="1">
      <c r="A30" s="17" t="n"/>
      <c r="B30" s="17" t="n"/>
      <c r="C30" s="17" t="n"/>
    </row>
    <row r="31" ht="46" customHeight="1">
      <c r="A31" s="17" t="n"/>
      <c r="B31" s="17" t="n"/>
      <c r="C31" s="17" t="n"/>
    </row>
    <row r="32" ht="46" customHeight="1">
      <c r="A32" s="17" t="n"/>
      <c r="B32" s="17" t="n"/>
      <c r="C32" s="17" t="n"/>
    </row>
    <row r="33" ht="46" customHeight="1">
      <c r="A33" s="17" t="n"/>
      <c r="B33" s="17" t="n"/>
      <c r="C33" s="17" t="n"/>
    </row>
    <row r="34" ht="46" customHeight="1"/>
    <row r="35" ht="46" customHeight="1">
      <c r="A35" s="16" t="inlineStr">
        <is>
          <t>4. Commentary (Chapter 4)</t>
        </is>
      </c>
    </row>
    <row r="36" ht="46" customHeight="1">
      <c r="A36" s="6" t="inlineStr">
        <is>
          <t>Section</t>
        </is>
      </c>
      <c r="B36" s="6" t="inlineStr">
        <is>
          <t>Draft commentary</t>
        </is>
      </c>
      <c r="C36" s="6" t="inlineStr">
        <is>
          <t>Numbers checked? (Y/N)</t>
        </is>
      </c>
    </row>
    <row r="37" ht="46" customHeight="1">
      <c r="A37" s="17" t="n"/>
      <c r="B37" s="17" t="n"/>
      <c r="C37" s="17" t="n"/>
    </row>
    <row r="38" ht="46" customHeight="1">
      <c r="A38" s="17" t="n"/>
      <c r="B38" s="17" t="n"/>
      <c r="C38" s="17" t="n"/>
    </row>
    <row r="39" ht="46" customHeight="1">
      <c r="A39" s="17" t="n"/>
      <c r="B39" s="17" t="n"/>
      <c r="C39" s="17" t="n"/>
    </row>
    <row r="40" ht="46" customHeight="1">
      <c r="A40" s="17" t="n"/>
      <c r="B40" s="17" t="n"/>
      <c r="C40" s="17" t="n"/>
    </row>
    <row r="41" ht="46" customHeight="1">
      <c r="A41" s="17" t="n"/>
      <c r="B41" s="17" t="n"/>
      <c r="C41" s="17" t="n"/>
    </row>
    <row r="42" ht="46" customHeight="1">
      <c r="A42" s="17" t="n"/>
      <c r="B42" s="17" t="n"/>
      <c r="C42" s="17" t="n"/>
    </row>
    <row r="43" ht="46" customHeight="1">
      <c r="A43" s="17" t="n"/>
      <c r="B43" s="17" t="n"/>
      <c r="C43" s="17" t="n"/>
    </row>
    <row r="44" ht="46" customHeight="1">
      <c r="A44" s="17" t="n"/>
      <c r="B44" s="17" t="n"/>
      <c r="C44" s="17" t="n"/>
    </row>
    <row r="45" ht="46" customHeight="1">
      <c r="A45" s="17" t="n"/>
      <c r="B45" s="17" t="n"/>
      <c r="C45" s="17" t="n"/>
    </row>
    <row r="46" ht="46" customHeight="1">
      <c r="A46" s="17" t="n"/>
      <c r="B46" s="17" t="n"/>
      <c r="C46" s="17" t="n"/>
    </row>
    <row r="47" ht="46" customHeight="1">
      <c r="A47" s="17" t="n"/>
      <c r="B47" s="17" t="n"/>
      <c r="C47" s="17" t="n"/>
    </row>
    <row r="48" ht="46" customHeight="1"/>
    <row r="49" ht="46" customHeight="1">
      <c r="A49" s="16" t="inlineStr">
        <is>
          <t>5. Business Review - Sales &amp; Margin slide (Chapter 5)</t>
        </is>
      </c>
    </row>
    <row r="50" ht="46" customHeight="1">
      <c r="A50" s="6" t="inlineStr">
        <is>
          <t>Row</t>
        </is>
      </c>
      <c r="B50" s="6" t="inlineStr">
        <is>
          <t>Sales (headline + text)</t>
        </is>
      </c>
      <c r="C50" s="6" t="inlineStr">
        <is>
          <t>Margin (headline + text)</t>
        </is>
      </c>
    </row>
    <row r="51" ht="46" customHeight="1">
      <c r="A51" s="17" t="inlineStr">
        <is>
          <t>#1</t>
        </is>
      </c>
      <c r="B51" s="17" t="n"/>
      <c r="C51" s="17" t="n"/>
    </row>
    <row r="52" ht="46" customHeight="1">
      <c r="A52" s="17" t="inlineStr">
        <is>
          <t>#2</t>
        </is>
      </c>
      <c r="B52" s="17" t="n"/>
      <c r="C52" s="17" t="n"/>
    </row>
    <row r="53" ht="46" customHeight="1">
      <c r="A53" s="17" t="inlineStr">
        <is>
          <t>#3</t>
        </is>
      </c>
      <c r="B53" s="17" t="n"/>
      <c r="C53" s="17" t="n"/>
    </row>
  </sheetData>
  <dataValidations count="1">
    <dataValidation sqref="C37:C47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PL - Detailed</t>
        </is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2026-10-21T21:41:49Z</dcterms:created>
  <dcterms:modified xmlns:dcterms="http://purl.org/dc/terms/" xmlns:xsi="http://www.w3.org/2001/XMLSchema-instance" xsi:type="dcterms:W3CDTF">2026-10-21T21:41:49Z</dcterms:modified>
</cp:coreProperties>
</file>