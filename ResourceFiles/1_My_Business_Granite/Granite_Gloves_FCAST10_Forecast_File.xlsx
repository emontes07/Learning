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erikmontes/Desktop/repo/Learning/ResourceFiles/1_My_Business_Granite/"/>
    </mc:Choice>
  </mc:AlternateContent>
  <xr:revisionPtr revIDLastSave="0" documentId="13_ncr:1_{7CDCA568-CB43-8240-845B-D8E25B053633}" xr6:coauthVersionLast="47" xr6:coauthVersionMax="47" xr10:uidLastSave="{00000000-0000-0000-0000-000000000000}"/>
  <bookViews>
    <workbookView xWindow="0" yWindow="500" windowWidth="51200" windowHeight="25980" activeTab="4" xr2:uid="{00000000-000D-0000-FFFF-FFFF00000000}"/>
  </bookViews>
  <sheets>
    <sheet name="{HFM Defaults}" sheetId="1" r:id="rId1"/>
    <sheet name="Overview" sheetId="2" r:id="rId2"/>
    <sheet name="Variances" sheetId="3" r:id="rId3"/>
    <sheet name="Adjustments" sheetId="4" r:id="rId4"/>
    <sheet name="Forecast" sheetId="5" r:id="rId5"/>
    <sheet name="Billing Days" sheetId="6" r:id="rId6"/>
    <sheet name="R&amp;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7" l="1"/>
  <c r="G12" i="7"/>
  <c r="H12" i="7" s="1"/>
  <c r="G11" i="7"/>
  <c r="H11" i="7" s="1"/>
  <c r="H13" i="7" s="1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N10" i="6"/>
  <c r="N12" i="6" s="1"/>
  <c r="M9" i="6"/>
  <c r="L9" i="6"/>
  <c r="K9" i="6"/>
  <c r="J9" i="6"/>
  <c r="I9" i="6"/>
  <c r="H9" i="6"/>
  <c r="G9" i="6"/>
  <c r="F9" i="6"/>
  <c r="E9" i="6"/>
  <c r="D9" i="6"/>
  <c r="C9" i="6"/>
  <c r="B9" i="6"/>
  <c r="N8" i="6"/>
  <c r="N9" i="6" s="1"/>
  <c r="M7" i="6"/>
  <c r="L7" i="6"/>
  <c r="K7" i="6"/>
  <c r="J7" i="6"/>
  <c r="I7" i="6"/>
  <c r="H7" i="6"/>
  <c r="G7" i="6"/>
  <c r="F7" i="6"/>
  <c r="E7" i="6"/>
  <c r="D7" i="6"/>
  <c r="C7" i="6"/>
  <c r="B7" i="6"/>
  <c r="N6" i="6"/>
  <c r="N5" i="6"/>
  <c r="N7" i="6" s="1"/>
  <c r="N73" i="5"/>
  <c r="O73" i="5" s="1"/>
  <c r="M73" i="5"/>
  <c r="L73" i="5"/>
  <c r="K73" i="5"/>
  <c r="J73" i="5"/>
  <c r="I73" i="5"/>
  <c r="H73" i="5"/>
  <c r="G73" i="5"/>
  <c r="F73" i="5"/>
  <c r="E73" i="5"/>
  <c r="D73" i="5"/>
  <c r="C73" i="5"/>
  <c r="O72" i="5"/>
  <c r="O71" i="5"/>
  <c r="O70" i="5"/>
  <c r="O69" i="5"/>
  <c r="O68" i="5"/>
  <c r="N67" i="5"/>
  <c r="M67" i="5"/>
  <c r="L67" i="5"/>
  <c r="K67" i="5"/>
  <c r="J67" i="5"/>
  <c r="I67" i="5"/>
  <c r="H67" i="5"/>
  <c r="G67" i="5"/>
  <c r="F67" i="5"/>
  <c r="E67" i="5"/>
  <c r="D67" i="5"/>
  <c r="C67" i="5"/>
  <c r="O67" i="5" s="1"/>
  <c r="O66" i="5"/>
  <c r="O65" i="5"/>
  <c r="O64" i="5"/>
  <c r="N60" i="5"/>
  <c r="O60" i="5" s="1"/>
  <c r="M60" i="5"/>
  <c r="L60" i="5"/>
  <c r="K60" i="5"/>
  <c r="J60" i="5"/>
  <c r="I60" i="5"/>
  <c r="H60" i="5"/>
  <c r="G60" i="5"/>
  <c r="F60" i="5"/>
  <c r="E60" i="5"/>
  <c r="D60" i="5"/>
  <c r="C60" i="5"/>
  <c r="O59" i="5"/>
  <c r="O58" i="5"/>
  <c r="O57" i="5"/>
  <c r="O56" i="5"/>
  <c r="O55" i="5"/>
  <c r="N54" i="5"/>
  <c r="M54" i="5"/>
  <c r="L54" i="5"/>
  <c r="K54" i="5"/>
  <c r="J54" i="5"/>
  <c r="I54" i="5"/>
  <c r="H54" i="5"/>
  <c r="G54" i="5"/>
  <c r="F54" i="5"/>
  <c r="E54" i="5"/>
  <c r="D54" i="5"/>
  <c r="C54" i="5"/>
  <c r="O54" i="5" s="1"/>
  <c r="O53" i="5"/>
  <c r="O52" i="5"/>
  <c r="O51" i="5"/>
  <c r="AB45" i="5"/>
  <c r="AA45" i="5"/>
  <c r="AA46" i="5" s="1"/>
  <c r="Z45" i="5"/>
  <c r="Z46" i="5" s="1"/>
  <c r="Y45" i="5"/>
  <c r="Y46" i="5" s="1"/>
  <c r="X45" i="5"/>
  <c r="X46" i="5" s="1"/>
  <c r="W45" i="5"/>
  <c r="W46" i="5" s="1"/>
  <c r="V45" i="5"/>
  <c r="V46" i="5" s="1"/>
  <c r="U45" i="5"/>
  <c r="U46" i="5" s="1"/>
  <c r="T45" i="5"/>
  <c r="T46" i="5" s="1"/>
  <c r="S45" i="5"/>
  <c r="S46" i="5" s="1"/>
  <c r="R45" i="5"/>
  <c r="R46" i="5" s="1"/>
  <c r="Q45" i="5"/>
  <c r="Q46" i="5" s="1"/>
  <c r="N45" i="5"/>
  <c r="M45" i="5"/>
  <c r="M46" i="5" s="1"/>
  <c r="L45" i="5"/>
  <c r="L46" i="5" s="1"/>
  <c r="K45" i="5"/>
  <c r="K46" i="5" s="1"/>
  <c r="J45" i="5"/>
  <c r="J46" i="5" s="1"/>
  <c r="I45" i="5"/>
  <c r="I46" i="5" s="1"/>
  <c r="H45" i="5"/>
  <c r="H46" i="5" s="1"/>
  <c r="G45" i="5"/>
  <c r="G46" i="5" s="1"/>
  <c r="F45" i="5"/>
  <c r="F46" i="5" s="1"/>
  <c r="E45" i="5"/>
  <c r="E46" i="5" s="1"/>
  <c r="D45" i="5"/>
  <c r="D46" i="5" s="1"/>
  <c r="C45" i="5"/>
  <c r="C46" i="5" s="1"/>
  <c r="BD44" i="5"/>
  <c r="BE44" i="5" s="1"/>
  <c r="BC44" i="5"/>
  <c r="BB44" i="5"/>
  <c r="BA44" i="5"/>
  <c r="AZ44" i="5"/>
  <c r="AY44" i="5"/>
  <c r="AX44" i="5"/>
  <c r="AW44" i="5"/>
  <c r="AV44" i="5"/>
  <c r="AU44" i="5"/>
  <c r="AT44" i="5"/>
  <c r="AS44" i="5"/>
  <c r="AP44" i="5"/>
  <c r="AO44" i="5"/>
  <c r="BQ44" i="5" s="1"/>
  <c r="AN44" i="5"/>
  <c r="BP44" i="5" s="1"/>
  <c r="AM44" i="5"/>
  <c r="BO44" i="5" s="1"/>
  <c r="AL44" i="5"/>
  <c r="BN44" i="5" s="1"/>
  <c r="AK44" i="5"/>
  <c r="BM44" i="5" s="1"/>
  <c r="AJ44" i="5"/>
  <c r="BL44" i="5" s="1"/>
  <c r="AI44" i="5"/>
  <c r="BK44" i="5" s="1"/>
  <c r="AH44" i="5"/>
  <c r="BJ44" i="5" s="1"/>
  <c r="AG44" i="5"/>
  <c r="BI44" i="5" s="1"/>
  <c r="AF44" i="5"/>
  <c r="BH44" i="5" s="1"/>
  <c r="AE44" i="5"/>
  <c r="BG44" i="5" s="1"/>
  <c r="AC44" i="5"/>
  <c r="O44" i="5"/>
  <c r="BD43" i="5"/>
  <c r="BE43" i="5" s="1"/>
  <c r="BC43" i="5"/>
  <c r="BB43" i="5"/>
  <c r="BA43" i="5"/>
  <c r="AZ43" i="5"/>
  <c r="AY43" i="5"/>
  <c r="AX43" i="5"/>
  <c r="AW43" i="5"/>
  <c r="AV43" i="5"/>
  <c r="AU43" i="5"/>
  <c r="AT43" i="5"/>
  <c r="AS43" i="5"/>
  <c r="AP43" i="5"/>
  <c r="AO43" i="5"/>
  <c r="BQ43" i="5" s="1"/>
  <c r="AN43" i="5"/>
  <c r="BP43" i="5" s="1"/>
  <c r="AM43" i="5"/>
  <c r="BO43" i="5" s="1"/>
  <c r="AL43" i="5"/>
  <c r="BN43" i="5" s="1"/>
  <c r="AK43" i="5"/>
  <c r="BM43" i="5" s="1"/>
  <c r="AJ43" i="5"/>
  <c r="BL43" i="5" s="1"/>
  <c r="AI43" i="5"/>
  <c r="BK43" i="5" s="1"/>
  <c r="AH43" i="5"/>
  <c r="BJ43" i="5" s="1"/>
  <c r="AG43" i="5"/>
  <c r="BI43" i="5" s="1"/>
  <c r="AF43" i="5"/>
  <c r="BH43" i="5" s="1"/>
  <c r="AE43" i="5"/>
  <c r="BG43" i="5" s="1"/>
  <c r="AC43" i="5"/>
  <c r="O43" i="5"/>
  <c r="BD42" i="5"/>
  <c r="BE42" i="5" s="1"/>
  <c r="BC42" i="5"/>
  <c r="BB42" i="5"/>
  <c r="BA42" i="5"/>
  <c r="AZ42" i="5"/>
  <c r="AY42" i="5"/>
  <c r="AX42" i="5"/>
  <c r="AW42" i="5"/>
  <c r="AV42" i="5"/>
  <c r="AU42" i="5"/>
  <c r="AT42" i="5"/>
  <c r="AS42" i="5"/>
  <c r="AP42" i="5"/>
  <c r="AO42" i="5"/>
  <c r="BQ42" i="5" s="1"/>
  <c r="AN42" i="5"/>
  <c r="BP42" i="5" s="1"/>
  <c r="AM42" i="5"/>
  <c r="BO42" i="5" s="1"/>
  <c r="AL42" i="5"/>
  <c r="BN42" i="5" s="1"/>
  <c r="AK42" i="5"/>
  <c r="BM42" i="5" s="1"/>
  <c r="AJ42" i="5"/>
  <c r="BL42" i="5" s="1"/>
  <c r="AI42" i="5"/>
  <c r="BK42" i="5" s="1"/>
  <c r="AH42" i="5"/>
  <c r="BJ42" i="5" s="1"/>
  <c r="AG42" i="5"/>
  <c r="BI42" i="5" s="1"/>
  <c r="AF42" i="5"/>
  <c r="BH42" i="5" s="1"/>
  <c r="AE42" i="5"/>
  <c r="BG42" i="5" s="1"/>
  <c r="AC42" i="5"/>
  <c r="O42" i="5"/>
  <c r="BD41" i="5"/>
  <c r="BE41" i="5" s="1"/>
  <c r="BC41" i="5"/>
  <c r="BB41" i="5"/>
  <c r="BA41" i="5"/>
  <c r="AZ41" i="5"/>
  <c r="AY41" i="5"/>
  <c r="AX41" i="5"/>
  <c r="AW41" i="5"/>
  <c r="AV41" i="5"/>
  <c r="AU41" i="5"/>
  <c r="AT41" i="5"/>
  <c r="AS41" i="5"/>
  <c r="AP41" i="5"/>
  <c r="AO41" i="5"/>
  <c r="BQ41" i="5" s="1"/>
  <c r="AN41" i="5"/>
  <c r="BP41" i="5" s="1"/>
  <c r="AM41" i="5"/>
  <c r="BO41" i="5" s="1"/>
  <c r="AL41" i="5"/>
  <c r="BN41" i="5" s="1"/>
  <c r="AK41" i="5"/>
  <c r="BM41" i="5" s="1"/>
  <c r="AJ41" i="5"/>
  <c r="BL41" i="5" s="1"/>
  <c r="AI41" i="5"/>
  <c r="BK41" i="5" s="1"/>
  <c r="AH41" i="5"/>
  <c r="BJ41" i="5" s="1"/>
  <c r="AG41" i="5"/>
  <c r="BI41" i="5" s="1"/>
  <c r="AF41" i="5"/>
  <c r="BH41" i="5" s="1"/>
  <c r="AE41" i="5"/>
  <c r="BG41" i="5" s="1"/>
  <c r="AC41" i="5"/>
  <c r="O41" i="5"/>
  <c r="BD40" i="5"/>
  <c r="BC40" i="5"/>
  <c r="BC45" i="5" s="1"/>
  <c r="BB40" i="5"/>
  <c r="BB45" i="5" s="1"/>
  <c r="BA40" i="5"/>
  <c r="BA45" i="5" s="1"/>
  <c r="AZ40" i="5"/>
  <c r="AZ45" i="5" s="1"/>
  <c r="AY40" i="5"/>
  <c r="AY45" i="5" s="1"/>
  <c r="AX40" i="5"/>
  <c r="AX45" i="5" s="1"/>
  <c r="AW40" i="5"/>
  <c r="AW45" i="5" s="1"/>
  <c r="AV40" i="5"/>
  <c r="AV45" i="5" s="1"/>
  <c r="AU40" i="5"/>
  <c r="AU45" i="5" s="1"/>
  <c r="AT40" i="5"/>
  <c r="AT45" i="5" s="1"/>
  <c r="AS40" i="5"/>
  <c r="AS45" i="5" s="1"/>
  <c r="AP40" i="5"/>
  <c r="AO40" i="5"/>
  <c r="AN40" i="5"/>
  <c r="AM40" i="5"/>
  <c r="AL40" i="5"/>
  <c r="AK40" i="5"/>
  <c r="AJ40" i="5"/>
  <c r="AI40" i="5"/>
  <c r="AH40" i="5"/>
  <c r="AG40" i="5"/>
  <c r="AF40" i="5"/>
  <c r="AE40" i="5"/>
  <c r="AC40" i="5"/>
  <c r="O40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N38" i="5"/>
  <c r="M38" i="5"/>
  <c r="L38" i="5"/>
  <c r="K38" i="5"/>
  <c r="J38" i="5"/>
  <c r="I38" i="5"/>
  <c r="H38" i="5"/>
  <c r="G38" i="5"/>
  <c r="F38" i="5"/>
  <c r="E38" i="5"/>
  <c r="D38" i="5"/>
  <c r="C38" i="5"/>
  <c r="AB36" i="5"/>
  <c r="AA36" i="5"/>
  <c r="Z36" i="5"/>
  <c r="Y36" i="5"/>
  <c r="X36" i="5"/>
  <c r="W36" i="5"/>
  <c r="V36" i="5"/>
  <c r="U36" i="5"/>
  <c r="T36" i="5"/>
  <c r="S36" i="5"/>
  <c r="R36" i="5"/>
  <c r="Q36" i="5"/>
  <c r="N36" i="5"/>
  <c r="M36" i="5"/>
  <c r="L36" i="5"/>
  <c r="K36" i="5"/>
  <c r="J36" i="5"/>
  <c r="I36" i="5"/>
  <c r="H36" i="5"/>
  <c r="G36" i="5"/>
  <c r="F36" i="5"/>
  <c r="E36" i="5"/>
  <c r="D36" i="5"/>
  <c r="C36" i="5"/>
  <c r="AB35" i="5"/>
  <c r="AA35" i="5"/>
  <c r="Z35" i="5"/>
  <c r="Y35" i="5"/>
  <c r="X35" i="5"/>
  <c r="W35" i="5"/>
  <c r="V35" i="5"/>
  <c r="U35" i="5"/>
  <c r="T35" i="5"/>
  <c r="S35" i="5"/>
  <c r="R35" i="5"/>
  <c r="Q35" i="5"/>
  <c r="N35" i="5"/>
  <c r="M35" i="5"/>
  <c r="L35" i="5"/>
  <c r="K35" i="5"/>
  <c r="J35" i="5"/>
  <c r="I35" i="5"/>
  <c r="H35" i="5"/>
  <c r="G35" i="5"/>
  <c r="F35" i="5"/>
  <c r="E35" i="5"/>
  <c r="D35" i="5"/>
  <c r="C35" i="5"/>
  <c r="AP31" i="5"/>
  <c r="AP37" i="5" s="1"/>
  <c r="AO31" i="5"/>
  <c r="AO37" i="5" s="1"/>
  <c r="AB31" i="5"/>
  <c r="AB37" i="5" s="1"/>
  <c r="AA31" i="5"/>
  <c r="AA37" i="5" s="1"/>
  <c r="Z31" i="5"/>
  <c r="Z37" i="5" s="1"/>
  <c r="Y31" i="5"/>
  <c r="Y37" i="5" s="1"/>
  <c r="X31" i="5"/>
  <c r="X37" i="5" s="1"/>
  <c r="W31" i="5"/>
  <c r="W37" i="5" s="1"/>
  <c r="V31" i="5"/>
  <c r="V37" i="5" s="1"/>
  <c r="U31" i="5"/>
  <c r="U37" i="5" s="1"/>
  <c r="T31" i="5"/>
  <c r="T37" i="5" s="1"/>
  <c r="S31" i="5"/>
  <c r="S37" i="5" s="1"/>
  <c r="R31" i="5"/>
  <c r="R37" i="5" s="1"/>
  <c r="Q31" i="5"/>
  <c r="N31" i="5"/>
  <c r="N37" i="5" s="1"/>
  <c r="M31" i="5"/>
  <c r="M37" i="5" s="1"/>
  <c r="L31" i="5"/>
  <c r="L37" i="5" s="1"/>
  <c r="K31" i="5"/>
  <c r="K37" i="5" s="1"/>
  <c r="J31" i="5"/>
  <c r="J37" i="5" s="1"/>
  <c r="I31" i="5"/>
  <c r="I37" i="5" s="1"/>
  <c r="H31" i="5"/>
  <c r="H37" i="5" s="1"/>
  <c r="G31" i="5"/>
  <c r="G37" i="5" s="1"/>
  <c r="F31" i="5"/>
  <c r="F37" i="5" s="1"/>
  <c r="E31" i="5"/>
  <c r="E37" i="5" s="1"/>
  <c r="D31" i="5"/>
  <c r="D37" i="5" s="1"/>
  <c r="C31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C30" i="5"/>
  <c r="AC36" i="5" s="1"/>
  <c r="O30" i="5"/>
  <c r="O36" i="5" s="1"/>
  <c r="AP29" i="5"/>
  <c r="AO29" i="5"/>
  <c r="AN29" i="5"/>
  <c r="AM29" i="5"/>
  <c r="AL29" i="5"/>
  <c r="AK29" i="5"/>
  <c r="AJ29" i="5"/>
  <c r="AI29" i="5"/>
  <c r="AH29" i="5"/>
  <c r="AG29" i="5"/>
  <c r="AF29" i="5"/>
  <c r="AE29" i="5"/>
  <c r="AC29" i="5"/>
  <c r="AC35" i="5" s="1"/>
  <c r="O29" i="5"/>
  <c r="O35" i="5" s="1"/>
  <c r="AP28" i="5"/>
  <c r="AO28" i="5"/>
  <c r="AN28" i="5"/>
  <c r="AM28" i="5"/>
  <c r="AL28" i="5"/>
  <c r="AK28" i="5"/>
  <c r="AJ28" i="5"/>
  <c r="AI28" i="5"/>
  <c r="AH28" i="5"/>
  <c r="AG28" i="5"/>
  <c r="AF28" i="5"/>
  <c r="AE28" i="5"/>
  <c r="AC28" i="5"/>
  <c r="O28" i="5"/>
  <c r="O38" i="5" s="1"/>
  <c r="N95" i="4"/>
  <c r="M95" i="4"/>
  <c r="L95" i="4"/>
  <c r="K95" i="4"/>
  <c r="J95" i="4"/>
  <c r="I95" i="4"/>
  <c r="H95" i="4"/>
  <c r="G95" i="4"/>
  <c r="F95" i="4"/>
  <c r="E95" i="4"/>
  <c r="D95" i="4"/>
  <c r="C95" i="4"/>
  <c r="N84" i="4"/>
  <c r="M84" i="4"/>
  <c r="L84" i="4"/>
  <c r="K84" i="4"/>
  <c r="J84" i="4"/>
  <c r="I84" i="4"/>
  <c r="H84" i="4"/>
  <c r="G84" i="4"/>
  <c r="F84" i="4"/>
  <c r="E84" i="4"/>
  <c r="D84" i="4"/>
  <c r="C84" i="4"/>
  <c r="O84" i="4" s="1"/>
  <c r="N82" i="4"/>
  <c r="N85" i="4" s="1"/>
  <c r="M82" i="4"/>
  <c r="M85" i="4" s="1"/>
  <c r="L82" i="4"/>
  <c r="L85" i="4" s="1"/>
  <c r="K82" i="4"/>
  <c r="K85" i="4" s="1"/>
  <c r="J82" i="4"/>
  <c r="J85" i="4" s="1"/>
  <c r="I82" i="4"/>
  <c r="I85" i="4" s="1"/>
  <c r="H82" i="4"/>
  <c r="H85" i="4" s="1"/>
  <c r="G82" i="4"/>
  <c r="G85" i="4" s="1"/>
  <c r="F82" i="4"/>
  <c r="F85" i="4" s="1"/>
  <c r="E82" i="4"/>
  <c r="E85" i="4" s="1"/>
  <c r="D82" i="4"/>
  <c r="D85" i="4" s="1"/>
  <c r="C82" i="4"/>
  <c r="C85" i="4" s="1"/>
  <c r="N78" i="4"/>
  <c r="M78" i="4"/>
  <c r="L78" i="4"/>
  <c r="K78" i="4"/>
  <c r="J78" i="4"/>
  <c r="I78" i="4"/>
  <c r="H78" i="4"/>
  <c r="G78" i="4"/>
  <c r="F78" i="4"/>
  <c r="E78" i="4"/>
  <c r="D78" i="4"/>
  <c r="C78" i="4"/>
  <c r="N77" i="4"/>
  <c r="O77" i="4" s="1"/>
  <c r="M77" i="4"/>
  <c r="L77" i="4"/>
  <c r="K77" i="4"/>
  <c r="J77" i="4"/>
  <c r="I77" i="4"/>
  <c r="H77" i="4"/>
  <c r="G77" i="4"/>
  <c r="F77" i="4"/>
  <c r="E77" i="4"/>
  <c r="D77" i="4"/>
  <c r="C77" i="4"/>
  <c r="N75" i="4"/>
  <c r="M75" i="4"/>
  <c r="L75" i="4"/>
  <c r="K75" i="4"/>
  <c r="J75" i="4"/>
  <c r="I75" i="4"/>
  <c r="H75" i="4"/>
  <c r="G75" i="4"/>
  <c r="F75" i="4"/>
  <c r="E75" i="4"/>
  <c r="D75" i="4"/>
  <c r="C75" i="4"/>
  <c r="N68" i="4"/>
  <c r="M68" i="4"/>
  <c r="L68" i="4"/>
  <c r="K68" i="4"/>
  <c r="J68" i="4"/>
  <c r="I68" i="4"/>
  <c r="H68" i="4"/>
  <c r="G68" i="4"/>
  <c r="F68" i="4"/>
  <c r="E68" i="4"/>
  <c r="D68" i="4"/>
  <c r="C68" i="4"/>
  <c r="O68" i="4" s="1"/>
  <c r="B68" i="4"/>
  <c r="N67" i="4"/>
  <c r="M67" i="4"/>
  <c r="L67" i="4"/>
  <c r="K67" i="4"/>
  <c r="J67" i="4"/>
  <c r="I67" i="4"/>
  <c r="H67" i="4"/>
  <c r="G67" i="4"/>
  <c r="F67" i="4"/>
  <c r="E67" i="4"/>
  <c r="D67" i="4"/>
  <c r="C67" i="4"/>
  <c r="O67" i="4" s="1"/>
  <c r="B67" i="4"/>
  <c r="N66" i="4"/>
  <c r="M66" i="4"/>
  <c r="L66" i="4"/>
  <c r="K66" i="4"/>
  <c r="J66" i="4"/>
  <c r="I66" i="4"/>
  <c r="H66" i="4"/>
  <c r="G66" i="4"/>
  <c r="F66" i="4"/>
  <c r="E66" i="4"/>
  <c r="D66" i="4"/>
  <c r="C66" i="4"/>
  <c r="O66" i="4" s="1"/>
  <c r="B66" i="4"/>
  <c r="N65" i="4"/>
  <c r="M65" i="4"/>
  <c r="L65" i="4"/>
  <c r="K65" i="4"/>
  <c r="J65" i="4"/>
  <c r="I65" i="4"/>
  <c r="H65" i="4"/>
  <c r="G65" i="4"/>
  <c r="F65" i="4"/>
  <c r="E65" i="4"/>
  <c r="D65" i="4"/>
  <c r="C65" i="4"/>
  <c r="O65" i="4" s="1"/>
  <c r="B65" i="4"/>
  <c r="N64" i="4"/>
  <c r="M64" i="4"/>
  <c r="L64" i="4"/>
  <c r="K64" i="4"/>
  <c r="J64" i="4"/>
  <c r="I64" i="4"/>
  <c r="H64" i="4"/>
  <c r="G64" i="4"/>
  <c r="F64" i="4"/>
  <c r="E64" i="4"/>
  <c r="D64" i="4"/>
  <c r="C64" i="4"/>
  <c r="O64" i="4" s="1"/>
  <c r="B64" i="4"/>
  <c r="N63" i="4"/>
  <c r="M63" i="4"/>
  <c r="L63" i="4"/>
  <c r="K63" i="4"/>
  <c r="J63" i="4"/>
  <c r="I63" i="4"/>
  <c r="H63" i="4"/>
  <c r="G63" i="4"/>
  <c r="F63" i="4"/>
  <c r="E63" i="4"/>
  <c r="D63" i="4"/>
  <c r="C63" i="4"/>
  <c r="O63" i="4" s="1"/>
  <c r="B63" i="4"/>
  <c r="N62" i="4"/>
  <c r="M62" i="4"/>
  <c r="L62" i="4"/>
  <c r="K62" i="4"/>
  <c r="J62" i="4"/>
  <c r="I62" i="4"/>
  <c r="H62" i="4"/>
  <c r="G62" i="4"/>
  <c r="F62" i="4"/>
  <c r="E62" i="4"/>
  <c r="D62" i="4"/>
  <c r="C62" i="4"/>
  <c r="O62" i="4" s="1"/>
  <c r="B62" i="4"/>
  <c r="N61" i="4"/>
  <c r="N69" i="4" s="1"/>
  <c r="M61" i="4"/>
  <c r="M69" i="4" s="1"/>
  <c r="L61" i="4"/>
  <c r="L69" i="4" s="1"/>
  <c r="K61" i="4"/>
  <c r="K69" i="4" s="1"/>
  <c r="J61" i="4"/>
  <c r="J69" i="4" s="1"/>
  <c r="I61" i="4"/>
  <c r="I69" i="4" s="1"/>
  <c r="H61" i="4"/>
  <c r="H69" i="4" s="1"/>
  <c r="G61" i="4"/>
  <c r="G69" i="4" s="1"/>
  <c r="F61" i="4"/>
  <c r="F69" i="4" s="1"/>
  <c r="E61" i="4"/>
  <c r="E69" i="4" s="1"/>
  <c r="D61" i="4"/>
  <c r="D69" i="4" s="1"/>
  <c r="C61" i="4"/>
  <c r="B61" i="4"/>
  <c r="N58" i="4"/>
  <c r="BD30" i="5" s="1"/>
  <c r="M58" i="4"/>
  <c r="BC30" i="5" s="1"/>
  <c r="L58" i="4"/>
  <c r="BB30" i="5" s="1"/>
  <c r="K58" i="4"/>
  <c r="BA30" i="5" s="1"/>
  <c r="J58" i="4"/>
  <c r="AZ30" i="5" s="1"/>
  <c r="I58" i="4"/>
  <c r="AY30" i="5" s="1"/>
  <c r="H58" i="4"/>
  <c r="AX30" i="5" s="1"/>
  <c r="G58" i="4"/>
  <c r="AW30" i="5" s="1"/>
  <c r="F58" i="4"/>
  <c r="AV30" i="5" s="1"/>
  <c r="E58" i="4"/>
  <c r="AU30" i="5" s="1"/>
  <c r="D58" i="4"/>
  <c r="AT30" i="5" s="1"/>
  <c r="C58" i="4"/>
  <c r="AS30" i="5" s="1"/>
  <c r="O57" i="4"/>
  <c r="O56" i="4"/>
  <c r="O55" i="4"/>
  <c r="O54" i="4"/>
  <c r="O53" i="4"/>
  <c r="O52" i="4"/>
  <c r="O41" i="4" s="1"/>
  <c r="O51" i="4"/>
  <c r="O40" i="4" s="1"/>
  <c r="O50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N36" i="4"/>
  <c r="BD29" i="5" s="1"/>
  <c r="M36" i="4"/>
  <c r="BC29" i="5" s="1"/>
  <c r="L36" i="4"/>
  <c r="BB29" i="5" s="1"/>
  <c r="K36" i="4"/>
  <c r="BA29" i="5" s="1"/>
  <c r="J36" i="4"/>
  <c r="AZ29" i="5" s="1"/>
  <c r="I36" i="4"/>
  <c r="AY29" i="5" s="1"/>
  <c r="H36" i="4"/>
  <c r="AX29" i="5" s="1"/>
  <c r="G36" i="4"/>
  <c r="AW29" i="5" s="1"/>
  <c r="F36" i="4"/>
  <c r="AV29" i="5" s="1"/>
  <c r="E36" i="4"/>
  <c r="AU29" i="5" s="1"/>
  <c r="D36" i="4"/>
  <c r="AT29" i="5" s="1"/>
  <c r="C36" i="4"/>
  <c r="AS29" i="5" s="1"/>
  <c r="O35" i="4"/>
  <c r="O34" i="4"/>
  <c r="O33" i="4"/>
  <c r="O32" i="4"/>
  <c r="O31" i="4"/>
  <c r="O30" i="4"/>
  <c r="O29" i="4"/>
  <c r="O28" i="4"/>
  <c r="O36" i="4" s="1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N14" i="4"/>
  <c r="M14" i="4"/>
  <c r="L14" i="4"/>
  <c r="K14" i="4"/>
  <c r="J14" i="4"/>
  <c r="I14" i="4"/>
  <c r="H14" i="4"/>
  <c r="G14" i="4"/>
  <c r="F14" i="4"/>
  <c r="E14" i="4"/>
  <c r="D14" i="4"/>
  <c r="C14" i="4"/>
  <c r="O13" i="4"/>
  <c r="O12" i="4"/>
  <c r="O11" i="4"/>
  <c r="O10" i="4"/>
  <c r="O9" i="4"/>
  <c r="O8" i="4"/>
  <c r="O19" i="4" s="1"/>
  <c r="O7" i="4"/>
  <c r="O18" i="4" s="1"/>
  <c r="O6" i="4"/>
  <c r="O1" i="4"/>
  <c r="AC45" i="5" l="1"/>
  <c r="AB46" i="5"/>
  <c r="O45" i="5"/>
  <c r="N46" i="5"/>
  <c r="BR44" i="5"/>
  <c r="BS44" i="5" s="1"/>
  <c r="AQ44" i="5"/>
  <c r="BR43" i="5"/>
  <c r="BS43" i="5" s="1"/>
  <c r="AQ43" i="5"/>
  <c r="AQ42" i="5"/>
  <c r="BR42" i="5"/>
  <c r="BS42" i="5" s="1"/>
  <c r="BR41" i="5"/>
  <c r="BS41" i="5" s="1"/>
  <c r="AQ41" i="5"/>
  <c r="BE40" i="5"/>
  <c r="BD45" i="5"/>
  <c r="AP45" i="5"/>
  <c r="BR40" i="5"/>
  <c r="AQ40" i="5"/>
  <c r="BQ40" i="5"/>
  <c r="BQ45" i="5" s="1"/>
  <c r="AO45" i="5"/>
  <c r="AO46" i="5" s="1"/>
  <c r="AN45" i="5"/>
  <c r="AN46" i="5" s="1"/>
  <c r="BP40" i="5"/>
  <c r="BP45" i="5" s="1"/>
  <c r="AM45" i="5"/>
  <c r="AM46" i="5" s="1"/>
  <c r="BO40" i="5"/>
  <c r="BO45" i="5" s="1"/>
  <c r="AL45" i="5"/>
  <c r="AL46" i="5" s="1"/>
  <c r="BN40" i="5"/>
  <c r="BN45" i="5" s="1"/>
  <c r="BM40" i="5"/>
  <c r="BM45" i="5" s="1"/>
  <c r="AK45" i="5"/>
  <c r="AK46" i="5" s="1"/>
  <c r="BL40" i="5"/>
  <c r="BL45" i="5" s="1"/>
  <c r="AJ45" i="5"/>
  <c r="AJ46" i="5" s="1"/>
  <c r="BK40" i="5"/>
  <c r="BK45" i="5" s="1"/>
  <c r="AI45" i="5"/>
  <c r="AI46" i="5" s="1"/>
  <c r="BJ40" i="5"/>
  <c r="BJ45" i="5" s="1"/>
  <c r="AH45" i="5"/>
  <c r="AH46" i="5" s="1"/>
  <c r="BI40" i="5"/>
  <c r="BI45" i="5" s="1"/>
  <c r="AG45" i="5"/>
  <c r="AG46" i="5" s="1"/>
  <c r="BH40" i="5"/>
  <c r="BH45" i="5" s="1"/>
  <c r="AF45" i="5"/>
  <c r="AF46" i="5" s="1"/>
  <c r="BG40" i="5"/>
  <c r="BG45" i="5" s="1"/>
  <c r="AE45" i="5"/>
  <c r="AE46" i="5" s="1"/>
  <c r="Q37" i="5"/>
  <c r="AC31" i="5"/>
  <c r="AC37" i="5" s="1"/>
  <c r="O31" i="5"/>
  <c r="O37" i="5" s="1"/>
  <c r="C37" i="5"/>
  <c r="BR30" i="5"/>
  <c r="AP36" i="5"/>
  <c r="AO36" i="5"/>
  <c r="BQ30" i="5"/>
  <c r="BP30" i="5"/>
  <c r="AN36" i="5"/>
  <c r="AM36" i="5"/>
  <c r="BO30" i="5"/>
  <c r="AL36" i="5"/>
  <c r="BN30" i="5"/>
  <c r="AK36" i="5"/>
  <c r="BM30" i="5"/>
  <c r="AJ36" i="5"/>
  <c r="BL30" i="5"/>
  <c r="AI36" i="5"/>
  <c r="BK30" i="5"/>
  <c r="BJ30" i="5"/>
  <c r="AH36" i="5"/>
  <c r="AG36" i="5"/>
  <c r="BI30" i="5"/>
  <c r="BH30" i="5"/>
  <c r="AF36" i="5"/>
  <c r="AQ30" i="5"/>
  <c r="BG30" i="5"/>
  <c r="AE36" i="5"/>
  <c r="BR29" i="5"/>
  <c r="AP35" i="5"/>
  <c r="BQ29" i="5"/>
  <c r="AO35" i="5"/>
  <c r="BP29" i="5"/>
  <c r="AN35" i="5"/>
  <c r="AN31" i="5"/>
  <c r="AN37" i="5" s="1"/>
  <c r="BO29" i="5"/>
  <c r="AM35" i="5"/>
  <c r="AM31" i="5"/>
  <c r="AM37" i="5" s="1"/>
  <c r="AL35" i="5"/>
  <c r="AL31" i="5"/>
  <c r="AL37" i="5" s="1"/>
  <c r="BN29" i="5"/>
  <c r="BM29" i="5"/>
  <c r="AK35" i="5"/>
  <c r="AK31" i="5"/>
  <c r="AK37" i="5" s="1"/>
  <c r="BL29" i="5"/>
  <c r="AJ35" i="5"/>
  <c r="AJ31" i="5"/>
  <c r="AJ37" i="5" s="1"/>
  <c r="BK29" i="5"/>
  <c r="AI35" i="5"/>
  <c r="AI31" i="5"/>
  <c r="AI37" i="5" s="1"/>
  <c r="AH35" i="5"/>
  <c r="BJ29" i="5"/>
  <c r="AH31" i="5"/>
  <c r="AH37" i="5" s="1"/>
  <c r="BI29" i="5"/>
  <c r="AG31" i="5"/>
  <c r="AG37" i="5" s="1"/>
  <c r="AG35" i="5"/>
  <c r="BH29" i="5"/>
  <c r="AF31" i="5"/>
  <c r="AF37" i="5" s="1"/>
  <c r="AF35" i="5"/>
  <c r="AQ29" i="5"/>
  <c r="AQ35" i="5" s="1"/>
  <c r="BG29" i="5"/>
  <c r="AE31" i="5"/>
  <c r="AE35" i="5"/>
  <c r="AQ28" i="5"/>
  <c r="AQ38" i="5" s="1"/>
  <c r="O61" i="4"/>
  <c r="O69" i="4" s="1"/>
  <c r="C69" i="4"/>
  <c r="BE30" i="5"/>
  <c r="O58" i="4"/>
  <c r="O39" i="4"/>
  <c r="BD31" i="5"/>
  <c r="BC31" i="5"/>
  <c r="BB31" i="5"/>
  <c r="BA31" i="5"/>
  <c r="AZ31" i="5"/>
  <c r="AY31" i="5"/>
  <c r="AX31" i="5"/>
  <c r="AW31" i="5"/>
  <c r="AV31" i="5"/>
  <c r="AU31" i="5"/>
  <c r="AT31" i="5"/>
  <c r="BE29" i="5"/>
  <c r="AS31" i="5"/>
  <c r="N47" i="4"/>
  <c r="N25" i="4"/>
  <c r="BD28" i="5"/>
  <c r="BD35" i="5" s="1"/>
  <c r="M25" i="4"/>
  <c r="M47" i="4"/>
  <c r="BC28" i="5"/>
  <c r="BC35" i="5" s="1"/>
  <c r="BB28" i="5"/>
  <c r="BB35" i="5" s="1"/>
  <c r="L25" i="4"/>
  <c r="L47" i="4"/>
  <c r="K47" i="4"/>
  <c r="BA28" i="5"/>
  <c r="BA35" i="5" s="1"/>
  <c r="K25" i="4"/>
  <c r="J47" i="4"/>
  <c r="AZ28" i="5"/>
  <c r="AZ35" i="5" s="1"/>
  <c r="J25" i="4"/>
  <c r="I47" i="4"/>
  <c r="I25" i="4"/>
  <c r="AY28" i="5"/>
  <c r="AY35" i="5" s="1"/>
  <c r="H25" i="4"/>
  <c r="H47" i="4"/>
  <c r="AX28" i="5"/>
  <c r="AX35" i="5" s="1"/>
  <c r="G25" i="4"/>
  <c r="AW28" i="5"/>
  <c r="AW35" i="5" s="1"/>
  <c r="G47" i="4"/>
  <c r="AV28" i="5"/>
  <c r="AV35" i="5" s="1"/>
  <c r="F47" i="4"/>
  <c r="F25" i="4"/>
  <c r="E47" i="4"/>
  <c r="E25" i="4"/>
  <c r="AU28" i="5"/>
  <c r="AU35" i="5" s="1"/>
  <c r="D47" i="4"/>
  <c r="D25" i="4"/>
  <c r="AT28" i="5"/>
  <c r="AT35" i="5" s="1"/>
  <c r="C25" i="4"/>
  <c r="AS28" i="5"/>
  <c r="C47" i="4"/>
  <c r="O46" i="4"/>
  <c r="O24" i="4"/>
  <c r="O45" i="4"/>
  <c r="O23" i="4"/>
  <c r="O44" i="4"/>
  <c r="O22" i="4"/>
  <c r="O21" i="4"/>
  <c r="O43" i="4"/>
  <c r="O42" i="4"/>
  <c r="O20" i="4"/>
  <c r="O17" i="4"/>
  <c r="O14" i="4"/>
  <c r="O25" i="4" s="1"/>
  <c r="BE45" i="5" l="1"/>
  <c r="BD46" i="5"/>
  <c r="AQ45" i="5"/>
  <c r="AP46" i="5"/>
  <c r="BS40" i="5"/>
  <c r="BR45" i="5"/>
  <c r="BY30" i="5"/>
  <c r="F12" i="3" s="1"/>
  <c r="BZ30" i="5"/>
  <c r="G12" i="3" s="1"/>
  <c r="CA30" i="5"/>
  <c r="H12" i="3" s="1"/>
  <c r="BS30" i="5"/>
  <c r="BU30" i="5"/>
  <c r="C12" i="3" s="1"/>
  <c r="BV30" i="5"/>
  <c r="D12" i="3" s="1"/>
  <c r="BW30" i="5"/>
  <c r="E12" i="3" s="1"/>
  <c r="BR31" i="5"/>
  <c r="BR37" i="5" s="1"/>
  <c r="BQ31" i="5"/>
  <c r="BY29" i="5"/>
  <c r="F10" i="3" s="1"/>
  <c r="BZ29" i="5"/>
  <c r="G10" i="3" s="1"/>
  <c r="CA29" i="5"/>
  <c r="H10" i="3" s="1"/>
  <c r="BP31" i="5"/>
  <c r="BO31" i="5"/>
  <c r="BN31" i="5"/>
  <c r="BM31" i="5"/>
  <c r="BL31" i="5"/>
  <c r="BK31" i="5"/>
  <c r="BJ31" i="5"/>
  <c r="BI31" i="5"/>
  <c r="BH31" i="5"/>
  <c r="BS29" i="5"/>
  <c r="BU29" i="5"/>
  <c r="C10" i="3" s="1"/>
  <c r="BV29" i="5"/>
  <c r="D10" i="3" s="1"/>
  <c r="BW29" i="5"/>
  <c r="E10" i="3" s="1"/>
  <c r="BG31" i="5"/>
  <c r="AQ31" i="5"/>
  <c r="AQ37" i="5" s="1"/>
  <c r="AE37" i="5"/>
  <c r="BE31" i="5"/>
  <c r="AS37" i="5"/>
  <c r="BR28" i="5"/>
  <c r="BR35" i="5" s="1"/>
  <c r="BD36" i="5"/>
  <c r="BD38" i="5"/>
  <c r="BC36" i="5"/>
  <c r="BC46" i="5"/>
  <c r="BQ28" i="5"/>
  <c r="BQ35" i="5" s="1"/>
  <c r="BC38" i="5"/>
  <c r="BP28" i="5"/>
  <c r="BB36" i="5"/>
  <c r="BB46" i="5"/>
  <c r="BB38" i="5"/>
  <c r="BA36" i="5"/>
  <c r="BO28" i="5"/>
  <c r="BO35" i="5" s="1"/>
  <c r="BA46" i="5"/>
  <c r="BA38" i="5"/>
  <c r="BN28" i="5"/>
  <c r="BN35" i="5" s="1"/>
  <c r="AZ36" i="5"/>
  <c r="AZ46" i="5"/>
  <c r="AZ38" i="5"/>
  <c r="AY36" i="5"/>
  <c r="AY46" i="5"/>
  <c r="BM28" i="5"/>
  <c r="BM35" i="5" s="1"/>
  <c r="AY38" i="5"/>
  <c r="AX36" i="5"/>
  <c r="BL28" i="5"/>
  <c r="BL35" i="5" s="1"/>
  <c r="AX46" i="5"/>
  <c r="AX38" i="5"/>
  <c r="AW46" i="5"/>
  <c r="AW36" i="5"/>
  <c r="BK28" i="5"/>
  <c r="BK35" i="5" s="1"/>
  <c r="AW38" i="5"/>
  <c r="AV36" i="5"/>
  <c r="BJ28" i="5"/>
  <c r="BJ35" i="5" s="1"/>
  <c r="AV46" i="5"/>
  <c r="AV38" i="5"/>
  <c r="BI28" i="5"/>
  <c r="BI35" i="5" s="1"/>
  <c r="AU46" i="5"/>
  <c r="AU36" i="5"/>
  <c r="AU38" i="5"/>
  <c r="AT36" i="5"/>
  <c r="BH28" i="5"/>
  <c r="BH35" i="5" s="1"/>
  <c r="AT46" i="5"/>
  <c r="AT38" i="5"/>
  <c r="AS46" i="5"/>
  <c r="BE28" i="5"/>
  <c r="AS38" i="5"/>
  <c r="AQ36" i="5"/>
  <c r="BB37" i="5"/>
  <c r="AX37" i="5"/>
  <c r="AT37" i="5"/>
  <c r="O47" i="4"/>
  <c r="AV37" i="5"/>
  <c r="BD37" i="5"/>
  <c r="BC37" i="5"/>
  <c r="BA37" i="5"/>
  <c r="AZ37" i="5"/>
  <c r="AY37" i="5"/>
  <c r="AW37" i="5"/>
  <c r="AU37" i="5"/>
  <c r="BG28" i="5"/>
  <c r="AS35" i="5"/>
  <c r="AS36" i="5"/>
  <c r="BS45" i="5" l="1"/>
  <c r="BR46" i="5"/>
  <c r="CC30" i="5"/>
  <c r="I12" i="3" s="1"/>
  <c r="CD30" i="5"/>
  <c r="J12" i="3" s="1"/>
  <c r="CE30" i="5"/>
  <c r="K12" i="3" s="1"/>
  <c r="BY31" i="5"/>
  <c r="F14" i="3" s="1"/>
  <c r="BZ31" i="5"/>
  <c r="G14" i="3" s="1"/>
  <c r="CA31" i="5"/>
  <c r="H14" i="3" s="1"/>
  <c r="BP37" i="5"/>
  <c r="CC29" i="5"/>
  <c r="I10" i="3" s="1"/>
  <c r="CD29" i="5"/>
  <c r="J10" i="3" s="1"/>
  <c r="CE29" i="5"/>
  <c r="K10" i="3" s="1"/>
  <c r="BS31" i="5"/>
  <c r="BU31" i="5"/>
  <c r="C14" i="3" s="1"/>
  <c r="BV31" i="5"/>
  <c r="D14" i="3" s="1"/>
  <c r="BW31" i="5"/>
  <c r="E14" i="3" s="1"/>
  <c r="BG37" i="5"/>
  <c r="BR36" i="5"/>
  <c r="BR38" i="5"/>
  <c r="BQ36" i="5"/>
  <c r="BQ46" i="5"/>
  <c r="BQ38" i="5"/>
  <c r="BP46" i="5"/>
  <c r="BP38" i="5"/>
  <c r="BZ28" i="5"/>
  <c r="G8" i="3" s="1"/>
  <c r="BY28" i="5"/>
  <c r="F8" i="3" s="1"/>
  <c r="CA28" i="5"/>
  <c r="H8" i="3" s="1"/>
  <c r="BO36" i="5"/>
  <c r="BO46" i="5"/>
  <c r="BO38" i="5"/>
  <c r="BN36" i="5"/>
  <c r="BN46" i="5"/>
  <c r="BN38" i="5"/>
  <c r="BM36" i="5"/>
  <c r="BM46" i="5"/>
  <c r="BM38" i="5"/>
  <c r="BL36" i="5"/>
  <c r="BL46" i="5"/>
  <c r="BL38" i="5"/>
  <c r="BK36" i="5"/>
  <c r="BK46" i="5"/>
  <c r="BK38" i="5"/>
  <c r="BJ36" i="5"/>
  <c r="BJ46" i="5"/>
  <c r="BJ38" i="5"/>
  <c r="BI46" i="5"/>
  <c r="BI36" i="5"/>
  <c r="BI38" i="5"/>
  <c r="BH36" i="5"/>
  <c r="BH46" i="5"/>
  <c r="BH38" i="5"/>
  <c r="BE36" i="5"/>
  <c r="BE35" i="5"/>
  <c r="BE38" i="5"/>
  <c r="BG38" i="5"/>
  <c r="BU28" i="5"/>
  <c r="C8" i="3" s="1"/>
  <c r="BW28" i="5"/>
  <c r="E8" i="3" s="1"/>
  <c r="BV28" i="5"/>
  <c r="D8" i="3" s="1"/>
  <c r="BS28" i="5"/>
  <c r="BG46" i="5"/>
  <c r="BQ37" i="5"/>
  <c r="BO37" i="5"/>
  <c r="BN37" i="5"/>
  <c r="BM37" i="5"/>
  <c r="BL37" i="5"/>
  <c r="BE37" i="5"/>
  <c r="BK37" i="5"/>
  <c r="BJ37" i="5"/>
  <c r="BI37" i="5"/>
  <c r="BH37" i="5"/>
  <c r="BP36" i="5"/>
  <c r="BP35" i="5"/>
  <c r="BG36" i="5"/>
  <c r="BG35" i="5"/>
  <c r="CC31" i="5" l="1"/>
  <c r="I14" i="3" s="1"/>
  <c r="CD31" i="5"/>
  <c r="J14" i="3" s="1"/>
  <c r="CE31" i="5"/>
  <c r="K14" i="3" s="1"/>
  <c r="BS37" i="5"/>
  <c r="CD28" i="5"/>
  <c r="J8" i="3" s="1"/>
  <c r="CE28" i="5"/>
  <c r="K8" i="3" s="1"/>
  <c r="CC28" i="5"/>
  <c r="I8" i="3" s="1"/>
  <c r="BS38" i="5"/>
  <c r="BS36" i="5"/>
  <c r="BS35" i="5"/>
</calcChain>
</file>

<file path=xl/sharedStrings.xml><?xml version="1.0" encoding="utf-8"?>
<sst xmlns="http://schemas.openxmlformats.org/spreadsheetml/2006/main" count="639" uniqueCount="199">
  <si>
    <t>Connection</t>
  </si>
  <si>
    <t>WSFN|HFM|HFM|ZAVALIVE|ZAVALIVE</t>
  </si>
  <si>
    <t>Scenario#</t>
  </si>
  <si>
    <t>ACTUAL</t>
  </si>
  <si>
    <t>Year#</t>
  </si>
  <si>
    <t>Period#</t>
  </si>
  <si>
    <t>[YEAR]</t>
  </si>
  <si>
    <t>View#</t>
  </si>
  <si>
    <t>&lt;Scenario View&gt;</t>
  </si>
  <si>
    <t>Entity#</t>
  </si>
  <si>
    <t>[None]</t>
  </si>
  <si>
    <t>Value#</t>
  </si>
  <si>
    <t>USD Total</t>
  </si>
  <si>
    <t>Account#</t>
  </si>
  <si>
    <t>ICP#</t>
  </si>
  <si>
    <t>[ICP Top]</t>
  </si>
  <si>
    <t>Custom1#</t>
  </si>
  <si>
    <t>TotalC1</t>
  </si>
  <si>
    <t>Custom2#</t>
  </si>
  <si>
    <t>TotalC2</t>
  </si>
  <si>
    <t>Custom3#</t>
  </si>
  <si>
    <t>TotalC3</t>
  </si>
  <si>
    <t>Custom4#</t>
  </si>
  <si>
    <t>TotalC4</t>
  </si>
  <si>
    <t>TRAINING DATA ONLY - Zava Safety and all business names and numbers are fictitious. Layout mirrors a typical HFM / Cognos reporting pack.</t>
  </si>
  <si>
    <t>HFM entity name:</t>
  </si>
  <si>
    <t>GRANITE_DISP</t>
  </si>
  <si>
    <t>Current ME</t>
  </si>
  <si>
    <t>Next ME</t>
  </si>
  <si>
    <t>Period</t>
  </si>
  <si>
    <t>Month-end</t>
  </si>
  <si>
    <t>Current month-end period:</t>
  </si>
  <si>
    <t>P09</t>
  </si>
  <si>
    <t>Jan</t>
  </si>
  <si>
    <t>Actual</t>
  </si>
  <si>
    <t>P01</t>
  </si>
  <si>
    <t>Next month-end period:</t>
  </si>
  <si>
    <t>P10</t>
  </si>
  <si>
    <t>Feb</t>
  </si>
  <si>
    <t>P02</t>
  </si>
  <si>
    <t>Current month-end date:</t>
  </si>
  <si>
    <t>2026-09-30</t>
  </si>
  <si>
    <t>Mar</t>
  </si>
  <si>
    <t>P03</t>
  </si>
  <si>
    <t>Forecast reference for actual</t>
  </si>
  <si>
    <t>FCAST09</t>
  </si>
  <si>
    <t>Apr</t>
  </si>
  <si>
    <t>P04</t>
  </si>
  <si>
    <t>Next month-end date:</t>
  </si>
  <si>
    <t>2026-10-31</t>
  </si>
  <si>
    <t>May</t>
  </si>
  <si>
    <t>P05</t>
  </si>
  <si>
    <t>FCAST10</t>
  </si>
  <si>
    <t>Jun</t>
  </si>
  <si>
    <t>P06</t>
  </si>
  <si>
    <t>Jul</t>
  </si>
  <si>
    <t>P07</t>
  </si>
  <si>
    <t>Aug</t>
  </si>
  <si>
    <t>P08</t>
  </si>
  <si>
    <t>Current Period Estimate or Retrieve:</t>
  </si>
  <si>
    <t>Retrieve</t>
  </si>
  <si>
    <t>Sep</t>
  </si>
  <si>
    <t>Reported or Excl ACQ:</t>
  </si>
  <si>
    <t>Reported</t>
  </si>
  <si>
    <t>Oct</t>
  </si>
  <si>
    <t>Nov</t>
  </si>
  <si>
    <t>P11</t>
  </si>
  <si>
    <t>Dec</t>
  </si>
  <si>
    <t>P12</t>
  </si>
  <si>
    <t>Granite Gloves - FCAST10 forecast file - instructions</t>
  </si>
  <si>
    <t>(1) Forecast</t>
  </si>
  <si>
    <t>1 - On the {HFM Defaults} tab, confirm the entity name, the current month-end period and the next month-end period. Months that are closed show Actual; the month about to close shows the estimate.</t>
  </si>
  <si>
    <t>2 - Refresh the workbook so closed months show Actuals and the remaining months show the previous forecast (FCAST09).</t>
  </si>
  <si>
    <t>3 - FX changes for the current month and the forecast months are estimated automatically (see the Fx Changes block on the Forecast tab). Do not include FX in your operational adjustments.</t>
  </si>
  <si>
    <t>4 - On the Adjustments tab, enter your best estimate of the operational change vs FCAST09 for the month about to close and any future months (yellow cells).</t>
  </si>
  <si>
    <t>5 - Send the updated forecast file to Division Finance by end of day Friday before month-end close, unless told otherwise.</t>
  </si>
  <si>
    <t>Note - Make every forecast change on the Adjustments tab. Do not overwrite the Forecast tab; it is formula driven.</t>
  </si>
  <si>
    <t>Section 1: adjustments tied to individual events (new customer, changed contract, lost customer). Give every line a clear description - it is the only place the story of the change is captured.</t>
  </si>
  <si>
    <t>Section 2: general changes to Gross Margin % or Op Costs % of sales that are not tied to one event (for example employee turnover).</t>
  </si>
  <si>
    <t>Section 3: working capital adjustments.</t>
  </si>
  <si>
    <t>The Forecast tab shows Actuals for closed months plus FCAST09 for the remaining months, adds FX and your adjustments, and produces FCAST10. A variance section on the Forecast tab helps you sense-check the result.</t>
  </si>
  <si>
    <t>(2) Risks and Opportunities</t>
  </si>
  <si>
    <t>1 - On the R&amp;Os tab, list up to three risks and opportunities that are NOT in the forecast, with the PBITA impact and likelihood (Low 25%, Medium 50%, High 75%).</t>
  </si>
  <si>
    <t>2 - Send the updated R&amp;Os with the forecast file.</t>
  </si>
  <si>
    <t>Granite Gloves</t>
  </si>
  <si>
    <t>Through Sep</t>
  </si>
  <si>
    <t>Rest of Year</t>
  </si>
  <si>
    <t>Full Year</t>
  </si>
  <si>
    <t>Favorable / (Unfavorable)</t>
  </si>
  <si>
    <t>Actual vs. FCAST09</t>
  </si>
  <si>
    <t>Actual vs. Bud</t>
  </si>
  <si>
    <t>Actual vs. PY</t>
  </si>
  <si>
    <t>FCAST10 vs. FCAST09</t>
  </si>
  <si>
    <t>FCAST10 vs. Bud</t>
  </si>
  <si>
    <t>FCAST10 vs. PY</t>
  </si>
  <si>
    <t>Sales</t>
  </si>
  <si>
    <t>Gross Margin</t>
  </si>
  <si>
    <t>Op Costs</t>
  </si>
  <si>
    <t>PBITA</t>
  </si>
  <si>
    <t>Commentary (business controller):</t>
  </si>
  <si>
    <t>Index</t>
  </si>
  <si>
    <t>Section 1: Adjustments tied to individual events (i.e., new customer, modified sales contract, new/lost customer):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</si>
  <si>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</si>
  <si>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</si>
  <si>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</si>
  <si>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</si>
  <si>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</si>
  <si>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</si>
  <si>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</si>
  <si>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</si>
  <si>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</si>
  <si>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</si>
  <si>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</si>
  <si>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 Adj</t>
  </si>
  <si>
    <t>Backorders due to inventory availability</t>
  </si>
  <si>
    <t>Rebate true-up - buying group</t>
  </si>
  <si>
    <t>Insert Adj. 4</t>
  </si>
  <si>
    <t>Insert Adj. 5</t>
  </si>
  <si>
    <t>Insert Adj. 6</t>
  </si>
  <si>
    <t>Insert Adj. 7</t>
  </si>
  <si>
    <t>Insert Adj. 8</t>
  </si>
  <si>
    <t>Total Sales</t>
  </si>
  <si>
    <t>Gross Margin (%)</t>
  </si>
  <si>
    <t>Total Gross Margin (%)</t>
  </si>
  <si>
    <t>Gross Margin ($)</t>
  </si>
  <si>
    <t>Container receipts timing - freight cost</t>
  </si>
  <si>
    <t>Heat transfer decals</t>
  </si>
  <si>
    <t>Total Gross Margin ($)</t>
  </si>
  <si>
    <t>Op Costs (%)</t>
  </si>
  <si>
    <t>Total Op Costs (%)</t>
  </si>
  <si>
    <t>Op Costs ($)</t>
  </si>
  <si>
    <t>Backorders - variable cost savings</t>
  </si>
  <si>
    <t>Temp labor - new distribution center</t>
  </si>
  <si>
    <t>OT reduction</t>
  </si>
  <si>
    <t>Headcount reduction / postpone hiring</t>
  </si>
  <si>
    <t>Others</t>
  </si>
  <si>
    <t>Total Op Costs ($)</t>
  </si>
  <si>
    <t>Total PBITA</t>
  </si>
  <si>
    <t>Section 2: General adjustments in Gross Margin or Opex % of Sales that are not tied to individual events (i.e., employee turnover):</t>
  </si>
  <si>
    <t>Gross Margin - Previous FCAST</t>
  </si>
  <si>
    <t>N/A</t>
  </si>
  <si>
    <t>New Adjustments (%)</t>
  </si>
  <si>
    <t>None</t>
  </si>
  <si>
    <t>New Adjustments ($)</t>
  </si>
  <si>
    <t>Gross Margin - Current FCAST</t>
  </si>
  <si>
    <t>Op Costs - Previous FCAST</t>
  </si>
  <si>
    <t>Op Costs - Current FCAST</t>
  </si>
  <si>
    <t>Section 3: Working Capital Adjustments</t>
  </si>
  <si>
    <t>Net Inventory</t>
  </si>
  <si>
    <t>Trade Receivables</t>
  </si>
  <si>
    <t>Other Receivables</t>
  </si>
  <si>
    <t>Trade Payables</t>
  </si>
  <si>
    <t>Other Payables</t>
  </si>
  <si>
    <t>Total Working Capital</t>
  </si>
  <si>
    <t>NOTE: A positive number within the working capital adjustments section indicates a DR (i.e., increase to asset / decrease to liability). A negative number indicates a CR.</t>
  </si>
  <si>
    <t>Periodic</t>
  </si>
  <si>
    <t>FCAST10 - Variance ($) - Favorable / (Unfavorable)</t>
  </si>
  <si>
    <t>FCAST09 as Reported</t>
  </si>
  <si>
    <t>FCAST09 at New Fx Rates</t>
  </si>
  <si>
    <t>Fx Changes</t>
  </si>
  <si>
    <t>Operational Adjustments</t>
  </si>
  <si>
    <t>Forecast</t>
  </si>
  <si>
    <t>Description:</t>
  </si>
  <si>
    <t>Full year</t>
  </si>
  <si>
    <t>GM %</t>
  </si>
  <si>
    <t>Op Cost %</t>
  </si>
  <si>
    <t>PBITA %</t>
  </si>
  <si>
    <t>Sales/Day</t>
  </si>
  <si>
    <t>Total working capital</t>
  </si>
  <si>
    <t>Working capital/sales (monthly)</t>
  </si>
  <si>
    <t>Budget 2026</t>
  </si>
  <si>
    <t>2025 Actual</t>
  </si>
  <si>
    <t>Billing Days &amp; Daily Sales</t>
  </si>
  <si>
    <t>Reported Sales - FCAST10 (Actual Jan-Sep)</t>
  </si>
  <si>
    <t>Days 2026</t>
  </si>
  <si>
    <t>Daily Reported Sales</t>
  </si>
  <si>
    <t>Budget Sales 2026</t>
  </si>
  <si>
    <t>Daily Budget Sales</t>
  </si>
  <si>
    <t>Reported Sales 2025</t>
  </si>
  <si>
    <t>Days 2025</t>
  </si>
  <si>
    <t>Daily Reported Sales 2025</t>
  </si>
  <si>
    <t>Risks and Opportunities NOT included in FCAST10</t>
  </si>
  <si>
    <t>Likelihood</t>
  </si>
  <si>
    <t>Probability</t>
  </si>
  <si>
    <t>Low</t>
  </si>
  <si>
    <t>Medium</t>
  </si>
  <si>
    <t>High</t>
  </si>
  <si>
    <t>Business</t>
  </si>
  <si>
    <t>Type</t>
  </si>
  <si>
    <t>Description</t>
  </si>
  <si>
    <t>PBITA impact ($000)</t>
  </si>
  <si>
    <t>Weighted impact ($000)</t>
  </si>
  <si>
    <t>Timing</t>
  </si>
  <si>
    <t>Risk</t>
  </si>
  <si>
    <t>Container receipts slip again into January</t>
  </si>
  <si>
    <t>Q4 2026</t>
  </si>
  <si>
    <t>Opportunity</t>
  </si>
  <si>
    <t>Buying group rebate tier achieved</t>
  </si>
  <si>
    <t>Net risks &amp; opportunities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</si>
</sst>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[Red]\(#,##0.0\);&quot;-&quot;"/>
    <numFmt numFmtId="165" formatCode="0.0%;[Red]\-0.0%;&quot;-&quot;"/>
  </numFmts>
  <fonts count="10" x14ac:knownFonts="1">
    <font>
      <sz val="11"/>
      <color theme="1"/>
      <name val="Calibri"/>
      <family val="2"/>
      <scheme val="minor"/>
    </font>
    <font>
      <i/>
      <sz val="9"/>
      <color rgb="FFC00000"/>
      <name val="Calibri"/>
    </font>
    <font>
      <b/>
      <sz val="11"/>
      <name val="Calibri"/>
    </font>
    <font>
      <b/>
      <sz val="14"/>
      <color rgb="FF002060"/>
      <name val="Calibri"/>
    </font>
    <font>
      <sz val="11"/>
      <name val="Calibri"/>
    </font>
    <font>
      <b/>
      <sz val="13"/>
      <color rgb="FF002060"/>
      <name val="Calibri"/>
    </font>
    <font>
      <b/>
      <sz val="11"/>
      <color rgb="FF002060"/>
      <name val="Calibri"/>
    </font>
    <font>
      <b/>
      <sz val="11"/>
      <color rgb="FFFFFFFF"/>
      <name val="Calibri"/>
    </font>
    <font>
      <i/>
      <sz val="9"/>
      <name val="Calibri"/>
    </font>
    <font>
      <sz val="8"/>
      <color rgb="FF8080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DE6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 vertical="center" wrapText="1"/>
    </xf>
    <xf numFmtId="164" fontId="0" fillId="0" borderId="0" xfId="0" applyNumberFormat="1"/>
    <xf numFmtId="164" fontId="0" fillId="3" borderId="0" xfId="0" applyNumberFormat="1" applyFill="1"/>
    <xf numFmtId="164" fontId="2" fillId="4" borderId="0" xfId="0" applyNumberFormat="1" applyFont="1" applyFill="1"/>
    <xf numFmtId="165" fontId="0" fillId="0" borderId="0" xfId="0" applyNumberFormat="1"/>
    <xf numFmtId="165" fontId="2" fillId="4" borderId="0" xfId="0" applyNumberFormat="1" applyFont="1" applyFill="1"/>
    <xf numFmtId="0" fontId="8" fillId="0" borderId="0" xfId="0" applyFont="1"/>
    <xf numFmtId="0" fontId="9" fillId="0" borderId="0" xfId="0" applyFont="1"/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wrapText="1"/>
    </xf>
    <xf numFmtId="164" fontId="2" fillId="0" borderId="0" xfId="0" applyNumberFormat="1" applyFont="1"/>
    <xf numFmtId="0" fontId="4" fillId="0" borderId="0" xfId="0" applyFont="1"/>
    <xf numFmtId="0" fontId="2" fillId="4" borderId="0" xfId="0" applyFont="1" applyFill="1"/>
    <xf numFmtId="1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28"/>
  <sheetViews>
    <sheetView workbookViewId="0"/>
  </sheetViews>
  <sheetFormatPr baseColWidth="10" defaultColWidth="8.83203125" defaultRowHeight="15" x14ac:dyDescent="0.2"/>
  <cols>
    <col min="2" max="2" width="34" customWidth="1"/>
  </cols>
  <sheetData>
    <row r="2" spans="1:15" x14ac:dyDescent="0.2">
      <c r="A2" t="s">
        <v>0</v>
      </c>
      <c r="B2" t="s">
        <v>1</v>
      </c>
      <c r="C2" t="s">
        <v>1</v>
      </c>
      <c r="D2" t="s">
        <v>1</v>
      </c>
      <c r="E2" t="s">
        <v>1</v>
      </c>
    </row>
    <row r="3" spans="1:15" x14ac:dyDescent="0.2">
      <c r="A3" t="s">
        <v>2</v>
      </c>
      <c r="B3" t="s">
        <v>3</v>
      </c>
      <c r="C3" t="s">
        <v>3</v>
      </c>
      <c r="D3" t="s">
        <v>3</v>
      </c>
      <c r="E3" t="s">
        <v>3</v>
      </c>
    </row>
    <row r="4" spans="1:15" x14ac:dyDescent="0.2">
      <c r="A4" t="s">
        <v>4</v>
      </c>
    </row>
    <row r="5" spans="1:15" x14ac:dyDescent="0.2">
      <c r="A5" t="s">
        <v>5</v>
      </c>
      <c r="B5" t="s">
        <v>6</v>
      </c>
      <c r="C5" t="s">
        <v>6</v>
      </c>
      <c r="D5" t="s">
        <v>6</v>
      </c>
      <c r="E5" t="s">
        <v>6</v>
      </c>
    </row>
    <row r="6" spans="1:15" x14ac:dyDescent="0.2">
      <c r="A6" t="s">
        <v>7</v>
      </c>
      <c r="B6" t="s">
        <v>8</v>
      </c>
      <c r="C6" t="s">
        <v>8</v>
      </c>
      <c r="D6" t="s">
        <v>8</v>
      </c>
      <c r="E6" t="s">
        <v>8</v>
      </c>
    </row>
    <row r="7" spans="1:15" x14ac:dyDescent="0.2">
      <c r="A7" t="s">
        <v>9</v>
      </c>
      <c r="B7" t="s">
        <v>10</v>
      </c>
      <c r="C7" t="s">
        <v>10</v>
      </c>
      <c r="D7" t="s">
        <v>10</v>
      </c>
      <c r="E7" t="s">
        <v>10</v>
      </c>
    </row>
    <row r="8" spans="1:15" x14ac:dyDescent="0.2">
      <c r="A8" t="s">
        <v>11</v>
      </c>
      <c r="B8" t="s">
        <v>12</v>
      </c>
      <c r="C8" t="s">
        <v>12</v>
      </c>
      <c r="D8" t="s">
        <v>12</v>
      </c>
      <c r="E8" t="s">
        <v>12</v>
      </c>
    </row>
    <row r="9" spans="1:15" x14ac:dyDescent="0.2">
      <c r="A9" t="s">
        <v>13</v>
      </c>
    </row>
    <row r="10" spans="1:15" x14ac:dyDescent="0.2">
      <c r="A10" t="s">
        <v>14</v>
      </c>
      <c r="B10" t="s">
        <v>15</v>
      </c>
      <c r="C10" t="s">
        <v>15</v>
      </c>
      <c r="D10" t="s">
        <v>15</v>
      </c>
      <c r="E10" t="s">
        <v>15</v>
      </c>
    </row>
    <row r="11" spans="1:15" x14ac:dyDescent="0.2">
      <c r="A11" t="s">
        <v>16</v>
      </c>
      <c r="B11" t="s">
        <v>17</v>
      </c>
      <c r="C11" t="s">
        <v>17</v>
      </c>
      <c r="D11" t="s">
        <v>17</v>
      </c>
      <c r="E11" t="s">
        <v>17</v>
      </c>
    </row>
    <row r="12" spans="1:15" x14ac:dyDescent="0.2">
      <c r="A12" t="s">
        <v>18</v>
      </c>
      <c r="B12" t="s">
        <v>19</v>
      </c>
      <c r="C12" t="s">
        <v>19</v>
      </c>
      <c r="D12" t="s">
        <v>19</v>
      </c>
      <c r="E12" t="s">
        <v>19</v>
      </c>
    </row>
    <row r="13" spans="1:15" x14ac:dyDescent="0.2">
      <c r="A13" t="s">
        <v>20</v>
      </c>
      <c r="B13" t="s">
        <v>21</v>
      </c>
      <c r="C13" t="s">
        <v>21</v>
      </c>
      <c r="D13" t="s">
        <v>21</v>
      </c>
      <c r="E13" t="s">
        <v>21</v>
      </c>
    </row>
    <row r="14" spans="1:15" x14ac:dyDescent="0.2">
      <c r="A14" t="s">
        <v>22</v>
      </c>
      <c r="B14" t="s">
        <v>23</v>
      </c>
      <c r="C14" t="s">
        <v>23</v>
      </c>
      <c r="D14" t="s">
        <v>23</v>
      </c>
      <c r="E14" t="s">
        <v>23</v>
      </c>
    </row>
    <row r="15" spans="1:15" x14ac:dyDescent="0.2">
      <c r="B15" s="1" t="s">
        <v>24</v>
      </c>
    </row>
    <row r="16" spans="1:15" x14ac:dyDescent="0.2">
      <c r="B16" s="2" t="s">
        <v>25</v>
      </c>
      <c r="D16" t="s">
        <v>26</v>
      </c>
      <c r="G16" t="s">
        <v>27</v>
      </c>
      <c r="J16" t="s">
        <v>28</v>
      </c>
      <c r="N16" t="s">
        <v>29</v>
      </c>
      <c r="O16" t="s">
        <v>30</v>
      </c>
    </row>
    <row r="17" spans="2:14" x14ac:dyDescent="0.2">
      <c r="B17" s="2" t="s">
        <v>31</v>
      </c>
      <c r="D17" t="s">
        <v>32</v>
      </c>
      <c r="G17" t="s">
        <v>33</v>
      </c>
      <c r="H17" t="s">
        <v>34</v>
      </c>
      <c r="J17" t="s">
        <v>33</v>
      </c>
      <c r="K17" t="s">
        <v>34</v>
      </c>
      <c r="N17" t="s">
        <v>35</v>
      </c>
    </row>
    <row r="18" spans="2:14" x14ac:dyDescent="0.2">
      <c r="B18" s="2" t="s">
        <v>36</v>
      </c>
      <c r="D18" t="s">
        <v>37</v>
      </c>
      <c r="G18" t="s">
        <v>38</v>
      </c>
      <c r="H18" t="s">
        <v>34</v>
      </c>
      <c r="J18" t="s">
        <v>38</v>
      </c>
      <c r="K18" t="s">
        <v>34</v>
      </c>
      <c r="N18" t="s">
        <v>39</v>
      </c>
    </row>
    <row r="19" spans="2:14" x14ac:dyDescent="0.2">
      <c r="B19" s="2" t="s">
        <v>40</v>
      </c>
      <c r="D19" t="s">
        <v>41</v>
      </c>
      <c r="G19" t="s">
        <v>42</v>
      </c>
      <c r="H19" t="s">
        <v>34</v>
      </c>
      <c r="J19" t="s">
        <v>42</v>
      </c>
      <c r="K19" t="s">
        <v>34</v>
      </c>
      <c r="N19" t="s">
        <v>43</v>
      </c>
    </row>
    <row r="20" spans="2:14" x14ac:dyDescent="0.2">
      <c r="B20" s="2" t="s">
        <v>44</v>
      </c>
      <c r="D20" t="s">
        <v>45</v>
      </c>
      <c r="G20" t="s">
        <v>46</v>
      </c>
      <c r="H20" t="s">
        <v>34</v>
      </c>
      <c r="J20" t="s">
        <v>46</v>
      </c>
      <c r="K20" t="s">
        <v>34</v>
      </c>
      <c r="N20" t="s">
        <v>47</v>
      </c>
    </row>
    <row r="21" spans="2:14" x14ac:dyDescent="0.2">
      <c r="B21" s="2" t="s">
        <v>48</v>
      </c>
      <c r="D21" t="s">
        <v>49</v>
      </c>
      <c r="G21" t="s">
        <v>50</v>
      </c>
      <c r="H21" t="s">
        <v>34</v>
      </c>
      <c r="J21" t="s">
        <v>50</v>
      </c>
      <c r="K21" t="s">
        <v>34</v>
      </c>
      <c r="N21" t="s">
        <v>51</v>
      </c>
    </row>
    <row r="22" spans="2:14" x14ac:dyDescent="0.2">
      <c r="B22" s="2" t="s">
        <v>44</v>
      </c>
      <c r="D22" t="s">
        <v>52</v>
      </c>
      <c r="G22" t="s">
        <v>53</v>
      </c>
      <c r="H22" t="s">
        <v>34</v>
      </c>
      <c r="J22" t="s">
        <v>53</v>
      </c>
      <c r="K22" t="s">
        <v>34</v>
      </c>
      <c r="N22" t="s">
        <v>54</v>
      </c>
    </row>
    <row r="23" spans="2:14" x14ac:dyDescent="0.2">
      <c r="G23" t="s">
        <v>55</v>
      </c>
      <c r="H23" t="s">
        <v>34</v>
      </c>
      <c r="J23" t="s">
        <v>55</v>
      </c>
      <c r="K23" t="s">
        <v>34</v>
      </c>
      <c r="N23" t="s">
        <v>56</v>
      </c>
    </row>
    <row r="24" spans="2:14" x14ac:dyDescent="0.2">
      <c r="G24" t="s">
        <v>57</v>
      </c>
      <c r="H24" t="s">
        <v>34</v>
      </c>
      <c r="J24" t="s">
        <v>57</v>
      </c>
      <c r="K24" t="s">
        <v>34</v>
      </c>
      <c r="N24" t="s">
        <v>58</v>
      </c>
    </row>
    <row r="25" spans="2:14" x14ac:dyDescent="0.2">
      <c r="B25" s="2" t="s">
        <v>59</v>
      </c>
      <c r="D25" t="s">
        <v>60</v>
      </c>
      <c r="G25" t="s">
        <v>61</v>
      </c>
      <c r="H25" t="s">
        <v>45</v>
      </c>
      <c r="J25" t="s">
        <v>61</v>
      </c>
      <c r="K25" t="s">
        <v>34</v>
      </c>
      <c r="N25" t="s">
        <v>32</v>
      </c>
    </row>
    <row r="26" spans="2:14" x14ac:dyDescent="0.2">
      <c r="B26" s="2" t="s">
        <v>62</v>
      </c>
      <c r="D26" t="s">
        <v>63</v>
      </c>
      <c r="G26" t="s">
        <v>64</v>
      </c>
      <c r="H26" t="s">
        <v>45</v>
      </c>
      <c r="J26" t="s">
        <v>64</v>
      </c>
      <c r="K26" t="s">
        <v>52</v>
      </c>
      <c r="N26" t="s">
        <v>37</v>
      </c>
    </row>
    <row r="27" spans="2:14" x14ac:dyDescent="0.2">
      <c r="G27" t="s">
        <v>65</v>
      </c>
      <c r="H27" t="s">
        <v>45</v>
      </c>
      <c r="J27" t="s">
        <v>65</v>
      </c>
      <c r="K27" t="s">
        <v>52</v>
      </c>
      <c r="N27" t="s">
        <v>66</v>
      </c>
    </row>
    <row r="28" spans="2:14" x14ac:dyDescent="0.2">
      <c r="G28" t="s">
        <v>67</v>
      </c>
      <c r="H28" t="s">
        <v>45</v>
      </c>
      <c r="J28" t="s">
        <v>67</v>
      </c>
      <c r="K28" t="s">
        <v>52</v>
      </c>
      <c r="N28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18"/>
  <sheetViews>
    <sheetView showGridLines="0" workbookViewId="0"/>
  </sheetViews>
  <sheetFormatPr baseColWidth="10" defaultColWidth="8.83203125" defaultRowHeight="15" x14ac:dyDescent="0.2"/>
  <cols>
    <col min="2" max="2" width="120" customWidth="1"/>
  </cols>
  <sheetData>
    <row r="1" spans="2:2" ht="19" x14ac:dyDescent="0.25">
      <c r="B1" s="3" t="s">
        <v>69</v>
      </c>
    </row>
    <row r="3" spans="2:2" ht="16" x14ac:dyDescent="0.2">
      <c r="B3" s="4" t="s">
        <v>70</v>
      </c>
    </row>
    <row r="4" spans="2:2" ht="32" x14ac:dyDescent="0.2">
      <c r="B4" s="5" t="s">
        <v>71</v>
      </c>
    </row>
    <row r="5" spans="2:2" ht="16" x14ac:dyDescent="0.2">
      <c r="B5" s="5" t="s">
        <v>72</v>
      </c>
    </row>
    <row r="6" spans="2:2" ht="32" x14ac:dyDescent="0.2">
      <c r="B6" s="5" t="s">
        <v>73</v>
      </c>
    </row>
    <row r="7" spans="2:2" ht="32" x14ac:dyDescent="0.2">
      <c r="B7" s="5" t="s">
        <v>74</v>
      </c>
    </row>
    <row r="8" spans="2:2" ht="16" x14ac:dyDescent="0.2">
      <c r="B8" s="5" t="s">
        <v>75</v>
      </c>
    </row>
    <row r="9" spans="2:2" ht="16" x14ac:dyDescent="0.2">
      <c r="B9" s="4" t="s">
        <v>76</v>
      </c>
    </row>
    <row r="10" spans="2:2" ht="32" x14ac:dyDescent="0.2">
      <c r="B10" s="5" t="s">
        <v>77</v>
      </c>
    </row>
    <row r="11" spans="2:2" ht="16" x14ac:dyDescent="0.2">
      <c r="B11" s="5" t="s">
        <v>78</v>
      </c>
    </row>
    <row r="12" spans="2:2" ht="16" x14ac:dyDescent="0.2">
      <c r="B12" s="5" t="s">
        <v>79</v>
      </c>
    </row>
    <row r="13" spans="2:2" ht="32" x14ac:dyDescent="0.2">
      <c r="B13" s="5" t="s">
        <v>80</v>
      </c>
    </row>
    <row r="14" spans="2:2" ht="16" x14ac:dyDescent="0.2">
      <c r="B14" s="4" t="s">
        <v>81</v>
      </c>
    </row>
    <row r="15" spans="2:2" ht="32" x14ac:dyDescent="0.2">
      <c r="B15" s="5" t="s">
        <v>82</v>
      </c>
    </row>
    <row r="16" spans="2:2" ht="16" x14ac:dyDescent="0.2">
      <c r="B16" s="5" t="s">
        <v>83</v>
      </c>
    </row>
    <row r="18" spans="2:2" x14ac:dyDescent="0.2">
      <c r="B18" s="1" t="s">
        <v>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showGridLines="0" workbookViewId="0"/>
  </sheetViews>
  <sheetFormatPr baseColWidth="10" defaultColWidth="8.83203125" defaultRowHeight="15" x14ac:dyDescent="0.2"/>
  <cols>
    <col min="2" max="2" width="28" customWidth="1"/>
    <col min="3" max="11" width="14" customWidth="1"/>
  </cols>
  <sheetData>
    <row r="1" spans="1:11" ht="17" x14ac:dyDescent="0.2">
      <c r="A1" t="s">
        <v>27</v>
      </c>
      <c r="B1" t="s">
        <v>32</v>
      </c>
      <c r="D1" s="6" t="s">
        <v>84</v>
      </c>
    </row>
    <row r="2" spans="1:11" x14ac:dyDescent="0.2">
      <c r="A2" t="s">
        <v>28</v>
      </c>
      <c r="B2" t="s">
        <v>37</v>
      </c>
      <c r="D2" s="1" t="s">
        <v>24</v>
      </c>
    </row>
    <row r="4" spans="1:11" x14ac:dyDescent="0.2">
      <c r="C4" s="7" t="s">
        <v>52</v>
      </c>
    </row>
    <row r="5" spans="1:11" x14ac:dyDescent="0.2">
      <c r="C5" s="2" t="s">
        <v>85</v>
      </c>
      <c r="F5" s="2" t="s">
        <v>86</v>
      </c>
      <c r="I5" s="2" t="s">
        <v>87</v>
      </c>
    </row>
    <row r="6" spans="1:11" ht="30" customHeight="1" x14ac:dyDescent="0.2">
      <c r="B6" s="2" t="s">
        <v>88</v>
      </c>
      <c r="C6" s="8" t="s">
        <v>89</v>
      </c>
      <c r="D6" s="8" t="s">
        <v>90</v>
      </c>
      <c r="E6" s="8" t="s">
        <v>91</v>
      </c>
      <c r="F6" s="8" t="s">
        <v>92</v>
      </c>
      <c r="G6" s="8" t="s">
        <v>93</v>
      </c>
      <c r="H6" s="8" t="s">
        <v>94</v>
      </c>
      <c r="I6" s="8" t="s">
        <v>92</v>
      </c>
      <c r="J6" s="8" t="s">
        <v>93</v>
      </c>
      <c r="K6" s="8" t="s">
        <v>94</v>
      </c>
    </row>
    <row r="8" spans="1:11" x14ac:dyDescent="0.2">
      <c r="B8" s="2" t="s">
        <v>95</v>
      </c>
      <c r="C8" s="9">
        <f>Forecast!BU28</f>
        <v>-430</v>
      </c>
      <c r="D8" s="9">
        <f>Forecast!BV28</f>
        <v>-2792.4000000000015</v>
      </c>
      <c r="E8" s="9">
        <f>Forecast!BW28</f>
        <v>-1464.4000000000015</v>
      </c>
      <c r="F8" s="9">
        <f>Forecast!BY28</f>
        <v>-750</v>
      </c>
      <c r="G8" s="9">
        <f>Forecast!BZ28</f>
        <v>-1450.9000000000015</v>
      </c>
      <c r="H8" s="9">
        <f>Forecast!CA28</f>
        <v>-1011.1999999999989</v>
      </c>
      <c r="I8" s="9">
        <f>Forecast!CC28</f>
        <v>-1180</v>
      </c>
      <c r="J8" s="9">
        <f>Forecast!CD28</f>
        <v>-4243.3000000000029</v>
      </c>
      <c r="K8" s="9">
        <f>Forecast!CE28</f>
        <v>-2475.5999999999985</v>
      </c>
    </row>
    <row r="10" spans="1:11" x14ac:dyDescent="0.2">
      <c r="B10" s="2" t="s">
        <v>96</v>
      </c>
      <c r="C10" s="9">
        <f>Forecast!BU29</f>
        <v>-265</v>
      </c>
      <c r="D10" s="9">
        <f>Forecast!BV29</f>
        <v>-1639.9000000000015</v>
      </c>
      <c r="E10" s="9">
        <f>Forecast!BW29</f>
        <v>-1517.3000000000011</v>
      </c>
      <c r="F10" s="9">
        <f>Forecast!BY29</f>
        <v>-260</v>
      </c>
      <c r="G10" s="9">
        <f>Forecast!BZ29</f>
        <v>-712.20000000000073</v>
      </c>
      <c r="H10" s="9">
        <f>Forecast!CA29</f>
        <v>-668.90000000000055</v>
      </c>
      <c r="I10" s="9">
        <f>Forecast!CC29</f>
        <v>-525</v>
      </c>
      <c r="J10" s="9">
        <f>Forecast!CD29</f>
        <v>-2352.1000000000022</v>
      </c>
      <c r="K10" s="9">
        <f>Forecast!CE29</f>
        <v>-2186.2000000000044</v>
      </c>
    </row>
    <row r="12" spans="1:11" x14ac:dyDescent="0.2">
      <c r="B12" s="2" t="s">
        <v>97</v>
      </c>
      <c r="C12" s="9">
        <f>Forecast!BU30</f>
        <v>42</v>
      </c>
      <c r="D12" s="9">
        <f>Forecast!BV30</f>
        <v>254.5</v>
      </c>
      <c r="E12" s="9">
        <f>Forecast!BW30</f>
        <v>48.399999999999636</v>
      </c>
      <c r="F12" s="9">
        <f>Forecast!BY30</f>
        <v>132</v>
      </c>
      <c r="G12" s="9">
        <f>Forecast!BZ30</f>
        <v>219.70000000000027</v>
      </c>
      <c r="H12" s="9">
        <f>Forecast!CA30</f>
        <v>161.40000000000055</v>
      </c>
      <c r="I12" s="9">
        <f>Forecast!CC30</f>
        <v>174</v>
      </c>
      <c r="J12" s="9">
        <f>Forecast!CD30</f>
        <v>474.20000000000073</v>
      </c>
      <c r="K12" s="9">
        <f>Forecast!CE30</f>
        <v>209.79999999999927</v>
      </c>
    </row>
    <row r="14" spans="1:11" x14ac:dyDescent="0.2">
      <c r="B14" s="2" t="s">
        <v>98</v>
      </c>
      <c r="C14" s="9">
        <f>Forecast!BU31</f>
        <v>-223</v>
      </c>
      <c r="D14" s="9">
        <f>Forecast!BV31</f>
        <v>-1385.4000000000005</v>
      </c>
      <c r="E14" s="9">
        <f>Forecast!BW31</f>
        <v>-1468.8999999999996</v>
      </c>
      <c r="F14" s="9">
        <f>Forecast!BY31</f>
        <v>-128</v>
      </c>
      <c r="G14" s="9">
        <f>Forecast!BZ31</f>
        <v>-492.49999999999977</v>
      </c>
      <c r="H14" s="9">
        <f>Forecast!CA31</f>
        <v>-507.49999999999955</v>
      </c>
      <c r="I14" s="9">
        <f>Forecast!CC31</f>
        <v>-351</v>
      </c>
      <c r="J14" s="9">
        <f>Forecast!CD31</f>
        <v>-1877.9000000000005</v>
      </c>
      <c r="K14" s="9">
        <f>Forecast!CE31</f>
        <v>-1976.3999999999996</v>
      </c>
    </row>
    <row r="17" spans="2:11" x14ac:dyDescent="0.2">
      <c r="B17" s="7" t="s">
        <v>99</v>
      </c>
    </row>
    <row r="18" spans="2:11" x14ac:dyDescent="0.2">
      <c r="B18" s="24"/>
      <c r="C18" s="25"/>
      <c r="D18" s="25"/>
      <c r="E18" s="25"/>
      <c r="F18" s="25"/>
      <c r="G18" s="25"/>
      <c r="H18" s="25"/>
      <c r="I18" s="25"/>
      <c r="J18" s="25"/>
      <c r="K18" s="25"/>
    </row>
    <row r="19" spans="2:11" x14ac:dyDescent="0.2">
      <c r="B19" s="24"/>
      <c r="C19" s="25"/>
      <c r="D19" s="25"/>
      <c r="E19" s="25"/>
      <c r="F19" s="25"/>
      <c r="G19" s="25"/>
      <c r="H19" s="25"/>
      <c r="I19" s="25"/>
      <c r="J19" s="25"/>
      <c r="K19" s="25"/>
    </row>
    <row r="20" spans="2:11" x14ac:dyDescent="0.2">
      <c r="B20" s="24"/>
      <c r="C20" s="25"/>
      <c r="D20" s="25"/>
      <c r="E20" s="25"/>
      <c r="F20" s="25"/>
      <c r="G20" s="25"/>
      <c r="H20" s="25"/>
      <c r="I20" s="25"/>
      <c r="J20" s="25"/>
      <c r="K20" s="25"/>
    </row>
    <row r="21" spans="2:11" x14ac:dyDescent="0.2">
      <c r="B21" s="24"/>
      <c r="C21" s="25"/>
      <c r="D21" s="25"/>
      <c r="E21" s="25"/>
      <c r="F21" s="25"/>
      <c r="G21" s="25"/>
      <c r="H21" s="25"/>
      <c r="I21" s="25"/>
      <c r="J21" s="25"/>
      <c r="K21" s="25"/>
    </row>
    <row r="22" spans="2:11" x14ac:dyDescent="0.2">
      <c r="B22" s="24"/>
      <c r="C22" s="25"/>
      <c r="D22" s="25"/>
      <c r="E22" s="25"/>
      <c r="F22" s="25"/>
      <c r="G22" s="25"/>
      <c r="H22" s="25"/>
      <c r="I22" s="25"/>
      <c r="J22" s="25"/>
      <c r="K22" s="25"/>
    </row>
    <row r="23" spans="2:11" x14ac:dyDescent="0.2">
      <c r="B23" s="24"/>
      <c r="C23" s="25"/>
      <c r="D23" s="25"/>
      <c r="E23" s="25"/>
      <c r="F23" s="25"/>
      <c r="G23" s="25"/>
      <c r="H23" s="25"/>
      <c r="I23" s="25"/>
      <c r="J23" s="25"/>
      <c r="K23" s="25"/>
    </row>
  </sheetData>
  <mergeCells count="6">
    <mergeCell ref="B23:K23"/>
    <mergeCell ref="B22:K22"/>
    <mergeCell ref="B18:K18"/>
    <mergeCell ref="B21:K21"/>
    <mergeCell ref="B20:K20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7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7" customWidth="1"/>
    <col min="2" max="2" width="52" customWidth="1"/>
    <col min="3" max="15" width="11" customWidth="1"/>
  </cols>
  <sheetData>
    <row r="1" spans="1:15" x14ac:dyDescent="0.2">
      <c r="A1" t="s">
        <v>100</v>
      </c>
      <c r="C1">
        <v>21</v>
      </c>
      <c r="D1">
        <v>20</v>
      </c>
      <c r="E1">
        <v>22</v>
      </c>
      <c r="F1">
        <v>22</v>
      </c>
      <c r="G1">
        <v>20</v>
      </c>
      <c r="H1">
        <v>22</v>
      </c>
      <c r="I1">
        <v>22</v>
      </c>
      <c r="J1">
        <v>21</v>
      </c>
      <c r="K1">
        <v>21</v>
      </c>
      <c r="L1">
        <v>22</v>
      </c>
      <c r="M1">
        <v>19</v>
      </c>
      <c r="N1">
        <v>22</v>
      </c>
      <c r="O1">
        <f>SUM(C1:N1)</f>
        <v>254</v>
      </c>
    </row>
    <row r="2" spans="1:15" x14ac:dyDescent="0.2">
      <c r="B2" s="7" t="s">
        <v>101</v>
      </c>
    </row>
    <row r="3" spans="1:15" x14ac:dyDescent="0.2">
      <c r="B3" s="1" t="s">
        <v>24</v>
      </c>
    </row>
    <row r="4" spans="1:15" ht="16" x14ac:dyDescent="0.2">
      <c r="C4" s="8" t="s">
        <v>102</v>
      </c>
      <c r="D4" s="8" t="s">
        <v>103</v>
      </c>
      <c r="E4" s="8" t="s">
        <v>104</v>
      </c>
      <c r="F4" s="8" t="s">
        <v>105</v>
      </c>
      <c r="G4" s="8" t="s">
        <v>50</v>
      </c>
      <c r="H4" s="8" t="s">
        <v>106</v>
      </c>
      <c r="I4" s="8" t="s">
        <v>107</v>
      </c>
      <c r="J4" s="8" t="s">
        <v>108</v>
      </c>
      <c r="K4" s="8" t="s">
        <v>109</v>
      </c>
      <c r="L4" s="8" t="s">
        <v>110</v>
      </c>
      <c r="M4" s="8" t="s">
        <v>111</v>
      </c>
      <c r="N4" s="8" t="s">
        <v>112</v>
      </c>
      <c r="O4" s="8" t="s">
        <v>113</v>
      </c>
    </row>
    <row r="5" spans="1:15" x14ac:dyDescent="0.2">
      <c r="B5" s="2" t="s">
        <v>95</v>
      </c>
    </row>
    <row r="6" spans="1:15" x14ac:dyDescent="0.2">
      <c r="B6" t="s">
        <v>114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10">
        <v>-250</v>
      </c>
      <c r="L6" s="10">
        <v>-250</v>
      </c>
      <c r="M6" s="10">
        <v>-200</v>
      </c>
      <c r="N6" s="10">
        <v>0</v>
      </c>
      <c r="O6" s="9">
        <f t="shared" ref="O6:O13" si="0">SUM(C6:N6)</f>
        <v>-700</v>
      </c>
    </row>
    <row r="7" spans="1:15" x14ac:dyDescent="0.2">
      <c r="B7" t="s">
        <v>115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10">
        <v>-180</v>
      </c>
      <c r="L7" s="10">
        <v>0</v>
      </c>
      <c r="M7" s="10">
        <v>0</v>
      </c>
      <c r="N7" s="10">
        <v>0</v>
      </c>
      <c r="O7" s="9">
        <f t="shared" si="0"/>
        <v>-180</v>
      </c>
    </row>
    <row r="8" spans="1:15" x14ac:dyDescent="0.2">
      <c r="B8" t="s">
        <v>114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10">
        <v>0</v>
      </c>
      <c r="L8" s="10">
        <v>0</v>
      </c>
      <c r="M8" s="10">
        <v>0</v>
      </c>
      <c r="N8" s="10">
        <v>-300</v>
      </c>
      <c r="O8" s="9">
        <f t="shared" si="0"/>
        <v>-300</v>
      </c>
    </row>
    <row r="9" spans="1:15" x14ac:dyDescent="0.2">
      <c r="B9" t="s">
        <v>116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10">
        <v>0</v>
      </c>
      <c r="L9" s="10">
        <v>0</v>
      </c>
      <c r="M9" s="10">
        <v>0</v>
      </c>
      <c r="N9" s="10">
        <v>0</v>
      </c>
      <c r="O9" s="9">
        <f t="shared" si="0"/>
        <v>0</v>
      </c>
    </row>
    <row r="10" spans="1:15" x14ac:dyDescent="0.2">
      <c r="B10" t="s">
        <v>117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10">
        <v>0</v>
      </c>
      <c r="L10" s="10">
        <v>0</v>
      </c>
      <c r="M10" s="10">
        <v>0</v>
      </c>
      <c r="N10" s="10">
        <v>0</v>
      </c>
      <c r="O10" s="9">
        <f t="shared" si="0"/>
        <v>0</v>
      </c>
    </row>
    <row r="11" spans="1:15" x14ac:dyDescent="0.2">
      <c r="B11" t="s">
        <v>118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10">
        <v>0</v>
      </c>
      <c r="L11" s="10">
        <v>0</v>
      </c>
      <c r="M11" s="10">
        <v>0</v>
      </c>
      <c r="N11" s="10">
        <v>0</v>
      </c>
      <c r="O11" s="9">
        <f t="shared" si="0"/>
        <v>0</v>
      </c>
    </row>
    <row r="12" spans="1:15" x14ac:dyDescent="0.2">
      <c r="B12" t="s">
        <v>119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10">
        <v>0</v>
      </c>
      <c r="L12" s="10">
        <v>0</v>
      </c>
      <c r="M12" s="10">
        <v>0</v>
      </c>
      <c r="N12" s="10">
        <v>0</v>
      </c>
      <c r="O12" s="9">
        <f t="shared" si="0"/>
        <v>0</v>
      </c>
    </row>
    <row r="13" spans="1:15" x14ac:dyDescent="0.2">
      <c r="B13" t="s">
        <v>120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10">
        <v>0</v>
      </c>
      <c r="L13" s="10">
        <v>0</v>
      </c>
      <c r="M13" s="10">
        <v>0</v>
      </c>
      <c r="N13" s="10">
        <v>0</v>
      </c>
      <c r="O13" s="9">
        <f t="shared" si="0"/>
        <v>0</v>
      </c>
    </row>
    <row r="14" spans="1:15" x14ac:dyDescent="0.2">
      <c r="B14" s="2" t="s">
        <v>121</v>
      </c>
      <c r="C14" s="11">
        <f t="shared" ref="C14:O14" si="1">SUM(C6:C13)</f>
        <v>0</v>
      </c>
      <c r="D14" s="11">
        <f t="shared" si="1"/>
        <v>0</v>
      </c>
      <c r="E14" s="11">
        <f t="shared" si="1"/>
        <v>0</v>
      </c>
      <c r="F14" s="11">
        <f t="shared" si="1"/>
        <v>0</v>
      </c>
      <c r="G14" s="11">
        <f t="shared" si="1"/>
        <v>0</v>
      </c>
      <c r="H14" s="11">
        <f t="shared" si="1"/>
        <v>0</v>
      </c>
      <c r="I14" s="11">
        <f t="shared" si="1"/>
        <v>0</v>
      </c>
      <c r="J14" s="11">
        <f t="shared" si="1"/>
        <v>0</v>
      </c>
      <c r="K14" s="11">
        <f t="shared" si="1"/>
        <v>-430</v>
      </c>
      <c r="L14" s="11">
        <f t="shared" si="1"/>
        <v>-250</v>
      </c>
      <c r="M14" s="11">
        <f t="shared" si="1"/>
        <v>-200</v>
      </c>
      <c r="N14" s="11">
        <f t="shared" si="1"/>
        <v>-300</v>
      </c>
      <c r="O14" s="11">
        <f t="shared" si="1"/>
        <v>-1180</v>
      </c>
    </row>
    <row r="16" spans="1:15" x14ac:dyDescent="0.2">
      <c r="B16" s="2" t="s">
        <v>122</v>
      </c>
    </row>
    <row r="17" spans="2:15" x14ac:dyDescent="0.2">
      <c r="B17" t="str">
        <f t="shared" ref="B17:B24" si="2">B6</f>
        <v>Backorders due to inventory availability</v>
      </c>
      <c r="C17" s="12">
        <f t="shared" ref="C17:O17" si="3">IFERROR(C28/C6,0)</f>
        <v>0</v>
      </c>
      <c r="D17" s="12">
        <f t="shared" si="3"/>
        <v>0</v>
      </c>
      <c r="E17" s="12">
        <f t="shared" si="3"/>
        <v>0</v>
      </c>
      <c r="F17" s="12">
        <f t="shared" si="3"/>
        <v>0</v>
      </c>
      <c r="G17" s="12">
        <f t="shared" si="3"/>
        <v>0</v>
      </c>
      <c r="H17" s="12">
        <f t="shared" si="3"/>
        <v>0</v>
      </c>
      <c r="I17" s="12">
        <f t="shared" si="3"/>
        <v>0</v>
      </c>
      <c r="J17" s="12">
        <f t="shared" si="3"/>
        <v>0</v>
      </c>
      <c r="K17" s="12">
        <f t="shared" si="3"/>
        <v>0.3</v>
      </c>
      <c r="L17" s="12">
        <f t="shared" si="3"/>
        <v>0.3</v>
      </c>
      <c r="M17" s="12">
        <f t="shared" si="3"/>
        <v>0.3</v>
      </c>
      <c r="N17" s="12">
        <f t="shared" si="3"/>
        <v>0</v>
      </c>
      <c r="O17" s="12">
        <f t="shared" si="3"/>
        <v>0.3</v>
      </c>
    </row>
    <row r="18" spans="2:15" x14ac:dyDescent="0.2">
      <c r="B18" t="str">
        <f t="shared" si="2"/>
        <v>Rebate true-up - buying group</v>
      </c>
      <c r="C18" s="12">
        <f t="shared" ref="C18:O18" si="4">IFERROR(C29/C7,0)</f>
        <v>0</v>
      </c>
      <c r="D18" s="12">
        <f t="shared" si="4"/>
        <v>0</v>
      </c>
      <c r="E18" s="12">
        <f t="shared" si="4"/>
        <v>0</v>
      </c>
      <c r="F18" s="12">
        <f t="shared" si="4"/>
        <v>0</v>
      </c>
      <c r="G18" s="12">
        <f t="shared" si="4"/>
        <v>0</v>
      </c>
      <c r="H18" s="12">
        <f t="shared" si="4"/>
        <v>0</v>
      </c>
      <c r="I18" s="12">
        <f t="shared" si="4"/>
        <v>0</v>
      </c>
      <c r="J18" s="12">
        <f t="shared" si="4"/>
        <v>0</v>
      </c>
      <c r="K18" s="12">
        <f t="shared" si="4"/>
        <v>1</v>
      </c>
      <c r="L18" s="12">
        <f t="shared" si="4"/>
        <v>0</v>
      </c>
      <c r="M18" s="12">
        <f t="shared" si="4"/>
        <v>0</v>
      </c>
      <c r="N18" s="12">
        <f t="shared" si="4"/>
        <v>0</v>
      </c>
      <c r="O18" s="12">
        <f t="shared" si="4"/>
        <v>1</v>
      </c>
    </row>
    <row r="19" spans="2:15" x14ac:dyDescent="0.2">
      <c r="B19" t="str">
        <f t="shared" si="2"/>
        <v>Backorders due to inventory availability</v>
      </c>
      <c r="C19" s="12">
        <f t="shared" ref="C19:O19" si="5">IFERROR(C30/C8,0)</f>
        <v>0</v>
      </c>
      <c r="D19" s="12">
        <f t="shared" si="5"/>
        <v>0</v>
      </c>
      <c r="E19" s="12">
        <f t="shared" si="5"/>
        <v>0</v>
      </c>
      <c r="F19" s="12">
        <f t="shared" si="5"/>
        <v>0</v>
      </c>
      <c r="G19" s="12">
        <f t="shared" si="5"/>
        <v>0</v>
      </c>
      <c r="H19" s="12">
        <f t="shared" si="5"/>
        <v>0</v>
      </c>
      <c r="I19" s="12">
        <f t="shared" si="5"/>
        <v>0</v>
      </c>
      <c r="J19" s="12">
        <f t="shared" si="5"/>
        <v>0</v>
      </c>
      <c r="K19" s="12">
        <f t="shared" si="5"/>
        <v>0</v>
      </c>
      <c r="L19" s="12">
        <f t="shared" si="5"/>
        <v>0</v>
      </c>
      <c r="M19" s="12">
        <f t="shared" si="5"/>
        <v>0</v>
      </c>
      <c r="N19" s="12">
        <f t="shared" si="5"/>
        <v>6.6666666666666666E-2</v>
      </c>
      <c r="O19" s="12">
        <f t="shared" si="5"/>
        <v>0.3</v>
      </c>
    </row>
    <row r="20" spans="2:15" x14ac:dyDescent="0.2">
      <c r="B20" t="str">
        <f t="shared" si="2"/>
        <v>Insert Adj. 4</v>
      </c>
      <c r="C20" s="12">
        <f t="shared" ref="C20:O20" si="6">IFERROR(C31/C9,0)</f>
        <v>0</v>
      </c>
      <c r="D20" s="12">
        <f t="shared" si="6"/>
        <v>0</v>
      </c>
      <c r="E20" s="12">
        <f t="shared" si="6"/>
        <v>0</v>
      </c>
      <c r="F20" s="12">
        <f t="shared" si="6"/>
        <v>0</v>
      </c>
      <c r="G20" s="12">
        <f t="shared" si="6"/>
        <v>0</v>
      </c>
      <c r="H20" s="12">
        <f t="shared" si="6"/>
        <v>0</v>
      </c>
      <c r="I20" s="12">
        <f t="shared" si="6"/>
        <v>0</v>
      </c>
      <c r="J20" s="12">
        <f t="shared" si="6"/>
        <v>0</v>
      </c>
      <c r="K20" s="12">
        <f t="shared" si="6"/>
        <v>0</v>
      </c>
      <c r="L20" s="12">
        <f t="shared" si="6"/>
        <v>0</v>
      </c>
      <c r="M20" s="12">
        <f t="shared" si="6"/>
        <v>0</v>
      </c>
      <c r="N20" s="12">
        <f t="shared" si="6"/>
        <v>0</v>
      </c>
      <c r="O20" s="12">
        <f t="shared" si="6"/>
        <v>0</v>
      </c>
    </row>
    <row r="21" spans="2:15" x14ac:dyDescent="0.2">
      <c r="B21" t="str">
        <f t="shared" si="2"/>
        <v>Insert Adj. 5</v>
      </c>
      <c r="C21" s="12">
        <f t="shared" ref="C21:O21" si="7">IFERROR(C32/C10,0)</f>
        <v>0</v>
      </c>
      <c r="D21" s="12">
        <f t="shared" si="7"/>
        <v>0</v>
      </c>
      <c r="E21" s="12">
        <f t="shared" si="7"/>
        <v>0</v>
      </c>
      <c r="F21" s="12">
        <f t="shared" si="7"/>
        <v>0</v>
      </c>
      <c r="G21" s="12">
        <f t="shared" si="7"/>
        <v>0</v>
      </c>
      <c r="H21" s="12">
        <f t="shared" si="7"/>
        <v>0</v>
      </c>
      <c r="I21" s="12">
        <f t="shared" si="7"/>
        <v>0</v>
      </c>
      <c r="J21" s="12">
        <f t="shared" si="7"/>
        <v>0</v>
      </c>
      <c r="K21" s="12">
        <f t="shared" si="7"/>
        <v>0</v>
      </c>
      <c r="L21" s="12">
        <f t="shared" si="7"/>
        <v>0</v>
      </c>
      <c r="M21" s="12">
        <f t="shared" si="7"/>
        <v>0</v>
      </c>
      <c r="N21" s="12">
        <f t="shared" si="7"/>
        <v>0</v>
      </c>
      <c r="O21" s="12">
        <f t="shared" si="7"/>
        <v>0</v>
      </c>
    </row>
    <row r="22" spans="2:15" x14ac:dyDescent="0.2">
      <c r="B22" t="str">
        <f t="shared" si="2"/>
        <v>Insert Adj. 6</v>
      </c>
      <c r="C22" s="12">
        <f t="shared" ref="C22:O22" si="8">IFERROR(C33/C11,0)</f>
        <v>0</v>
      </c>
      <c r="D22" s="12">
        <f t="shared" si="8"/>
        <v>0</v>
      </c>
      <c r="E22" s="12">
        <f t="shared" si="8"/>
        <v>0</v>
      </c>
      <c r="F22" s="12">
        <f t="shared" si="8"/>
        <v>0</v>
      </c>
      <c r="G22" s="12">
        <f t="shared" si="8"/>
        <v>0</v>
      </c>
      <c r="H22" s="12">
        <f t="shared" si="8"/>
        <v>0</v>
      </c>
      <c r="I22" s="12">
        <f t="shared" si="8"/>
        <v>0</v>
      </c>
      <c r="J22" s="12">
        <f t="shared" si="8"/>
        <v>0</v>
      </c>
      <c r="K22" s="12">
        <f t="shared" si="8"/>
        <v>0</v>
      </c>
      <c r="L22" s="12">
        <f t="shared" si="8"/>
        <v>0</v>
      </c>
      <c r="M22" s="12">
        <f t="shared" si="8"/>
        <v>0</v>
      </c>
      <c r="N22" s="12">
        <f t="shared" si="8"/>
        <v>0</v>
      </c>
      <c r="O22" s="12">
        <f t="shared" si="8"/>
        <v>0</v>
      </c>
    </row>
    <row r="23" spans="2:15" x14ac:dyDescent="0.2">
      <c r="B23" t="str">
        <f t="shared" si="2"/>
        <v>Insert Adj. 7</v>
      </c>
      <c r="C23" s="12">
        <f t="shared" ref="C23:O23" si="9">IFERROR(C34/C12,0)</f>
        <v>0</v>
      </c>
      <c r="D23" s="12">
        <f t="shared" si="9"/>
        <v>0</v>
      </c>
      <c r="E23" s="12">
        <f t="shared" si="9"/>
        <v>0</v>
      </c>
      <c r="F23" s="12">
        <f t="shared" si="9"/>
        <v>0</v>
      </c>
      <c r="G23" s="12">
        <f t="shared" si="9"/>
        <v>0</v>
      </c>
      <c r="H23" s="12">
        <f t="shared" si="9"/>
        <v>0</v>
      </c>
      <c r="I23" s="12">
        <f t="shared" si="9"/>
        <v>0</v>
      </c>
      <c r="J23" s="12">
        <f t="shared" si="9"/>
        <v>0</v>
      </c>
      <c r="K23" s="12">
        <f t="shared" si="9"/>
        <v>0</v>
      </c>
      <c r="L23" s="12">
        <f t="shared" si="9"/>
        <v>0</v>
      </c>
      <c r="M23" s="12">
        <f t="shared" si="9"/>
        <v>0</v>
      </c>
      <c r="N23" s="12">
        <f t="shared" si="9"/>
        <v>0</v>
      </c>
      <c r="O23" s="12">
        <f t="shared" si="9"/>
        <v>0</v>
      </c>
    </row>
    <row r="24" spans="2:15" x14ac:dyDescent="0.2">
      <c r="B24" t="str">
        <f t="shared" si="2"/>
        <v>Insert Adj. 8</v>
      </c>
      <c r="C24" s="12">
        <f t="shared" ref="C24:O24" si="10">IFERROR(C35/C13,0)</f>
        <v>0</v>
      </c>
      <c r="D24" s="12">
        <f t="shared" si="10"/>
        <v>0</v>
      </c>
      <c r="E24" s="12">
        <f t="shared" si="10"/>
        <v>0</v>
      </c>
      <c r="F24" s="12">
        <f t="shared" si="10"/>
        <v>0</v>
      </c>
      <c r="G24" s="12">
        <f t="shared" si="10"/>
        <v>0</v>
      </c>
      <c r="H24" s="12">
        <f t="shared" si="10"/>
        <v>0</v>
      </c>
      <c r="I24" s="12">
        <f t="shared" si="10"/>
        <v>0</v>
      </c>
      <c r="J24" s="12">
        <f t="shared" si="10"/>
        <v>0</v>
      </c>
      <c r="K24" s="12">
        <f t="shared" si="10"/>
        <v>0</v>
      </c>
      <c r="L24" s="12">
        <f t="shared" si="10"/>
        <v>0</v>
      </c>
      <c r="M24" s="12">
        <f t="shared" si="10"/>
        <v>0</v>
      </c>
      <c r="N24" s="12">
        <f t="shared" si="10"/>
        <v>0</v>
      </c>
      <c r="O24" s="12">
        <f t="shared" si="10"/>
        <v>0</v>
      </c>
    </row>
    <row r="25" spans="2:15" x14ac:dyDescent="0.2">
      <c r="B25" s="2" t="s">
        <v>123</v>
      </c>
      <c r="C25" s="13">
        <f t="shared" ref="C25:O25" si="11">IFERROR(C36/C14,0)</f>
        <v>0</v>
      </c>
      <c r="D25" s="13">
        <f t="shared" si="11"/>
        <v>0</v>
      </c>
      <c r="E25" s="13">
        <f t="shared" si="11"/>
        <v>0</v>
      </c>
      <c r="F25" s="13">
        <f t="shared" si="11"/>
        <v>0</v>
      </c>
      <c r="G25" s="13">
        <f t="shared" si="11"/>
        <v>0</v>
      </c>
      <c r="H25" s="13">
        <f t="shared" si="11"/>
        <v>0</v>
      </c>
      <c r="I25" s="13">
        <f t="shared" si="11"/>
        <v>0</v>
      </c>
      <c r="J25" s="13">
        <f t="shared" si="11"/>
        <v>0</v>
      </c>
      <c r="K25" s="13">
        <f t="shared" si="11"/>
        <v>0.61627906976744184</v>
      </c>
      <c r="L25" s="13">
        <f t="shared" si="11"/>
        <v>0.50800000000000001</v>
      </c>
      <c r="M25" s="13">
        <f t="shared" si="11"/>
        <v>0.51</v>
      </c>
      <c r="N25" s="13">
        <f t="shared" si="11"/>
        <v>0.10333333333333333</v>
      </c>
      <c r="O25" s="13">
        <f t="shared" si="11"/>
        <v>0.44491525423728812</v>
      </c>
    </row>
    <row r="27" spans="2:15" x14ac:dyDescent="0.2">
      <c r="B27" s="2" t="s">
        <v>124</v>
      </c>
    </row>
    <row r="28" spans="2:15" x14ac:dyDescent="0.2">
      <c r="B28" t="s">
        <v>114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10">
        <v>-75</v>
      </c>
      <c r="L28" s="10">
        <v>-75</v>
      </c>
      <c r="M28" s="10">
        <v>-60</v>
      </c>
      <c r="N28" s="10">
        <v>0</v>
      </c>
      <c r="O28" s="9">
        <f t="shared" ref="O28:O35" si="12">SUM(C28:N28)</f>
        <v>-210</v>
      </c>
    </row>
    <row r="29" spans="2:15" x14ac:dyDescent="0.2">
      <c r="B29" t="s">
        <v>115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10">
        <v>-180</v>
      </c>
      <c r="L29" s="10">
        <v>0</v>
      </c>
      <c r="M29" s="10">
        <v>0</v>
      </c>
      <c r="N29" s="10">
        <v>0</v>
      </c>
      <c r="O29" s="9">
        <f t="shared" si="12"/>
        <v>-180</v>
      </c>
    </row>
    <row r="30" spans="2:15" x14ac:dyDescent="0.2">
      <c r="B30" t="s">
        <v>125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10">
        <v>0</v>
      </c>
      <c r="L30" s="10">
        <v>-40</v>
      </c>
      <c r="M30" s="10">
        <v>-30</v>
      </c>
      <c r="N30" s="10">
        <v>-20</v>
      </c>
      <c r="O30" s="9">
        <f t="shared" si="12"/>
        <v>-90</v>
      </c>
    </row>
    <row r="31" spans="2:15" x14ac:dyDescent="0.2">
      <c r="B31" t="s">
        <v>126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10">
        <v>-10</v>
      </c>
      <c r="L31" s="10">
        <v>-12</v>
      </c>
      <c r="M31" s="10">
        <v>-12</v>
      </c>
      <c r="N31" s="10">
        <v>-11</v>
      </c>
      <c r="O31" s="9">
        <f t="shared" si="12"/>
        <v>-45</v>
      </c>
    </row>
    <row r="32" spans="2:15" x14ac:dyDescent="0.2">
      <c r="B32" t="s">
        <v>117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10">
        <v>0</v>
      </c>
      <c r="L32" s="10">
        <v>0</v>
      </c>
      <c r="M32" s="10">
        <v>0</v>
      </c>
      <c r="N32" s="10">
        <v>0</v>
      </c>
      <c r="O32" s="9">
        <f t="shared" si="12"/>
        <v>0</v>
      </c>
    </row>
    <row r="33" spans="2:15" x14ac:dyDescent="0.2">
      <c r="B33" t="s">
        <v>118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10">
        <v>0</v>
      </c>
      <c r="L33" s="10">
        <v>0</v>
      </c>
      <c r="M33" s="10">
        <v>0</v>
      </c>
      <c r="N33" s="10">
        <v>0</v>
      </c>
      <c r="O33" s="9">
        <f t="shared" si="12"/>
        <v>0</v>
      </c>
    </row>
    <row r="34" spans="2:15" x14ac:dyDescent="0.2">
      <c r="B34" t="s">
        <v>119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10">
        <v>0</v>
      </c>
      <c r="L34" s="10">
        <v>0</v>
      </c>
      <c r="M34" s="10">
        <v>0</v>
      </c>
      <c r="N34" s="10">
        <v>0</v>
      </c>
      <c r="O34" s="9">
        <f t="shared" si="12"/>
        <v>0</v>
      </c>
    </row>
    <row r="35" spans="2:15" x14ac:dyDescent="0.2">
      <c r="B35" t="s">
        <v>120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10">
        <v>0</v>
      </c>
      <c r="L35" s="10">
        <v>0</v>
      </c>
      <c r="M35" s="10">
        <v>0</v>
      </c>
      <c r="N35" s="10">
        <v>0</v>
      </c>
      <c r="O35" s="9">
        <f t="shared" si="12"/>
        <v>0</v>
      </c>
    </row>
    <row r="36" spans="2:15" x14ac:dyDescent="0.2">
      <c r="B36" s="2" t="s">
        <v>127</v>
      </c>
      <c r="C36" s="11">
        <f t="shared" ref="C36:O36" si="13">SUM(C28:C35)</f>
        <v>0</v>
      </c>
      <c r="D36" s="11">
        <f t="shared" si="13"/>
        <v>0</v>
      </c>
      <c r="E36" s="11">
        <f t="shared" si="13"/>
        <v>0</v>
      </c>
      <c r="F36" s="11">
        <f t="shared" si="13"/>
        <v>0</v>
      </c>
      <c r="G36" s="11">
        <f t="shared" si="13"/>
        <v>0</v>
      </c>
      <c r="H36" s="11">
        <f t="shared" si="13"/>
        <v>0</v>
      </c>
      <c r="I36" s="11">
        <f t="shared" si="13"/>
        <v>0</v>
      </c>
      <c r="J36" s="11">
        <f t="shared" si="13"/>
        <v>0</v>
      </c>
      <c r="K36" s="11">
        <f t="shared" si="13"/>
        <v>-265</v>
      </c>
      <c r="L36" s="11">
        <f t="shared" si="13"/>
        <v>-127</v>
      </c>
      <c r="M36" s="11">
        <f t="shared" si="13"/>
        <v>-102</v>
      </c>
      <c r="N36" s="11">
        <f t="shared" si="13"/>
        <v>-31</v>
      </c>
      <c r="O36" s="11">
        <f t="shared" si="13"/>
        <v>-525</v>
      </c>
    </row>
    <row r="38" spans="2:15" x14ac:dyDescent="0.2">
      <c r="B38" s="2" t="s">
        <v>128</v>
      </c>
    </row>
    <row r="39" spans="2:15" x14ac:dyDescent="0.2">
      <c r="B39" t="str">
        <f t="shared" ref="B39:B46" si="14">B6</f>
        <v>Backorders due to inventory availability</v>
      </c>
      <c r="C39" s="12">
        <f t="shared" ref="C39:O39" si="15">IFERROR(C50/C6,0)</f>
        <v>0</v>
      </c>
      <c r="D39" s="12">
        <f t="shared" si="15"/>
        <v>0</v>
      </c>
      <c r="E39" s="12">
        <f t="shared" si="15"/>
        <v>0</v>
      </c>
      <c r="F39" s="12">
        <f t="shared" si="15"/>
        <v>0</v>
      </c>
      <c r="G39" s="12">
        <f t="shared" si="15"/>
        <v>0</v>
      </c>
      <c r="H39" s="12">
        <f t="shared" si="15"/>
        <v>0</v>
      </c>
      <c r="I39" s="12">
        <f t="shared" si="15"/>
        <v>0</v>
      </c>
      <c r="J39" s="12">
        <f t="shared" si="15"/>
        <v>0</v>
      </c>
      <c r="K39" s="12">
        <f t="shared" si="15"/>
        <v>0.06</v>
      </c>
      <c r="L39" s="12">
        <f t="shared" si="15"/>
        <v>0.06</v>
      </c>
      <c r="M39" s="12">
        <f t="shared" si="15"/>
        <v>0.06</v>
      </c>
      <c r="N39" s="12">
        <f t="shared" si="15"/>
        <v>0</v>
      </c>
      <c r="O39" s="12">
        <f t="shared" si="15"/>
        <v>8.5714285714285715E-2</v>
      </c>
    </row>
    <row r="40" spans="2:15" x14ac:dyDescent="0.2">
      <c r="B40" t="str">
        <f t="shared" si="14"/>
        <v>Rebate true-up - buying group</v>
      </c>
      <c r="C40" s="12">
        <f t="shared" ref="C40:O40" si="16">IFERROR(C51/C7,0)</f>
        <v>0</v>
      </c>
      <c r="D40" s="12">
        <f t="shared" si="16"/>
        <v>0</v>
      </c>
      <c r="E40" s="12">
        <f t="shared" si="16"/>
        <v>0</v>
      </c>
      <c r="F40" s="12">
        <f t="shared" si="16"/>
        <v>0</v>
      </c>
      <c r="G40" s="12">
        <f t="shared" si="16"/>
        <v>0</v>
      </c>
      <c r="H40" s="12">
        <f t="shared" si="16"/>
        <v>0</v>
      </c>
      <c r="I40" s="12">
        <f t="shared" si="16"/>
        <v>0</v>
      </c>
      <c r="J40" s="12">
        <f t="shared" si="16"/>
        <v>0</v>
      </c>
      <c r="K40" s="12">
        <f t="shared" si="16"/>
        <v>-6.6666666666666666E-2</v>
      </c>
      <c r="L40" s="12">
        <f t="shared" si="16"/>
        <v>0</v>
      </c>
      <c r="M40" s="12">
        <f t="shared" si="16"/>
        <v>0</v>
      </c>
      <c r="N40" s="12">
        <f t="shared" si="16"/>
        <v>0</v>
      </c>
      <c r="O40" s="12">
        <f t="shared" si="16"/>
        <v>-0.26666666666666666</v>
      </c>
    </row>
    <row r="41" spans="2:15" x14ac:dyDescent="0.2">
      <c r="B41" t="str">
        <f t="shared" si="14"/>
        <v>Backorders due to inventory availability</v>
      </c>
      <c r="C41" s="12">
        <f t="shared" ref="C41:O41" si="17">IFERROR(C52/C8,0)</f>
        <v>0</v>
      </c>
      <c r="D41" s="12">
        <f t="shared" si="17"/>
        <v>0</v>
      </c>
      <c r="E41" s="12">
        <f t="shared" si="17"/>
        <v>0</v>
      </c>
      <c r="F41" s="12">
        <f t="shared" si="17"/>
        <v>0</v>
      </c>
      <c r="G41" s="12">
        <f t="shared" si="17"/>
        <v>0</v>
      </c>
      <c r="H41" s="12">
        <f t="shared" si="17"/>
        <v>0</v>
      </c>
      <c r="I41" s="12">
        <f t="shared" si="17"/>
        <v>0</v>
      </c>
      <c r="J41" s="12">
        <f t="shared" si="17"/>
        <v>0</v>
      </c>
      <c r="K41" s="12">
        <f t="shared" si="17"/>
        <v>0</v>
      </c>
      <c r="L41" s="12">
        <f t="shared" si="17"/>
        <v>0</v>
      </c>
      <c r="M41" s="12">
        <f t="shared" si="17"/>
        <v>0</v>
      </c>
      <c r="N41" s="12">
        <f t="shared" si="17"/>
        <v>0.03</v>
      </c>
      <c r="O41" s="12">
        <f t="shared" si="17"/>
        <v>0.12</v>
      </c>
    </row>
    <row r="42" spans="2:15" x14ac:dyDescent="0.2">
      <c r="B42" t="str">
        <f t="shared" si="14"/>
        <v>Insert Adj. 4</v>
      </c>
      <c r="C42" s="12">
        <f t="shared" ref="C42:O42" si="18">IFERROR(C53/C9,0)</f>
        <v>0</v>
      </c>
      <c r="D42" s="12">
        <f t="shared" si="18"/>
        <v>0</v>
      </c>
      <c r="E42" s="12">
        <f t="shared" si="18"/>
        <v>0</v>
      </c>
      <c r="F42" s="12">
        <f t="shared" si="18"/>
        <v>0</v>
      </c>
      <c r="G42" s="12">
        <f t="shared" si="18"/>
        <v>0</v>
      </c>
      <c r="H42" s="12">
        <f t="shared" si="18"/>
        <v>0</v>
      </c>
      <c r="I42" s="12">
        <f t="shared" si="18"/>
        <v>0</v>
      </c>
      <c r="J42" s="12">
        <f t="shared" si="18"/>
        <v>0</v>
      </c>
      <c r="K42" s="12">
        <f t="shared" si="18"/>
        <v>0</v>
      </c>
      <c r="L42" s="12">
        <f t="shared" si="18"/>
        <v>0</v>
      </c>
      <c r="M42" s="12">
        <f t="shared" si="18"/>
        <v>0</v>
      </c>
      <c r="N42" s="12">
        <f t="shared" si="18"/>
        <v>0</v>
      </c>
      <c r="O42" s="12">
        <f t="shared" si="18"/>
        <v>0</v>
      </c>
    </row>
    <row r="43" spans="2:15" x14ac:dyDescent="0.2">
      <c r="B43" t="str">
        <f t="shared" si="14"/>
        <v>Insert Adj. 5</v>
      </c>
      <c r="C43" s="12">
        <f t="shared" ref="C43:O43" si="19">IFERROR(C54/C10,0)</f>
        <v>0</v>
      </c>
      <c r="D43" s="12">
        <f t="shared" si="19"/>
        <v>0</v>
      </c>
      <c r="E43" s="12">
        <f t="shared" si="19"/>
        <v>0</v>
      </c>
      <c r="F43" s="12">
        <f t="shared" si="19"/>
        <v>0</v>
      </c>
      <c r="G43" s="12">
        <f t="shared" si="19"/>
        <v>0</v>
      </c>
      <c r="H43" s="12">
        <f t="shared" si="19"/>
        <v>0</v>
      </c>
      <c r="I43" s="12">
        <f t="shared" si="19"/>
        <v>0</v>
      </c>
      <c r="J43" s="12">
        <f t="shared" si="19"/>
        <v>0</v>
      </c>
      <c r="K43" s="12">
        <f t="shared" si="19"/>
        <v>0</v>
      </c>
      <c r="L43" s="12">
        <f t="shared" si="19"/>
        <v>0</v>
      </c>
      <c r="M43" s="12">
        <f t="shared" si="19"/>
        <v>0</v>
      </c>
      <c r="N43" s="12">
        <f t="shared" si="19"/>
        <v>0</v>
      </c>
      <c r="O43" s="12">
        <f t="shared" si="19"/>
        <v>0</v>
      </c>
    </row>
    <row r="44" spans="2:15" x14ac:dyDescent="0.2">
      <c r="B44" t="str">
        <f t="shared" si="14"/>
        <v>Insert Adj. 6</v>
      </c>
      <c r="C44" s="12">
        <f t="shared" ref="C44:O44" si="20">IFERROR(C55/C11,0)</f>
        <v>0</v>
      </c>
      <c r="D44" s="12">
        <f t="shared" si="20"/>
        <v>0</v>
      </c>
      <c r="E44" s="12">
        <f t="shared" si="20"/>
        <v>0</v>
      </c>
      <c r="F44" s="12">
        <f t="shared" si="20"/>
        <v>0</v>
      </c>
      <c r="G44" s="12">
        <f t="shared" si="20"/>
        <v>0</v>
      </c>
      <c r="H44" s="12">
        <f t="shared" si="20"/>
        <v>0</v>
      </c>
      <c r="I44" s="12">
        <f t="shared" si="20"/>
        <v>0</v>
      </c>
      <c r="J44" s="12">
        <f t="shared" si="20"/>
        <v>0</v>
      </c>
      <c r="K44" s="12">
        <f t="shared" si="20"/>
        <v>0</v>
      </c>
      <c r="L44" s="12">
        <f t="shared" si="20"/>
        <v>0</v>
      </c>
      <c r="M44" s="12">
        <f t="shared" si="20"/>
        <v>0</v>
      </c>
      <c r="N44" s="12">
        <f t="shared" si="20"/>
        <v>0</v>
      </c>
      <c r="O44" s="12">
        <f t="shared" si="20"/>
        <v>0</v>
      </c>
    </row>
    <row r="45" spans="2:15" x14ac:dyDescent="0.2">
      <c r="B45" t="str">
        <f t="shared" si="14"/>
        <v>Insert Adj. 7</v>
      </c>
      <c r="C45" s="12">
        <f t="shared" ref="C45:O45" si="21">IFERROR(C56/C12,0)</f>
        <v>0</v>
      </c>
      <c r="D45" s="12">
        <f t="shared" si="21"/>
        <v>0</v>
      </c>
      <c r="E45" s="12">
        <f t="shared" si="21"/>
        <v>0</v>
      </c>
      <c r="F45" s="12">
        <f t="shared" si="21"/>
        <v>0</v>
      </c>
      <c r="G45" s="12">
        <f t="shared" si="21"/>
        <v>0</v>
      </c>
      <c r="H45" s="12">
        <f t="shared" si="21"/>
        <v>0</v>
      </c>
      <c r="I45" s="12">
        <f t="shared" si="21"/>
        <v>0</v>
      </c>
      <c r="J45" s="12">
        <f t="shared" si="21"/>
        <v>0</v>
      </c>
      <c r="K45" s="12">
        <f t="shared" si="21"/>
        <v>0</v>
      </c>
      <c r="L45" s="12">
        <f t="shared" si="21"/>
        <v>0</v>
      </c>
      <c r="M45" s="12">
        <f t="shared" si="21"/>
        <v>0</v>
      </c>
      <c r="N45" s="12">
        <f t="shared" si="21"/>
        <v>0</v>
      </c>
      <c r="O45" s="12">
        <f t="shared" si="21"/>
        <v>0</v>
      </c>
    </row>
    <row r="46" spans="2:15" x14ac:dyDescent="0.2">
      <c r="B46" t="str">
        <f t="shared" si="14"/>
        <v>Insert Adj. 8</v>
      </c>
      <c r="C46" s="12">
        <f t="shared" ref="C46:O46" si="22">IFERROR(C57/C13,0)</f>
        <v>0</v>
      </c>
      <c r="D46" s="12">
        <f t="shared" si="22"/>
        <v>0</v>
      </c>
      <c r="E46" s="12">
        <f t="shared" si="22"/>
        <v>0</v>
      </c>
      <c r="F46" s="12">
        <f t="shared" si="22"/>
        <v>0</v>
      </c>
      <c r="G46" s="12">
        <f t="shared" si="22"/>
        <v>0</v>
      </c>
      <c r="H46" s="12">
        <f t="shared" si="22"/>
        <v>0</v>
      </c>
      <c r="I46" s="12">
        <f t="shared" si="22"/>
        <v>0</v>
      </c>
      <c r="J46" s="12">
        <f t="shared" si="22"/>
        <v>0</v>
      </c>
      <c r="K46" s="12">
        <f t="shared" si="22"/>
        <v>0</v>
      </c>
      <c r="L46" s="12">
        <f t="shared" si="22"/>
        <v>0</v>
      </c>
      <c r="M46" s="12">
        <f t="shared" si="22"/>
        <v>0</v>
      </c>
      <c r="N46" s="12">
        <f t="shared" si="22"/>
        <v>0</v>
      </c>
      <c r="O46" s="12">
        <f t="shared" si="22"/>
        <v>0</v>
      </c>
    </row>
    <row r="47" spans="2:15" x14ac:dyDescent="0.2">
      <c r="B47" s="2" t="s">
        <v>129</v>
      </c>
      <c r="C47" s="13">
        <f t="shared" ref="C47:O47" si="23">IFERROR(C58/C14,0)</f>
        <v>0</v>
      </c>
      <c r="D47" s="13">
        <f t="shared" si="23"/>
        <v>0</v>
      </c>
      <c r="E47" s="13">
        <f t="shared" si="23"/>
        <v>0</v>
      </c>
      <c r="F47" s="13">
        <f t="shared" si="23"/>
        <v>0</v>
      </c>
      <c r="G47" s="13">
        <f t="shared" si="23"/>
        <v>0</v>
      </c>
      <c r="H47" s="13">
        <f t="shared" si="23"/>
        <v>0</v>
      </c>
      <c r="I47" s="13">
        <f t="shared" si="23"/>
        <v>0</v>
      </c>
      <c r="J47" s="13">
        <f t="shared" si="23"/>
        <v>0</v>
      </c>
      <c r="K47" s="13">
        <f t="shared" si="23"/>
        <v>9.7674418604651161E-2</v>
      </c>
      <c r="L47" s="13">
        <f t="shared" si="23"/>
        <v>0.17599999999999999</v>
      </c>
      <c r="M47" s="13">
        <f t="shared" si="23"/>
        <v>0.20499999999999999</v>
      </c>
      <c r="N47" s="13">
        <f t="shared" si="23"/>
        <v>0.15666666666666668</v>
      </c>
      <c r="O47" s="13">
        <f t="shared" si="23"/>
        <v>0.14745762711864407</v>
      </c>
    </row>
    <row r="49" spans="2:15" x14ac:dyDescent="0.2">
      <c r="B49" s="2" t="s">
        <v>130</v>
      </c>
    </row>
    <row r="50" spans="2:15" x14ac:dyDescent="0.2">
      <c r="B50" t="s">
        <v>131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10">
        <v>-15</v>
      </c>
      <c r="L50" s="10">
        <v>-15</v>
      </c>
      <c r="M50" s="10">
        <v>-12</v>
      </c>
      <c r="N50" s="10">
        <v>-18</v>
      </c>
      <c r="O50" s="9">
        <f t="shared" ref="O50:O57" si="24">SUM(C50:N50)</f>
        <v>-60</v>
      </c>
    </row>
    <row r="51" spans="2:15" x14ac:dyDescent="0.2">
      <c r="B51" t="s">
        <v>132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10">
        <v>12</v>
      </c>
      <c r="L51" s="10">
        <v>12</v>
      </c>
      <c r="M51" s="10">
        <v>12</v>
      </c>
      <c r="N51" s="10">
        <v>12</v>
      </c>
      <c r="O51" s="9">
        <f t="shared" si="24"/>
        <v>48</v>
      </c>
    </row>
    <row r="52" spans="2:15" x14ac:dyDescent="0.2">
      <c r="B52" t="s">
        <v>133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10">
        <v>-9</v>
      </c>
      <c r="L52" s="10">
        <v>-9</v>
      </c>
      <c r="M52" s="10">
        <v>-9</v>
      </c>
      <c r="N52" s="10">
        <v>-9</v>
      </c>
      <c r="O52" s="9">
        <f t="shared" si="24"/>
        <v>-36</v>
      </c>
    </row>
    <row r="53" spans="2:15" x14ac:dyDescent="0.2">
      <c r="B53" t="s">
        <v>134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10">
        <v>-24</v>
      </c>
      <c r="L53" s="10">
        <v>-24</v>
      </c>
      <c r="M53" s="10">
        <v>-24</v>
      </c>
      <c r="N53" s="10">
        <v>-24</v>
      </c>
      <c r="O53" s="9">
        <f t="shared" si="24"/>
        <v>-96</v>
      </c>
    </row>
    <row r="54" spans="2:15" x14ac:dyDescent="0.2">
      <c r="B54" t="s">
        <v>135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10">
        <v>-6</v>
      </c>
      <c r="L54" s="10">
        <v>-8</v>
      </c>
      <c r="M54" s="10">
        <v>-8</v>
      </c>
      <c r="N54" s="10">
        <v>-8</v>
      </c>
      <c r="O54" s="9">
        <f t="shared" si="24"/>
        <v>-30</v>
      </c>
    </row>
    <row r="55" spans="2:15" x14ac:dyDescent="0.2">
      <c r="B55" t="s">
        <v>118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10">
        <v>0</v>
      </c>
      <c r="L55" s="10">
        <v>0</v>
      </c>
      <c r="M55" s="10">
        <v>0</v>
      </c>
      <c r="N55" s="10">
        <v>0</v>
      </c>
      <c r="O55" s="9">
        <f t="shared" si="24"/>
        <v>0</v>
      </c>
    </row>
    <row r="56" spans="2:15" x14ac:dyDescent="0.2">
      <c r="B56" t="s">
        <v>119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10">
        <v>0</v>
      </c>
      <c r="L56" s="10">
        <v>0</v>
      </c>
      <c r="M56" s="10">
        <v>0</v>
      </c>
      <c r="N56" s="10">
        <v>0</v>
      </c>
      <c r="O56" s="9">
        <f t="shared" si="24"/>
        <v>0</v>
      </c>
    </row>
    <row r="57" spans="2:15" x14ac:dyDescent="0.2">
      <c r="B57" t="s">
        <v>120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10">
        <v>0</v>
      </c>
      <c r="L57" s="10">
        <v>0</v>
      </c>
      <c r="M57" s="10">
        <v>0</v>
      </c>
      <c r="N57" s="10">
        <v>0</v>
      </c>
      <c r="O57" s="9">
        <f t="shared" si="24"/>
        <v>0</v>
      </c>
    </row>
    <row r="58" spans="2:15" x14ac:dyDescent="0.2">
      <c r="B58" s="2" t="s">
        <v>136</v>
      </c>
      <c r="C58" s="11">
        <f t="shared" ref="C58:O58" si="25">SUM(C50:C57)</f>
        <v>0</v>
      </c>
      <c r="D58" s="11">
        <f t="shared" si="25"/>
        <v>0</v>
      </c>
      <c r="E58" s="11">
        <f t="shared" si="25"/>
        <v>0</v>
      </c>
      <c r="F58" s="11">
        <f t="shared" si="25"/>
        <v>0</v>
      </c>
      <c r="G58" s="11">
        <f t="shared" si="25"/>
        <v>0</v>
      </c>
      <c r="H58" s="11">
        <f t="shared" si="25"/>
        <v>0</v>
      </c>
      <c r="I58" s="11">
        <f t="shared" si="25"/>
        <v>0</v>
      </c>
      <c r="J58" s="11">
        <f t="shared" si="25"/>
        <v>0</v>
      </c>
      <c r="K58" s="11">
        <f t="shared" si="25"/>
        <v>-42</v>
      </c>
      <c r="L58" s="11">
        <f t="shared" si="25"/>
        <v>-44</v>
      </c>
      <c r="M58" s="11">
        <f t="shared" si="25"/>
        <v>-41</v>
      </c>
      <c r="N58" s="11">
        <f t="shared" si="25"/>
        <v>-47</v>
      </c>
      <c r="O58" s="11">
        <f t="shared" si="25"/>
        <v>-174</v>
      </c>
    </row>
    <row r="60" spans="2:15" x14ac:dyDescent="0.2">
      <c r="B60" s="2" t="s">
        <v>98</v>
      </c>
    </row>
    <row r="61" spans="2:15" x14ac:dyDescent="0.2">
      <c r="B61" t="str">
        <f t="shared" ref="B61:B68" si="26">B6</f>
        <v>Backorders due to inventory availability</v>
      </c>
      <c r="C61" s="9">
        <f t="shared" ref="C61:N61" si="27">C28-C50</f>
        <v>0</v>
      </c>
      <c r="D61" s="9">
        <f t="shared" si="27"/>
        <v>0</v>
      </c>
      <c r="E61" s="9">
        <f t="shared" si="27"/>
        <v>0</v>
      </c>
      <c r="F61" s="9">
        <f t="shared" si="27"/>
        <v>0</v>
      </c>
      <c r="G61" s="9">
        <f t="shared" si="27"/>
        <v>0</v>
      </c>
      <c r="H61" s="9">
        <f t="shared" si="27"/>
        <v>0</v>
      </c>
      <c r="I61" s="9">
        <f t="shared" si="27"/>
        <v>0</v>
      </c>
      <c r="J61" s="9">
        <f t="shared" si="27"/>
        <v>0</v>
      </c>
      <c r="K61" s="9">
        <f t="shared" si="27"/>
        <v>-60</v>
      </c>
      <c r="L61" s="9">
        <f t="shared" si="27"/>
        <v>-60</v>
      </c>
      <c r="M61" s="9">
        <f t="shared" si="27"/>
        <v>-48</v>
      </c>
      <c r="N61" s="9">
        <f t="shared" si="27"/>
        <v>18</v>
      </c>
      <c r="O61" s="9">
        <f t="shared" ref="O61:O68" si="28">SUM(C61:N61)</f>
        <v>-150</v>
      </c>
    </row>
    <row r="62" spans="2:15" x14ac:dyDescent="0.2">
      <c r="B62" t="str">
        <f t="shared" si="26"/>
        <v>Rebate true-up - buying group</v>
      </c>
      <c r="C62" s="9">
        <f t="shared" ref="C62:N62" si="29">C29-C51</f>
        <v>0</v>
      </c>
      <c r="D62" s="9">
        <f t="shared" si="29"/>
        <v>0</v>
      </c>
      <c r="E62" s="9">
        <f t="shared" si="29"/>
        <v>0</v>
      </c>
      <c r="F62" s="9">
        <f t="shared" si="29"/>
        <v>0</v>
      </c>
      <c r="G62" s="9">
        <f t="shared" si="29"/>
        <v>0</v>
      </c>
      <c r="H62" s="9">
        <f t="shared" si="29"/>
        <v>0</v>
      </c>
      <c r="I62" s="9">
        <f t="shared" si="29"/>
        <v>0</v>
      </c>
      <c r="J62" s="9">
        <f t="shared" si="29"/>
        <v>0</v>
      </c>
      <c r="K62" s="9">
        <f t="shared" si="29"/>
        <v>-192</v>
      </c>
      <c r="L62" s="9">
        <f t="shared" si="29"/>
        <v>-12</v>
      </c>
      <c r="M62" s="9">
        <f t="shared" si="29"/>
        <v>-12</v>
      </c>
      <c r="N62" s="9">
        <f t="shared" si="29"/>
        <v>-12</v>
      </c>
      <c r="O62" s="9">
        <f t="shared" si="28"/>
        <v>-228</v>
      </c>
    </row>
    <row r="63" spans="2:15" x14ac:dyDescent="0.2">
      <c r="B63" t="str">
        <f t="shared" si="26"/>
        <v>Backorders due to inventory availability</v>
      </c>
      <c r="C63" s="9">
        <f t="shared" ref="C63:N63" si="30">C30-C52</f>
        <v>0</v>
      </c>
      <c r="D63" s="9">
        <f t="shared" si="30"/>
        <v>0</v>
      </c>
      <c r="E63" s="9">
        <f t="shared" si="30"/>
        <v>0</v>
      </c>
      <c r="F63" s="9">
        <f t="shared" si="30"/>
        <v>0</v>
      </c>
      <c r="G63" s="9">
        <f t="shared" si="30"/>
        <v>0</v>
      </c>
      <c r="H63" s="9">
        <f t="shared" si="30"/>
        <v>0</v>
      </c>
      <c r="I63" s="9">
        <f t="shared" si="30"/>
        <v>0</v>
      </c>
      <c r="J63" s="9">
        <f t="shared" si="30"/>
        <v>0</v>
      </c>
      <c r="K63" s="9">
        <f t="shared" si="30"/>
        <v>9</v>
      </c>
      <c r="L63" s="9">
        <f t="shared" si="30"/>
        <v>-31</v>
      </c>
      <c r="M63" s="9">
        <f t="shared" si="30"/>
        <v>-21</v>
      </c>
      <c r="N63" s="9">
        <f t="shared" si="30"/>
        <v>-11</v>
      </c>
      <c r="O63" s="9">
        <f t="shared" si="28"/>
        <v>-54</v>
      </c>
    </row>
    <row r="64" spans="2:15" x14ac:dyDescent="0.2">
      <c r="B64" t="str">
        <f t="shared" si="26"/>
        <v>Insert Adj. 4</v>
      </c>
      <c r="C64" s="9">
        <f t="shared" ref="C64:N64" si="31">C31-C53</f>
        <v>0</v>
      </c>
      <c r="D64" s="9">
        <f t="shared" si="31"/>
        <v>0</v>
      </c>
      <c r="E64" s="9">
        <f t="shared" si="31"/>
        <v>0</v>
      </c>
      <c r="F64" s="9">
        <f t="shared" si="31"/>
        <v>0</v>
      </c>
      <c r="G64" s="9">
        <f t="shared" si="31"/>
        <v>0</v>
      </c>
      <c r="H64" s="9">
        <f t="shared" si="31"/>
        <v>0</v>
      </c>
      <c r="I64" s="9">
        <f t="shared" si="31"/>
        <v>0</v>
      </c>
      <c r="J64" s="9">
        <f t="shared" si="31"/>
        <v>0</v>
      </c>
      <c r="K64" s="9">
        <f t="shared" si="31"/>
        <v>14</v>
      </c>
      <c r="L64" s="9">
        <f t="shared" si="31"/>
        <v>12</v>
      </c>
      <c r="M64" s="9">
        <f t="shared" si="31"/>
        <v>12</v>
      </c>
      <c r="N64" s="9">
        <f t="shared" si="31"/>
        <v>13</v>
      </c>
      <c r="O64" s="9">
        <f t="shared" si="28"/>
        <v>51</v>
      </c>
    </row>
    <row r="65" spans="2:15" x14ac:dyDescent="0.2">
      <c r="B65" t="str">
        <f t="shared" si="26"/>
        <v>Insert Adj. 5</v>
      </c>
      <c r="C65" s="9">
        <f t="shared" ref="C65:N65" si="32">C32-C54</f>
        <v>0</v>
      </c>
      <c r="D65" s="9">
        <f t="shared" si="32"/>
        <v>0</v>
      </c>
      <c r="E65" s="9">
        <f t="shared" si="32"/>
        <v>0</v>
      </c>
      <c r="F65" s="9">
        <f t="shared" si="32"/>
        <v>0</v>
      </c>
      <c r="G65" s="9">
        <f t="shared" si="32"/>
        <v>0</v>
      </c>
      <c r="H65" s="9">
        <f t="shared" si="32"/>
        <v>0</v>
      </c>
      <c r="I65" s="9">
        <f t="shared" si="32"/>
        <v>0</v>
      </c>
      <c r="J65" s="9">
        <f t="shared" si="32"/>
        <v>0</v>
      </c>
      <c r="K65" s="9">
        <f t="shared" si="32"/>
        <v>6</v>
      </c>
      <c r="L65" s="9">
        <f t="shared" si="32"/>
        <v>8</v>
      </c>
      <c r="M65" s="9">
        <f t="shared" si="32"/>
        <v>8</v>
      </c>
      <c r="N65" s="9">
        <f t="shared" si="32"/>
        <v>8</v>
      </c>
      <c r="O65" s="9">
        <f t="shared" si="28"/>
        <v>30</v>
      </c>
    </row>
    <row r="66" spans="2:15" x14ac:dyDescent="0.2">
      <c r="B66" t="str">
        <f t="shared" si="26"/>
        <v>Insert Adj. 6</v>
      </c>
      <c r="C66" s="9">
        <f t="shared" ref="C66:N66" si="33">C33-C55</f>
        <v>0</v>
      </c>
      <c r="D66" s="9">
        <f t="shared" si="33"/>
        <v>0</v>
      </c>
      <c r="E66" s="9">
        <f t="shared" si="33"/>
        <v>0</v>
      </c>
      <c r="F66" s="9">
        <f t="shared" si="33"/>
        <v>0</v>
      </c>
      <c r="G66" s="9">
        <f t="shared" si="33"/>
        <v>0</v>
      </c>
      <c r="H66" s="9">
        <f t="shared" si="33"/>
        <v>0</v>
      </c>
      <c r="I66" s="9">
        <f t="shared" si="33"/>
        <v>0</v>
      </c>
      <c r="J66" s="9">
        <f t="shared" si="33"/>
        <v>0</v>
      </c>
      <c r="K66" s="9">
        <f t="shared" si="33"/>
        <v>0</v>
      </c>
      <c r="L66" s="9">
        <f t="shared" si="33"/>
        <v>0</v>
      </c>
      <c r="M66" s="9">
        <f t="shared" si="33"/>
        <v>0</v>
      </c>
      <c r="N66" s="9">
        <f t="shared" si="33"/>
        <v>0</v>
      </c>
      <c r="O66" s="9">
        <f t="shared" si="28"/>
        <v>0</v>
      </c>
    </row>
    <row r="67" spans="2:15" x14ac:dyDescent="0.2">
      <c r="B67" t="str">
        <f t="shared" si="26"/>
        <v>Insert Adj. 7</v>
      </c>
      <c r="C67" s="9">
        <f t="shared" ref="C67:N67" si="34">C34-C56</f>
        <v>0</v>
      </c>
      <c r="D67" s="9">
        <f t="shared" si="34"/>
        <v>0</v>
      </c>
      <c r="E67" s="9">
        <f t="shared" si="34"/>
        <v>0</v>
      </c>
      <c r="F67" s="9">
        <f t="shared" si="34"/>
        <v>0</v>
      </c>
      <c r="G67" s="9">
        <f t="shared" si="34"/>
        <v>0</v>
      </c>
      <c r="H67" s="9">
        <f t="shared" si="34"/>
        <v>0</v>
      </c>
      <c r="I67" s="9">
        <f t="shared" si="34"/>
        <v>0</v>
      </c>
      <c r="J67" s="9">
        <f t="shared" si="34"/>
        <v>0</v>
      </c>
      <c r="K67" s="9">
        <f t="shared" si="34"/>
        <v>0</v>
      </c>
      <c r="L67" s="9">
        <f t="shared" si="34"/>
        <v>0</v>
      </c>
      <c r="M67" s="9">
        <f t="shared" si="34"/>
        <v>0</v>
      </c>
      <c r="N67" s="9">
        <f t="shared" si="34"/>
        <v>0</v>
      </c>
      <c r="O67" s="9">
        <f t="shared" si="28"/>
        <v>0</v>
      </c>
    </row>
    <row r="68" spans="2:15" x14ac:dyDescent="0.2">
      <c r="B68" t="str">
        <f t="shared" si="26"/>
        <v>Insert Adj. 8</v>
      </c>
      <c r="C68" s="9">
        <f t="shared" ref="C68:N68" si="35">C35-C57</f>
        <v>0</v>
      </c>
      <c r="D68" s="9">
        <f t="shared" si="35"/>
        <v>0</v>
      </c>
      <c r="E68" s="9">
        <f t="shared" si="35"/>
        <v>0</v>
      </c>
      <c r="F68" s="9">
        <f t="shared" si="35"/>
        <v>0</v>
      </c>
      <c r="G68" s="9">
        <f t="shared" si="35"/>
        <v>0</v>
      </c>
      <c r="H68" s="9">
        <f t="shared" si="35"/>
        <v>0</v>
      </c>
      <c r="I68" s="9">
        <f t="shared" si="35"/>
        <v>0</v>
      </c>
      <c r="J68" s="9">
        <f t="shared" si="35"/>
        <v>0</v>
      </c>
      <c r="K68" s="9">
        <f t="shared" si="35"/>
        <v>0</v>
      </c>
      <c r="L68" s="9">
        <f t="shared" si="35"/>
        <v>0</v>
      </c>
      <c r="M68" s="9">
        <f t="shared" si="35"/>
        <v>0</v>
      </c>
      <c r="N68" s="9">
        <f t="shared" si="35"/>
        <v>0</v>
      </c>
      <c r="O68" s="9">
        <f t="shared" si="28"/>
        <v>0</v>
      </c>
    </row>
    <row r="69" spans="2:15" x14ac:dyDescent="0.2">
      <c r="B69" s="2" t="s">
        <v>137</v>
      </c>
      <c r="C69" s="11">
        <f t="shared" ref="C69:O69" si="36">SUM(C61:C68)</f>
        <v>0</v>
      </c>
      <c r="D69" s="11">
        <f t="shared" si="36"/>
        <v>0</v>
      </c>
      <c r="E69" s="11">
        <f t="shared" si="36"/>
        <v>0</v>
      </c>
      <c r="F69" s="11">
        <f t="shared" si="36"/>
        <v>0</v>
      </c>
      <c r="G69" s="11">
        <f t="shared" si="36"/>
        <v>0</v>
      </c>
      <c r="H69" s="11">
        <f t="shared" si="36"/>
        <v>0</v>
      </c>
      <c r="I69" s="11">
        <f t="shared" si="36"/>
        <v>0</v>
      </c>
      <c r="J69" s="11">
        <f t="shared" si="36"/>
        <v>0</v>
      </c>
      <c r="K69" s="11">
        <f t="shared" si="36"/>
        <v>-223</v>
      </c>
      <c r="L69" s="11">
        <f t="shared" si="36"/>
        <v>-83</v>
      </c>
      <c r="M69" s="11">
        <f t="shared" si="36"/>
        <v>-61</v>
      </c>
      <c r="N69" s="11">
        <f t="shared" si="36"/>
        <v>16</v>
      </c>
      <c r="O69" s="11">
        <f t="shared" si="36"/>
        <v>-351</v>
      </c>
    </row>
    <row r="71" spans="2:15" x14ac:dyDescent="0.2">
      <c r="B71" s="7" t="s">
        <v>138</v>
      </c>
    </row>
    <row r="73" spans="2:15" ht="16" x14ac:dyDescent="0.2">
      <c r="C73" s="8" t="s">
        <v>102</v>
      </c>
      <c r="D73" s="8" t="s">
        <v>103</v>
      </c>
      <c r="E73" s="8" t="s">
        <v>104</v>
      </c>
      <c r="F73" s="8" t="s">
        <v>105</v>
      </c>
      <c r="G73" s="8" t="s">
        <v>50</v>
      </c>
      <c r="H73" s="8" t="s">
        <v>106</v>
      </c>
      <c r="I73" s="8" t="s">
        <v>107</v>
      </c>
      <c r="J73" s="8" t="s">
        <v>108</v>
      </c>
      <c r="K73" s="8" t="s">
        <v>109</v>
      </c>
      <c r="L73" s="8" t="s">
        <v>110</v>
      </c>
      <c r="M73" s="8" t="s">
        <v>111</v>
      </c>
      <c r="N73" s="8" t="s">
        <v>112</v>
      </c>
      <c r="O73" s="8" t="s">
        <v>113</v>
      </c>
    </row>
    <row r="74" spans="2:15" x14ac:dyDescent="0.2">
      <c r="B74" s="2" t="s">
        <v>96</v>
      </c>
    </row>
    <row r="75" spans="2:15" x14ac:dyDescent="0.2">
      <c r="B75" t="s">
        <v>139</v>
      </c>
      <c r="C75" s="12">
        <f>Forecast!C35</f>
        <v>0.28788406747699186</v>
      </c>
      <c r="D75" s="12">
        <f>Forecast!D35</f>
        <v>0.28653610516915534</v>
      </c>
      <c r="E75" s="12">
        <f>Forecast!E35</f>
        <v>0.28515885795075208</v>
      </c>
      <c r="F75" s="12">
        <f>Forecast!F35</f>
        <v>0.28220880808658072</v>
      </c>
      <c r="G75" s="12">
        <f>Forecast!G35</f>
        <v>0.28774139546007133</v>
      </c>
      <c r="H75" s="12">
        <f>Forecast!H35</f>
        <v>0.28751971756929318</v>
      </c>
      <c r="I75" s="12">
        <f>Forecast!I35</f>
        <v>0.28541903678422448</v>
      </c>
      <c r="J75" s="12">
        <f>Forecast!J35</f>
        <v>0.28242086169569541</v>
      </c>
      <c r="K75" s="12">
        <f>Forecast!K35</f>
        <v>0.28585166722273464</v>
      </c>
      <c r="L75" s="12">
        <f>Forecast!L35</f>
        <v>0.28362981476036458</v>
      </c>
      <c r="M75" s="12">
        <f>Forecast!M35</f>
        <v>0.28753941613264167</v>
      </c>
      <c r="N75" s="12">
        <f>Forecast!N35</f>
        <v>0.28287016285671596</v>
      </c>
      <c r="O75" t="s">
        <v>140</v>
      </c>
    </row>
    <row r="76" spans="2:15" x14ac:dyDescent="0.2">
      <c r="B76" t="s">
        <v>141</v>
      </c>
      <c r="C76" t="s">
        <v>142</v>
      </c>
      <c r="D76" t="s">
        <v>142</v>
      </c>
      <c r="E76" t="s">
        <v>142</v>
      </c>
      <c r="F76" t="s">
        <v>142</v>
      </c>
      <c r="G76" t="s">
        <v>142</v>
      </c>
      <c r="H76" t="s">
        <v>142</v>
      </c>
      <c r="I76" t="s">
        <v>142</v>
      </c>
      <c r="J76" t="s">
        <v>142</v>
      </c>
      <c r="K76" t="s">
        <v>142</v>
      </c>
      <c r="L76" t="s">
        <v>142</v>
      </c>
      <c r="M76" t="s">
        <v>142</v>
      </c>
      <c r="N76" t="s">
        <v>142</v>
      </c>
    </row>
    <row r="77" spans="2:15" x14ac:dyDescent="0.2">
      <c r="B77" t="s">
        <v>143</v>
      </c>
      <c r="C77" s="9">
        <f>IF(C76="None",0,(((Forecast!C28*(C75+C76))-Forecast!C29)))</f>
        <v>0</v>
      </c>
      <c r="D77" s="9">
        <f>IF(D76="None",0,(((Forecast!D28*(D75+D76))-Forecast!D29)))</f>
        <v>0</v>
      </c>
      <c r="E77" s="9">
        <f>IF(E76="None",0,(((Forecast!E28*(E75+E76))-Forecast!E29)))</f>
        <v>0</v>
      </c>
      <c r="F77" s="9">
        <f>IF(F76="None",0,(((Forecast!F28*(F75+F76))-Forecast!F29)))</f>
        <v>0</v>
      </c>
      <c r="G77" s="9">
        <f>IF(G76="None",0,(((Forecast!G28*(G75+G76))-Forecast!G29)))</f>
        <v>0</v>
      </c>
      <c r="H77" s="9">
        <f>IF(H76="None",0,(((Forecast!H28*(H75+H76))-Forecast!H29)))</f>
        <v>0</v>
      </c>
      <c r="I77" s="9">
        <f>IF(I76="None",0,(((Forecast!I28*(I75+I76))-Forecast!I29)))</f>
        <v>0</v>
      </c>
      <c r="J77" s="9">
        <f>IF(J76="None",0,(((Forecast!J28*(J75+J76))-Forecast!J29)))</f>
        <v>0</v>
      </c>
      <c r="K77" s="9">
        <f>IF(K76="None",0,(((Forecast!K28*(K75+K76))-Forecast!K29)))</f>
        <v>0</v>
      </c>
      <c r="L77" s="9">
        <f>IF(L76="None",0,(((Forecast!L28*(L75+L76))-Forecast!L29)))</f>
        <v>0</v>
      </c>
      <c r="M77" s="9">
        <f>IF(M76="None",0,(((Forecast!M28*(M75+M76))-Forecast!M29)))</f>
        <v>0</v>
      </c>
      <c r="N77" s="9">
        <f>IF(N76="None",0,(((Forecast!N28*(N75+N76))-Forecast!N29)))</f>
        <v>0</v>
      </c>
      <c r="O77" s="9">
        <f>SUM(C77:N77)</f>
        <v>0</v>
      </c>
    </row>
    <row r="78" spans="2:15" x14ac:dyDescent="0.2">
      <c r="B78" t="s">
        <v>144</v>
      </c>
      <c r="C78" s="12">
        <f t="shared" ref="C78:N78" si="37">SUM(C75:C76)</f>
        <v>0.28788406747699186</v>
      </c>
      <c r="D78" s="12">
        <f t="shared" si="37"/>
        <v>0.28653610516915534</v>
      </c>
      <c r="E78" s="12">
        <f t="shared" si="37"/>
        <v>0.28515885795075208</v>
      </c>
      <c r="F78" s="12">
        <f t="shared" si="37"/>
        <v>0.28220880808658072</v>
      </c>
      <c r="G78" s="12">
        <f t="shared" si="37"/>
        <v>0.28774139546007133</v>
      </c>
      <c r="H78" s="12">
        <f t="shared" si="37"/>
        <v>0.28751971756929318</v>
      </c>
      <c r="I78" s="12">
        <f t="shared" si="37"/>
        <v>0.28541903678422448</v>
      </c>
      <c r="J78" s="12">
        <f t="shared" si="37"/>
        <v>0.28242086169569541</v>
      </c>
      <c r="K78" s="12">
        <f t="shared" si="37"/>
        <v>0.28585166722273464</v>
      </c>
      <c r="L78" s="12">
        <f t="shared" si="37"/>
        <v>0.28362981476036458</v>
      </c>
      <c r="M78" s="12">
        <f t="shared" si="37"/>
        <v>0.28753941613264167</v>
      </c>
      <c r="N78" s="12">
        <f t="shared" si="37"/>
        <v>0.28287016285671596</v>
      </c>
      <c r="O78" t="s">
        <v>140</v>
      </c>
    </row>
    <row r="81" spans="1:15" x14ac:dyDescent="0.2">
      <c r="B81" s="2" t="s">
        <v>97</v>
      </c>
    </row>
    <row r="82" spans="1:15" x14ac:dyDescent="0.2">
      <c r="B82" t="s">
        <v>145</v>
      </c>
      <c r="C82" s="12">
        <f>Forecast!C36</f>
        <v>-0.21456535552503742</v>
      </c>
      <c r="D82" s="12">
        <f>Forecast!D36</f>
        <v>-0.21442960686174739</v>
      </c>
      <c r="E82" s="12">
        <f>Forecast!E36</f>
        <v>-0.21929859011114164</v>
      </c>
      <c r="F82" s="12">
        <f>Forecast!F36</f>
        <v>-0.21388005857770476</v>
      </c>
      <c r="G82" s="12">
        <f>Forecast!G36</f>
        <v>-0.2179086035434562</v>
      </c>
      <c r="H82" s="12">
        <f>Forecast!H36</f>
        <v>-0.21490272665815371</v>
      </c>
      <c r="I82" s="12">
        <f>Forecast!I36</f>
        <v>-0.21492226014410315</v>
      </c>
      <c r="J82" s="12">
        <f>Forecast!J36</f>
        <v>-0.24003822823818532</v>
      </c>
      <c r="K82" s="12">
        <f>Forecast!K36</f>
        <v>-0.19543500873353872</v>
      </c>
      <c r="L82" s="12">
        <f>Forecast!L36</f>
        <v>-0.21392605116142308</v>
      </c>
      <c r="M82" s="12">
        <f>Forecast!M36</f>
        <v>-0.21448479300172921</v>
      </c>
      <c r="N82" s="12">
        <f>Forecast!N36</f>
        <v>-0.21311444793067383</v>
      </c>
      <c r="O82" t="s">
        <v>140</v>
      </c>
    </row>
    <row r="83" spans="1:15" x14ac:dyDescent="0.2">
      <c r="B83" t="s">
        <v>141</v>
      </c>
      <c r="C83" t="s">
        <v>142</v>
      </c>
      <c r="D83" t="s">
        <v>142</v>
      </c>
      <c r="E83" t="s">
        <v>142</v>
      </c>
      <c r="F83" t="s">
        <v>142</v>
      </c>
      <c r="G83" t="s">
        <v>142</v>
      </c>
      <c r="H83" t="s">
        <v>142</v>
      </c>
      <c r="I83" t="s">
        <v>142</v>
      </c>
      <c r="J83" t="s">
        <v>142</v>
      </c>
      <c r="K83" t="s">
        <v>142</v>
      </c>
      <c r="L83" t="s">
        <v>142</v>
      </c>
      <c r="M83" t="s">
        <v>142</v>
      </c>
      <c r="N83" t="s">
        <v>142</v>
      </c>
    </row>
    <row r="84" spans="1:15" x14ac:dyDescent="0.2">
      <c r="B84" t="s">
        <v>143</v>
      </c>
      <c r="C84" s="9">
        <f>-IF(C83="None",0,(((Forecast!C28*-(C82+C83))-Forecast!C30)))</f>
        <v>0</v>
      </c>
      <c r="D84" s="9">
        <f>-IF(D83="None",0,(((Forecast!D28*-(D82+D83))-Forecast!D30)))</f>
        <v>0</v>
      </c>
      <c r="E84" s="9">
        <f>-IF(E83="None",0,(((Forecast!E28*-(E82+E83))-Forecast!E30)))</f>
        <v>0</v>
      </c>
      <c r="F84" s="9">
        <f>-IF(F83="None",0,(((Forecast!F28*-(F82+F83))-Forecast!F30)))</f>
        <v>0</v>
      </c>
      <c r="G84" s="9">
        <f>-IF(G83="None",0,(((Forecast!G28*-(G82+G83))-Forecast!G30)))</f>
        <v>0</v>
      </c>
      <c r="H84" s="9">
        <f>-IF(H83="None",0,(((Forecast!H28*-(H82+H83))-Forecast!H30)))</f>
        <v>0</v>
      </c>
      <c r="I84" s="9">
        <f>-IF(I83="None",0,(((Forecast!I28*-(I82+I83))-Forecast!I30)))</f>
        <v>0</v>
      </c>
      <c r="J84" s="9">
        <f>-IF(J83="None",0,(((Forecast!J28*-(J82+J83))-Forecast!J30)))</f>
        <v>0</v>
      </c>
      <c r="K84" s="9">
        <f>-IF(K83="None",0,(((Forecast!K28*-(K82+K83))-Forecast!K30)))</f>
        <v>0</v>
      </c>
      <c r="L84" s="9">
        <f>-IF(L83="None",0,(((Forecast!L28*-(L82+L83))-Forecast!L30)))</f>
        <v>0</v>
      </c>
      <c r="M84" s="9">
        <f>-IF(M83="None",0,(((Forecast!M28*-(M82+M83))-Forecast!M30)))</f>
        <v>0</v>
      </c>
      <c r="N84" s="9">
        <f>-IF(N83="None",0,(((Forecast!N28*-(N82+N83))-Forecast!N30)))</f>
        <v>0</v>
      </c>
      <c r="O84" s="9">
        <f>SUM(C84:N84)</f>
        <v>0</v>
      </c>
    </row>
    <row r="85" spans="1:15" x14ac:dyDescent="0.2">
      <c r="B85" t="s">
        <v>146</v>
      </c>
      <c r="C85" s="12">
        <f t="shared" ref="C85:N85" si="38">SUM(C82:C83)</f>
        <v>-0.21456535552503742</v>
      </c>
      <c r="D85" s="12">
        <f t="shared" si="38"/>
        <v>-0.21442960686174739</v>
      </c>
      <c r="E85" s="12">
        <f t="shared" si="38"/>
        <v>-0.21929859011114164</v>
      </c>
      <c r="F85" s="12">
        <f t="shared" si="38"/>
        <v>-0.21388005857770476</v>
      </c>
      <c r="G85" s="12">
        <f t="shared" si="38"/>
        <v>-0.2179086035434562</v>
      </c>
      <c r="H85" s="12">
        <f t="shared" si="38"/>
        <v>-0.21490272665815371</v>
      </c>
      <c r="I85" s="12">
        <f t="shared" si="38"/>
        <v>-0.21492226014410315</v>
      </c>
      <c r="J85" s="12">
        <f t="shared" si="38"/>
        <v>-0.24003822823818532</v>
      </c>
      <c r="K85" s="12">
        <f t="shared" si="38"/>
        <v>-0.19543500873353872</v>
      </c>
      <c r="L85" s="12">
        <f t="shared" si="38"/>
        <v>-0.21392605116142308</v>
      </c>
      <c r="M85" s="12">
        <f t="shared" si="38"/>
        <v>-0.21448479300172921</v>
      </c>
      <c r="N85" s="12">
        <f t="shared" si="38"/>
        <v>-0.21311444793067383</v>
      </c>
      <c r="O85" t="s">
        <v>140</v>
      </c>
    </row>
    <row r="87" spans="1:15" x14ac:dyDescent="0.2">
      <c r="B87" s="7" t="s">
        <v>147</v>
      </c>
    </row>
    <row r="89" spans="1:15" ht="16" x14ac:dyDescent="0.2">
      <c r="C89" s="8" t="s">
        <v>102</v>
      </c>
      <c r="D89" s="8" t="s">
        <v>103</v>
      </c>
      <c r="E89" s="8" t="s">
        <v>104</v>
      </c>
      <c r="F89" s="8" t="s">
        <v>105</v>
      </c>
      <c r="G89" s="8" t="s">
        <v>50</v>
      </c>
      <c r="H89" s="8" t="s">
        <v>106</v>
      </c>
      <c r="I89" s="8" t="s">
        <v>107</v>
      </c>
      <c r="J89" s="8" t="s">
        <v>108</v>
      </c>
      <c r="K89" s="8" t="s">
        <v>109</v>
      </c>
      <c r="L89" s="8" t="s">
        <v>110</v>
      </c>
      <c r="M89" s="8" t="s">
        <v>111</v>
      </c>
      <c r="N89" s="8" t="s">
        <v>112</v>
      </c>
      <c r="O89" s="8" t="s">
        <v>113</v>
      </c>
    </row>
    <row r="90" spans="1:15" x14ac:dyDescent="0.2">
      <c r="A90">
        <v>2090</v>
      </c>
      <c r="B90" t="s">
        <v>148</v>
      </c>
      <c r="C90" s="9">
        <v>0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10">
        <v>400</v>
      </c>
      <c r="L90" s="10">
        <v>600</v>
      </c>
      <c r="M90" s="10">
        <v>300</v>
      </c>
      <c r="N90" s="10">
        <v>0</v>
      </c>
    </row>
    <row r="91" spans="1:15" x14ac:dyDescent="0.2">
      <c r="A91">
        <v>2135</v>
      </c>
      <c r="B91" t="s">
        <v>149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10">
        <v>0</v>
      </c>
      <c r="L91" s="10">
        <v>0</v>
      </c>
      <c r="M91" s="10">
        <v>0</v>
      </c>
      <c r="N91" s="10">
        <v>0</v>
      </c>
    </row>
    <row r="92" spans="1:15" x14ac:dyDescent="0.2">
      <c r="A92">
        <v>2175</v>
      </c>
      <c r="B92" t="s">
        <v>150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10">
        <v>0</v>
      </c>
      <c r="L92" s="10">
        <v>0</v>
      </c>
      <c r="M92" s="10">
        <v>0</v>
      </c>
      <c r="N92" s="10">
        <v>0</v>
      </c>
    </row>
    <row r="93" spans="1:15" x14ac:dyDescent="0.2">
      <c r="A93">
        <v>2140</v>
      </c>
      <c r="B93" t="s">
        <v>151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10">
        <v>0</v>
      </c>
      <c r="L93" s="10">
        <v>0</v>
      </c>
      <c r="M93" s="10">
        <v>0</v>
      </c>
      <c r="N93" s="10">
        <v>0</v>
      </c>
    </row>
    <row r="94" spans="1:15" x14ac:dyDescent="0.2">
      <c r="A94">
        <v>2180</v>
      </c>
      <c r="B94" t="s">
        <v>152</v>
      </c>
      <c r="C94" s="9">
        <v>0</v>
      </c>
      <c r="D94" s="9">
        <v>0</v>
      </c>
      <c r="E94" s="9">
        <v>0</v>
      </c>
      <c r="F94" s="9">
        <v>0</v>
      </c>
      <c r="G94" s="9">
        <v>0</v>
      </c>
      <c r="H94" s="9">
        <v>0</v>
      </c>
      <c r="I94" s="9">
        <v>0</v>
      </c>
      <c r="J94" s="9">
        <v>0</v>
      </c>
      <c r="K94" s="10">
        <v>0</v>
      </c>
      <c r="L94" s="10">
        <v>0</v>
      </c>
      <c r="M94" s="10">
        <v>0</v>
      </c>
      <c r="N94" s="10">
        <v>0</v>
      </c>
    </row>
    <row r="95" spans="1:15" x14ac:dyDescent="0.2">
      <c r="A95">
        <v>2185</v>
      </c>
      <c r="B95" s="2" t="s">
        <v>153</v>
      </c>
      <c r="C95" s="9">
        <f t="shared" ref="C95:N95" si="39">SUM(C90:C94)</f>
        <v>0</v>
      </c>
      <c r="D95" s="9">
        <f t="shared" si="39"/>
        <v>0</v>
      </c>
      <c r="E95" s="9">
        <f t="shared" si="39"/>
        <v>0</v>
      </c>
      <c r="F95" s="9">
        <f t="shared" si="39"/>
        <v>0</v>
      </c>
      <c r="G95" s="9">
        <f t="shared" si="39"/>
        <v>0</v>
      </c>
      <c r="H95" s="9">
        <f t="shared" si="39"/>
        <v>0</v>
      </c>
      <c r="I95" s="9">
        <f t="shared" si="39"/>
        <v>0</v>
      </c>
      <c r="J95" s="9">
        <f t="shared" si="39"/>
        <v>0</v>
      </c>
      <c r="K95" s="9">
        <f t="shared" si="39"/>
        <v>400</v>
      </c>
      <c r="L95" s="9">
        <f t="shared" si="39"/>
        <v>600</v>
      </c>
      <c r="M95" s="9">
        <f t="shared" si="39"/>
        <v>300</v>
      </c>
      <c r="N95" s="9">
        <f t="shared" si="39"/>
        <v>0</v>
      </c>
    </row>
    <row r="97" spans="2:2" x14ac:dyDescent="0.2">
      <c r="B97" s="14" t="s">
        <v>154</v>
      </c>
    </row>
  </sheetData>
  <dataValidations count="1">
    <dataValidation type="list" allowBlank="1" sqref="C76:N76 C83:N83" xr:uid="{00000000-0002-0000-0300-000000000000}">
      <formula1>"None,-2.0%,-1.5%,-1.0%,-0.5%,0.5%,1.0%,1.5%,2.0%"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B1:CE73"/>
  <sheetViews>
    <sheetView showGridLines="0" tabSelected="1" workbookViewId="0">
      <pane xSplit="2" ySplit="26" topLeftCell="C27" activePane="bottomRight" state="frozen"/>
      <selection pane="topRight"/>
      <selection pane="bottomLeft"/>
      <selection pane="bottomRight"/>
    </sheetView>
  </sheetViews>
  <sheetFormatPr baseColWidth="10" defaultColWidth="8.83203125" defaultRowHeight="15" outlineLevelRow="1" x14ac:dyDescent="0.2"/>
  <cols>
    <col min="1" max="1" width="2" customWidth="1"/>
    <col min="2" max="2" width="30" customWidth="1"/>
    <col min="3" max="15" width="11" customWidth="1"/>
    <col min="16" max="16" width="2" customWidth="1"/>
    <col min="17" max="29" width="11" customWidth="1"/>
    <col min="30" max="30" width="2" customWidth="1"/>
    <col min="31" max="43" width="11" customWidth="1"/>
    <col min="44" max="44" width="2" customWidth="1"/>
    <col min="45" max="57" width="11" customWidth="1"/>
    <col min="58" max="58" width="2" customWidth="1"/>
    <col min="59" max="71" width="11" customWidth="1"/>
    <col min="72" max="72" width="2" customWidth="1"/>
    <col min="73" max="75" width="11" customWidth="1"/>
    <col min="76" max="76" width="2" customWidth="1"/>
    <col min="77" max="79" width="11" customWidth="1"/>
    <col min="80" max="80" width="2" customWidth="1"/>
    <col min="81" max="83" width="11" customWidth="1"/>
  </cols>
  <sheetData>
    <row r="1" spans="2:14" hidden="1" outlineLevel="1" x14ac:dyDescent="0.2">
      <c r="C1" s="15" t="s">
        <v>34</v>
      </c>
      <c r="D1" s="15" t="s">
        <v>34</v>
      </c>
      <c r="E1" s="15" t="s">
        <v>34</v>
      </c>
      <c r="F1" s="15" t="s">
        <v>34</v>
      </c>
      <c r="G1" s="15" t="s">
        <v>34</v>
      </c>
      <c r="H1" s="15" t="s">
        <v>34</v>
      </c>
      <c r="I1" s="15" t="s">
        <v>34</v>
      </c>
      <c r="J1" s="15" t="s">
        <v>34</v>
      </c>
      <c r="K1" s="15" t="s">
        <v>45</v>
      </c>
      <c r="L1" s="15" t="s">
        <v>45</v>
      </c>
      <c r="M1" s="15" t="s">
        <v>45</v>
      </c>
      <c r="N1" s="15" t="s">
        <v>45</v>
      </c>
    </row>
    <row r="2" spans="2:14" hidden="1" outlineLevel="1" x14ac:dyDescent="0.2">
      <c r="B2" s="15" t="s">
        <v>2</v>
      </c>
      <c r="C2" s="15" t="s">
        <v>34</v>
      </c>
      <c r="D2" s="15" t="s">
        <v>34</v>
      </c>
      <c r="E2" s="15" t="s">
        <v>34</v>
      </c>
      <c r="F2" s="15" t="s">
        <v>34</v>
      </c>
      <c r="G2" s="15" t="s">
        <v>34</v>
      </c>
      <c r="H2" s="15" t="s">
        <v>34</v>
      </c>
      <c r="I2" s="15" t="s">
        <v>34</v>
      </c>
      <c r="J2" s="15" t="s">
        <v>34</v>
      </c>
      <c r="K2" s="15" t="s">
        <v>34</v>
      </c>
      <c r="L2" s="15" t="s">
        <v>34</v>
      </c>
      <c r="M2" s="15" t="s">
        <v>34</v>
      </c>
      <c r="N2" s="15" t="s">
        <v>34</v>
      </c>
    </row>
    <row r="3" spans="2:14" hidden="1" outlineLevel="1" x14ac:dyDescent="0.2"/>
    <row r="4" spans="2:14" hidden="1" outlineLevel="1" x14ac:dyDescent="0.2"/>
    <row r="5" spans="2:14" hidden="1" outlineLevel="1" x14ac:dyDescent="0.2">
      <c r="B5" s="15" t="s">
        <v>4</v>
      </c>
      <c r="C5" s="15">
        <v>2026</v>
      </c>
      <c r="D5" s="15">
        <v>2026</v>
      </c>
      <c r="E5" s="15">
        <v>2026</v>
      </c>
      <c r="F5" s="15">
        <v>2026</v>
      </c>
      <c r="G5" s="15">
        <v>2026</v>
      </c>
      <c r="H5" s="15">
        <v>2026</v>
      </c>
      <c r="I5" s="15">
        <v>2026</v>
      </c>
      <c r="J5" s="15">
        <v>2026</v>
      </c>
      <c r="K5" s="15">
        <v>2026</v>
      </c>
      <c r="L5" s="15">
        <v>2026</v>
      </c>
      <c r="M5" s="15">
        <v>2026</v>
      </c>
      <c r="N5" s="15">
        <v>2026</v>
      </c>
    </row>
    <row r="6" spans="2:14" hidden="1" outlineLevel="1" x14ac:dyDescent="0.2"/>
    <row r="7" spans="2:14" hidden="1" outlineLevel="1" x14ac:dyDescent="0.2"/>
    <row r="8" spans="2:14" hidden="1" outlineLevel="1" x14ac:dyDescent="0.2">
      <c r="B8" s="15" t="s">
        <v>5</v>
      </c>
      <c r="C8" s="15" t="s">
        <v>35</v>
      </c>
      <c r="D8" s="15" t="s">
        <v>39</v>
      </c>
      <c r="E8" s="15" t="s">
        <v>43</v>
      </c>
      <c r="F8" s="15" t="s">
        <v>47</v>
      </c>
      <c r="G8" s="15" t="s">
        <v>51</v>
      </c>
      <c r="H8" s="15" t="s">
        <v>54</v>
      </c>
      <c r="I8" s="15" t="s">
        <v>56</v>
      </c>
      <c r="J8" s="15" t="s">
        <v>58</v>
      </c>
      <c r="K8" s="15" t="s">
        <v>32</v>
      </c>
      <c r="L8" s="15" t="s">
        <v>37</v>
      </c>
      <c r="M8" s="15" t="s">
        <v>66</v>
      </c>
      <c r="N8" s="15" t="s">
        <v>68</v>
      </c>
    </row>
    <row r="9" spans="2:14" hidden="1" outlineLevel="1" x14ac:dyDescent="0.2">
      <c r="B9" s="15" t="s">
        <v>13</v>
      </c>
    </row>
    <row r="10" spans="2:14" hidden="1" outlineLevel="1" x14ac:dyDescent="0.2">
      <c r="B10" s="15" t="s">
        <v>14</v>
      </c>
    </row>
    <row r="11" spans="2:14" hidden="1" outlineLevel="1" x14ac:dyDescent="0.2">
      <c r="B11" s="15" t="s">
        <v>16</v>
      </c>
      <c r="C11" s="15" t="s">
        <v>17</v>
      </c>
      <c r="D11" s="15" t="s">
        <v>17</v>
      </c>
      <c r="E11" s="15" t="s">
        <v>17</v>
      </c>
      <c r="F11" s="15" t="s">
        <v>17</v>
      </c>
      <c r="G11" s="15" t="s">
        <v>17</v>
      </c>
      <c r="H11" s="15" t="s">
        <v>17</v>
      </c>
      <c r="I11" s="15" t="s">
        <v>17</v>
      </c>
      <c r="J11" s="15" t="s">
        <v>17</v>
      </c>
      <c r="K11" s="15" t="s">
        <v>17</v>
      </c>
      <c r="L11" s="15" t="s">
        <v>17</v>
      </c>
      <c r="M11" s="15" t="s">
        <v>17</v>
      </c>
      <c r="N11" s="15" t="s">
        <v>17</v>
      </c>
    </row>
    <row r="12" spans="2:14" hidden="1" outlineLevel="1" x14ac:dyDescent="0.2">
      <c r="B12" s="15" t="s">
        <v>18</v>
      </c>
      <c r="C12" s="15" t="s">
        <v>19</v>
      </c>
      <c r="D12" s="15" t="s">
        <v>19</v>
      </c>
      <c r="E12" s="15" t="s">
        <v>19</v>
      </c>
      <c r="F12" s="15" t="s">
        <v>19</v>
      </c>
      <c r="G12" s="15" t="s">
        <v>19</v>
      </c>
      <c r="H12" s="15" t="s">
        <v>19</v>
      </c>
      <c r="I12" s="15" t="s">
        <v>19</v>
      </c>
      <c r="J12" s="15" t="s">
        <v>19</v>
      </c>
      <c r="K12" s="15" t="s">
        <v>19</v>
      </c>
      <c r="L12" s="15" t="s">
        <v>19</v>
      </c>
      <c r="M12" s="15" t="s">
        <v>19</v>
      </c>
      <c r="N12" s="15" t="s">
        <v>19</v>
      </c>
    </row>
    <row r="13" spans="2:14" hidden="1" outlineLevel="1" x14ac:dyDescent="0.2">
      <c r="B13" s="15" t="s">
        <v>20</v>
      </c>
    </row>
    <row r="14" spans="2:14" hidden="1" outlineLevel="1" x14ac:dyDescent="0.2">
      <c r="B14" s="15" t="s">
        <v>22</v>
      </c>
    </row>
    <row r="15" spans="2:14" hidden="1" outlineLevel="1" x14ac:dyDescent="0.2"/>
    <row r="16" spans="2:14" hidden="1" outlineLevel="1" x14ac:dyDescent="0.2"/>
    <row r="17" spans="2:83" hidden="1" outlineLevel="1" x14ac:dyDescent="0.2"/>
    <row r="18" spans="2:83" hidden="1" outlineLevel="1" x14ac:dyDescent="0.2">
      <c r="B18" s="15" t="s">
        <v>7</v>
      </c>
      <c r="C18" s="15" t="s">
        <v>155</v>
      </c>
      <c r="D18" s="15" t="s">
        <v>155</v>
      </c>
      <c r="E18" s="15" t="s">
        <v>155</v>
      </c>
      <c r="F18" s="15" t="s">
        <v>155</v>
      </c>
      <c r="G18" s="15" t="s">
        <v>155</v>
      </c>
      <c r="H18" s="15" t="s">
        <v>155</v>
      </c>
      <c r="I18" s="15" t="s">
        <v>155</v>
      </c>
      <c r="J18" s="15" t="s">
        <v>155</v>
      </c>
      <c r="K18" s="15" t="s">
        <v>155</v>
      </c>
      <c r="L18" s="15" t="s">
        <v>155</v>
      </c>
      <c r="M18" s="15" t="s">
        <v>155</v>
      </c>
      <c r="N18" s="15" t="s">
        <v>155</v>
      </c>
    </row>
    <row r="19" spans="2:83" hidden="1" outlineLevel="1" x14ac:dyDescent="0.2">
      <c r="B19" s="15" t="s">
        <v>11</v>
      </c>
      <c r="C19" s="15" t="s">
        <v>12</v>
      </c>
      <c r="D19" s="15" t="s">
        <v>12</v>
      </c>
      <c r="E19" s="15" t="s">
        <v>12</v>
      </c>
      <c r="F19" s="15" t="s">
        <v>12</v>
      </c>
      <c r="G19" s="15" t="s">
        <v>12</v>
      </c>
      <c r="H19" s="15" t="s">
        <v>12</v>
      </c>
      <c r="I19" s="15" t="s">
        <v>12</v>
      </c>
      <c r="J19" s="15" t="s">
        <v>12</v>
      </c>
      <c r="K19" s="15" t="s">
        <v>12</v>
      </c>
      <c r="L19" s="15" t="s">
        <v>12</v>
      </c>
      <c r="M19" s="15" t="s">
        <v>12</v>
      </c>
      <c r="N19" s="15" t="s">
        <v>12</v>
      </c>
    </row>
    <row r="20" spans="2:83" collapsed="1" x14ac:dyDescent="0.2"/>
    <row r="21" spans="2:83" x14ac:dyDescent="0.2">
      <c r="B21" s="1" t="s">
        <v>24</v>
      </c>
    </row>
    <row r="22" spans="2:83" x14ac:dyDescent="0.2">
      <c r="B22" s="15" t="s">
        <v>26</v>
      </c>
    </row>
    <row r="23" spans="2:83" ht="17" x14ac:dyDescent="0.2">
      <c r="B23" s="6" t="s">
        <v>84</v>
      </c>
      <c r="BU23" s="7" t="s">
        <v>156</v>
      </c>
    </row>
    <row r="24" spans="2:83" x14ac:dyDescent="0.2">
      <c r="C24" s="7" t="s">
        <v>157</v>
      </c>
      <c r="Q24" s="7" t="s">
        <v>158</v>
      </c>
      <c r="AE24" s="7" t="s">
        <v>159</v>
      </c>
      <c r="AS24" s="7" t="s">
        <v>160</v>
      </c>
      <c r="BG24" s="7" t="s">
        <v>52</v>
      </c>
      <c r="BU24" s="2" t="s">
        <v>85</v>
      </c>
      <c r="BY24" s="2" t="s">
        <v>86</v>
      </c>
      <c r="CC24" s="2" t="s">
        <v>87</v>
      </c>
    </row>
    <row r="25" spans="2:83" x14ac:dyDescent="0.2">
      <c r="C25" t="s">
        <v>34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34</v>
      </c>
      <c r="K25" t="s">
        <v>45</v>
      </c>
      <c r="L25" t="s">
        <v>45</v>
      </c>
      <c r="M25" t="s">
        <v>45</v>
      </c>
      <c r="N25" t="s">
        <v>45</v>
      </c>
      <c r="O25" t="s">
        <v>161</v>
      </c>
      <c r="Q25" t="s">
        <v>34</v>
      </c>
      <c r="R25" t="s">
        <v>34</v>
      </c>
      <c r="S25" t="s">
        <v>34</v>
      </c>
      <c r="T25" t="s">
        <v>34</v>
      </c>
      <c r="U25" t="s">
        <v>34</v>
      </c>
      <c r="V25" t="s">
        <v>34</v>
      </c>
      <c r="W25" t="s">
        <v>34</v>
      </c>
      <c r="X25" t="s">
        <v>34</v>
      </c>
      <c r="Y25" t="s">
        <v>45</v>
      </c>
      <c r="Z25" t="s">
        <v>45</v>
      </c>
      <c r="AA25" t="s">
        <v>45</v>
      </c>
      <c r="AB25" t="s">
        <v>45</v>
      </c>
      <c r="AC25" t="s">
        <v>161</v>
      </c>
      <c r="BG25" t="s">
        <v>34</v>
      </c>
      <c r="BH25" t="s">
        <v>34</v>
      </c>
      <c r="BI25" t="s">
        <v>34</v>
      </c>
      <c r="BJ25" t="s">
        <v>34</v>
      </c>
      <c r="BK25" t="s">
        <v>34</v>
      </c>
      <c r="BL25" t="s">
        <v>34</v>
      </c>
      <c r="BM25" t="s">
        <v>34</v>
      </c>
      <c r="BN25" t="s">
        <v>34</v>
      </c>
      <c r="BO25" t="s">
        <v>34</v>
      </c>
      <c r="BP25" t="s">
        <v>52</v>
      </c>
      <c r="BQ25" t="s">
        <v>52</v>
      </c>
      <c r="BR25" t="s">
        <v>52</v>
      </c>
      <c r="BS25" t="s">
        <v>161</v>
      </c>
    </row>
    <row r="26" spans="2:83" ht="30" customHeight="1" x14ac:dyDescent="0.2">
      <c r="B26" s="2" t="s">
        <v>162</v>
      </c>
      <c r="C26" s="16" t="s">
        <v>102</v>
      </c>
      <c r="D26" s="16" t="s">
        <v>103</v>
      </c>
      <c r="E26" s="16" t="s">
        <v>104</v>
      </c>
      <c r="F26" s="16" t="s">
        <v>105</v>
      </c>
      <c r="G26" s="16" t="s">
        <v>50</v>
      </c>
      <c r="H26" s="16" t="s">
        <v>106</v>
      </c>
      <c r="I26" s="16" t="s">
        <v>107</v>
      </c>
      <c r="J26" s="16" t="s">
        <v>108</v>
      </c>
      <c r="K26" s="16" t="s">
        <v>109</v>
      </c>
      <c r="L26" s="16" t="s">
        <v>110</v>
      </c>
      <c r="M26" s="16" t="s">
        <v>111</v>
      </c>
      <c r="N26" s="16" t="s">
        <v>112</v>
      </c>
      <c r="O26" s="16" t="s">
        <v>163</v>
      </c>
      <c r="Q26" s="16" t="s">
        <v>102</v>
      </c>
      <c r="R26" s="16" t="s">
        <v>103</v>
      </c>
      <c r="S26" s="16" t="s">
        <v>104</v>
      </c>
      <c r="T26" s="16" t="s">
        <v>105</v>
      </c>
      <c r="U26" s="16" t="s">
        <v>50</v>
      </c>
      <c r="V26" s="16" t="s">
        <v>106</v>
      </c>
      <c r="W26" s="16" t="s">
        <v>107</v>
      </c>
      <c r="X26" s="16" t="s">
        <v>108</v>
      </c>
      <c r="Y26" s="16" t="s">
        <v>109</v>
      </c>
      <c r="Z26" s="16" t="s">
        <v>110</v>
      </c>
      <c r="AA26" s="16" t="s">
        <v>111</v>
      </c>
      <c r="AB26" s="16" t="s">
        <v>112</v>
      </c>
      <c r="AC26" s="16" t="s">
        <v>163</v>
      </c>
      <c r="AE26" s="16" t="s">
        <v>102</v>
      </c>
      <c r="AF26" s="16" t="s">
        <v>103</v>
      </c>
      <c r="AG26" s="16" t="s">
        <v>104</v>
      </c>
      <c r="AH26" s="16" t="s">
        <v>105</v>
      </c>
      <c r="AI26" s="16" t="s">
        <v>50</v>
      </c>
      <c r="AJ26" s="16" t="s">
        <v>106</v>
      </c>
      <c r="AK26" s="16" t="s">
        <v>107</v>
      </c>
      <c r="AL26" s="16" t="s">
        <v>108</v>
      </c>
      <c r="AM26" s="16" t="s">
        <v>109</v>
      </c>
      <c r="AN26" s="16" t="s">
        <v>110</v>
      </c>
      <c r="AO26" s="16" t="s">
        <v>111</v>
      </c>
      <c r="AP26" s="16" t="s">
        <v>112</v>
      </c>
      <c r="AQ26" s="16" t="s">
        <v>163</v>
      </c>
      <c r="AS26" s="16" t="s">
        <v>102</v>
      </c>
      <c r="AT26" s="16" t="s">
        <v>103</v>
      </c>
      <c r="AU26" s="16" t="s">
        <v>104</v>
      </c>
      <c r="AV26" s="16" t="s">
        <v>105</v>
      </c>
      <c r="AW26" s="16" t="s">
        <v>50</v>
      </c>
      <c r="AX26" s="16" t="s">
        <v>106</v>
      </c>
      <c r="AY26" s="16" t="s">
        <v>107</v>
      </c>
      <c r="AZ26" s="16" t="s">
        <v>108</v>
      </c>
      <c r="BA26" s="16" t="s">
        <v>109</v>
      </c>
      <c r="BB26" s="16" t="s">
        <v>110</v>
      </c>
      <c r="BC26" s="16" t="s">
        <v>111</v>
      </c>
      <c r="BD26" s="16" t="s">
        <v>112</v>
      </c>
      <c r="BE26" s="16" t="s">
        <v>163</v>
      </c>
      <c r="BG26" s="16" t="s">
        <v>102</v>
      </c>
      <c r="BH26" s="16" t="s">
        <v>103</v>
      </c>
      <c r="BI26" s="16" t="s">
        <v>104</v>
      </c>
      <c r="BJ26" s="16" t="s">
        <v>105</v>
      </c>
      <c r="BK26" s="16" t="s">
        <v>50</v>
      </c>
      <c r="BL26" s="16" t="s">
        <v>106</v>
      </c>
      <c r="BM26" s="16" t="s">
        <v>107</v>
      </c>
      <c r="BN26" s="16" t="s">
        <v>108</v>
      </c>
      <c r="BO26" s="16" t="s">
        <v>109</v>
      </c>
      <c r="BP26" s="16" t="s">
        <v>110</v>
      </c>
      <c r="BQ26" s="16" t="s">
        <v>111</v>
      </c>
      <c r="BR26" s="16" t="s">
        <v>112</v>
      </c>
      <c r="BS26" s="16" t="s">
        <v>163</v>
      </c>
      <c r="BU26" s="17" t="s">
        <v>89</v>
      </c>
      <c r="BV26" s="17" t="s">
        <v>90</v>
      </c>
      <c r="BW26" s="17" t="s">
        <v>91</v>
      </c>
      <c r="BY26" s="17" t="s">
        <v>92</v>
      </c>
      <c r="BZ26" s="17" t="s">
        <v>93</v>
      </c>
      <c r="CA26" s="17" t="s">
        <v>94</v>
      </c>
      <c r="CC26" s="17" t="s">
        <v>92</v>
      </c>
      <c r="CD26" s="17" t="s">
        <v>93</v>
      </c>
      <c r="CE26" s="17" t="s">
        <v>94</v>
      </c>
    </row>
    <row r="28" spans="2:83" x14ac:dyDescent="0.2">
      <c r="B28" s="2" t="s">
        <v>95</v>
      </c>
      <c r="C28" s="9">
        <v>4878.7</v>
      </c>
      <c r="D28" s="9">
        <v>4815.1000000000004</v>
      </c>
      <c r="E28" s="9">
        <v>5092.6000000000004</v>
      </c>
      <c r="F28" s="9">
        <v>5599.4</v>
      </c>
      <c r="G28" s="9">
        <v>5017.7</v>
      </c>
      <c r="H28" s="9">
        <v>5325.2</v>
      </c>
      <c r="I28" s="9">
        <v>5274</v>
      </c>
      <c r="J28" s="9">
        <v>5127.1000000000004</v>
      </c>
      <c r="K28" s="9">
        <v>5095.3</v>
      </c>
      <c r="L28" s="9">
        <v>5441.6</v>
      </c>
      <c r="M28" s="9">
        <v>4915.5</v>
      </c>
      <c r="N28" s="9">
        <v>5354.4</v>
      </c>
      <c r="O28" s="18">
        <f>SUM(C28:N28)</f>
        <v>61936.6</v>
      </c>
      <c r="Q28" s="9">
        <v>4878.7</v>
      </c>
      <c r="R28" s="9">
        <v>4815.1000000000004</v>
      </c>
      <c r="S28" s="9">
        <v>5092.6000000000004</v>
      </c>
      <c r="T28" s="9">
        <v>5599.4</v>
      </c>
      <c r="U28" s="9">
        <v>5017.7</v>
      </c>
      <c r="V28" s="9">
        <v>5325.2</v>
      </c>
      <c r="W28" s="9">
        <v>5274</v>
      </c>
      <c r="X28" s="9">
        <v>5127.1000000000004</v>
      </c>
      <c r="Y28" s="9">
        <v>5095.3</v>
      </c>
      <c r="Z28" s="9">
        <v>5441.6</v>
      </c>
      <c r="AA28" s="9">
        <v>4915.5</v>
      </c>
      <c r="AB28" s="9">
        <v>5354.4</v>
      </c>
      <c r="AC28" s="18">
        <f>SUM(Q28:AB28)</f>
        <v>61936.6</v>
      </c>
      <c r="AE28" s="9">
        <f t="shared" ref="AE28:AP30" si="0">Q28-C28</f>
        <v>0</v>
      </c>
      <c r="AF28" s="9">
        <f t="shared" si="0"/>
        <v>0</v>
      </c>
      <c r="AG28" s="9">
        <f t="shared" si="0"/>
        <v>0</v>
      </c>
      <c r="AH28" s="9">
        <f t="shared" si="0"/>
        <v>0</v>
      </c>
      <c r="AI28" s="9">
        <f t="shared" si="0"/>
        <v>0</v>
      </c>
      <c r="AJ28" s="9">
        <f t="shared" si="0"/>
        <v>0</v>
      </c>
      <c r="AK28" s="9">
        <f t="shared" si="0"/>
        <v>0</v>
      </c>
      <c r="AL28" s="9">
        <f t="shared" si="0"/>
        <v>0</v>
      </c>
      <c r="AM28" s="9">
        <f t="shared" si="0"/>
        <v>0</v>
      </c>
      <c r="AN28" s="9">
        <f t="shared" si="0"/>
        <v>0</v>
      </c>
      <c r="AO28" s="9">
        <f t="shared" si="0"/>
        <v>0</v>
      </c>
      <c r="AP28" s="9">
        <f t="shared" si="0"/>
        <v>0</v>
      </c>
      <c r="AQ28" s="18">
        <f>SUM(AE28:AP28)</f>
        <v>0</v>
      </c>
      <c r="AS28" s="9">
        <f>Adjustments!C14</f>
        <v>0</v>
      </c>
      <c r="AT28" s="9">
        <f>Adjustments!D14</f>
        <v>0</v>
      </c>
      <c r="AU28" s="9">
        <f>Adjustments!E14</f>
        <v>0</v>
      </c>
      <c r="AV28" s="9">
        <f>Adjustments!F14</f>
        <v>0</v>
      </c>
      <c r="AW28" s="9">
        <f>Adjustments!G14</f>
        <v>0</v>
      </c>
      <c r="AX28" s="9">
        <f>Adjustments!H14</f>
        <v>0</v>
      </c>
      <c r="AY28" s="9">
        <f>Adjustments!I14</f>
        <v>0</v>
      </c>
      <c r="AZ28" s="9">
        <f>Adjustments!J14</f>
        <v>0</v>
      </c>
      <c r="BA28" s="9">
        <f>Adjustments!K14</f>
        <v>-430</v>
      </c>
      <c r="BB28" s="9">
        <f>Adjustments!L14</f>
        <v>-250</v>
      </c>
      <c r="BC28" s="9">
        <f>Adjustments!M14</f>
        <v>-200</v>
      </c>
      <c r="BD28" s="9">
        <f>Adjustments!N14</f>
        <v>-300</v>
      </c>
      <c r="BE28" s="18">
        <f>SUM(AS28:BD28)</f>
        <v>-1180</v>
      </c>
      <c r="BG28" s="9">
        <f t="shared" ref="BG28:BR30" si="1">C28+AE28+AS28</f>
        <v>4878.7</v>
      </c>
      <c r="BH28" s="9">
        <f t="shared" si="1"/>
        <v>4815.1000000000004</v>
      </c>
      <c r="BI28" s="9">
        <f t="shared" si="1"/>
        <v>5092.6000000000004</v>
      </c>
      <c r="BJ28" s="9">
        <f t="shared" si="1"/>
        <v>5599.4</v>
      </c>
      <c r="BK28" s="9">
        <f t="shared" si="1"/>
        <v>5017.7</v>
      </c>
      <c r="BL28" s="9">
        <f t="shared" si="1"/>
        <v>5325.2</v>
      </c>
      <c r="BM28" s="9">
        <f t="shared" si="1"/>
        <v>5274</v>
      </c>
      <c r="BN28" s="9">
        <f t="shared" si="1"/>
        <v>5127.1000000000004</v>
      </c>
      <c r="BO28" s="9">
        <f t="shared" si="1"/>
        <v>4665.3</v>
      </c>
      <c r="BP28" s="9">
        <f t="shared" si="1"/>
        <v>5191.6000000000004</v>
      </c>
      <c r="BQ28" s="9">
        <f t="shared" si="1"/>
        <v>4715.5</v>
      </c>
      <c r="BR28" s="9">
        <f t="shared" si="1"/>
        <v>5054.3999999999996</v>
      </c>
      <c r="BS28" s="18">
        <f>SUM(BG28:BR28)</f>
        <v>60756.6</v>
      </c>
      <c r="BU28" s="9">
        <f>SUM(BG28:BO28)-SUM(C28:K28)</f>
        <v>-430</v>
      </c>
      <c r="BV28" s="9">
        <f>SUM(BG28:BO28)-SUM(C51:K51)</f>
        <v>-2792.4000000000015</v>
      </c>
      <c r="BW28" s="9">
        <f>SUM(BG28:BO28)-SUM(C64:K64)</f>
        <v>-1464.4000000000015</v>
      </c>
      <c r="BY28" s="9">
        <f>SUM(BP28:BR28)-SUM(L28:N28)</f>
        <v>-750</v>
      </c>
      <c r="BZ28" s="9">
        <f>SUM(BP28:BR28)-SUM(L51:N51)</f>
        <v>-1450.9000000000015</v>
      </c>
      <c r="CA28" s="9">
        <f>SUM(BP28:BR28)-SUM(L64:N64)</f>
        <v>-1011.1999999999989</v>
      </c>
      <c r="CC28" s="9">
        <f>BS28-O28</f>
        <v>-1180</v>
      </c>
      <c r="CD28" s="9">
        <f>BS28-O51</f>
        <v>-4243.3000000000029</v>
      </c>
      <c r="CE28" s="9">
        <f>BS28-O64</f>
        <v>-2475.5999999999985</v>
      </c>
    </row>
    <row r="29" spans="2:83" x14ac:dyDescent="0.2">
      <c r="B29" s="19" t="s">
        <v>96</v>
      </c>
      <c r="C29" s="9">
        <v>1404.5</v>
      </c>
      <c r="D29" s="9">
        <v>1379.7</v>
      </c>
      <c r="E29" s="9">
        <v>1452.2</v>
      </c>
      <c r="F29" s="9">
        <v>1580.2</v>
      </c>
      <c r="G29" s="9">
        <v>1443.8</v>
      </c>
      <c r="H29" s="9">
        <v>1531.1</v>
      </c>
      <c r="I29" s="9">
        <v>1505.3</v>
      </c>
      <c r="J29" s="9">
        <v>1448</v>
      </c>
      <c r="K29" s="9">
        <v>1456.5</v>
      </c>
      <c r="L29" s="9">
        <v>1543.4</v>
      </c>
      <c r="M29" s="9">
        <v>1413.4</v>
      </c>
      <c r="N29" s="9">
        <v>1514.6</v>
      </c>
      <c r="O29" s="18">
        <f>SUM(C29:N29)</f>
        <v>17672.699999999997</v>
      </c>
      <c r="Q29" s="9">
        <v>1404.5</v>
      </c>
      <c r="R29" s="9">
        <v>1379.7</v>
      </c>
      <c r="S29" s="9">
        <v>1452.2</v>
      </c>
      <c r="T29" s="9">
        <v>1580.2</v>
      </c>
      <c r="U29" s="9">
        <v>1443.8</v>
      </c>
      <c r="V29" s="9">
        <v>1531.1</v>
      </c>
      <c r="W29" s="9">
        <v>1505.3</v>
      </c>
      <c r="X29" s="9">
        <v>1448</v>
      </c>
      <c r="Y29" s="9">
        <v>1456.5</v>
      </c>
      <c r="Z29" s="9">
        <v>1543.4</v>
      </c>
      <c r="AA29" s="9">
        <v>1413.4</v>
      </c>
      <c r="AB29" s="9">
        <v>1514.6</v>
      </c>
      <c r="AC29" s="18">
        <f>SUM(Q29:AB29)</f>
        <v>17672.699999999997</v>
      </c>
      <c r="AE29" s="9">
        <f t="shared" si="0"/>
        <v>0</v>
      </c>
      <c r="AF29" s="9">
        <f t="shared" si="0"/>
        <v>0</v>
      </c>
      <c r="AG29" s="9">
        <f t="shared" si="0"/>
        <v>0</v>
      </c>
      <c r="AH29" s="9">
        <f t="shared" si="0"/>
        <v>0</v>
      </c>
      <c r="AI29" s="9">
        <f t="shared" si="0"/>
        <v>0</v>
      </c>
      <c r="AJ29" s="9">
        <f t="shared" si="0"/>
        <v>0</v>
      </c>
      <c r="AK29" s="9">
        <f t="shared" si="0"/>
        <v>0</v>
      </c>
      <c r="AL29" s="9">
        <f t="shared" si="0"/>
        <v>0</v>
      </c>
      <c r="AM29" s="9">
        <f t="shared" si="0"/>
        <v>0</v>
      </c>
      <c r="AN29" s="9">
        <f t="shared" si="0"/>
        <v>0</v>
      </c>
      <c r="AO29" s="9">
        <f t="shared" si="0"/>
        <v>0</v>
      </c>
      <c r="AP29" s="9">
        <f t="shared" si="0"/>
        <v>0</v>
      </c>
      <c r="AQ29" s="18">
        <f>SUM(AE29:AP29)</f>
        <v>0</v>
      </c>
      <c r="AS29" s="9">
        <f>Adjustments!C36+Adjustments!C77</f>
        <v>0</v>
      </c>
      <c r="AT29" s="9">
        <f>Adjustments!D36+Adjustments!D77</f>
        <v>0</v>
      </c>
      <c r="AU29" s="9">
        <f>Adjustments!E36+Adjustments!E77</f>
        <v>0</v>
      </c>
      <c r="AV29" s="9">
        <f>Adjustments!F36+Adjustments!F77</f>
        <v>0</v>
      </c>
      <c r="AW29" s="9">
        <f>Adjustments!G36+Adjustments!G77</f>
        <v>0</v>
      </c>
      <c r="AX29" s="9">
        <f>Adjustments!H36+Adjustments!H77</f>
        <v>0</v>
      </c>
      <c r="AY29" s="9">
        <f>Adjustments!I36+Adjustments!I77</f>
        <v>0</v>
      </c>
      <c r="AZ29" s="9">
        <f>Adjustments!J36+Adjustments!J77</f>
        <v>0</v>
      </c>
      <c r="BA29" s="9">
        <f>Adjustments!K36+Adjustments!K77</f>
        <v>-265</v>
      </c>
      <c r="BB29" s="9">
        <f>Adjustments!L36+Adjustments!L77</f>
        <v>-127</v>
      </c>
      <c r="BC29" s="9">
        <f>Adjustments!M36+Adjustments!M77</f>
        <v>-102</v>
      </c>
      <c r="BD29" s="9">
        <f>Adjustments!N36+Adjustments!N77</f>
        <v>-31</v>
      </c>
      <c r="BE29" s="18">
        <f>SUM(AS29:BD29)</f>
        <v>-525</v>
      </c>
      <c r="BG29" s="9">
        <f t="shared" si="1"/>
        <v>1404.5</v>
      </c>
      <c r="BH29" s="9">
        <f t="shared" si="1"/>
        <v>1379.7</v>
      </c>
      <c r="BI29" s="9">
        <f t="shared" si="1"/>
        <v>1452.2</v>
      </c>
      <c r="BJ29" s="9">
        <f t="shared" si="1"/>
        <v>1580.2</v>
      </c>
      <c r="BK29" s="9">
        <f t="shared" si="1"/>
        <v>1443.8</v>
      </c>
      <c r="BL29" s="9">
        <f t="shared" si="1"/>
        <v>1531.1</v>
      </c>
      <c r="BM29" s="9">
        <f t="shared" si="1"/>
        <v>1505.3</v>
      </c>
      <c r="BN29" s="9">
        <f t="shared" si="1"/>
        <v>1448</v>
      </c>
      <c r="BO29" s="9">
        <f t="shared" si="1"/>
        <v>1191.5</v>
      </c>
      <c r="BP29" s="9">
        <f t="shared" si="1"/>
        <v>1416.4</v>
      </c>
      <c r="BQ29" s="9">
        <f t="shared" si="1"/>
        <v>1311.4</v>
      </c>
      <c r="BR29" s="9">
        <f t="shared" si="1"/>
        <v>1483.6</v>
      </c>
      <c r="BS29" s="18">
        <f>SUM(BG29:BR29)</f>
        <v>17147.699999999997</v>
      </c>
      <c r="BU29" s="9">
        <f>SUM(BG29:BO29)-SUM(C29:K29)</f>
        <v>-265</v>
      </c>
      <c r="BV29" s="9">
        <f>SUM(BG29:BO29)-SUM(C52:K52)</f>
        <v>-1639.9000000000015</v>
      </c>
      <c r="BW29" s="9">
        <f>SUM(BG29:BO29)-SUM(C65:K65)</f>
        <v>-1517.3000000000011</v>
      </c>
      <c r="BY29" s="9">
        <f>SUM(BP29:BR29)-SUM(L29:N29)</f>
        <v>-260</v>
      </c>
      <c r="BZ29" s="9">
        <f>SUM(BP29:BR29)-SUM(L52:N52)</f>
        <v>-712.20000000000073</v>
      </c>
      <c r="CA29" s="9">
        <f>SUM(BP29:BR29)-SUM(L65:N65)</f>
        <v>-668.90000000000055</v>
      </c>
      <c r="CC29" s="9">
        <f>BS29-O29</f>
        <v>-525</v>
      </c>
      <c r="CD29" s="9">
        <f>BS29-O52</f>
        <v>-2352.1000000000022</v>
      </c>
      <c r="CE29" s="9">
        <f>BS29-O65</f>
        <v>-2186.2000000000044</v>
      </c>
    </row>
    <row r="30" spans="2:83" x14ac:dyDescent="0.2">
      <c r="B30" s="19" t="s">
        <v>97</v>
      </c>
      <c r="C30" s="9">
        <v>-1046.8</v>
      </c>
      <c r="D30" s="9">
        <v>-1032.5</v>
      </c>
      <c r="E30" s="9">
        <v>-1116.8</v>
      </c>
      <c r="F30" s="9">
        <v>-1197.5999999999999</v>
      </c>
      <c r="G30" s="9">
        <v>-1093.4000000000001</v>
      </c>
      <c r="H30" s="9">
        <v>-1144.4000000000001</v>
      </c>
      <c r="I30" s="9">
        <v>-1133.5</v>
      </c>
      <c r="J30" s="9">
        <v>-1230.7</v>
      </c>
      <c r="K30" s="9">
        <v>-995.8</v>
      </c>
      <c r="L30" s="9">
        <v>-1164.0999999999999</v>
      </c>
      <c r="M30" s="9">
        <v>-1054.3</v>
      </c>
      <c r="N30" s="9">
        <v>-1141.0999999999999</v>
      </c>
      <c r="O30" s="18">
        <f>SUM(C30:N30)</f>
        <v>-13351</v>
      </c>
      <c r="Q30" s="9">
        <v>-1046.8</v>
      </c>
      <c r="R30" s="9">
        <v>-1032.5</v>
      </c>
      <c r="S30" s="9">
        <v>-1116.8</v>
      </c>
      <c r="T30" s="9">
        <v>-1197.5999999999999</v>
      </c>
      <c r="U30" s="9">
        <v>-1093.4000000000001</v>
      </c>
      <c r="V30" s="9">
        <v>-1144.4000000000001</v>
      </c>
      <c r="W30" s="9">
        <v>-1133.5</v>
      </c>
      <c r="X30" s="9">
        <v>-1230.7</v>
      </c>
      <c r="Y30" s="9">
        <v>-995.8</v>
      </c>
      <c r="Z30" s="9">
        <v>-1164.0999999999999</v>
      </c>
      <c r="AA30" s="9">
        <v>-1054.3</v>
      </c>
      <c r="AB30" s="9">
        <v>-1141.0999999999999</v>
      </c>
      <c r="AC30" s="18">
        <f>SUM(Q30:AB30)</f>
        <v>-13351</v>
      </c>
      <c r="AE30" s="9">
        <f t="shared" si="0"/>
        <v>0</v>
      </c>
      <c r="AF30" s="9">
        <f t="shared" si="0"/>
        <v>0</v>
      </c>
      <c r="AG30" s="9">
        <f t="shared" si="0"/>
        <v>0</v>
      </c>
      <c r="AH30" s="9">
        <f t="shared" si="0"/>
        <v>0</v>
      </c>
      <c r="AI30" s="9">
        <f t="shared" si="0"/>
        <v>0</v>
      </c>
      <c r="AJ30" s="9">
        <f t="shared" si="0"/>
        <v>0</v>
      </c>
      <c r="AK30" s="9">
        <f t="shared" si="0"/>
        <v>0</v>
      </c>
      <c r="AL30" s="9">
        <f t="shared" si="0"/>
        <v>0</v>
      </c>
      <c r="AM30" s="9">
        <f t="shared" si="0"/>
        <v>0</v>
      </c>
      <c r="AN30" s="9">
        <f t="shared" si="0"/>
        <v>0</v>
      </c>
      <c r="AO30" s="9">
        <f t="shared" si="0"/>
        <v>0</v>
      </c>
      <c r="AP30" s="9">
        <f t="shared" si="0"/>
        <v>0</v>
      </c>
      <c r="AQ30" s="18">
        <f>SUM(AE30:AP30)</f>
        <v>0</v>
      </c>
      <c r="AS30" s="9">
        <f>-Adjustments!C58-Adjustments!C84</f>
        <v>0</v>
      </c>
      <c r="AT30" s="9">
        <f>-Adjustments!D58-Adjustments!D84</f>
        <v>0</v>
      </c>
      <c r="AU30" s="9">
        <f>-Adjustments!E58-Adjustments!E84</f>
        <v>0</v>
      </c>
      <c r="AV30" s="9">
        <f>-Adjustments!F58-Adjustments!F84</f>
        <v>0</v>
      </c>
      <c r="AW30" s="9">
        <f>-Adjustments!G58-Adjustments!G84</f>
        <v>0</v>
      </c>
      <c r="AX30" s="9">
        <f>-Adjustments!H58-Adjustments!H84</f>
        <v>0</v>
      </c>
      <c r="AY30" s="9">
        <f>-Adjustments!I58-Adjustments!I84</f>
        <v>0</v>
      </c>
      <c r="AZ30" s="9">
        <f>-Adjustments!J58-Adjustments!J84</f>
        <v>0</v>
      </c>
      <c r="BA30" s="9">
        <f>-Adjustments!K58-Adjustments!K84</f>
        <v>42</v>
      </c>
      <c r="BB30" s="9">
        <f>-Adjustments!L58-Adjustments!L84</f>
        <v>44</v>
      </c>
      <c r="BC30" s="9">
        <f>-Adjustments!M58-Adjustments!M84</f>
        <v>41</v>
      </c>
      <c r="BD30" s="9">
        <f>-Adjustments!N58-Adjustments!N84</f>
        <v>47</v>
      </c>
      <c r="BE30" s="18">
        <f>SUM(AS30:BD30)</f>
        <v>174</v>
      </c>
      <c r="BG30" s="9">
        <f t="shared" si="1"/>
        <v>-1046.8</v>
      </c>
      <c r="BH30" s="9">
        <f t="shared" si="1"/>
        <v>-1032.5</v>
      </c>
      <c r="BI30" s="9">
        <f t="shared" si="1"/>
        <v>-1116.8</v>
      </c>
      <c r="BJ30" s="9">
        <f t="shared" si="1"/>
        <v>-1197.5999999999999</v>
      </c>
      <c r="BK30" s="9">
        <f t="shared" si="1"/>
        <v>-1093.4000000000001</v>
      </c>
      <c r="BL30" s="9">
        <f t="shared" si="1"/>
        <v>-1144.4000000000001</v>
      </c>
      <c r="BM30" s="9">
        <f t="shared" si="1"/>
        <v>-1133.5</v>
      </c>
      <c r="BN30" s="9">
        <f t="shared" si="1"/>
        <v>-1230.7</v>
      </c>
      <c r="BO30" s="9">
        <f t="shared" si="1"/>
        <v>-953.8</v>
      </c>
      <c r="BP30" s="9">
        <f t="shared" si="1"/>
        <v>-1120.0999999999999</v>
      </c>
      <c r="BQ30" s="9">
        <f t="shared" si="1"/>
        <v>-1013.3</v>
      </c>
      <c r="BR30" s="9">
        <f t="shared" si="1"/>
        <v>-1094.0999999999999</v>
      </c>
      <c r="BS30" s="18">
        <f>SUM(BG30:BR30)</f>
        <v>-13177</v>
      </c>
      <c r="BU30" s="9">
        <f>SUM(BG30:BO30)-SUM(C30:K30)</f>
        <v>42</v>
      </c>
      <c r="BV30" s="9">
        <f>SUM(BG30:BO30)-SUM(C53:K53)</f>
        <v>254.5</v>
      </c>
      <c r="BW30" s="9">
        <f>SUM(BG30:BO30)-SUM(C66:K66)</f>
        <v>48.399999999999636</v>
      </c>
      <c r="BY30" s="9">
        <f>SUM(BP30:BR30)-SUM(L30:N30)</f>
        <v>132</v>
      </c>
      <c r="BZ30" s="9">
        <f>SUM(BP30:BR30)-SUM(L53:N53)</f>
        <v>219.70000000000027</v>
      </c>
      <c r="CA30" s="9">
        <f>SUM(BP30:BR30)-SUM(L66:N66)</f>
        <v>161.40000000000055</v>
      </c>
      <c r="CC30" s="9">
        <f>BS30-O30</f>
        <v>174</v>
      </c>
      <c r="CD30" s="9">
        <f>BS30-O53</f>
        <v>474.20000000000073</v>
      </c>
      <c r="CE30" s="9">
        <f>BS30-O66</f>
        <v>209.79999999999927</v>
      </c>
    </row>
    <row r="31" spans="2:83" x14ac:dyDescent="0.2">
      <c r="B31" s="2" t="s">
        <v>98</v>
      </c>
      <c r="C31" s="9">
        <f t="shared" ref="C31:N31" si="2">C29+C30</f>
        <v>357.70000000000005</v>
      </c>
      <c r="D31" s="9">
        <f t="shared" si="2"/>
        <v>347.20000000000005</v>
      </c>
      <c r="E31" s="9">
        <f t="shared" si="2"/>
        <v>335.40000000000009</v>
      </c>
      <c r="F31" s="9">
        <f t="shared" si="2"/>
        <v>382.60000000000014</v>
      </c>
      <c r="G31" s="9">
        <f t="shared" si="2"/>
        <v>350.39999999999986</v>
      </c>
      <c r="H31" s="9">
        <f t="shared" si="2"/>
        <v>386.69999999999982</v>
      </c>
      <c r="I31" s="9">
        <f t="shared" si="2"/>
        <v>371.79999999999995</v>
      </c>
      <c r="J31" s="9">
        <f t="shared" si="2"/>
        <v>217.29999999999995</v>
      </c>
      <c r="K31" s="9">
        <f t="shared" si="2"/>
        <v>460.70000000000005</v>
      </c>
      <c r="L31" s="9">
        <f t="shared" si="2"/>
        <v>379.30000000000018</v>
      </c>
      <c r="M31" s="9">
        <f t="shared" si="2"/>
        <v>359.10000000000014</v>
      </c>
      <c r="N31" s="9">
        <f t="shared" si="2"/>
        <v>373.5</v>
      </c>
      <c r="O31" s="18">
        <f>SUM(C31:N31)</f>
        <v>4321.7000000000007</v>
      </c>
      <c r="Q31" s="9">
        <f t="shared" ref="Q31:AB31" si="3">Q29+Q30</f>
        <v>357.70000000000005</v>
      </c>
      <c r="R31" s="9">
        <f t="shared" si="3"/>
        <v>347.20000000000005</v>
      </c>
      <c r="S31" s="9">
        <f t="shared" si="3"/>
        <v>335.40000000000009</v>
      </c>
      <c r="T31" s="9">
        <f t="shared" si="3"/>
        <v>382.60000000000014</v>
      </c>
      <c r="U31" s="9">
        <f t="shared" si="3"/>
        <v>350.39999999999986</v>
      </c>
      <c r="V31" s="9">
        <f t="shared" si="3"/>
        <v>386.69999999999982</v>
      </c>
      <c r="W31" s="9">
        <f t="shared" si="3"/>
        <v>371.79999999999995</v>
      </c>
      <c r="X31" s="9">
        <f t="shared" si="3"/>
        <v>217.29999999999995</v>
      </c>
      <c r="Y31" s="9">
        <f t="shared" si="3"/>
        <v>460.70000000000005</v>
      </c>
      <c r="Z31" s="9">
        <f t="shared" si="3"/>
        <v>379.30000000000018</v>
      </c>
      <c r="AA31" s="9">
        <f t="shared" si="3"/>
        <v>359.10000000000014</v>
      </c>
      <c r="AB31" s="9">
        <f t="shared" si="3"/>
        <v>373.5</v>
      </c>
      <c r="AC31" s="18">
        <f>SUM(Q31:AB31)</f>
        <v>4321.7000000000007</v>
      </c>
      <c r="AE31" s="9">
        <f t="shared" ref="AE31:AP31" si="4">AE29+AE30</f>
        <v>0</v>
      </c>
      <c r="AF31" s="9">
        <f t="shared" si="4"/>
        <v>0</v>
      </c>
      <c r="AG31" s="9">
        <f t="shared" si="4"/>
        <v>0</v>
      </c>
      <c r="AH31" s="9">
        <f t="shared" si="4"/>
        <v>0</v>
      </c>
      <c r="AI31" s="9">
        <f t="shared" si="4"/>
        <v>0</v>
      </c>
      <c r="AJ31" s="9">
        <f t="shared" si="4"/>
        <v>0</v>
      </c>
      <c r="AK31" s="9">
        <f t="shared" si="4"/>
        <v>0</v>
      </c>
      <c r="AL31" s="9">
        <f t="shared" si="4"/>
        <v>0</v>
      </c>
      <c r="AM31" s="9">
        <f t="shared" si="4"/>
        <v>0</v>
      </c>
      <c r="AN31" s="9">
        <f t="shared" si="4"/>
        <v>0</v>
      </c>
      <c r="AO31" s="9">
        <f t="shared" si="4"/>
        <v>0</v>
      </c>
      <c r="AP31" s="9">
        <f t="shared" si="4"/>
        <v>0</v>
      </c>
      <c r="AQ31" s="18">
        <f>SUM(AE31:AP31)</f>
        <v>0</v>
      </c>
      <c r="AS31" s="9">
        <f t="shared" ref="AS31:BD31" si="5">AS29+AS30</f>
        <v>0</v>
      </c>
      <c r="AT31" s="9">
        <f t="shared" si="5"/>
        <v>0</v>
      </c>
      <c r="AU31" s="9">
        <f t="shared" si="5"/>
        <v>0</v>
      </c>
      <c r="AV31" s="9">
        <f t="shared" si="5"/>
        <v>0</v>
      </c>
      <c r="AW31" s="9">
        <f t="shared" si="5"/>
        <v>0</v>
      </c>
      <c r="AX31" s="9">
        <f t="shared" si="5"/>
        <v>0</v>
      </c>
      <c r="AY31" s="9">
        <f t="shared" si="5"/>
        <v>0</v>
      </c>
      <c r="AZ31" s="9">
        <f t="shared" si="5"/>
        <v>0</v>
      </c>
      <c r="BA31" s="9">
        <f t="shared" si="5"/>
        <v>-223</v>
      </c>
      <c r="BB31" s="9">
        <f t="shared" si="5"/>
        <v>-83</v>
      </c>
      <c r="BC31" s="9">
        <f t="shared" si="5"/>
        <v>-61</v>
      </c>
      <c r="BD31" s="9">
        <f t="shared" si="5"/>
        <v>16</v>
      </c>
      <c r="BE31" s="18">
        <f>SUM(AS31:BD31)</f>
        <v>-351</v>
      </c>
      <c r="BG31" s="9">
        <f t="shared" ref="BG31:BR31" si="6">BG29+BG30</f>
        <v>357.70000000000005</v>
      </c>
      <c r="BH31" s="9">
        <f t="shared" si="6"/>
        <v>347.20000000000005</v>
      </c>
      <c r="BI31" s="9">
        <f t="shared" si="6"/>
        <v>335.40000000000009</v>
      </c>
      <c r="BJ31" s="9">
        <f t="shared" si="6"/>
        <v>382.60000000000014</v>
      </c>
      <c r="BK31" s="9">
        <f t="shared" si="6"/>
        <v>350.39999999999986</v>
      </c>
      <c r="BL31" s="9">
        <f t="shared" si="6"/>
        <v>386.69999999999982</v>
      </c>
      <c r="BM31" s="9">
        <f t="shared" si="6"/>
        <v>371.79999999999995</v>
      </c>
      <c r="BN31" s="9">
        <f t="shared" si="6"/>
        <v>217.29999999999995</v>
      </c>
      <c r="BO31" s="9">
        <f t="shared" si="6"/>
        <v>237.70000000000005</v>
      </c>
      <c r="BP31" s="9">
        <f t="shared" si="6"/>
        <v>296.30000000000018</v>
      </c>
      <c r="BQ31" s="9">
        <f t="shared" si="6"/>
        <v>298.10000000000014</v>
      </c>
      <c r="BR31" s="9">
        <f t="shared" si="6"/>
        <v>389.5</v>
      </c>
      <c r="BS31" s="18">
        <f>SUM(BG31:BR31)</f>
        <v>3970.7000000000007</v>
      </c>
      <c r="BU31" s="9">
        <f>SUM(BG31:BO31)-SUM(C31:K31)</f>
        <v>-223</v>
      </c>
      <c r="BV31" s="9">
        <f>SUM(BG31:BO31)-SUM(C54:K54)</f>
        <v>-1385.4000000000005</v>
      </c>
      <c r="BW31" s="9">
        <f>SUM(BG31:BO31)-SUM(C67:K67)</f>
        <v>-1468.8999999999996</v>
      </c>
      <c r="BY31" s="9">
        <f>SUM(BP31:BR31)-SUM(L31:N31)</f>
        <v>-128</v>
      </c>
      <c r="BZ31" s="9">
        <f>SUM(BP31:BR31)-SUM(L54:N54)</f>
        <v>-492.49999999999977</v>
      </c>
      <c r="CA31" s="9">
        <f>SUM(BP31:BR31)-SUM(L67:N67)</f>
        <v>-507.49999999999955</v>
      </c>
      <c r="CC31" s="9">
        <f>BS31-O31</f>
        <v>-351</v>
      </c>
      <c r="CD31" s="9">
        <f>BS31-O54</f>
        <v>-1877.9000000000005</v>
      </c>
      <c r="CE31" s="9">
        <f>BS31-O67</f>
        <v>-1976.3999999999996</v>
      </c>
    </row>
    <row r="35" spans="2:71" x14ac:dyDescent="0.2">
      <c r="B35" s="19" t="s">
        <v>164</v>
      </c>
      <c r="C35" s="12">
        <f t="shared" ref="C35:O35" si="7">IFERROR(C29/C28,0)</f>
        <v>0.28788406747699186</v>
      </c>
      <c r="D35" s="12">
        <f t="shared" si="7"/>
        <v>0.28653610516915534</v>
      </c>
      <c r="E35" s="12">
        <f t="shared" si="7"/>
        <v>0.28515885795075208</v>
      </c>
      <c r="F35" s="12">
        <f t="shared" si="7"/>
        <v>0.28220880808658072</v>
      </c>
      <c r="G35" s="12">
        <f t="shared" si="7"/>
        <v>0.28774139546007133</v>
      </c>
      <c r="H35" s="12">
        <f t="shared" si="7"/>
        <v>0.28751971756929318</v>
      </c>
      <c r="I35" s="12">
        <f t="shared" si="7"/>
        <v>0.28541903678422448</v>
      </c>
      <c r="J35" s="12">
        <f t="shared" si="7"/>
        <v>0.28242086169569541</v>
      </c>
      <c r="K35" s="12">
        <f t="shared" si="7"/>
        <v>0.28585166722273464</v>
      </c>
      <c r="L35" s="12">
        <f t="shared" si="7"/>
        <v>0.28362981476036458</v>
      </c>
      <c r="M35" s="12">
        <f t="shared" si="7"/>
        <v>0.28753941613264167</v>
      </c>
      <c r="N35" s="12">
        <f t="shared" si="7"/>
        <v>0.28287016285671596</v>
      </c>
      <c r="O35" s="12">
        <f t="shared" si="7"/>
        <v>0.28533532676963214</v>
      </c>
      <c r="Q35" s="12">
        <f t="shared" ref="Q35:AC35" si="8">IFERROR(Q29/Q28,0)</f>
        <v>0.28788406747699186</v>
      </c>
      <c r="R35" s="12">
        <f t="shared" si="8"/>
        <v>0.28653610516915534</v>
      </c>
      <c r="S35" s="12">
        <f t="shared" si="8"/>
        <v>0.28515885795075208</v>
      </c>
      <c r="T35" s="12">
        <f t="shared" si="8"/>
        <v>0.28220880808658072</v>
      </c>
      <c r="U35" s="12">
        <f t="shared" si="8"/>
        <v>0.28774139546007133</v>
      </c>
      <c r="V35" s="12">
        <f t="shared" si="8"/>
        <v>0.28751971756929318</v>
      </c>
      <c r="W35" s="12">
        <f t="shared" si="8"/>
        <v>0.28541903678422448</v>
      </c>
      <c r="X35" s="12">
        <f t="shared" si="8"/>
        <v>0.28242086169569541</v>
      </c>
      <c r="Y35" s="12">
        <f t="shared" si="8"/>
        <v>0.28585166722273464</v>
      </c>
      <c r="Z35" s="12">
        <f t="shared" si="8"/>
        <v>0.28362981476036458</v>
      </c>
      <c r="AA35" s="12">
        <f t="shared" si="8"/>
        <v>0.28753941613264167</v>
      </c>
      <c r="AB35" s="12">
        <f t="shared" si="8"/>
        <v>0.28287016285671596</v>
      </c>
      <c r="AC35" s="12">
        <f t="shared" si="8"/>
        <v>0.28533532676963214</v>
      </c>
      <c r="AE35" s="12">
        <f t="shared" ref="AE35:AQ35" si="9">IFERROR(AE29/AE28,0)</f>
        <v>0</v>
      </c>
      <c r="AF35" s="12">
        <f t="shared" si="9"/>
        <v>0</v>
      </c>
      <c r="AG35" s="12">
        <f t="shared" si="9"/>
        <v>0</v>
      </c>
      <c r="AH35" s="12">
        <f t="shared" si="9"/>
        <v>0</v>
      </c>
      <c r="AI35" s="12">
        <f t="shared" si="9"/>
        <v>0</v>
      </c>
      <c r="AJ35" s="12">
        <f t="shared" si="9"/>
        <v>0</v>
      </c>
      <c r="AK35" s="12">
        <f t="shared" si="9"/>
        <v>0</v>
      </c>
      <c r="AL35" s="12">
        <f t="shared" si="9"/>
        <v>0</v>
      </c>
      <c r="AM35" s="12">
        <f t="shared" si="9"/>
        <v>0</v>
      </c>
      <c r="AN35" s="12">
        <f t="shared" si="9"/>
        <v>0</v>
      </c>
      <c r="AO35" s="12">
        <f t="shared" si="9"/>
        <v>0</v>
      </c>
      <c r="AP35" s="12">
        <f t="shared" si="9"/>
        <v>0</v>
      </c>
      <c r="AQ35" s="12">
        <f t="shared" si="9"/>
        <v>0</v>
      </c>
      <c r="AS35" s="12">
        <f t="shared" ref="AS35:BE35" si="10">IFERROR(AS29/AS28,0)</f>
        <v>0</v>
      </c>
      <c r="AT35" s="12">
        <f t="shared" si="10"/>
        <v>0</v>
      </c>
      <c r="AU35" s="12">
        <f t="shared" si="10"/>
        <v>0</v>
      </c>
      <c r="AV35" s="12">
        <f t="shared" si="10"/>
        <v>0</v>
      </c>
      <c r="AW35" s="12">
        <f t="shared" si="10"/>
        <v>0</v>
      </c>
      <c r="AX35" s="12">
        <f t="shared" si="10"/>
        <v>0</v>
      </c>
      <c r="AY35" s="12">
        <f t="shared" si="10"/>
        <v>0</v>
      </c>
      <c r="AZ35" s="12">
        <f t="shared" si="10"/>
        <v>0</v>
      </c>
      <c r="BA35" s="12">
        <f t="shared" si="10"/>
        <v>0.61627906976744184</v>
      </c>
      <c r="BB35" s="12">
        <f t="shared" si="10"/>
        <v>0.50800000000000001</v>
      </c>
      <c r="BC35" s="12">
        <f t="shared" si="10"/>
        <v>0.51</v>
      </c>
      <c r="BD35" s="12">
        <f t="shared" si="10"/>
        <v>0.10333333333333333</v>
      </c>
      <c r="BE35" s="12">
        <f t="shared" si="10"/>
        <v>0.44491525423728812</v>
      </c>
      <c r="BG35" s="12">
        <f t="shared" ref="BG35:BS35" si="11">IFERROR(BG29/BG28,0)</f>
        <v>0.28788406747699186</v>
      </c>
      <c r="BH35" s="12">
        <f t="shared" si="11"/>
        <v>0.28653610516915534</v>
      </c>
      <c r="BI35" s="12">
        <f t="shared" si="11"/>
        <v>0.28515885795075208</v>
      </c>
      <c r="BJ35" s="12">
        <f t="shared" si="11"/>
        <v>0.28220880808658072</v>
      </c>
      <c r="BK35" s="12">
        <f t="shared" si="11"/>
        <v>0.28774139546007133</v>
      </c>
      <c r="BL35" s="12">
        <f t="shared" si="11"/>
        <v>0.28751971756929318</v>
      </c>
      <c r="BM35" s="12">
        <f t="shared" si="11"/>
        <v>0.28541903678422448</v>
      </c>
      <c r="BN35" s="12">
        <f t="shared" si="11"/>
        <v>0.28242086169569541</v>
      </c>
      <c r="BO35" s="12">
        <f t="shared" si="11"/>
        <v>0.25539622317964544</v>
      </c>
      <c r="BP35" s="12">
        <f t="shared" si="11"/>
        <v>0.27282533323060326</v>
      </c>
      <c r="BQ35" s="12">
        <f t="shared" si="11"/>
        <v>0.27810412469515428</v>
      </c>
      <c r="BR35" s="12">
        <f t="shared" si="11"/>
        <v>0.29352643241532128</v>
      </c>
      <c r="BS35" s="12">
        <f t="shared" si="11"/>
        <v>0.28223600398968995</v>
      </c>
    </row>
    <row r="36" spans="2:71" x14ac:dyDescent="0.2">
      <c r="B36" s="19" t="s">
        <v>165</v>
      </c>
      <c r="C36" s="12">
        <f t="shared" ref="C36:O36" si="12">IFERROR(C30/C28,0)</f>
        <v>-0.21456535552503742</v>
      </c>
      <c r="D36" s="12">
        <f t="shared" si="12"/>
        <v>-0.21442960686174739</v>
      </c>
      <c r="E36" s="12">
        <f t="shared" si="12"/>
        <v>-0.21929859011114164</v>
      </c>
      <c r="F36" s="12">
        <f t="shared" si="12"/>
        <v>-0.21388005857770476</v>
      </c>
      <c r="G36" s="12">
        <f t="shared" si="12"/>
        <v>-0.2179086035434562</v>
      </c>
      <c r="H36" s="12">
        <f t="shared" si="12"/>
        <v>-0.21490272665815371</v>
      </c>
      <c r="I36" s="12">
        <f t="shared" si="12"/>
        <v>-0.21492226014410315</v>
      </c>
      <c r="J36" s="12">
        <f t="shared" si="12"/>
        <v>-0.24003822823818532</v>
      </c>
      <c r="K36" s="12">
        <f t="shared" si="12"/>
        <v>-0.19543500873353872</v>
      </c>
      <c r="L36" s="12">
        <f t="shared" si="12"/>
        <v>-0.21392605116142308</v>
      </c>
      <c r="M36" s="12">
        <f t="shared" si="12"/>
        <v>-0.21448479300172921</v>
      </c>
      <c r="N36" s="12">
        <f t="shared" si="12"/>
        <v>-0.21311444793067383</v>
      </c>
      <c r="O36" s="12">
        <f t="shared" si="12"/>
        <v>-0.215559136278065</v>
      </c>
      <c r="Q36" s="12">
        <f t="shared" ref="Q36:AC36" si="13">IFERROR(Q30/Q28,0)</f>
        <v>-0.21456535552503742</v>
      </c>
      <c r="R36" s="12">
        <f t="shared" si="13"/>
        <v>-0.21442960686174739</v>
      </c>
      <c r="S36" s="12">
        <f t="shared" si="13"/>
        <v>-0.21929859011114164</v>
      </c>
      <c r="T36" s="12">
        <f t="shared" si="13"/>
        <v>-0.21388005857770476</v>
      </c>
      <c r="U36" s="12">
        <f t="shared" si="13"/>
        <v>-0.2179086035434562</v>
      </c>
      <c r="V36" s="12">
        <f t="shared" si="13"/>
        <v>-0.21490272665815371</v>
      </c>
      <c r="W36" s="12">
        <f t="shared" si="13"/>
        <v>-0.21492226014410315</v>
      </c>
      <c r="X36" s="12">
        <f t="shared" si="13"/>
        <v>-0.24003822823818532</v>
      </c>
      <c r="Y36" s="12">
        <f t="shared" si="13"/>
        <v>-0.19543500873353872</v>
      </c>
      <c r="Z36" s="12">
        <f t="shared" si="13"/>
        <v>-0.21392605116142308</v>
      </c>
      <c r="AA36" s="12">
        <f t="shared" si="13"/>
        <v>-0.21448479300172921</v>
      </c>
      <c r="AB36" s="12">
        <f t="shared" si="13"/>
        <v>-0.21311444793067383</v>
      </c>
      <c r="AC36" s="12">
        <f t="shared" si="13"/>
        <v>-0.215559136278065</v>
      </c>
      <c r="AE36" s="12">
        <f t="shared" ref="AE36:AQ36" si="14">IFERROR(AE30/AE28,0)</f>
        <v>0</v>
      </c>
      <c r="AF36" s="12">
        <f t="shared" si="14"/>
        <v>0</v>
      </c>
      <c r="AG36" s="12">
        <f t="shared" si="14"/>
        <v>0</v>
      </c>
      <c r="AH36" s="12">
        <f t="shared" si="14"/>
        <v>0</v>
      </c>
      <c r="AI36" s="12">
        <f t="shared" si="14"/>
        <v>0</v>
      </c>
      <c r="AJ36" s="12">
        <f t="shared" si="14"/>
        <v>0</v>
      </c>
      <c r="AK36" s="12">
        <f t="shared" si="14"/>
        <v>0</v>
      </c>
      <c r="AL36" s="12">
        <f t="shared" si="14"/>
        <v>0</v>
      </c>
      <c r="AM36" s="12">
        <f t="shared" si="14"/>
        <v>0</v>
      </c>
      <c r="AN36" s="12">
        <f t="shared" si="14"/>
        <v>0</v>
      </c>
      <c r="AO36" s="12">
        <f t="shared" si="14"/>
        <v>0</v>
      </c>
      <c r="AP36" s="12">
        <f t="shared" si="14"/>
        <v>0</v>
      </c>
      <c r="AQ36" s="12">
        <f t="shared" si="14"/>
        <v>0</v>
      </c>
      <c r="AS36" s="12">
        <f t="shared" ref="AS36:BE36" si="15">IFERROR(AS30/AS28,0)</f>
        <v>0</v>
      </c>
      <c r="AT36" s="12">
        <f t="shared" si="15"/>
        <v>0</v>
      </c>
      <c r="AU36" s="12">
        <f t="shared" si="15"/>
        <v>0</v>
      </c>
      <c r="AV36" s="12">
        <f t="shared" si="15"/>
        <v>0</v>
      </c>
      <c r="AW36" s="12">
        <f t="shared" si="15"/>
        <v>0</v>
      </c>
      <c r="AX36" s="12">
        <f t="shared" si="15"/>
        <v>0</v>
      </c>
      <c r="AY36" s="12">
        <f t="shared" si="15"/>
        <v>0</v>
      </c>
      <c r="AZ36" s="12">
        <f t="shared" si="15"/>
        <v>0</v>
      </c>
      <c r="BA36" s="12">
        <f t="shared" si="15"/>
        <v>-9.7674418604651161E-2</v>
      </c>
      <c r="BB36" s="12">
        <f t="shared" si="15"/>
        <v>-0.17599999999999999</v>
      </c>
      <c r="BC36" s="12">
        <f t="shared" si="15"/>
        <v>-0.20499999999999999</v>
      </c>
      <c r="BD36" s="12">
        <f t="shared" si="15"/>
        <v>-0.15666666666666668</v>
      </c>
      <c r="BE36" s="12">
        <f t="shared" si="15"/>
        <v>-0.14745762711864407</v>
      </c>
      <c r="BG36" s="12">
        <f t="shared" ref="BG36:BS36" si="16">IFERROR(BG30/BG28,0)</f>
        <v>-0.21456535552503742</v>
      </c>
      <c r="BH36" s="12">
        <f t="shared" si="16"/>
        <v>-0.21442960686174739</v>
      </c>
      <c r="BI36" s="12">
        <f t="shared" si="16"/>
        <v>-0.21929859011114164</v>
      </c>
      <c r="BJ36" s="12">
        <f t="shared" si="16"/>
        <v>-0.21388005857770476</v>
      </c>
      <c r="BK36" s="12">
        <f t="shared" si="16"/>
        <v>-0.2179086035434562</v>
      </c>
      <c r="BL36" s="12">
        <f t="shared" si="16"/>
        <v>-0.21490272665815371</v>
      </c>
      <c r="BM36" s="12">
        <f t="shared" si="16"/>
        <v>-0.21492226014410315</v>
      </c>
      <c r="BN36" s="12">
        <f t="shared" si="16"/>
        <v>-0.24003822823818532</v>
      </c>
      <c r="BO36" s="12">
        <f t="shared" si="16"/>
        <v>-0.20444558763637921</v>
      </c>
      <c r="BP36" s="12">
        <f t="shared" si="16"/>
        <v>-0.21575236921180366</v>
      </c>
      <c r="BQ36" s="12">
        <f t="shared" si="16"/>
        <v>-0.21488707454140599</v>
      </c>
      <c r="BR36" s="12">
        <f t="shared" si="16"/>
        <v>-0.21646486229819564</v>
      </c>
      <c r="BS36" s="12">
        <f t="shared" si="16"/>
        <v>-0.21688178732845487</v>
      </c>
    </row>
    <row r="37" spans="2:71" x14ac:dyDescent="0.2">
      <c r="B37" s="19" t="s">
        <v>166</v>
      </c>
      <c r="C37" s="12">
        <f t="shared" ref="C37:O37" si="17">IFERROR(C31/C28,0)</f>
        <v>7.3318711951954427E-2</v>
      </c>
      <c r="D37" s="12">
        <f t="shared" si="17"/>
        <v>7.2106498307407951E-2</v>
      </c>
      <c r="E37" s="12">
        <f t="shared" si="17"/>
        <v>6.5860267839610423E-2</v>
      </c>
      <c r="F37" s="12">
        <f t="shared" si="17"/>
        <v>6.8328749508875977E-2</v>
      </c>
      <c r="G37" s="12">
        <f t="shared" si="17"/>
        <v>6.9832791916615164E-2</v>
      </c>
      <c r="H37" s="12">
        <f t="shared" si="17"/>
        <v>7.2616990911139462E-2</v>
      </c>
      <c r="I37" s="12">
        <f t="shared" si="17"/>
        <v>7.0496776640121342E-2</v>
      </c>
      <c r="J37" s="12">
        <f t="shared" si="17"/>
        <v>4.2382633457510081E-2</v>
      </c>
      <c r="K37" s="12">
        <f t="shared" si="17"/>
        <v>9.0416658489195931E-2</v>
      </c>
      <c r="L37" s="12">
        <f t="shared" si="17"/>
        <v>6.9703763598941523E-2</v>
      </c>
      <c r="M37" s="12">
        <f t="shared" si="17"/>
        <v>7.3054623130912447E-2</v>
      </c>
      <c r="N37" s="12">
        <f t="shared" si="17"/>
        <v>6.9755714926042142E-2</v>
      </c>
      <c r="O37" s="12">
        <f t="shared" si="17"/>
        <v>6.9776190491567192E-2</v>
      </c>
      <c r="Q37" s="12">
        <f t="shared" ref="Q37:AC37" si="18">IFERROR(Q31/Q28,0)</f>
        <v>7.3318711951954427E-2</v>
      </c>
      <c r="R37" s="12">
        <f t="shared" si="18"/>
        <v>7.2106498307407951E-2</v>
      </c>
      <c r="S37" s="12">
        <f t="shared" si="18"/>
        <v>6.5860267839610423E-2</v>
      </c>
      <c r="T37" s="12">
        <f t="shared" si="18"/>
        <v>6.8328749508875977E-2</v>
      </c>
      <c r="U37" s="12">
        <f t="shared" si="18"/>
        <v>6.9832791916615164E-2</v>
      </c>
      <c r="V37" s="12">
        <f t="shared" si="18"/>
        <v>7.2616990911139462E-2</v>
      </c>
      <c r="W37" s="12">
        <f t="shared" si="18"/>
        <v>7.0496776640121342E-2</v>
      </c>
      <c r="X37" s="12">
        <f t="shared" si="18"/>
        <v>4.2382633457510081E-2</v>
      </c>
      <c r="Y37" s="12">
        <f t="shared" si="18"/>
        <v>9.0416658489195931E-2</v>
      </c>
      <c r="Z37" s="12">
        <f t="shared" si="18"/>
        <v>6.9703763598941523E-2</v>
      </c>
      <c r="AA37" s="12">
        <f t="shared" si="18"/>
        <v>7.3054623130912447E-2</v>
      </c>
      <c r="AB37" s="12">
        <f t="shared" si="18"/>
        <v>6.9755714926042142E-2</v>
      </c>
      <c r="AC37" s="12">
        <f t="shared" si="18"/>
        <v>6.9776190491567192E-2</v>
      </c>
      <c r="AE37" s="12">
        <f t="shared" ref="AE37:AQ37" si="19">IFERROR(AE31/AE28,0)</f>
        <v>0</v>
      </c>
      <c r="AF37" s="12">
        <f t="shared" si="19"/>
        <v>0</v>
      </c>
      <c r="AG37" s="12">
        <f t="shared" si="19"/>
        <v>0</v>
      </c>
      <c r="AH37" s="12">
        <f t="shared" si="19"/>
        <v>0</v>
      </c>
      <c r="AI37" s="12">
        <f t="shared" si="19"/>
        <v>0</v>
      </c>
      <c r="AJ37" s="12">
        <f t="shared" si="19"/>
        <v>0</v>
      </c>
      <c r="AK37" s="12">
        <f t="shared" si="19"/>
        <v>0</v>
      </c>
      <c r="AL37" s="12">
        <f t="shared" si="19"/>
        <v>0</v>
      </c>
      <c r="AM37" s="12">
        <f t="shared" si="19"/>
        <v>0</v>
      </c>
      <c r="AN37" s="12">
        <f t="shared" si="19"/>
        <v>0</v>
      </c>
      <c r="AO37" s="12">
        <f t="shared" si="19"/>
        <v>0</v>
      </c>
      <c r="AP37" s="12">
        <f t="shared" si="19"/>
        <v>0</v>
      </c>
      <c r="AQ37" s="12">
        <f t="shared" si="19"/>
        <v>0</v>
      </c>
      <c r="AS37" s="12">
        <f t="shared" ref="AS37:BE37" si="20">IFERROR(AS31/AS28,0)</f>
        <v>0</v>
      </c>
      <c r="AT37" s="12">
        <f t="shared" si="20"/>
        <v>0</v>
      </c>
      <c r="AU37" s="12">
        <f t="shared" si="20"/>
        <v>0</v>
      </c>
      <c r="AV37" s="12">
        <f t="shared" si="20"/>
        <v>0</v>
      </c>
      <c r="AW37" s="12">
        <f t="shared" si="20"/>
        <v>0</v>
      </c>
      <c r="AX37" s="12">
        <f t="shared" si="20"/>
        <v>0</v>
      </c>
      <c r="AY37" s="12">
        <f t="shared" si="20"/>
        <v>0</v>
      </c>
      <c r="AZ37" s="12">
        <f t="shared" si="20"/>
        <v>0</v>
      </c>
      <c r="BA37" s="12">
        <f t="shared" si="20"/>
        <v>0.51860465116279075</v>
      </c>
      <c r="BB37" s="12">
        <f t="shared" si="20"/>
        <v>0.33200000000000002</v>
      </c>
      <c r="BC37" s="12">
        <f t="shared" si="20"/>
        <v>0.30499999999999999</v>
      </c>
      <c r="BD37" s="12">
        <f t="shared" si="20"/>
        <v>-5.3333333333333337E-2</v>
      </c>
      <c r="BE37" s="12">
        <f t="shared" si="20"/>
        <v>0.29745762711864404</v>
      </c>
      <c r="BG37" s="12">
        <f t="shared" ref="BG37:BS37" si="21">IFERROR(BG31/BG28,0)</f>
        <v>7.3318711951954427E-2</v>
      </c>
      <c r="BH37" s="12">
        <f t="shared" si="21"/>
        <v>7.2106498307407951E-2</v>
      </c>
      <c r="BI37" s="12">
        <f t="shared" si="21"/>
        <v>6.5860267839610423E-2</v>
      </c>
      <c r="BJ37" s="12">
        <f t="shared" si="21"/>
        <v>6.8328749508875977E-2</v>
      </c>
      <c r="BK37" s="12">
        <f t="shared" si="21"/>
        <v>6.9832791916615164E-2</v>
      </c>
      <c r="BL37" s="12">
        <f t="shared" si="21"/>
        <v>7.2616990911139462E-2</v>
      </c>
      <c r="BM37" s="12">
        <f t="shared" si="21"/>
        <v>7.0496776640121342E-2</v>
      </c>
      <c r="BN37" s="12">
        <f t="shared" si="21"/>
        <v>4.2382633457510081E-2</v>
      </c>
      <c r="BO37" s="12">
        <f t="shared" si="21"/>
        <v>5.0950635543266252E-2</v>
      </c>
      <c r="BP37" s="12">
        <f t="shared" si="21"/>
        <v>5.7072964018799632E-2</v>
      </c>
      <c r="BQ37" s="12">
        <f t="shared" si="21"/>
        <v>6.3217050153748303E-2</v>
      </c>
      <c r="BR37" s="12">
        <f t="shared" si="21"/>
        <v>7.706157011712568E-2</v>
      </c>
      <c r="BS37" s="12">
        <f t="shared" si="21"/>
        <v>6.535421666123517E-2</v>
      </c>
    </row>
    <row r="38" spans="2:71" x14ac:dyDescent="0.2">
      <c r="B38" s="19" t="s">
        <v>167</v>
      </c>
      <c r="C38" s="9">
        <f>IFERROR(C28/21,0)</f>
        <v>232.31904761904761</v>
      </c>
      <c r="D38" s="9">
        <f>IFERROR(D28/20,0)</f>
        <v>240.75500000000002</v>
      </c>
      <c r="E38" s="9">
        <f>IFERROR(E28/22,0)</f>
        <v>231.4818181818182</v>
      </c>
      <c r="F38" s="9">
        <f>IFERROR(F28/22,0)</f>
        <v>254.5181818181818</v>
      </c>
      <c r="G38" s="9">
        <f>IFERROR(G28/20,0)</f>
        <v>250.88499999999999</v>
      </c>
      <c r="H38" s="9">
        <f>IFERROR(H28/22,0)</f>
        <v>242.05454545454543</v>
      </c>
      <c r="I38" s="9">
        <f>IFERROR(I28/22,0)</f>
        <v>239.72727272727272</v>
      </c>
      <c r="J38" s="9">
        <f>IFERROR(J28/21,0)</f>
        <v>244.14761904761906</v>
      </c>
      <c r="K38" s="9">
        <f>IFERROR(K28/21,0)</f>
        <v>242.63333333333335</v>
      </c>
      <c r="L38" s="9">
        <f>IFERROR(L28/22,0)</f>
        <v>247.34545454545457</v>
      </c>
      <c r="M38" s="9">
        <f>IFERROR(M28/19,0)</f>
        <v>258.71052631578948</v>
      </c>
      <c r="N38" s="9">
        <f>IFERROR(N28/22,0)</f>
        <v>243.38181818181818</v>
      </c>
      <c r="O38" s="9">
        <f>IFERROR(O28/254,0)</f>
        <v>243.84488188976377</v>
      </c>
      <c r="Q38" s="9">
        <f>IFERROR(Q28/21,0)</f>
        <v>232.31904761904761</v>
      </c>
      <c r="R38" s="9">
        <f>IFERROR(R28/20,0)</f>
        <v>240.75500000000002</v>
      </c>
      <c r="S38" s="9">
        <f>IFERROR(S28/22,0)</f>
        <v>231.4818181818182</v>
      </c>
      <c r="T38" s="9">
        <f>IFERROR(T28/22,0)</f>
        <v>254.5181818181818</v>
      </c>
      <c r="U38" s="9">
        <f>IFERROR(U28/20,0)</f>
        <v>250.88499999999999</v>
      </c>
      <c r="V38" s="9">
        <f>IFERROR(V28/22,0)</f>
        <v>242.05454545454543</v>
      </c>
      <c r="W38" s="9">
        <f>IFERROR(W28/22,0)</f>
        <v>239.72727272727272</v>
      </c>
      <c r="X38" s="9">
        <f>IFERROR(X28/21,0)</f>
        <v>244.14761904761906</v>
      </c>
      <c r="Y38" s="9">
        <f>IFERROR(Y28/21,0)</f>
        <v>242.63333333333335</v>
      </c>
      <c r="Z38" s="9">
        <f>IFERROR(Z28/22,0)</f>
        <v>247.34545454545457</v>
      </c>
      <c r="AA38" s="9">
        <f>IFERROR(AA28/19,0)</f>
        <v>258.71052631578948</v>
      </c>
      <c r="AB38" s="9">
        <f>IFERROR(AB28/22,0)</f>
        <v>243.38181818181818</v>
      </c>
      <c r="AC38" s="9">
        <f>IFERROR(AC28/254,0)</f>
        <v>243.84488188976377</v>
      </c>
      <c r="AE38" s="9">
        <f>IFERROR(AE28/21,0)</f>
        <v>0</v>
      </c>
      <c r="AF38" s="9">
        <f>IFERROR(AF28/20,0)</f>
        <v>0</v>
      </c>
      <c r="AG38" s="9">
        <f>IFERROR(AG28/22,0)</f>
        <v>0</v>
      </c>
      <c r="AH38" s="9">
        <f>IFERROR(AH28/22,0)</f>
        <v>0</v>
      </c>
      <c r="AI38" s="9">
        <f>IFERROR(AI28/20,0)</f>
        <v>0</v>
      </c>
      <c r="AJ38" s="9">
        <f>IFERROR(AJ28/22,0)</f>
        <v>0</v>
      </c>
      <c r="AK38" s="9">
        <f>IFERROR(AK28/22,0)</f>
        <v>0</v>
      </c>
      <c r="AL38" s="9">
        <f>IFERROR(AL28/21,0)</f>
        <v>0</v>
      </c>
      <c r="AM38" s="9">
        <f>IFERROR(AM28/21,0)</f>
        <v>0</v>
      </c>
      <c r="AN38" s="9">
        <f>IFERROR(AN28/22,0)</f>
        <v>0</v>
      </c>
      <c r="AO38" s="9">
        <f>IFERROR(AO28/19,0)</f>
        <v>0</v>
      </c>
      <c r="AP38" s="9">
        <f>IFERROR(AP28/22,0)</f>
        <v>0</v>
      </c>
      <c r="AQ38" s="9">
        <f>IFERROR(AQ28/254,0)</f>
        <v>0</v>
      </c>
      <c r="AS38" s="9">
        <f>IFERROR(AS28/21,0)</f>
        <v>0</v>
      </c>
      <c r="AT38" s="9">
        <f>IFERROR(AT28/20,0)</f>
        <v>0</v>
      </c>
      <c r="AU38" s="9">
        <f>IFERROR(AU28/22,0)</f>
        <v>0</v>
      </c>
      <c r="AV38" s="9">
        <f>IFERROR(AV28/22,0)</f>
        <v>0</v>
      </c>
      <c r="AW38" s="9">
        <f>IFERROR(AW28/20,0)</f>
        <v>0</v>
      </c>
      <c r="AX38" s="9">
        <f>IFERROR(AX28/22,0)</f>
        <v>0</v>
      </c>
      <c r="AY38" s="9">
        <f>IFERROR(AY28/22,0)</f>
        <v>0</v>
      </c>
      <c r="AZ38" s="9">
        <f>IFERROR(AZ28/21,0)</f>
        <v>0</v>
      </c>
      <c r="BA38" s="9">
        <f>IFERROR(BA28/21,0)</f>
        <v>-20.476190476190474</v>
      </c>
      <c r="BB38" s="9">
        <f>IFERROR(BB28/22,0)</f>
        <v>-11.363636363636363</v>
      </c>
      <c r="BC38" s="9">
        <f>IFERROR(BC28/19,0)</f>
        <v>-10.526315789473685</v>
      </c>
      <c r="BD38" s="9">
        <f>IFERROR(BD28/22,0)</f>
        <v>-13.636363636363637</v>
      </c>
      <c r="BE38" s="9">
        <f>IFERROR(BE28/254,0)</f>
        <v>-4.6456692913385824</v>
      </c>
      <c r="BG38" s="9">
        <f>IFERROR(BG28/21,0)</f>
        <v>232.31904761904761</v>
      </c>
      <c r="BH38" s="9">
        <f>IFERROR(BH28/20,0)</f>
        <v>240.75500000000002</v>
      </c>
      <c r="BI38" s="9">
        <f>IFERROR(BI28/22,0)</f>
        <v>231.4818181818182</v>
      </c>
      <c r="BJ38" s="9">
        <f>IFERROR(BJ28/22,0)</f>
        <v>254.5181818181818</v>
      </c>
      <c r="BK38" s="9">
        <f>IFERROR(BK28/20,0)</f>
        <v>250.88499999999999</v>
      </c>
      <c r="BL38" s="9">
        <f>IFERROR(BL28/22,0)</f>
        <v>242.05454545454543</v>
      </c>
      <c r="BM38" s="9">
        <f>IFERROR(BM28/22,0)</f>
        <v>239.72727272727272</v>
      </c>
      <c r="BN38" s="9">
        <f>IFERROR(BN28/21,0)</f>
        <v>244.14761904761906</v>
      </c>
      <c r="BO38" s="9">
        <f>IFERROR(BO28/21,0)</f>
        <v>222.15714285714287</v>
      </c>
      <c r="BP38" s="9">
        <f>IFERROR(BP28/22,0)</f>
        <v>235.9818181818182</v>
      </c>
      <c r="BQ38" s="9">
        <f>IFERROR(BQ28/19,0)</f>
        <v>248.18421052631578</v>
      </c>
      <c r="BR38" s="9">
        <f>IFERROR(BR28/22,0)</f>
        <v>229.74545454545452</v>
      </c>
      <c r="BS38" s="9">
        <f>IFERROR(BS28/254,0)</f>
        <v>239.19921259842519</v>
      </c>
    </row>
    <row r="40" spans="2:71" x14ac:dyDescent="0.2">
      <c r="B40" s="19" t="s">
        <v>148</v>
      </c>
      <c r="C40" s="9">
        <v>8938.2000000000007</v>
      </c>
      <c r="D40" s="9">
        <v>8677.6</v>
      </c>
      <c r="E40" s="9">
        <v>9094.9</v>
      </c>
      <c r="F40" s="9">
        <v>10143</v>
      </c>
      <c r="G40" s="9">
        <v>8777.7999999999993</v>
      </c>
      <c r="H40" s="9">
        <v>8884.7999999999993</v>
      </c>
      <c r="I40" s="9">
        <v>8549.7000000000007</v>
      </c>
      <c r="J40" s="9">
        <v>8121.8</v>
      </c>
      <c r="K40" s="9">
        <v>7734</v>
      </c>
      <c r="L40" s="9">
        <v>8363.2000000000007</v>
      </c>
      <c r="M40" s="9">
        <v>7509.9</v>
      </c>
      <c r="N40" s="9">
        <v>7719.4</v>
      </c>
      <c r="O40" s="9">
        <f t="shared" ref="O40:O45" si="22">N40</f>
        <v>7719.4</v>
      </c>
      <c r="Q40" s="9">
        <v>8938.2000000000007</v>
      </c>
      <c r="R40" s="9">
        <v>8677.6</v>
      </c>
      <c r="S40" s="9">
        <v>9094.9</v>
      </c>
      <c r="T40" s="9">
        <v>10143</v>
      </c>
      <c r="U40" s="9">
        <v>8777.7999999999993</v>
      </c>
      <c r="V40" s="9">
        <v>8884.7999999999993</v>
      </c>
      <c r="W40" s="9">
        <v>8549.7000000000007</v>
      </c>
      <c r="X40" s="9">
        <v>8121.8</v>
      </c>
      <c r="Y40" s="9">
        <v>7734</v>
      </c>
      <c r="Z40" s="9">
        <v>8363.2000000000007</v>
      </c>
      <c r="AA40" s="9">
        <v>7509.9</v>
      </c>
      <c r="AB40" s="9">
        <v>7719.4</v>
      </c>
      <c r="AC40" s="9">
        <f t="shared" ref="AC40:AC45" si="23">AB40</f>
        <v>7719.4</v>
      </c>
      <c r="AE40" s="9">
        <f t="shared" ref="AE40:AP44" si="24">Q40-C40</f>
        <v>0</v>
      </c>
      <c r="AF40" s="9">
        <f t="shared" si="24"/>
        <v>0</v>
      </c>
      <c r="AG40" s="9">
        <f t="shared" si="24"/>
        <v>0</v>
      </c>
      <c r="AH40" s="9">
        <f t="shared" si="24"/>
        <v>0</v>
      </c>
      <c r="AI40" s="9">
        <f t="shared" si="24"/>
        <v>0</v>
      </c>
      <c r="AJ40" s="9">
        <f t="shared" si="24"/>
        <v>0</v>
      </c>
      <c r="AK40" s="9">
        <f t="shared" si="24"/>
        <v>0</v>
      </c>
      <c r="AL40" s="9">
        <f t="shared" si="24"/>
        <v>0</v>
      </c>
      <c r="AM40" s="9">
        <f t="shared" si="24"/>
        <v>0</v>
      </c>
      <c r="AN40" s="9">
        <f t="shared" si="24"/>
        <v>0</v>
      </c>
      <c r="AO40" s="9">
        <f t="shared" si="24"/>
        <v>0</v>
      </c>
      <c r="AP40" s="9">
        <f t="shared" si="24"/>
        <v>0</v>
      </c>
      <c r="AQ40" s="9">
        <f t="shared" ref="AQ40:AQ45" si="25">AP40</f>
        <v>0</v>
      </c>
      <c r="AS40" s="9">
        <f>Adjustments!C90</f>
        <v>0</v>
      </c>
      <c r="AT40" s="9">
        <f>Adjustments!D90</f>
        <v>0</v>
      </c>
      <c r="AU40" s="9">
        <f>Adjustments!E90</f>
        <v>0</v>
      </c>
      <c r="AV40" s="9">
        <f>Adjustments!F90</f>
        <v>0</v>
      </c>
      <c r="AW40" s="9">
        <f>Adjustments!G90</f>
        <v>0</v>
      </c>
      <c r="AX40" s="9">
        <f>Adjustments!H90</f>
        <v>0</v>
      </c>
      <c r="AY40" s="9">
        <f>Adjustments!I90</f>
        <v>0</v>
      </c>
      <c r="AZ40" s="9">
        <f>Adjustments!J90</f>
        <v>0</v>
      </c>
      <c r="BA40" s="9">
        <f>Adjustments!K90</f>
        <v>400</v>
      </c>
      <c r="BB40" s="9">
        <f>Adjustments!L90</f>
        <v>600</v>
      </c>
      <c r="BC40" s="9">
        <f>Adjustments!M90</f>
        <v>300</v>
      </c>
      <c r="BD40" s="9">
        <f>Adjustments!N90</f>
        <v>0</v>
      </c>
      <c r="BE40" s="9">
        <f t="shared" ref="BE40:BE45" si="26">BD40</f>
        <v>0</v>
      </c>
      <c r="BG40" s="9">
        <f t="shared" ref="BG40:BR44" si="27">C40+AE40+AS40</f>
        <v>8938.2000000000007</v>
      </c>
      <c r="BH40" s="9">
        <f t="shared" si="27"/>
        <v>8677.6</v>
      </c>
      <c r="BI40" s="9">
        <f t="shared" si="27"/>
        <v>9094.9</v>
      </c>
      <c r="BJ40" s="9">
        <f t="shared" si="27"/>
        <v>10143</v>
      </c>
      <c r="BK40" s="9">
        <f t="shared" si="27"/>
        <v>8777.7999999999993</v>
      </c>
      <c r="BL40" s="9">
        <f t="shared" si="27"/>
        <v>8884.7999999999993</v>
      </c>
      <c r="BM40" s="9">
        <f t="shared" si="27"/>
        <v>8549.7000000000007</v>
      </c>
      <c r="BN40" s="9">
        <f t="shared" si="27"/>
        <v>8121.8</v>
      </c>
      <c r="BO40" s="9">
        <f t="shared" si="27"/>
        <v>8134</v>
      </c>
      <c r="BP40" s="9">
        <f t="shared" si="27"/>
        <v>8963.2000000000007</v>
      </c>
      <c r="BQ40" s="9">
        <f t="shared" si="27"/>
        <v>7809.9</v>
      </c>
      <c r="BR40" s="9">
        <f t="shared" si="27"/>
        <v>7719.4</v>
      </c>
      <c r="BS40" s="9">
        <f t="shared" ref="BS40:BS45" si="28">BR40</f>
        <v>7719.4</v>
      </c>
    </row>
    <row r="41" spans="2:71" x14ac:dyDescent="0.2">
      <c r="B41" s="19" t="s">
        <v>149</v>
      </c>
      <c r="C41" s="9">
        <v>7399.4</v>
      </c>
      <c r="D41" s="9">
        <v>7302.9</v>
      </c>
      <c r="E41" s="9">
        <v>7723.8</v>
      </c>
      <c r="F41" s="9">
        <v>8492.4</v>
      </c>
      <c r="G41" s="9">
        <v>7610.2</v>
      </c>
      <c r="H41" s="9">
        <v>8076.6</v>
      </c>
      <c r="I41" s="9">
        <v>7998.9</v>
      </c>
      <c r="J41" s="9">
        <v>7776.1</v>
      </c>
      <c r="K41" s="9">
        <v>7075.7</v>
      </c>
      <c r="L41" s="9">
        <v>7873.9</v>
      </c>
      <c r="M41" s="9">
        <v>7151.8</v>
      </c>
      <c r="N41" s="9">
        <v>7665.8</v>
      </c>
      <c r="O41" s="9">
        <f t="shared" si="22"/>
        <v>7665.8</v>
      </c>
      <c r="Q41" s="9">
        <v>7399.4</v>
      </c>
      <c r="R41" s="9">
        <v>7302.9</v>
      </c>
      <c r="S41" s="9">
        <v>7723.8</v>
      </c>
      <c r="T41" s="9">
        <v>8492.4</v>
      </c>
      <c r="U41" s="9">
        <v>7610.2</v>
      </c>
      <c r="V41" s="9">
        <v>8076.6</v>
      </c>
      <c r="W41" s="9">
        <v>7998.9</v>
      </c>
      <c r="X41" s="9">
        <v>7776.1</v>
      </c>
      <c r="Y41" s="9">
        <v>7075.7</v>
      </c>
      <c r="Z41" s="9">
        <v>7873.9</v>
      </c>
      <c r="AA41" s="9">
        <v>7151.8</v>
      </c>
      <c r="AB41" s="9">
        <v>7665.8</v>
      </c>
      <c r="AC41" s="9">
        <f t="shared" si="23"/>
        <v>7665.8</v>
      </c>
      <c r="AE41" s="9">
        <f t="shared" si="24"/>
        <v>0</v>
      </c>
      <c r="AF41" s="9">
        <f t="shared" si="24"/>
        <v>0</v>
      </c>
      <c r="AG41" s="9">
        <f t="shared" si="24"/>
        <v>0</v>
      </c>
      <c r="AH41" s="9">
        <f t="shared" si="24"/>
        <v>0</v>
      </c>
      <c r="AI41" s="9">
        <f t="shared" si="24"/>
        <v>0</v>
      </c>
      <c r="AJ41" s="9">
        <f t="shared" si="24"/>
        <v>0</v>
      </c>
      <c r="AK41" s="9">
        <f t="shared" si="24"/>
        <v>0</v>
      </c>
      <c r="AL41" s="9">
        <f t="shared" si="24"/>
        <v>0</v>
      </c>
      <c r="AM41" s="9">
        <f t="shared" si="24"/>
        <v>0</v>
      </c>
      <c r="AN41" s="9">
        <f t="shared" si="24"/>
        <v>0</v>
      </c>
      <c r="AO41" s="9">
        <f t="shared" si="24"/>
        <v>0</v>
      </c>
      <c r="AP41" s="9">
        <f t="shared" si="24"/>
        <v>0</v>
      </c>
      <c r="AQ41" s="9">
        <f t="shared" si="25"/>
        <v>0</v>
      </c>
      <c r="AS41" s="9">
        <f>Adjustments!C91</f>
        <v>0</v>
      </c>
      <c r="AT41" s="9">
        <f>Adjustments!D91</f>
        <v>0</v>
      </c>
      <c r="AU41" s="9">
        <f>Adjustments!E91</f>
        <v>0</v>
      </c>
      <c r="AV41" s="9">
        <f>Adjustments!F91</f>
        <v>0</v>
      </c>
      <c r="AW41" s="9">
        <f>Adjustments!G91</f>
        <v>0</v>
      </c>
      <c r="AX41" s="9">
        <f>Adjustments!H91</f>
        <v>0</v>
      </c>
      <c r="AY41" s="9">
        <f>Adjustments!I91</f>
        <v>0</v>
      </c>
      <c r="AZ41" s="9">
        <f>Adjustments!J91</f>
        <v>0</v>
      </c>
      <c r="BA41" s="9">
        <f>Adjustments!K91</f>
        <v>0</v>
      </c>
      <c r="BB41" s="9">
        <f>Adjustments!L91</f>
        <v>0</v>
      </c>
      <c r="BC41" s="9">
        <f>Adjustments!M91</f>
        <v>0</v>
      </c>
      <c r="BD41" s="9">
        <f>Adjustments!N91</f>
        <v>0</v>
      </c>
      <c r="BE41" s="9">
        <f t="shared" si="26"/>
        <v>0</v>
      </c>
      <c r="BG41" s="9">
        <f t="shared" si="27"/>
        <v>7399.4</v>
      </c>
      <c r="BH41" s="9">
        <f t="shared" si="27"/>
        <v>7302.9</v>
      </c>
      <c r="BI41" s="9">
        <f t="shared" si="27"/>
        <v>7723.8</v>
      </c>
      <c r="BJ41" s="9">
        <f t="shared" si="27"/>
        <v>8492.4</v>
      </c>
      <c r="BK41" s="9">
        <f t="shared" si="27"/>
        <v>7610.2</v>
      </c>
      <c r="BL41" s="9">
        <f t="shared" si="27"/>
        <v>8076.6</v>
      </c>
      <c r="BM41" s="9">
        <f t="shared" si="27"/>
        <v>7998.9</v>
      </c>
      <c r="BN41" s="9">
        <f t="shared" si="27"/>
        <v>7776.1</v>
      </c>
      <c r="BO41" s="9">
        <f t="shared" si="27"/>
        <v>7075.7</v>
      </c>
      <c r="BP41" s="9">
        <f t="shared" si="27"/>
        <v>7873.9</v>
      </c>
      <c r="BQ41" s="9">
        <f t="shared" si="27"/>
        <v>7151.8</v>
      </c>
      <c r="BR41" s="9">
        <f t="shared" si="27"/>
        <v>7665.8</v>
      </c>
      <c r="BS41" s="9">
        <f t="shared" si="28"/>
        <v>7665.8</v>
      </c>
    </row>
    <row r="42" spans="2:71" x14ac:dyDescent="0.2">
      <c r="B42" s="19" t="s">
        <v>150</v>
      </c>
      <c r="C42" s="9">
        <v>73.2</v>
      </c>
      <c r="D42" s="9">
        <v>72.2</v>
      </c>
      <c r="E42" s="9">
        <v>76.400000000000006</v>
      </c>
      <c r="F42" s="9">
        <v>84</v>
      </c>
      <c r="G42" s="9">
        <v>75.3</v>
      </c>
      <c r="H42" s="9">
        <v>79.900000000000006</v>
      </c>
      <c r="I42" s="9">
        <v>79.099999999999994</v>
      </c>
      <c r="J42" s="9">
        <v>76.900000000000006</v>
      </c>
      <c r="K42" s="9">
        <v>70</v>
      </c>
      <c r="L42" s="9">
        <v>77.900000000000006</v>
      </c>
      <c r="M42" s="9">
        <v>70.7</v>
      </c>
      <c r="N42" s="9">
        <v>75.8</v>
      </c>
      <c r="O42" s="9">
        <f t="shared" si="22"/>
        <v>75.8</v>
      </c>
      <c r="Q42" s="9">
        <v>73.2</v>
      </c>
      <c r="R42" s="9">
        <v>72.2</v>
      </c>
      <c r="S42" s="9">
        <v>76.400000000000006</v>
      </c>
      <c r="T42" s="9">
        <v>84</v>
      </c>
      <c r="U42" s="9">
        <v>75.3</v>
      </c>
      <c r="V42" s="9">
        <v>79.900000000000006</v>
      </c>
      <c r="W42" s="9">
        <v>79.099999999999994</v>
      </c>
      <c r="X42" s="9">
        <v>76.900000000000006</v>
      </c>
      <c r="Y42" s="9">
        <v>70</v>
      </c>
      <c r="Z42" s="9">
        <v>77.900000000000006</v>
      </c>
      <c r="AA42" s="9">
        <v>70.7</v>
      </c>
      <c r="AB42" s="9">
        <v>75.8</v>
      </c>
      <c r="AC42" s="9">
        <f t="shared" si="23"/>
        <v>75.8</v>
      </c>
      <c r="AE42" s="9">
        <f t="shared" si="24"/>
        <v>0</v>
      </c>
      <c r="AF42" s="9">
        <f t="shared" si="24"/>
        <v>0</v>
      </c>
      <c r="AG42" s="9">
        <f t="shared" si="24"/>
        <v>0</v>
      </c>
      <c r="AH42" s="9">
        <f t="shared" si="24"/>
        <v>0</v>
      </c>
      <c r="AI42" s="9">
        <f t="shared" si="24"/>
        <v>0</v>
      </c>
      <c r="AJ42" s="9">
        <f t="shared" si="24"/>
        <v>0</v>
      </c>
      <c r="AK42" s="9">
        <f t="shared" si="24"/>
        <v>0</v>
      </c>
      <c r="AL42" s="9">
        <f t="shared" si="24"/>
        <v>0</v>
      </c>
      <c r="AM42" s="9">
        <f t="shared" si="24"/>
        <v>0</v>
      </c>
      <c r="AN42" s="9">
        <f t="shared" si="24"/>
        <v>0</v>
      </c>
      <c r="AO42" s="9">
        <f t="shared" si="24"/>
        <v>0</v>
      </c>
      <c r="AP42" s="9">
        <f t="shared" si="24"/>
        <v>0</v>
      </c>
      <c r="AQ42" s="9">
        <f t="shared" si="25"/>
        <v>0</v>
      </c>
      <c r="AS42" s="9">
        <f>Adjustments!C92</f>
        <v>0</v>
      </c>
      <c r="AT42" s="9">
        <f>Adjustments!D92</f>
        <v>0</v>
      </c>
      <c r="AU42" s="9">
        <f>Adjustments!E92</f>
        <v>0</v>
      </c>
      <c r="AV42" s="9">
        <f>Adjustments!F92</f>
        <v>0</v>
      </c>
      <c r="AW42" s="9">
        <f>Adjustments!G92</f>
        <v>0</v>
      </c>
      <c r="AX42" s="9">
        <f>Adjustments!H92</f>
        <v>0</v>
      </c>
      <c r="AY42" s="9">
        <f>Adjustments!I92</f>
        <v>0</v>
      </c>
      <c r="AZ42" s="9">
        <f>Adjustments!J92</f>
        <v>0</v>
      </c>
      <c r="BA42" s="9">
        <f>Adjustments!K92</f>
        <v>0</v>
      </c>
      <c r="BB42" s="9">
        <f>Adjustments!L92</f>
        <v>0</v>
      </c>
      <c r="BC42" s="9">
        <f>Adjustments!M92</f>
        <v>0</v>
      </c>
      <c r="BD42" s="9">
        <f>Adjustments!N92</f>
        <v>0</v>
      </c>
      <c r="BE42" s="9">
        <f t="shared" si="26"/>
        <v>0</v>
      </c>
      <c r="BG42" s="9">
        <f t="shared" si="27"/>
        <v>73.2</v>
      </c>
      <c r="BH42" s="9">
        <f t="shared" si="27"/>
        <v>72.2</v>
      </c>
      <c r="BI42" s="9">
        <f t="shared" si="27"/>
        <v>76.400000000000006</v>
      </c>
      <c r="BJ42" s="9">
        <f t="shared" si="27"/>
        <v>84</v>
      </c>
      <c r="BK42" s="9">
        <f t="shared" si="27"/>
        <v>75.3</v>
      </c>
      <c r="BL42" s="9">
        <f t="shared" si="27"/>
        <v>79.900000000000006</v>
      </c>
      <c r="BM42" s="9">
        <f t="shared" si="27"/>
        <v>79.099999999999994</v>
      </c>
      <c r="BN42" s="9">
        <f t="shared" si="27"/>
        <v>76.900000000000006</v>
      </c>
      <c r="BO42" s="9">
        <f t="shared" si="27"/>
        <v>70</v>
      </c>
      <c r="BP42" s="9">
        <f t="shared" si="27"/>
        <v>77.900000000000006</v>
      </c>
      <c r="BQ42" s="9">
        <f t="shared" si="27"/>
        <v>70.7</v>
      </c>
      <c r="BR42" s="9">
        <f t="shared" si="27"/>
        <v>75.8</v>
      </c>
      <c r="BS42" s="9">
        <f t="shared" si="28"/>
        <v>75.8</v>
      </c>
    </row>
    <row r="43" spans="2:71" x14ac:dyDescent="0.2">
      <c r="B43" s="19" t="s">
        <v>151</v>
      </c>
      <c r="C43" s="9">
        <v>-4979.7</v>
      </c>
      <c r="D43" s="9">
        <v>-4924.1000000000004</v>
      </c>
      <c r="E43" s="9">
        <v>-5217.8999999999996</v>
      </c>
      <c r="F43" s="9">
        <v>-5760.9</v>
      </c>
      <c r="G43" s="9">
        <v>-5122.6000000000004</v>
      </c>
      <c r="H43" s="9">
        <v>-5438.2</v>
      </c>
      <c r="I43" s="9">
        <v>-5401.8</v>
      </c>
      <c r="J43" s="9">
        <v>-5273.4</v>
      </c>
      <c r="K43" s="9">
        <v>-4979.1000000000004</v>
      </c>
      <c r="L43" s="9">
        <v>-5411.1</v>
      </c>
      <c r="M43" s="9">
        <v>-4879.2</v>
      </c>
      <c r="N43" s="9">
        <v>-5118.1000000000004</v>
      </c>
      <c r="O43" s="9">
        <f t="shared" si="22"/>
        <v>-5118.1000000000004</v>
      </c>
      <c r="Q43" s="9">
        <v>-4979.7</v>
      </c>
      <c r="R43" s="9">
        <v>-4924.1000000000004</v>
      </c>
      <c r="S43" s="9">
        <v>-5217.8999999999996</v>
      </c>
      <c r="T43" s="9">
        <v>-5760.9</v>
      </c>
      <c r="U43" s="9">
        <v>-5122.6000000000004</v>
      </c>
      <c r="V43" s="9">
        <v>-5438.2</v>
      </c>
      <c r="W43" s="9">
        <v>-5401.8</v>
      </c>
      <c r="X43" s="9">
        <v>-5273.4</v>
      </c>
      <c r="Y43" s="9">
        <v>-4979.1000000000004</v>
      </c>
      <c r="Z43" s="9">
        <v>-5411.1</v>
      </c>
      <c r="AA43" s="9">
        <v>-4879.2</v>
      </c>
      <c r="AB43" s="9">
        <v>-5118.1000000000004</v>
      </c>
      <c r="AC43" s="9">
        <f t="shared" si="23"/>
        <v>-5118.1000000000004</v>
      </c>
      <c r="AE43" s="9">
        <f t="shared" si="24"/>
        <v>0</v>
      </c>
      <c r="AF43" s="9">
        <f t="shared" si="24"/>
        <v>0</v>
      </c>
      <c r="AG43" s="9">
        <f t="shared" si="24"/>
        <v>0</v>
      </c>
      <c r="AH43" s="9">
        <f t="shared" si="24"/>
        <v>0</v>
      </c>
      <c r="AI43" s="9">
        <f t="shared" si="24"/>
        <v>0</v>
      </c>
      <c r="AJ43" s="9">
        <f t="shared" si="24"/>
        <v>0</v>
      </c>
      <c r="AK43" s="9">
        <f t="shared" si="24"/>
        <v>0</v>
      </c>
      <c r="AL43" s="9">
        <f t="shared" si="24"/>
        <v>0</v>
      </c>
      <c r="AM43" s="9">
        <f t="shared" si="24"/>
        <v>0</v>
      </c>
      <c r="AN43" s="9">
        <f t="shared" si="24"/>
        <v>0</v>
      </c>
      <c r="AO43" s="9">
        <f t="shared" si="24"/>
        <v>0</v>
      </c>
      <c r="AP43" s="9">
        <f t="shared" si="24"/>
        <v>0</v>
      </c>
      <c r="AQ43" s="9">
        <f t="shared" si="25"/>
        <v>0</v>
      </c>
      <c r="AS43" s="9">
        <f>Adjustments!C93</f>
        <v>0</v>
      </c>
      <c r="AT43" s="9">
        <f>Adjustments!D93</f>
        <v>0</v>
      </c>
      <c r="AU43" s="9">
        <f>Adjustments!E93</f>
        <v>0</v>
      </c>
      <c r="AV43" s="9">
        <f>Adjustments!F93</f>
        <v>0</v>
      </c>
      <c r="AW43" s="9">
        <f>Adjustments!G93</f>
        <v>0</v>
      </c>
      <c r="AX43" s="9">
        <f>Adjustments!H93</f>
        <v>0</v>
      </c>
      <c r="AY43" s="9">
        <f>Adjustments!I93</f>
        <v>0</v>
      </c>
      <c r="AZ43" s="9">
        <f>Adjustments!J93</f>
        <v>0</v>
      </c>
      <c r="BA43" s="9">
        <f>Adjustments!K93</f>
        <v>0</v>
      </c>
      <c r="BB43" s="9">
        <f>Adjustments!L93</f>
        <v>0</v>
      </c>
      <c r="BC43" s="9">
        <f>Adjustments!M93</f>
        <v>0</v>
      </c>
      <c r="BD43" s="9">
        <f>Adjustments!N93</f>
        <v>0</v>
      </c>
      <c r="BE43" s="9">
        <f t="shared" si="26"/>
        <v>0</v>
      </c>
      <c r="BG43" s="9">
        <f t="shared" si="27"/>
        <v>-4979.7</v>
      </c>
      <c r="BH43" s="9">
        <f t="shared" si="27"/>
        <v>-4924.1000000000004</v>
      </c>
      <c r="BI43" s="9">
        <f t="shared" si="27"/>
        <v>-5217.8999999999996</v>
      </c>
      <c r="BJ43" s="9">
        <f t="shared" si="27"/>
        <v>-5760.9</v>
      </c>
      <c r="BK43" s="9">
        <f t="shared" si="27"/>
        <v>-5122.6000000000004</v>
      </c>
      <c r="BL43" s="9">
        <f t="shared" si="27"/>
        <v>-5438.2</v>
      </c>
      <c r="BM43" s="9">
        <f t="shared" si="27"/>
        <v>-5401.8</v>
      </c>
      <c r="BN43" s="9">
        <f t="shared" si="27"/>
        <v>-5273.4</v>
      </c>
      <c r="BO43" s="9">
        <f t="shared" si="27"/>
        <v>-4979.1000000000004</v>
      </c>
      <c r="BP43" s="9">
        <f t="shared" si="27"/>
        <v>-5411.1</v>
      </c>
      <c r="BQ43" s="9">
        <f t="shared" si="27"/>
        <v>-4879.2</v>
      </c>
      <c r="BR43" s="9">
        <f t="shared" si="27"/>
        <v>-5118.1000000000004</v>
      </c>
      <c r="BS43" s="9">
        <f t="shared" si="28"/>
        <v>-5118.1000000000004</v>
      </c>
    </row>
    <row r="44" spans="2:71" x14ac:dyDescent="0.2">
      <c r="B44" s="19" t="s">
        <v>152</v>
      </c>
      <c r="C44" s="9">
        <v>-146.4</v>
      </c>
      <c r="D44" s="9">
        <v>-144.5</v>
      </c>
      <c r="E44" s="9">
        <v>-152.80000000000001</v>
      </c>
      <c r="F44" s="9">
        <v>-168</v>
      </c>
      <c r="G44" s="9">
        <v>-150.5</v>
      </c>
      <c r="H44" s="9">
        <v>-159.80000000000001</v>
      </c>
      <c r="I44" s="9">
        <v>-158.19999999999999</v>
      </c>
      <c r="J44" s="9">
        <v>-153.80000000000001</v>
      </c>
      <c r="K44" s="9">
        <v>-140</v>
      </c>
      <c r="L44" s="9">
        <v>-155.69999999999999</v>
      </c>
      <c r="M44" s="9">
        <v>-141.5</v>
      </c>
      <c r="N44" s="9">
        <v>-151.6</v>
      </c>
      <c r="O44" s="9">
        <f t="shared" si="22"/>
        <v>-151.6</v>
      </c>
      <c r="Q44" s="9">
        <v>-146.4</v>
      </c>
      <c r="R44" s="9">
        <v>-144.5</v>
      </c>
      <c r="S44" s="9">
        <v>-152.80000000000001</v>
      </c>
      <c r="T44" s="9">
        <v>-168</v>
      </c>
      <c r="U44" s="9">
        <v>-150.5</v>
      </c>
      <c r="V44" s="9">
        <v>-159.80000000000001</v>
      </c>
      <c r="W44" s="9">
        <v>-158.19999999999999</v>
      </c>
      <c r="X44" s="9">
        <v>-153.80000000000001</v>
      </c>
      <c r="Y44" s="9">
        <v>-140</v>
      </c>
      <c r="Z44" s="9">
        <v>-155.69999999999999</v>
      </c>
      <c r="AA44" s="9">
        <v>-141.5</v>
      </c>
      <c r="AB44" s="9">
        <v>-151.6</v>
      </c>
      <c r="AC44" s="9">
        <f t="shared" si="23"/>
        <v>-151.6</v>
      </c>
      <c r="AE44" s="9">
        <f t="shared" si="24"/>
        <v>0</v>
      </c>
      <c r="AF44" s="9">
        <f t="shared" si="24"/>
        <v>0</v>
      </c>
      <c r="AG44" s="9">
        <f t="shared" si="24"/>
        <v>0</v>
      </c>
      <c r="AH44" s="9">
        <f t="shared" si="24"/>
        <v>0</v>
      </c>
      <c r="AI44" s="9">
        <f t="shared" si="24"/>
        <v>0</v>
      </c>
      <c r="AJ44" s="9">
        <f t="shared" si="24"/>
        <v>0</v>
      </c>
      <c r="AK44" s="9">
        <f t="shared" si="24"/>
        <v>0</v>
      </c>
      <c r="AL44" s="9">
        <f t="shared" si="24"/>
        <v>0</v>
      </c>
      <c r="AM44" s="9">
        <f t="shared" si="24"/>
        <v>0</v>
      </c>
      <c r="AN44" s="9">
        <f t="shared" si="24"/>
        <v>0</v>
      </c>
      <c r="AO44" s="9">
        <f t="shared" si="24"/>
        <v>0</v>
      </c>
      <c r="AP44" s="9">
        <f t="shared" si="24"/>
        <v>0</v>
      </c>
      <c r="AQ44" s="9">
        <f t="shared" si="25"/>
        <v>0</v>
      </c>
      <c r="AS44" s="9">
        <f>Adjustments!C94</f>
        <v>0</v>
      </c>
      <c r="AT44" s="9">
        <f>Adjustments!D94</f>
        <v>0</v>
      </c>
      <c r="AU44" s="9">
        <f>Adjustments!E94</f>
        <v>0</v>
      </c>
      <c r="AV44" s="9">
        <f>Adjustments!F94</f>
        <v>0</v>
      </c>
      <c r="AW44" s="9">
        <f>Adjustments!G94</f>
        <v>0</v>
      </c>
      <c r="AX44" s="9">
        <f>Adjustments!H94</f>
        <v>0</v>
      </c>
      <c r="AY44" s="9">
        <f>Adjustments!I94</f>
        <v>0</v>
      </c>
      <c r="AZ44" s="9">
        <f>Adjustments!J94</f>
        <v>0</v>
      </c>
      <c r="BA44" s="9">
        <f>Adjustments!K94</f>
        <v>0</v>
      </c>
      <c r="BB44" s="9">
        <f>Adjustments!L94</f>
        <v>0</v>
      </c>
      <c r="BC44" s="9">
        <f>Adjustments!M94</f>
        <v>0</v>
      </c>
      <c r="BD44" s="9">
        <f>Adjustments!N94</f>
        <v>0</v>
      </c>
      <c r="BE44" s="9">
        <f t="shared" si="26"/>
        <v>0</v>
      </c>
      <c r="BG44" s="9">
        <f t="shared" si="27"/>
        <v>-146.4</v>
      </c>
      <c r="BH44" s="9">
        <f t="shared" si="27"/>
        <v>-144.5</v>
      </c>
      <c r="BI44" s="9">
        <f t="shared" si="27"/>
        <v>-152.80000000000001</v>
      </c>
      <c r="BJ44" s="9">
        <f t="shared" si="27"/>
        <v>-168</v>
      </c>
      <c r="BK44" s="9">
        <f t="shared" si="27"/>
        <v>-150.5</v>
      </c>
      <c r="BL44" s="9">
        <f t="shared" si="27"/>
        <v>-159.80000000000001</v>
      </c>
      <c r="BM44" s="9">
        <f t="shared" si="27"/>
        <v>-158.19999999999999</v>
      </c>
      <c r="BN44" s="9">
        <f t="shared" si="27"/>
        <v>-153.80000000000001</v>
      </c>
      <c r="BO44" s="9">
        <f t="shared" si="27"/>
        <v>-140</v>
      </c>
      <c r="BP44" s="9">
        <f t="shared" si="27"/>
        <v>-155.69999999999999</v>
      </c>
      <c r="BQ44" s="9">
        <f t="shared" si="27"/>
        <v>-141.5</v>
      </c>
      <c r="BR44" s="9">
        <f t="shared" si="27"/>
        <v>-151.6</v>
      </c>
      <c r="BS44" s="9">
        <f t="shared" si="28"/>
        <v>-151.6</v>
      </c>
    </row>
    <row r="45" spans="2:71" x14ac:dyDescent="0.2">
      <c r="B45" s="2" t="s">
        <v>168</v>
      </c>
      <c r="C45" s="9">
        <f t="shared" ref="C45:N45" si="29">SUM(C40:C44)</f>
        <v>11284.699999999999</v>
      </c>
      <c r="D45" s="9">
        <f t="shared" si="29"/>
        <v>10984.1</v>
      </c>
      <c r="E45" s="9">
        <f t="shared" si="29"/>
        <v>11524.400000000003</v>
      </c>
      <c r="F45" s="9">
        <f t="shared" si="29"/>
        <v>12790.500000000002</v>
      </c>
      <c r="G45" s="9">
        <f t="shared" si="29"/>
        <v>11190.199999999999</v>
      </c>
      <c r="H45" s="9">
        <f t="shared" si="29"/>
        <v>11443.300000000003</v>
      </c>
      <c r="I45" s="9">
        <f t="shared" si="29"/>
        <v>11067.699999999997</v>
      </c>
      <c r="J45" s="9">
        <f t="shared" si="29"/>
        <v>10547.600000000002</v>
      </c>
      <c r="K45" s="9">
        <f t="shared" si="29"/>
        <v>9760.6</v>
      </c>
      <c r="L45" s="9">
        <f t="shared" si="29"/>
        <v>10748.199999999999</v>
      </c>
      <c r="M45" s="9">
        <f t="shared" si="29"/>
        <v>9711.7000000000007</v>
      </c>
      <c r="N45" s="9">
        <f t="shared" si="29"/>
        <v>10191.299999999999</v>
      </c>
      <c r="O45" s="9">
        <f t="shared" si="22"/>
        <v>10191.299999999999</v>
      </c>
      <c r="Q45" s="9">
        <f t="shared" ref="Q45:AB45" si="30">SUM(Q40:Q44)</f>
        <v>11284.699999999999</v>
      </c>
      <c r="R45" s="9">
        <f t="shared" si="30"/>
        <v>10984.1</v>
      </c>
      <c r="S45" s="9">
        <f t="shared" si="30"/>
        <v>11524.400000000003</v>
      </c>
      <c r="T45" s="9">
        <f t="shared" si="30"/>
        <v>12790.500000000002</v>
      </c>
      <c r="U45" s="9">
        <f t="shared" si="30"/>
        <v>11190.199999999999</v>
      </c>
      <c r="V45" s="9">
        <f t="shared" si="30"/>
        <v>11443.300000000003</v>
      </c>
      <c r="W45" s="9">
        <f t="shared" si="30"/>
        <v>11067.699999999997</v>
      </c>
      <c r="X45" s="9">
        <f t="shared" si="30"/>
        <v>10547.600000000002</v>
      </c>
      <c r="Y45" s="9">
        <f t="shared" si="30"/>
        <v>9760.6</v>
      </c>
      <c r="Z45" s="9">
        <f t="shared" si="30"/>
        <v>10748.199999999999</v>
      </c>
      <c r="AA45" s="9">
        <f t="shared" si="30"/>
        <v>9711.7000000000007</v>
      </c>
      <c r="AB45" s="9">
        <f t="shared" si="30"/>
        <v>10191.299999999999</v>
      </c>
      <c r="AC45" s="9">
        <f t="shared" si="23"/>
        <v>10191.299999999999</v>
      </c>
      <c r="AE45" s="9">
        <f t="shared" ref="AE45:AP45" si="31">SUM(AE40:AE44)</f>
        <v>0</v>
      </c>
      <c r="AF45" s="9">
        <f t="shared" si="31"/>
        <v>0</v>
      </c>
      <c r="AG45" s="9">
        <f t="shared" si="31"/>
        <v>0</v>
      </c>
      <c r="AH45" s="9">
        <f t="shared" si="31"/>
        <v>0</v>
      </c>
      <c r="AI45" s="9">
        <f t="shared" si="31"/>
        <v>0</v>
      </c>
      <c r="AJ45" s="9">
        <f t="shared" si="31"/>
        <v>0</v>
      </c>
      <c r="AK45" s="9">
        <f t="shared" si="31"/>
        <v>0</v>
      </c>
      <c r="AL45" s="9">
        <f t="shared" si="31"/>
        <v>0</v>
      </c>
      <c r="AM45" s="9">
        <f t="shared" si="31"/>
        <v>0</v>
      </c>
      <c r="AN45" s="9">
        <f t="shared" si="31"/>
        <v>0</v>
      </c>
      <c r="AO45" s="9">
        <f t="shared" si="31"/>
        <v>0</v>
      </c>
      <c r="AP45" s="9">
        <f t="shared" si="31"/>
        <v>0</v>
      </c>
      <c r="AQ45" s="9">
        <f t="shared" si="25"/>
        <v>0</v>
      </c>
      <c r="AS45" s="9">
        <f t="shared" ref="AS45:BD45" si="32">SUM(AS40:AS44)</f>
        <v>0</v>
      </c>
      <c r="AT45" s="9">
        <f t="shared" si="32"/>
        <v>0</v>
      </c>
      <c r="AU45" s="9">
        <f t="shared" si="32"/>
        <v>0</v>
      </c>
      <c r="AV45" s="9">
        <f t="shared" si="32"/>
        <v>0</v>
      </c>
      <c r="AW45" s="9">
        <f t="shared" si="32"/>
        <v>0</v>
      </c>
      <c r="AX45" s="9">
        <f t="shared" si="32"/>
        <v>0</v>
      </c>
      <c r="AY45" s="9">
        <f t="shared" si="32"/>
        <v>0</v>
      </c>
      <c r="AZ45" s="9">
        <f t="shared" si="32"/>
        <v>0</v>
      </c>
      <c r="BA45" s="9">
        <f t="shared" si="32"/>
        <v>400</v>
      </c>
      <c r="BB45" s="9">
        <f t="shared" si="32"/>
        <v>600</v>
      </c>
      <c r="BC45" s="9">
        <f t="shared" si="32"/>
        <v>300</v>
      </c>
      <c r="BD45" s="9">
        <f t="shared" si="32"/>
        <v>0</v>
      </c>
      <c r="BE45" s="9">
        <f t="shared" si="26"/>
        <v>0</v>
      </c>
      <c r="BG45" s="9">
        <f t="shared" ref="BG45:BR45" si="33">SUM(BG40:BG44)</f>
        <v>11284.699999999999</v>
      </c>
      <c r="BH45" s="9">
        <f t="shared" si="33"/>
        <v>10984.1</v>
      </c>
      <c r="BI45" s="9">
        <f t="shared" si="33"/>
        <v>11524.400000000003</v>
      </c>
      <c r="BJ45" s="9">
        <f t="shared" si="33"/>
        <v>12790.500000000002</v>
      </c>
      <c r="BK45" s="9">
        <f t="shared" si="33"/>
        <v>11190.199999999999</v>
      </c>
      <c r="BL45" s="9">
        <f t="shared" si="33"/>
        <v>11443.300000000003</v>
      </c>
      <c r="BM45" s="9">
        <f t="shared" si="33"/>
        <v>11067.699999999997</v>
      </c>
      <c r="BN45" s="9">
        <f t="shared" si="33"/>
        <v>10547.600000000002</v>
      </c>
      <c r="BO45" s="9">
        <f t="shared" si="33"/>
        <v>10160.6</v>
      </c>
      <c r="BP45" s="9">
        <f t="shared" si="33"/>
        <v>11348.199999999999</v>
      </c>
      <c r="BQ45" s="9">
        <f t="shared" si="33"/>
        <v>10011.700000000001</v>
      </c>
      <c r="BR45" s="9">
        <f t="shared" si="33"/>
        <v>10191.299999999999</v>
      </c>
      <c r="BS45" s="9">
        <f t="shared" si="28"/>
        <v>10191.299999999999</v>
      </c>
    </row>
    <row r="46" spans="2:71" x14ac:dyDescent="0.2">
      <c r="B46" s="19" t="s">
        <v>169</v>
      </c>
      <c r="C46" s="12">
        <f t="shared" ref="C46:N46" si="34">IFERROR(C45/(C28*12),0)</f>
        <v>0.1927545589330491</v>
      </c>
      <c r="D46" s="12">
        <f t="shared" si="34"/>
        <v>0.19009816341647456</v>
      </c>
      <c r="E46" s="12">
        <f t="shared" si="34"/>
        <v>0.18858081660972134</v>
      </c>
      <c r="F46" s="12">
        <f t="shared" si="34"/>
        <v>0.19035521663035332</v>
      </c>
      <c r="G46" s="12">
        <f t="shared" si="34"/>
        <v>0.18584544047405518</v>
      </c>
      <c r="H46" s="12">
        <f t="shared" si="34"/>
        <v>0.17907465134329859</v>
      </c>
      <c r="I46" s="12">
        <f t="shared" si="34"/>
        <v>0.17487833396536465</v>
      </c>
      <c r="J46" s="12">
        <f t="shared" si="34"/>
        <v>0.17143544433825492</v>
      </c>
      <c r="K46" s="12">
        <f t="shared" si="34"/>
        <v>0.15963404182939833</v>
      </c>
      <c r="L46" s="12">
        <f t="shared" si="34"/>
        <v>0.16459926002156225</v>
      </c>
      <c r="M46" s="12">
        <f t="shared" si="34"/>
        <v>0.16464415284982878</v>
      </c>
      <c r="N46" s="12">
        <f t="shared" si="34"/>
        <v>0.15861254295532645</v>
      </c>
      <c r="Q46" s="12">
        <f t="shared" ref="Q46:AB46" si="35">IFERROR(Q45/(Q28*12),0)</f>
        <v>0.1927545589330491</v>
      </c>
      <c r="R46" s="12">
        <f t="shared" si="35"/>
        <v>0.19009816341647456</v>
      </c>
      <c r="S46" s="12">
        <f t="shared" si="35"/>
        <v>0.18858081660972134</v>
      </c>
      <c r="T46" s="12">
        <f t="shared" si="35"/>
        <v>0.19035521663035332</v>
      </c>
      <c r="U46" s="12">
        <f t="shared" si="35"/>
        <v>0.18584544047405518</v>
      </c>
      <c r="V46" s="12">
        <f t="shared" si="35"/>
        <v>0.17907465134329859</v>
      </c>
      <c r="W46" s="12">
        <f t="shared" si="35"/>
        <v>0.17487833396536465</v>
      </c>
      <c r="X46" s="12">
        <f t="shared" si="35"/>
        <v>0.17143544433825492</v>
      </c>
      <c r="Y46" s="12">
        <f t="shared" si="35"/>
        <v>0.15963404182939833</v>
      </c>
      <c r="Z46" s="12">
        <f t="shared" si="35"/>
        <v>0.16459926002156225</v>
      </c>
      <c r="AA46" s="12">
        <f t="shared" si="35"/>
        <v>0.16464415284982878</v>
      </c>
      <c r="AB46" s="12">
        <f t="shared" si="35"/>
        <v>0.15861254295532645</v>
      </c>
      <c r="AE46" s="12">
        <f t="shared" ref="AE46:AP46" si="36">IFERROR(AE45/(AE28*12),0)</f>
        <v>0</v>
      </c>
      <c r="AF46" s="12">
        <f t="shared" si="36"/>
        <v>0</v>
      </c>
      <c r="AG46" s="12">
        <f t="shared" si="36"/>
        <v>0</v>
      </c>
      <c r="AH46" s="12">
        <f t="shared" si="36"/>
        <v>0</v>
      </c>
      <c r="AI46" s="12">
        <f t="shared" si="36"/>
        <v>0</v>
      </c>
      <c r="AJ46" s="12">
        <f t="shared" si="36"/>
        <v>0</v>
      </c>
      <c r="AK46" s="12">
        <f t="shared" si="36"/>
        <v>0</v>
      </c>
      <c r="AL46" s="12">
        <f t="shared" si="36"/>
        <v>0</v>
      </c>
      <c r="AM46" s="12">
        <f t="shared" si="36"/>
        <v>0</v>
      </c>
      <c r="AN46" s="12">
        <f t="shared" si="36"/>
        <v>0</v>
      </c>
      <c r="AO46" s="12">
        <f t="shared" si="36"/>
        <v>0</v>
      </c>
      <c r="AP46" s="12">
        <f t="shared" si="36"/>
        <v>0</v>
      </c>
      <c r="AS46" s="12">
        <f t="shared" ref="AS46:BD46" si="37">IFERROR(AS45/(AS28*12),0)</f>
        <v>0</v>
      </c>
      <c r="AT46" s="12">
        <f t="shared" si="37"/>
        <v>0</v>
      </c>
      <c r="AU46" s="12">
        <f t="shared" si="37"/>
        <v>0</v>
      </c>
      <c r="AV46" s="12">
        <f t="shared" si="37"/>
        <v>0</v>
      </c>
      <c r="AW46" s="12">
        <f t="shared" si="37"/>
        <v>0</v>
      </c>
      <c r="AX46" s="12">
        <f t="shared" si="37"/>
        <v>0</v>
      </c>
      <c r="AY46" s="12">
        <f t="shared" si="37"/>
        <v>0</v>
      </c>
      <c r="AZ46" s="12">
        <f t="shared" si="37"/>
        <v>0</v>
      </c>
      <c r="BA46" s="12">
        <f t="shared" si="37"/>
        <v>-7.7519379844961239E-2</v>
      </c>
      <c r="BB46" s="12">
        <f t="shared" si="37"/>
        <v>-0.2</v>
      </c>
      <c r="BC46" s="12">
        <f t="shared" si="37"/>
        <v>-0.125</v>
      </c>
      <c r="BD46" s="12">
        <f t="shared" si="37"/>
        <v>0</v>
      </c>
      <c r="BG46" s="12">
        <f t="shared" ref="BG46:BR46" si="38">IFERROR(BG45/(BG28*12),0)</f>
        <v>0.1927545589330491</v>
      </c>
      <c r="BH46" s="12">
        <f t="shared" si="38"/>
        <v>0.19009816341647456</v>
      </c>
      <c r="BI46" s="12">
        <f t="shared" si="38"/>
        <v>0.18858081660972134</v>
      </c>
      <c r="BJ46" s="12">
        <f t="shared" si="38"/>
        <v>0.19035521663035332</v>
      </c>
      <c r="BK46" s="12">
        <f t="shared" si="38"/>
        <v>0.18584544047405518</v>
      </c>
      <c r="BL46" s="12">
        <f t="shared" si="38"/>
        <v>0.17907465134329859</v>
      </c>
      <c r="BM46" s="12">
        <f t="shared" si="38"/>
        <v>0.17487833396536465</v>
      </c>
      <c r="BN46" s="12">
        <f t="shared" si="38"/>
        <v>0.17143544433825492</v>
      </c>
      <c r="BO46" s="12">
        <f t="shared" si="38"/>
        <v>0.18149243707085647</v>
      </c>
      <c r="BP46" s="12">
        <f t="shared" si="38"/>
        <v>0.18215643218532498</v>
      </c>
      <c r="BQ46" s="12">
        <f t="shared" si="38"/>
        <v>0.17692892234828403</v>
      </c>
      <c r="BR46" s="12">
        <f t="shared" si="38"/>
        <v>0.16802686767964545</v>
      </c>
    </row>
    <row r="49" spans="2:15" x14ac:dyDescent="0.2">
      <c r="B49" s="7" t="s">
        <v>170</v>
      </c>
    </row>
    <row r="50" spans="2:15" x14ac:dyDescent="0.2">
      <c r="C50" s="20" t="s">
        <v>102</v>
      </c>
      <c r="D50" s="20" t="s">
        <v>103</v>
      </c>
      <c r="E50" s="20" t="s">
        <v>104</v>
      </c>
      <c r="F50" s="20" t="s">
        <v>105</v>
      </c>
      <c r="G50" s="20" t="s">
        <v>50</v>
      </c>
      <c r="H50" s="20" t="s">
        <v>106</v>
      </c>
      <c r="I50" s="20" t="s">
        <v>107</v>
      </c>
      <c r="J50" s="20" t="s">
        <v>108</v>
      </c>
      <c r="K50" s="20" t="s">
        <v>109</v>
      </c>
      <c r="L50" s="20" t="s">
        <v>110</v>
      </c>
      <c r="M50" s="20" t="s">
        <v>111</v>
      </c>
      <c r="N50" s="20" t="s">
        <v>112</v>
      </c>
      <c r="O50" s="2" t="s">
        <v>163</v>
      </c>
    </row>
    <row r="51" spans="2:15" x14ac:dyDescent="0.2">
      <c r="B51" t="s">
        <v>95</v>
      </c>
      <c r="C51" s="9">
        <v>5145.8999999999996</v>
      </c>
      <c r="D51" s="9">
        <v>5037.5</v>
      </c>
      <c r="E51" s="9">
        <v>5416.6</v>
      </c>
      <c r="F51" s="9">
        <v>5849.9</v>
      </c>
      <c r="G51" s="9">
        <v>5308.4</v>
      </c>
      <c r="H51" s="9">
        <v>5579.2</v>
      </c>
      <c r="I51" s="9">
        <v>5525</v>
      </c>
      <c r="J51" s="9">
        <v>5416.7</v>
      </c>
      <c r="K51" s="9">
        <v>5308.3</v>
      </c>
      <c r="L51" s="9">
        <v>5687.4</v>
      </c>
      <c r="M51" s="9">
        <v>5145.8</v>
      </c>
      <c r="N51" s="9">
        <v>5579.2</v>
      </c>
      <c r="O51" s="9">
        <f>SUM(C51:N51)</f>
        <v>64999.9</v>
      </c>
    </row>
    <row r="52" spans="2:15" x14ac:dyDescent="0.2">
      <c r="B52" t="s">
        <v>96</v>
      </c>
      <c r="C52" s="9">
        <v>1543.8</v>
      </c>
      <c r="D52" s="9">
        <v>1511.3</v>
      </c>
      <c r="E52" s="9">
        <v>1624.9</v>
      </c>
      <c r="F52" s="9">
        <v>1754.9</v>
      </c>
      <c r="G52" s="9">
        <v>1592.6</v>
      </c>
      <c r="H52" s="9">
        <v>1673.7</v>
      </c>
      <c r="I52" s="9">
        <v>1657.5</v>
      </c>
      <c r="J52" s="9">
        <v>1625</v>
      </c>
      <c r="K52" s="9">
        <v>1592.5</v>
      </c>
      <c r="L52" s="9">
        <v>1706.3</v>
      </c>
      <c r="M52" s="9">
        <v>1543.7</v>
      </c>
      <c r="N52" s="9">
        <v>1673.6</v>
      </c>
      <c r="O52" s="9">
        <f>SUM(C52:N52)</f>
        <v>19499.8</v>
      </c>
    </row>
    <row r="53" spans="2:15" x14ac:dyDescent="0.2">
      <c r="B53" t="s">
        <v>97</v>
      </c>
      <c r="C53" s="9">
        <v>-1080.5999999999999</v>
      </c>
      <c r="D53" s="9">
        <v>-1057.9000000000001</v>
      </c>
      <c r="E53" s="9">
        <v>-1137.8</v>
      </c>
      <c r="F53" s="9">
        <v>-1228.4000000000001</v>
      </c>
      <c r="G53" s="9">
        <v>-1114.5</v>
      </c>
      <c r="H53" s="9">
        <v>-1172.0999999999999</v>
      </c>
      <c r="I53" s="9">
        <v>-1160.4000000000001</v>
      </c>
      <c r="J53" s="9">
        <v>-1137.8</v>
      </c>
      <c r="K53" s="9">
        <v>-1114.5</v>
      </c>
      <c r="L53" s="9">
        <v>-1194.5</v>
      </c>
      <c r="M53" s="9">
        <v>-1080.5999999999999</v>
      </c>
      <c r="N53" s="9">
        <v>-1172.0999999999999</v>
      </c>
      <c r="O53" s="9">
        <f>SUM(C53:N53)</f>
        <v>-13651.2</v>
      </c>
    </row>
    <row r="54" spans="2:15" x14ac:dyDescent="0.2">
      <c r="B54" t="s">
        <v>98</v>
      </c>
      <c r="C54" s="9">
        <f t="shared" ref="C54:N54" si="39">C52+C53</f>
        <v>463.20000000000005</v>
      </c>
      <c r="D54" s="9">
        <f t="shared" si="39"/>
        <v>453.39999999999986</v>
      </c>
      <c r="E54" s="9">
        <f t="shared" si="39"/>
        <v>487.10000000000014</v>
      </c>
      <c r="F54" s="9">
        <f t="shared" si="39"/>
        <v>526.5</v>
      </c>
      <c r="G54" s="9">
        <f t="shared" si="39"/>
        <v>478.09999999999991</v>
      </c>
      <c r="H54" s="9">
        <f t="shared" si="39"/>
        <v>501.60000000000014</v>
      </c>
      <c r="I54" s="9">
        <f t="shared" si="39"/>
        <v>497.09999999999991</v>
      </c>
      <c r="J54" s="9">
        <f t="shared" si="39"/>
        <v>487.20000000000005</v>
      </c>
      <c r="K54" s="9">
        <f t="shared" si="39"/>
        <v>478</v>
      </c>
      <c r="L54" s="9">
        <f t="shared" si="39"/>
        <v>511.79999999999995</v>
      </c>
      <c r="M54" s="9">
        <f t="shared" si="39"/>
        <v>463.10000000000014</v>
      </c>
      <c r="N54" s="9">
        <f t="shared" si="39"/>
        <v>501.5</v>
      </c>
      <c r="O54" s="9">
        <f>SUM(C54:N54)</f>
        <v>5848.6000000000013</v>
      </c>
    </row>
    <row r="55" spans="2:15" x14ac:dyDescent="0.2">
      <c r="B55" t="s">
        <v>148</v>
      </c>
      <c r="C55" s="9">
        <v>9246.9</v>
      </c>
      <c r="D55" s="9">
        <v>8942</v>
      </c>
      <c r="E55" s="9">
        <v>9593.2999999999993</v>
      </c>
      <c r="F55" s="9">
        <v>10290.1</v>
      </c>
      <c r="G55" s="9">
        <v>9442.9</v>
      </c>
      <c r="H55" s="9">
        <v>9805.7000000000007</v>
      </c>
      <c r="I55" s="9">
        <v>9815.4</v>
      </c>
      <c r="J55" s="9">
        <v>9657.5</v>
      </c>
      <c r="K55" s="9">
        <v>9445.4</v>
      </c>
      <c r="L55" s="9">
        <v>10095.4</v>
      </c>
      <c r="M55" s="9">
        <v>9027.7000000000007</v>
      </c>
      <c r="N55" s="9">
        <v>9790.9</v>
      </c>
      <c r="O55" s="9">
        <f t="shared" ref="O55:O60" si="40">N55</f>
        <v>9790.9</v>
      </c>
    </row>
    <row r="56" spans="2:15" x14ac:dyDescent="0.2">
      <c r="B56" t="s">
        <v>149</v>
      </c>
      <c r="C56" s="9">
        <v>7718.8</v>
      </c>
      <c r="D56" s="9">
        <v>7556.2</v>
      </c>
      <c r="E56" s="9">
        <v>8124.9</v>
      </c>
      <c r="F56" s="9">
        <v>8774.9</v>
      </c>
      <c r="G56" s="9">
        <v>7962.6</v>
      </c>
      <c r="H56" s="9">
        <v>8368.7999999999993</v>
      </c>
      <c r="I56" s="9">
        <v>8287.5</v>
      </c>
      <c r="J56" s="9">
        <v>8125.1</v>
      </c>
      <c r="K56" s="9">
        <v>7962.4</v>
      </c>
      <c r="L56" s="9">
        <v>8531.1</v>
      </c>
      <c r="M56" s="9">
        <v>7718.7</v>
      </c>
      <c r="N56" s="9">
        <v>8368.7999999999993</v>
      </c>
      <c r="O56" s="9">
        <f t="shared" si="40"/>
        <v>8368.7999999999993</v>
      </c>
    </row>
    <row r="57" spans="2:15" x14ac:dyDescent="0.2">
      <c r="B57" t="s">
        <v>150</v>
      </c>
      <c r="C57" s="9">
        <v>77.2</v>
      </c>
      <c r="D57" s="9">
        <v>75.599999999999994</v>
      </c>
      <c r="E57" s="9">
        <v>81.2</v>
      </c>
      <c r="F57" s="9">
        <v>87.7</v>
      </c>
      <c r="G57" s="9">
        <v>79.599999999999994</v>
      </c>
      <c r="H57" s="9">
        <v>83.7</v>
      </c>
      <c r="I57" s="9">
        <v>82.9</v>
      </c>
      <c r="J57" s="9">
        <v>81.3</v>
      </c>
      <c r="K57" s="9">
        <v>79.599999999999994</v>
      </c>
      <c r="L57" s="9">
        <v>85.3</v>
      </c>
      <c r="M57" s="9">
        <v>77.2</v>
      </c>
      <c r="N57" s="9">
        <v>83.7</v>
      </c>
      <c r="O57" s="9">
        <f t="shared" si="40"/>
        <v>83.7</v>
      </c>
    </row>
    <row r="58" spans="2:15" x14ac:dyDescent="0.2">
      <c r="B58" t="s">
        <v>151</v>
      </c>
      <c r="C58" s="9">
        <v>-5042.8999999999996</v>
      </c>
      <c r="D58" s="9">
        <v>-4936.7</v>
      </c>
      <c r="E58" s="9">
        <v>-5308.4</v>
      </c>
      <c r="F58" s="9">
        <v>-5733</v>
      </c>
      <c r="G58" s="9">
        <v>-5202.1000000000004</v>
      </c>
      <c r="H58" s="9">
        <v>-5467.7</v>
      </c>
      <c r="I58" s="9">
        <v>-5414.5</v>
      </c>
      <c r="J58" s="9">
        <v>-5308.4</v>
      </c>
      <c r="K58" s="9">
        <v>-5202.1000000000004</v>
      </c>
      <c r="L58" s="9">
        <v>-5573.5</v>
      </c>
      <c r="M58" s="9">
        <v>-5042.8999999999996</v>
      </c>
      <c r="N58" s="9">
        <v>-5467.8</v>
      </c>
      <c r="O58" s="9">
        <f t="shared" si="40"/>
        <v>-5467.8</v>
      </c>
    </row>
    <row r="59" spans="2:15" x14ac:dyDescent="0.2">
      <c r="B59" t="s">
        <v>152</v>
      </c>
      <c r="C59" s="9">
        <v>-154.4</v>
      </c>
      <c r="D59" s="9">
        <v>-151.1</v>
      </c>
      <c r="E59" s="9">
        <v>-162.5</v>
      </c>
      <c r="F59" s="9">
        <v>-175.5</v>
      </c>
      <c r="G59" s="9">
        <v>-159.30000000000001</v>
      </c>
      <c r="H59" s="9">
        <v>-167.4</v>
      </c>
      <c r="I59" s="9">
        <v>-165.8</v>
      </c>
      <c r="J59" s="9">
        <v>-162.5</v>
      </c>
      <c r="K59" s="9">
        <v>-159.19999999999999</v>
      </c>
      <c r="L59" s="9">
        <v>-170.6</v>
      </c>
      <c r="M59" s="9">
        <v>-154.4</v>
      </c>
      <c r="N59" s="9">
        <v>-167.4</v>
      </c>
      <c r="O59" s="9">
        <f t="shared" si="40"/>
        <v>-167.4</v>
      </c>
    </row>
    <row r="60" spans="2:15" x14ac:dyDescent="0.2">
      <c r="B60" t="s">
        <v>168</v>
      </c>
      <c r="C60" s="9">
        <f t="shared" ref="C60:N60" si="41">SUM(C55:C59)</f>
        <v>11845.600000000002</v>
      </c>
      <c r="D60" s="9">
        <f t="shared" si="41"/>
        <v>11485.999999999998</v>
      </c>
      <c r="E60" s="9">
        <f t="shared" si="41"/>
        <v>12328.499999999998</v>
      </c>
      <c r="F60" s="9">
        <f t="shared" si="41"/>
        <v>13244.2</v>
      </c>
      <c r="G60" s="9">
        <f t="shared" si="41"/>
        <v>12123.699999999999</v>
      </c>
      <c r="H60" s="9">
        <f t="shared" si="41"/>
        <v>12623.1</v>
      </c>
      <c r="I60" s="9">
        <f t="shared" si="41"/>
        <v>12605.500000000004</v>
      </c>
      <c r="J60" s="9">
        <f t="shared" si="41"/>
        <v>12392.999999999998</v>
      </c>
      <c r="K60" s="9">
        <f t="shared" si="41"/>
        <v>12126.099999999997</v>
      </c>
      <c r="L60" s="9">
        <f t="shared" si="41"/>
        <v>12967.699999999999</v>
      </c>
      <c r="M60" s="9">
        <f t="shared" si="41"/>
        <v>11626.300000000003</v>
      </c>
      <c r="N60" s="9">
        <f t="shared" si="41"/>
        <v>12608.199999999999</v>
      </c>
      <c r="O60" s="9">
        <f t="shared" si="40"/>
        <v>12608.199999999999</v>
      </c>
    </row>
    <row r="62" spans="2:15" x14ac:dyDescent="0.2">
      <c r="B62" s="7" t="s">
        <v>171</v>
      </c>
    </row>
    <row r="63" spans="2:15" x14ac:dyDescent="0.2">
      <c r="C63" s="20" t="s">
        <v>102</v>
      </c>
      <c r="D63" s="20" t="s">
        <v>103</v>
      </c>
      <c r="E63" s="20" t="s">
        <v>104</v>
      </c>
      <c r="F63" s="20" t="s">
        <v>105</v>
      </c>
      <c r="G63" s="20" t="s">
        <v>50</v>
      </c>
      <c r="H63" s="20" t="s">
        <v>106</v>
      </c>
      <c r="I63" s="20" t="s">
        <v>107</v>
      </c>
      <c r="J63" s="20" t="s">
        <v>108</v>
      </c>
      <c r="K63" s="20" t="s">
        <v>109</v>
      </c>
      <c r="L63" s="20" t="s">
        <v>110</v>
      </c>
      <c r="M63" s="20" t="s">
        <v>111</v>
      </c>
      <c r="N63" s="20" t="s">
        <v>112</v>
      </c>
      <c r="O63" s="2" t="s">
        <v>163</v>
      </c>
    </row>
    <row r="64" spans="2:15" x14ac:dyDescent="0.2">
      <c r="B64" t="s">
        <v>95</v>
      </c>
      <c r="C64" s="9">
        <v>5026.5</v>
      </c>
      <c r="D64" s="9">
        <v>4931.5</v>
      </c>
      <c r="E64" s="9">
        <v>5216</v>
      </c>
      <c r="F64" s="9">
        <v>5758.2</v>
      </c>
      <c r="G64" s="9">
        <v>5054.5</v>
      </c>
      <c r="H64" s="9">
        <v>5461.9</v>
      </c>
      <c r="I64" s="9">
        <v>5399.4</v>
      </c>
      <c r="J64" s="9">
        <v>5188.1000000000004</v>
      </c>
      <c r="K64" s="9">
        <v>5223.3999999999996</v>
      </c>
      <c r="L64" s="9">
        <v>5444.6</v>
      </c>
      <c r="M64" s="9">
        <v>5021.7</v>
      </c>
      <c r="N64" s="9">
        <v>5506.4</v>
      </c>
      <c r="O64" s="9">
        <f>SUM(C64:N64)</f>
        <v>63232.2</v>
      </c>
    </row>
    <row r="65" spans="2:15" x14ac:dyDescent="0.2">
      <c r="B65" t="s">
        <v>96</v>
      </c>
      <c r="C65" s="9">
        <v>1544.4</v>
      </c>
      <c r="D65" s="9">
        <v>1517.7</v>
      </c>
      <c r="E65" s="9">
        <v>1594.6</v>
      </c>
      <c r="F65" s="9">
        <v>1761.5</v>
      </c>
      <c r="G65" s="9">
        <v>1553.8</v>
      </c>
      <c r="H65" s="9">
        <v>1660.5</v>
      </c>
      <c r="I65" s="9">
        <v>1640.1</v>
      </c>
      <c r="J65" s="9">
        <v>1601</v>
      </c>
      <c r="K65" s="9">
        <v>1580</v>
      </c>
      <c r="L65" s="9">
        <v>1641.8</v>
      </c>
      <c r="M65" s="9">
        <v>1545.5</v>
      </c>
      <c r="N65" s="9">
        <v>1693</v>
      </c>
      <c r="O65" s="9">
        <f>SUM(C65:N65)</f>
        <v>19333.900000000001</v>
      </c>
    </row>
    <row r="66" spans="2:15" x14ac:dyDescent="0.2">
      <c r="B66" t="s">
        <v>97</v>
      </c>
      <c r="C66" s="9">
        <v>-1067.2</v>
      </c>
      <c r="D66" s="9">
        <v>-1031.7</v>
      </c>
      <c r="E66" s="9">
        <v>-1121.3</v>
      </c>
      <c r="F66" s="9">
        <v>-1191.2</v>
      </c>
      <c r="G66" s="9">
        <v>-1090.8</v>
      </c>
      <c r="H66" s="9">
        <v>-1149.8</v>
      </c>
      <c r="I66" s="9">
        <v>-1130.7</v>
      </c>
      <c r="J66" s="9">
        <v>-1120.5999999999999</v>
      </c>
      <c r="K66" s="9">
        <v>-1094.5999999999999</v>
      </c>
      <c r="L66" s="9">
        <v>-1174.0999999999999</v>
      </c>
      <c r="M66" s="9">
        <v>-1061.9000000000001</v>
      </c>
      <c r="N66" s="9">
        <v>-1152.9000000000001</v>
      </c>
      <c r="O66" s="9">
        <f>SUM(C66:N66)</f>
        <v>-13386.8</v>
      </c>
    </row>
    <row r="67" spans="2:15" x14ac:dyDescent="0.2">
      <c r="B67" t="s">
        <v>98</v>
      </c>
      <c r="C67" s="9">
        <f t="shared" ref="C67:N67" si="42">C65+C66</f>
        <v>477.20000000000005</v>
      </c>
      <c r="D67" s="9">
        <f t="shared" si="42"/>
        <v>486</v>
      </c>
      <c r="E67" s="9">
        <f t="shared" si="42"/>
        <v>473.29999999999995</v>
      </c>
      <c r="F67" s="9">
        <f t="shared" si="42"/>
        <v>570.29999999999995</v>
      </c>
      <c r="G67" s="9">
        <f t="shared" si="42"/>
        <v>463</v>
      </c>
      <c r="H67" s="9">
        <f t="shared" si="42"/>
        <v>510.70000000000005</v>
      </c>
      <c r="I67" s="9">
        <f t="shared" si="42"/>
        <v>509.39999999999986</v>
      </c>
      <c r="J67" s="9">
        <f t="shared" si="42"/>
        <v>480.40000000000009</v>
      </c>
      <c r="K67" s="9">
        <f t="shared" si="42"/>
        <v>485.40000000000009</v>
      </c>
      <c r="L67" s="9">
        <f t="shared" si="42"/>
        <v>467.70000000000005</v>
      </c>
      <c r="M67" s="9">
        <f t="shared" si="42"/>
        <v>483.59999999999991</v>
      </c>
      <c r="N67" s="9">
        <f t="shared" si="42"/>
        <v>540.09999999999991</v>
      </c>
      <c r="O67" s="9">
        <f>SUM(C67:N67)</f>
        <v>5947.1</v>
      </c>
    </row>
    <row r="68" spans="2:15" x14ac:dyDescent="0.2">
      <c r="B68" t="s">
        <v>148</v>
      </c>
      <c r="C68" s="9">
        <v>9691</v>
      </c>
      <c r="D68" s="9">
        <v>9555.5</v>
      </c>
      <c r="E68" s="9">
        <v>10317.299999999999</v>
      </c>
      <c r="F68" s="9">
        <v>11126.5</v>
      </c>
      <c r="G68" s="9">
        <v>9699.5</v>
      </c>
      <c r="H68" s="9">
        <v>10772.5</v>
      </c>
      <c r="I68" s="9">
        <v>10687.3</v>
      </c>
      <c r="J68" s="9">
        <v>10108.799999999999</v>
      </c>
      <c r="K68" s="9">
        <v>10253.9</v>
      </c>
      <c r="L68" s="9">
        <v>10729.5</v>
      </c>
      <c r="M68" s="9">
        <v>9904.5</v>
      </c>
      <c r="N68" s="9">
        <v>10745.7</v>
      </c>
      <c r="O68" s="9">
        <f t="shared" ref="O68:O73" si="43">N68</f>
        <v>10745.7</v>
      </c>
    </row>
    <row r="69" spans="2:15" x14ac:dyDescent="0.2">
      <c r="B69" t="s">
        <v>149</v>
      </c>
      <c r="C69" s="9">
        <v>7707.3</v>
      </c>
      <c r="D69" s="9">
        <v>7561.6</v>
      </c>
      <c r="E69" s="9">
        <v>7997.9</v>
      </c>
      <c r="F69" s="9">
        <v>8829.2000000000007</v>
      </c>
      <c r="G69" s="9">
        <v>7750.2</v>
      </c>
      <c r="H69" s="9">
        <v>8374.9</v>
      </c>
      <c r="I69" s="9">
        <v>8279.1</v>
      </c>
      <c r="J69" s="9">
        <v>7955.1</v>
      </c>
      <c r="K69" s="9">
        <v>8009.2</v>
      </c>
      <c r="L69" s="9">
        <v>8348.4</v>
      </c>
      <c r="M69" s="9">
        <v>7699.9</v>
      </c>
      <c r="N69" s="9">
        <v>8443.1</v>
      </c>
      <c r="O69" s="9">
        <f t="shared" si="43"/>
        <v>8443.1</v>
      </c>
    </row>
    <row r="70" spans="2:15" x14ac:dyDescent="0.2">
      <c r="B70" t="s">
        <v>150</v>
      </c>
      <c r="C70" s="9">
        <v>75.400000000000006</v>
      </c>
      <c r="D70" s="9">
        <v>74</v>
      </c>
      <c r="E70" s="9">
        <v>78.2</v>
      </c>
      <c r="F70" s="9">
        <v>86.4</v>
      </c>
      <c r="G70" s="9">
        <v>75.8</v>
      </c>
      <c r="H70" s="9">
        <v>81.900000000000006</v>
      </c>
      <c r="I70" s="9">
        <v>81</v>
      </c>
      <c r="J70" s="9">
        <v>77.8</v>
      </c>
      <c r="K70" s="9">
        <v>78.400000000000006</v>
      </c>
      <c r="L70" s="9">
        <v>81.7</v>
      </c>
      <c r="M70" s="9">
        <v>75.3</v>
      </c>
      <c r="N70" s="9">
        <v>82.6</v>
      </c>
      <c r="O70" s="9">
        <f t="shared" si="43"/>
        <v>82.6</v>
      </c>
    </row>
    <row r="71" spans="2:15" x14ac:dyDescent="0.2">
      <c r="B71" t="s">
        <v>151</v>
      </c>
      <c r="C71" s="9">
        <v>-4758.8999999999996</v>
      </c>
      <c r="D71" s="9">
        <v>-4665.5</v>
      </c>
      <c r="E71" s="9">
        <v>-4949.2</v>
      </c>
      <c r="F71" s="9">
        <v>-5462.2</v>
      </c>
      <c r="G71" s="9">
        <v>-4784.3</v>
      </c>
      <c r="H71" s="9">
        <v>-5195.2</v>
      </c>
      <c r="I71" s="9">
        <v>-5137.7</v>
      </c>
      <c r="J71" s="9">
        <v>-4902.3999999999996</v>
      </c>
      <c r="K71" s="9">
        <v>-4979.3</v>
      </c>
      <c r="L71" s="9">
        <v>-5197.2</v>
      </c>
      <c r="M71" s="9">
        <v>-4750.8</v>
      </c>
      <c r="N71" s="9">
        <v>-5211.6000000000004</v>
      </c>
      <c r="O71" s="9">
        <f t="shared" si="43"/>
        <v>-5211.6000000000004</v>
      </c>
    </row>
    <row r="72" spans="2:15" x14ac:dyDescent="0.2">
      <c r="B72" t="s">
        <v>152</v>
      </c>
      <c r="C72" s="9">
        <v>-150.80000000000001</v>
      </c>
      <c r="D72" s="9">
        <v>-147.9</v>
      </c>
      <c r="E72" s="9">
        <v>-156.5</v>
      </c>
      <c r="F72" s="9">
        <v>-172.7</v>
      </c>
      <c r="G72" s="9">
        <v>-151.6</v>
      </c>
      <c r="H72" s="9">
        <v>-163.9</v>
      </c>
      <c r="I72" s="9">
        <v>-162</v>
      </c>
      <c r="J72" s="9">
        <v>-155.6</v>
      </c>
      <c r="K72" s="9">
        <v>-156.69999999999999</v>
      </c>
      <c r="L72" s="9">
        <v>-163.30000000000001</v>
      </c>
      <c r="M72" s="9">
        <v>-150.69999999999999</v>
      </c>
      <c r="N72" s="9">
        <v>-165.2</v>
      </c>
      <c r="O72" s="9">
        <f t="shared" si="43"/>
        <v>-165.2</v>
      </c>
    </row>
    <row r="73" spans="2:15" x14ac:dyDescent="0.2">
      <c r="B73" t="s">
        <v>168</v>
      </c>
      <c r="C73" s="9">
        <f t="shared" ref="C73:N73" si="44">SUM(C68:C72)</f>
        <v>12564.000000000002</v>
      </c>
      <c r="D73" s="9">
        <f t="shared" si="44"/>
        <v>12377.699999999999</v>
      </c>
      <c r="E73" s="9">
        <f t="shared" si="44"/>
        <v>13287.699999999997</v>
      </c>
      <c r="F73" s="9">
        <f t="shared" si="44"/>
        <v>14407.2</v>
      </c>
      <c r="G73" s="9">
        <f t="shared" si="44"/>
        <v>12589.6</v>
      </c>
      <c r="H73" s="9">
        <f t="shared" si="44"/>
        <v>13870.200000000003</v>
      </c>
      <c r="I73" s="9">
        <f t="shared" si="44"/>
        <v>13747.7</v>
      </c>
      <c r="J73" s="9">
        <f t="shared" si="44"/>
        <v>13083.7</v>
      </c>
      <c r="K73" s="9">
        <f t="shared" si="44"/>
        <v>13205.5</v>
      </c>
      <c r="L73" s="9">
        <f t="shared" si="44"/>
        <v>13799.100000000002</v>
      </c>
      <c r="M73" s="9">
        <f t="shared" si="44"/>
        <v>12778.2</v>
      </c>
      <c r="N73" s="9">
        <f t="shared" si="44"/>
        <v>13894.6</v>
      </c>
      <c r="O73" s="9">
        <f t="shared" si="43"/>
        <v>13894.6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2"/>
  <sheetViews>
    <sheetView showGridLines="0" workbookViewId="0"/>
  </sheetViews>
  <sheetFormatPr baseColWidth="10" defaultColWidth="8.83203125" defaultRowHeight="15" x14ac:dyDescent="0.2"/>
  <cols>
    <col min="1" max="1" width="40" customWidth="1"/>
    <col min="2" max="14" width="11" customWidth="1"/>
  </cols>
  <sheetData>
    <row r="1" spans="1:14" ht="17" x14ac:dyDescent="0.2">
      <c r="A1" s="6" t="s">
        <v>172</v>
      </c>
    </row>
    <row r="2" spans="1:14" x14ac:dyDescent="0.2">
      <c r="A2" s="1" t="s">
        <v>24</v>
      </c>
    </row>
    <row r="4" spans="1:14" ht="16" x14ac:dyDescent="0.2">
      <c r="B4" s="8" t="s">
        <v>102</v>
      </c>
      <c r="C4" s="8" t="s">
        <v>103</v>
      </c>
      <c r="D4" s="8" t="s">
        <v>104</v>
      </c>
      <c r="E4" s="8" t="s">
        <v>105</v>
      </c>
      <c r="F4" s="8" t="s">
        <v>50</v>
      </c>
      <c r="G4" s="8" t="s">
        <v>106</v>
      </c>
      <c r="H4" s="8" t="s">
        <v>107</v>
      </c>
      <c r="I4" s="8" t="s">
        <v>108</v>
      </c>
      <c r="J4" s="8" t="s">
        <v>109</v>
      </c>
      <c r="K4" s="8" t="s">
        <v>110</v>
      </c>
      <c r="L4" s="8" t="s">
        <v>111</v>
      </c>
      <c r="M4" s="8" t="s">
        <v>112</v>
      </c>
      <c r="N4" s="8" t="s">
        <v>87</v>
      </c>
    </row>
    <row r="5" spans="1:14" x14ac:dyDescent="0.2">
      <c r="A5" s="19" t="s">
        <v>173</v>
      </c>
      <c r="B5" s="9">
        <v>4878.7</v>
      </c>
      <c r="C5" s="9">
        <v>4815.1000000000004</v>
      </c>
      <c r="D5" s="9">
        <v>5092.6000000000004</v>
      </c>
      <c r="E5" s="9">
        <v>5599.4</v>
      </c>
      <c r="F5" s="9">
        <v>5017.7</v>
      </c>
      <c r="G5" s="9">
        <v>5325.2</v>
      </c>
      <c r="H5" s="9">
        <v>5274</v>
      </c>
      <c r="I5" s="9">
        <v>5127.1000000000004</v>
      </c>
      <c r="J5" s="9">
        <v>4665.3</v>
      </c>
      <c r="K5" s="9">
        <v>5191.6000000000004</v>
      </c>
      <c r="L5" s="9">
        <v>4715.5</v>
      </c>
      <c r="M5" s="9">
        <v>5054.3999999999996</v>
      </c>
      <c r="N5" s="9">
        <f>SUM(B5:M5)</f>
        <v>60756.6</v>
      </c>
    </row>
    <row r="6" spans="1:14" x14ac:dyDescent="0.2">
      <c r="A6" s="19" t="s">
        <v>174</v>
      </c>
      <c r="B6" s="21">
        <v>21</v>
      </c>
      <c r="C6" s="21">
        <v>20</v>
      </c>
      <c r="D6" s="21">
        <v>22</v>
      </c>
      <c r="E6" s="21">
        <v>22</v>
      </c>
      <c r="F6" s="21">
        <v>20</v>
      </c>
      <c r="G6" s="21">
        <v>22</v>
      </c>
      <c r="H6" s="21">
        <v>22</v>
      </c>
      <c r="I6" s="21">
        <v>21</v>
      </c>
      <c r="J6" s="21">
        <v>21</v>
      </c>
      <c r="K6" s="21">
        <v>22</v>
      </c>
      <c r="L6" s="21">
        <v>19</v>
      </c>
      <c r="M6" s="21">
        <v>22</v>
      </c>
      <c r="N6" s="21">
        <f>SUM(B6:M6)</f>
        <v>254</v>
      </c>
    </row>
    <row r="7" spans="1:14" x14ac:dyDescent="0.2">
      <c r="A7" s="2" t="s">
        <v>175</v>
      </c>
      <c r="B7" s="9">
        <f t="shared" ref="B7:N7" si="0">B5/B6</f>
        <v>232.31904761904761</v>
      </c>
      <c r="C7" s="9">
        <f t="shared" si="0"/>
        <v>240.75500000000002</v>
      </c>
      <c r="D7" s="9">
        <f t="shared" si="0"/>
        <v>231.4818181818182</v>
      </c>
      <c r="E7" s="9">
        <f t="shared" si="0"/>
        <v>254.5181818181818</v>
      </c>
      <c r="F7" s="9">
        <f t="shared" si="0"/>
        <v>250.88499999999999</v>
      </c>
      <c r="G7" s="9">
        <f t="shared" si="0"/>
        <v>242.05454545454543</v>
      </c>
      <c r="H7" s="9">
        <f t="shared" si="0"/>
        <v>239.72727272727272</v>
      </c>
      <c r="I7" s="9">
        <f t="shared" si="0"/>
        <v>244.14761904761906</v>
      </c>
      <c r="J7" s="9">
        <f t="shared" si="0"/>
        <v>222.15714285714287</v>
      </c>
      <c r="K7" s="9">
        <f t="shared" si="0"/>
        <v>235.9818181818182</v>
      </c>
      <c r="L7" s="9">
        <f t="shared" si="0"/>
        <v>248.18421052631578</v>
      </c>
      <c r="M7" s="9">
        <f t="shared" si="0"/>
        <v>229.74545454545452</v>
      </c>
      <c r="N7" s="9">
        <f t="shared" si="0"/>
        <v>239.19921259842519</v>
      </c>
    </row>
    <row r="8" spans="1:14" x14ac:dyDescent="0.2">
      <c r="A8" s="19" t="s">
        <v>176</v>
      </c>
      <c r="B8" s="9">
        <v>5145.8999999999996</v>
      </c>
      <c r="C8" s="9">
        <v>5037.5</v>
      </c>
      <c r="D8" s="9">
        <v>5416.6</v>
      </c>
      <c r="E8" s="9">
        <v>5849.9</v>
      </c>
      <c r="F8" s="9">
        <v>5308.4</v>
      </c>
      <c r="G8" s="9">
        <v>5579.2</v>
      </c>
      <c r="H8" s="9">
        <v>5525</v>
      </c>
      <c r="I8" s="9">
        <v>5416.7</v>
      </c>
      <c r="J8" s="9">
        <v>5308.3</v>
      </c>
      <c r="K8" s="9">
        <v>5687.4</v>
      </c>
      <c r="L8" s="9">
        <v>5145.8</v>
      </c>
      <c r="M8" s="9">
        <v>5579.2</v>
      </c>
      <c r="N8" s="9">
        <f>SUM(B8:M8)</f>
        <v>64999.9</v>
      </c>
    </row>
    <row r="9" spans="1:14" x14ac:dyDescent="0.2">
      <c r="A9" s="2" t="s">
        <v>177</v>
      </c>
      <c r="B9" s="9">
        <f t="shared" ref="B9:N9" si="1">B8/B6</f>
        <v>245.04285714285712</v>
      </c>
      <c r="C9" s="9">
        <f t="shared" si="1"/>
        <v>251.875</v>
      </c>
      <c r="D9" s="9">
        <f t="shared" si="1"/>
        <v>246.20909090909092</v>
      </c>
      <c r="E9" s="9">
        <f t="shared" si="1"/>
        <v>265.90454545454543</v>
      </c>
      <c r="F9" s="9">
        <f t="shared" si="1"/>
        <v>265.41999999999996</v>
      </c>
      <c r="G9" s="9">
        <f t="shared" si="1"/>
        <v>253.6</v>
      </c>
      <c r="H9" s="9">
        <f t="shared" si="1"/>
        <v>251.13636363636363</v>
      </c>
      <c r="I9" s="9">
        <f t="shared" si="1"/>
        <v>257.93809523809523</v>
      </c>
      <c r="J9" s="9">
        <f t="shared" si="1"/>
        <v>252.77619047619049</v>
      </c>
      <c r="K9" s="9">
        <f t="shared" si="1"/>
        <v>258.5181818181818</v>
      </c>
      <c r="L9" s="9">
        <f t="shared" si="1"/>
        <v>270.83157894736843</v>
      </c>
      <c r="M9" s="9">
        <f t="shared" si="1"/>
        <v>253.6</v>
      </c>
      <c r="N9" s="9">
        <f t="shared" si="1"/>
        <v>255.90511811023623</v>
      </c>
    </row>
    <row r="10" spans="1:14" x14ac:dyDescent="0.2">
      <c r="A10" s="19" t="s">
        <v>178</v>
      </c>
      <c r="B10" s="9">
        <v>5026.5</v>
      </c>
      <c r="C10" s="9">
        <v>4931.5</v>
      </c>
      <c r="D10" s="9">
        <v>5216</v>
      </c>
      <c r="E10" s="9">
        <v>5758.2</v>
      </c>
      <c r="F10" s="9">
        <v>5054.5</v>
      </c>
      <c r="G10" s="9">
        <v>5461.9</v>
      </c>
      <c r="H10" s="9">
        <v>5399.4</v>
      </c>
      <c r="I10" s="9">
        <v>5188.1000000000004</v>
      </c>
      <c r="J10" s="9">
        <v>5223.3999999999996</v>
      </c>
      <c r="K10" s="9">
        <v>5444.6</v>
      </c>
      <c r="L10" s="9">
        <v>5021.7</v>
      </c>
      <c r="M10" s="9">
        <v>5506.4</v>
      </c>
      <c r="N10" s="9">
        <f>SUM(B10:M10)</f>
        <v>63232.2</v>
      </c>
    </row>
    <row r="11" spans="1:14" x14ac:dyDescent="0.2">
      <c r="A11" s="19" t="s">
        <v>179</v>
      </c>
      <c r="B11" s="21">
        <v>22</v>
      </c>
      <c r="C11" s="21">
        <v>20</v>
      </c>
      <c r="D11" s="21">
        <v>21</v>
      </c>
      <c r="E11" s="21">
        <v>22</v>
      </c>
      <c r="F11" s="21">
        <v>21</v>
      </c>
      <c r="G11" s="21">
        <v>21</v>
      </c>
      <c r="H11" s="21">
        <v>22</v>
      </c>
      <c r="I11" s="21">
        <v>21</v>
      </c>
      <c r="J11" s="21">
        <v>21</v>
      </c>
      <c r="K11" s="21">
        <v>23</v>
      </c>
      <c r="L11" s="21">
        <v>18</v>
      </c>
      <c r="M11" s="21">
        <v>22</v>
      </c>
      <c r="N11" s="21">
        <f>SUM(B11:M11)</f>
        <v>254</v>
      </c>
    </row>
    <row r="12" spans="1:14" x14ac:dyDescent="0.2">
      <c r="A12" s="2" t="s">
        <v>180</v>
      </c>
      <c r="B12" s="9">
        <f t="shared" ref="B12:N12" si="2">B10/B11</f>
        <v>228.47727272727272</v>
      </c>
      <c r="C12" s="9">
        <f t="shared" si="2"/>
        <v>246.57499999999999</v>
      </c>
      <c r="D12" s="9">
        <f t="shared" si="2"/>
        <v>248.38095238095238</v>
      </c>
      <c r="E12" s="9">
        <f t="shared" si="2"/>
        <v>261.73636363636365</v>
      </c>
      <c r="F12" s="9">
        <f t="shared" si="2"/>
        <v>240.6904761904762</v>
      </c>
      <c r="G12" s="9">
        <f t="shared" si="2"/>
        <v>260.09047619047618</v>
      </c>
      <c r="H12" s="9">
        <f t="shared" si="2"/>
        <v>245.42727272727271</v>
      </c>
      <c r="I12" s="9">
        <f t="shared" si="2"/>
        <v>247.05238095238096</v>
      </c>
      <c r="J12" s="9">
        <f t="shared" si="2"/>
        <v>248.73333333333332</v>
      </c>
      <c r="K12" s="9">
        <f t="shared" si="2"/>
        <v>236.7217391304348</v>
      </c>
      <c r="L12" s="9">
        <f t="shared" si="2"/>
        <v>278.98333333333335</v>
      </c>
      <c r="M12" s="9">
        <f t="shared" si="2"/>
        <v>250.29090909090908</v>
      </c>
      <c r="N12" s="9">
        <f t="shared" si="2"/>
        <v>248.94566929133856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I13"/>
  <sheetViews>
    <sheetView showGridLines="0" workbookViewId="0"/>
  </sheetViews>
  <sheetFormatPr baseColWidth="10" defaultColWidth="8.83203125" defaultRowHeight="15" x14ac:dyDescent="0.2"/>
  <cols>
    <col min="2" max="2" width="24" customWidth="1"/>
    <col min="3" max="3" width="13" customWidth="1"/>
    <col min="4" max="4" width="60" customWidth="1"/>
    <col min="5" max="5" width="14" customWidth="1"/>
    <col min="6" max="7" width="11" customWidth="1"/>
    <col min="8" max="8" width="14" customWidth="1"/>
    <col min="9" max="9" width="10" customWidth="1"/>
  </cols>
  <sheetData>
    <row r="1" spans="2:9" ht="17" x14ac:dyDescent="0.2">
      <c r="B1" s="6" t="s">
        <v>181</v>
      </c>
    </row>
    <row r="2" spans="2:9" x14ac:dyDescent="0.2">
      <c r="B2" s="1" t="s">
        <v>24</v>
      </c>
    </row>
    <row r="4" spans="2:9" x14ac:dyDescent="0.2">
      <c r="B4" t="s">
        <v>182</v>
      </c>
      <c r="C4" t="s">
        <v>183</v>
      </c>
    </row>
    <row r="5" spans="2:9" x14ac:dyDescent="0.2">
      <c r="B5" t="s">
        <v>184</v>
      </c>
      <c r="C5" s="22">
        <v>0.25</v>
      </c>
    </row>
    <row r="6" spans="2:9" x14ac:dyDescent="0.2">
      <c r="B6" t="s">
        <v>185</v>
      </c>
      <c r="C6" s="22">
        <v>0.5</v>
      </c>
    </row>
    <row r="7" spans="2:9" x14ac:dyDescent="0.2">
      <c r="B7" t="s">
        <v>186</v>
      </c>
      <c r="C7" s="22">
        <v>0.75</v>
      </c>
    </row>
    <row r="10" spans="2:9" ht="32" x14ac:dyDescent="0.2">
      <c r="B10" s="8" t="s">
        <v>187</v>
      </c>
      <c r="C10" s="8" t="s">
        <v>188</v>
      </c>
      <c r="D10" s="8" t="s">
        <v>189</v>
      </c>
      <c r="E10" s="8" t="s">
        <v>190</v>
      </c>
      <c r="F10" s="8" t="s">
        <v>182</v>
      </c>
      <c r="G10" s="8" t="s">
        <v>183</v>
      </c>
      <c r="H10" s="8" t="s">
        <v>191</v>
      </c>
      <c r="I10" s="8" t="s">
        <v>192</v>
      </c>
    </row>
    <row r="11" spans="2:9" ht="16" x14ac:dyDescent="0.2">
      <c r="B11" t="s">
        <v>84</v>
      </c>
      <c r="C11" t="s">
        <v>193</v>
      </c>
      <c r="D11" s="23" t="s">
        <v>194</v>
      </c>
      <c r="E11" s="9">
        <v>-110</v>
      </c>
      <c r="F11" t="s">
        <v>185</v>
      </c>
      <c r="G11" s="22">
        <f>VLOOKUP(F11,$B$5:$C$7,2,FALSE)</f>
        <v>0.5</v>
      </c>
      <c r="H11" s="9">
        <f>E11*G11</f>
        <v>-55</v>
      </c>
      <c r="I11" t="s">
        <v>195</v>
      </c>
    </row>
    <row r="12" spans="2:9" ht="16" x14ac:dyDescent="0.2">
      <c r="B12" t="s">
        <v>84</v>
      </c>
      <c r="C12" t="s">
        <v>196</v>
      </c>
      <c r="D12" s="23" t="s">
        <v>197</v>
      </c>
      <c r="E12" s="9">
        <v>60</v>
      </c>
      <c r="F12" t="s">
        <v>184</v>
      </c>
      <c r="G12" s="22">
        <f>VLOOKUP(F12,$B$5:$C$7,2,FALSE)</f>
        <v>0.25</v>
      </c>
      <c r="H12" s="9">
        <f>E12*G12</f>
        <v>15</v>
      </c>
      <c r="I12" t="s">
        <v>195</v>
      </c>
    </row>
    <row r="13" spans="2:9" x14ac:dyDescent="0.2">
      <c r="D13" s="2" t="s">
        <v>198</v>
      </c>
      <c r="E13" s="18">
        <f>SUM(E11:E12)</f>
        <v>-50</v>
      </c>
      <c r="H13" s="18">
        <f>SUM(H11:H12)</f>
        <v>-40</v>
      </c>
    </row>
  </sheetData>
  <dataValidations count="1">
    <dataValidation type="list" allowBlank="1" sqref="F11:F12" xr:uid="{00000000-0002-0000-0600-000000000000}">
      <formula1>"Low,Medium,High"</formula1>
    </dataValidation>
  </dataValidation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{HFM Defaults}</vt:lpstr>
      <vt:lpstr>Overview</vt:lpstr>
      <vt:lpstr>Variances</vt:lpstr>
      <vt:lpstr>Adjustments</vt:lpstr>
      <vt:lpstr>Forecast</vt:lpstr>
      <vt:lpstr>Billing Days</vt:lpstr>
      <vt:lpstr>R&amp;Os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MOD Administrator</cp:lastModifiedBy>
  <dcterms:created xsi:type="dcterms:W3CDTF">2026-10-21T21:41:50Z</dcterms:created>
  <dcterms:modified xsi:type="dcterms:W3CDTF">2026-10-22T14:01:44Z</dcterms:modified>
</cp:coreProperties>
</file>