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{HFM Defaults}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Variances" sheetId="3" state="visible" r:id="rId3"/>
    <sheet xmlns:r="http://schemas.openxmlformats.org/officeDocument/2006/relationships" name="Adjustments" sheetId="4" state="visible" r:id="rId4"/>
    <sheet xmlns:r="http://schemas.openxmlformats.org/officeDocument/2006/relationships" name="Forecast" sheetId="5" state="visible" r:id="rId5"/>
    <sheet xmlns:r="http://schemas.openxmlformats.org/officeDocument/2006/relationships" name="Billing Days" sheetId="6" state="visible" r:id="rId6"/>
    <sheet xmlns:r="http://schemas.openxmlformats.org/officeDocument/2006/relationships" name="R&amp;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-0.0%;&quot;-&quot;"/>
  </numFmts>
  <fonts count="10">
    <font>
      <name val="Calibri"/>
      <family val="2"/>
      <color theme="1"/>
      <sz val="11"/>
      <scheme val="minor"/>
    </font>
    <font>
      <i val="1"/>
      <color rgb="00C00000"/>
      <sz val="9"/>
    </font>
    <font>
      <b val="1"/>
    </font>
    <font>
      <b val="1"/>
      <color rgb="00002060"/>
      <sz val="14"/>
    </font>
    <font/>
    <font>
      <b val="1"/>
      <color rgb="00002060"/>
      <sz val="13"/>
    </font>
    <font>
      <b val="1"/>
      <color rgb="00002060"/>
    </font>
    <font>
      <b val="1"/>
      <color rgb="00FFFFFF"/>
    </font>
    <font>
      <i val="1"/>
      <sz val="9"/>
    </font>
    <font>
      <color rgb="00808080"/>
      <sz val="8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6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1" pivotButton="0" quotePrefix="0" xfId="0"/>
    <xf numFmtId="164" fontId="0" fillId="3" borderId="0" pivotButton="0" quotePrefix="0" xfId="0"/>
    <xf numFmtId="164" fontId="2" fillId="4" borderId="0" pivotButton="0" quotePrefix="0" xfId="0"/>
    <xf numFmtId="165" fontId="0" fillId="0" borderId="0" pivotButton="0" quotePrefix="0" xfId="0"/>
    <xf numFmtId="165" fontId="2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center" wrapText="1"/>
    </xf>
    <xf numFmtId="164" fontId="2" fillId="0" borderId="0" pivotButton="0" quotePrefix="0" xfId="0"/>
    <xf numFmtId="0" fontId="4" fillId="0" borderId="0" pivotButton="0" quotePrefix="0" xfId="0"/>
    <xf numFmtId="0" fontId="2" fillId="4" borderId="0" pivotButton="0" quotePrefix="0" xfId="0"/>
    <xf numFmtId="1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28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2">
      <c r="A2" t="inlineStr">
        <is>
          <t>Connection</t>
        </is>
      </c>
      <c r="B2" t="inlineStr">
        <is>
          <t>WSFN|HFM|HFM|ZAVALIVE|ZAVALIVE</t>
        </is>
      </c>
      <c r="C2" t="inlineStr">
        <is>
          <t>WSFN|HFM|HFM|ZAVALIVE|ZAVALIVE</t>
        </is>
      </c>
      <c r="D2" t="inlineStr">
        <is>
          <t>WSFN|HFM|HFM|ZAVALIVE|ZAVALIVE</t>
        </is>
      </c>
      <c r="E2" t="inlineStr">
        <is>
          <t>WSFN|HFM|HFM|ZAVALIVE|ZAVALIVE</t>
        </is>
      </c>
    </row>
    <row r="3">
      <c r="A3" t="inlineStr">
        <is>
          <t>Scenario#</t>
        </is>
      </c>
      <c r="B3" t="inlineStr">
        <is>
          <t>ACTUAL</t>
        </is>
      </c>
      <c r="C3" t="inlineStr">
        <is>
          <t>ACTUAL</t>
        </is>
      </c>
      <c r="D3" t="inlineStr">
        <is>
          <t>ACTUAL</t>
        </is>
      </c>
      <c r="E3" t="inlineStr">
        <is>
          <t>ACTUAL</t>
        </is>
      </c>
    </row>
    <row r="4">
      <c r="A4" t="inlineStr">
        <is>
          <t>Year#</t>
        </is>
      </c>
    </row>
    <row r="5">
      <c r="A5" t="inlineStr">
        <is>
          <t>Period#</t>
        </is>
      </c>
      <c r="B5" t="inlineStr">
        <is>
          <t>[YEAR]</t>
        </is>
      </c>
      <c r="C5" t="inlineStr">
        <is>
          <t>[YEAR]</t>
        </is>
      </c>
      <c r="D5" t="inlineStr">
        <is>
          <t>[YEAR]</t>
        </is>
      </c>
      <c r="E5" t="inlineStr">
        <is>
          <t>[YEAR]</t>
        </is>
      </c>
    </row>
    <row r="6">
      <c r="A6" t="inlineStr">
        <is>
          <t>View#</t>
        </is>
      </c>
      <c r="B6" t="inlineStr">
        <is>
          <t>&lt;Scenario View&gt;</t>
        </is>
      </c>
      <c r="C6" t="inlineStr">
        <is>
          <t>&lt;Scenario View&gt;</t>
        </is>
      </c>
      <c r="D6" t="inlineStr">
        <is>
          <t>&lt;Scenario View&gt;</t>
        </is>
      </c>
      <c r="E6" t="inlineStr">
        <is>
          <t>&lt;Scenario View&gt;</t>
        </is>
      </c>
    </row>
    <row r="7">
      <c r="A7" t="inlineStr">
        <is>
          <t>Entity#</t>
        </is>
      </c>
      <c r="B7" t="inlineStr">
        <is>
          <t>[None]</t>
        </is>
      </c>
      <c r="C7" t="inlineStr">
        <is>
          <t>[None]</t>
        </is>
      </c>
      <c r="D7" t="inlineStr">
        <is>
          <t>[None]</t>
        </is>
      </c>
      <c r="E7" t="inlineStr">
        <is>
          <t>[None]</t>
        </is>
      </c>
    </row>
    <row r="8">
      <c r="A8" t="inlineStr">
        <is>
          <t>Value#</t>
        </is>
      </c>
      <c r="B8" t="inlineStr">
        <is>
          <t>USD Total</t>
        </is>
      </c>
      <c r="C8" t="inlineStr">
        <is>
          <t>USD Total</t>
        </is>
      </c>
      <c r="D8" t="inlineStr">
        <is>
          <t>USD Total</t>
        </is>
      </c>
      <c r="E8" t="inlineStr">
        <is>
          <t>USD Total</t>
        </is>
      </c>
    </row>
    <row r="9">
      <c r="A9" t="inlineStr">
        <is>
          <t>Account#</t>
        </is>
      </c>
    </row>
    <row r="10">
      <c r="A10" t="inlineStr">
        <is>
          <t>ICP#</t>
        </is>
      </c>
      <c r="B10" t="inlineStr">
        <is>
          <t>[ICP Top]</t>
        </is>
      </c>
      <c r="C10" t="inlineStr">
        <is>
          <t>[ICP Top]</t>
        </is>
      </c>
      <c r="D10" t="inlineStr">
        <is>
          <t>[ICP Top]</t>
        </is>
      </c>
      <c r="E10" t="inlineStr">
        <is>
          <t>[ICP Top]</t>
        </is>
      </c>
    </row>
    <row r="11">
      <c r="A11" t="inlineStr">
        <is>
          <t>Custom1#</t>
        </is>
      </c>
      <c r="B11" t="inlineStr">
        <is>
          <t>TotalC1</t>
        </is>
      </c>
      <c r="C11" t="inlineStr">
        <is>
          <t>TotalC1</t>
        </is>
      </c>
      <c r="D11" t="inlineStr">
        <is>
          <t>TotalC1</t>
        </is>
      </c>
      <c r="E11" t="inlineStr">
        <is>
          <t>TotalC1</t>
        </is>
      </c>
    </row>
    <row r="12">
      <c r="A12" t="inlineStr">
        <is>
          <t>Custom2#</t>
        </is>
      </c>
      <c r="B12" t="inlineStr">
        <is>
          <t>TotalC2</t>
        </is>
      </c>
      <c r="C12" t="inlineStr">
        <is>
          <t>TotalC2</t>
        </is>
      </c>
      <c r="D12" t="inlineStr">
        <is>
          <t>TotalC2</t>
        </is>
      </c>
      <c r="E12" t="inlineStr">
        <is>
          <t>TotalC2</t>
        </is>
      </c>
    </row>
    <row r="13">
      <c r="A13" t="inlineStr">
        <is>
          <t>Custom3#</t>
        </is>
      </c>
      <c r="B13" t="inlineStr">
        <is>
          <t>TotalC3</t>
        </is>
      </c>
      <c r="C13" t="inlineStr">
        <is>
          <t>TotalC3</t>
        </is>
      </c>
      <c r="D13" t="inlineStr">
        <is>
          <t>TotalC3</t>
        </is>
      </c>
      <c r="E13" t="inlineStr">
        <is>
          <t>TotalC3</t>
        </is>
      </c>
    </row>
    <row r="14">
      <c r="A14" t="inlineStr">
        <is>
          <t>Custom4#</t>
        </is>
      </c>
      <c r="B14" t="inlineStr">
        <is>
          <t>TotalC4</t>
        </is>
      </c>
      <c r="C14" t="inlineStr">
        <is>
          <t>TotalC4</t>
        </is>
      </c>
      <c r="D14" t="inlineStr">
        <is>
          <t>TotalC4</t>
        </is>
      </c>
      <c r="E14" t="inlineStr">
        <is>
          <t>TotalC4</t>
        </is>
      </c>
    </row>
    <row r="15">
      <c r="B15" s="1" t="inlineStr">
        <is>
          <t>TRAINING DATA ONLY - Zava Safety and all business names and numbers are fictitious. Layout mirrors a typical HFM / Cognos reporting pack.</t>
        </is>
      </c>
    </row>
    <row r="16">
      <c r="B16" s="2" t="inlineStr">
        <is>
          <t>HFM entity name:</t>
        </is>
      </c>
      <c r="D16" t="inlineStr">
        <is>
          <t>GRANITE_DISP</t>
        </is>
      </c>
      <c r="G16" t="inlineStr">
        <is>
          <t>Current ME</t>
        </is>
      </c>
      <c r="J16" t="inlineStr">
        <is>
          <t>Next ME</t>
        </is>
      </c>
      <c r="N16" t="inlineStr">
        <is>
          <t>Period</t>
        </is>
      </c>
      <c r="O16" t="inlineStr">
        <is>
          <t>Month-end</t>
        </is>
      </c>
    </row>
    <row r="17">
      <c r="B17" s="2" t="inlineStr">
        <is>
          <t>Current month-end period:</t>
        </is>
      </c>
      <c r="D17" t="inlineStr">
        <is>
          <t>P09</t>
        </is>
      </c>
      <c r="G17" t="inlineStr">
        <is>
          <t>Jan</t>
        </is>
      </c>
      <c r="H17" t="inlineStr">
        <is>
          <t>Actual</t>
        </is>
      </c>
      <c r="J17" t="inlineStr">
        <is>
          <t>Jan</t>
        </is>
      </c>
      <c r="K17" t="inlineStr">
        <is>
          <t>Actual</t>
        </is>
      </c>
      <c r="N17" t="inlineStr">
        <is>
          <t>P01</t>
        </is>
      </c>
    </row>
    <row r="18">
      <c r="B18" s="2" t="inlineStr">
        <is>
          <t>Next month-end period:</t>
        </is>
      </c>
      <c r="D18" t="inlineStr">
        <is>
          <t>P10</t>
        </is>
      </c>
      <c r="G18" t="inlineStr">
        <is>
          <t>Feb</t>
        </is>
      </c>
      <c r="H18" t="inlineStr">
        <is>
          <t>Actual</t>
        </is>
      </c>
      <c r="J18" t="inlineStr">
        <is>
          <t>Feb</t>
        </is>
      </c>
      <c r="K18" t="inlineStr">
        <is>
          <t>Actual</t>
        </is>
      </c>
      <c r="N18" t="inlineStr">
        <is>
          <t>P02</t>
        </is>
      </c>
    </row>
    <row r="19">
      <c r="B19" s="2" t="inlineStr">
        <is>
          <t>Current month-end date:</t>
        </is>
      </c>
      <c r="D19" t="inlineStr">
        <is>
          <t>2026-09-30</t>
        </is>
      </c>
      <c r="G19" t="inlineStr">
        <is>
          <t>Mar</t>
        </is>
      </c>
      <c r="H19" t="inlineStr">
        <is>
          <t>Actual</t>
        </is>
      </c>
      <c r="J19" t="inlineStr">
        <is>
          <t>Mar</t>
        </is>
      </c>
      <c r="K19" t="inlineStr">
        <is>
          <t>Actual</t>
        </is>
      </c>
      <c r="N19" t="inlineStr">
        <is>
          <t>P03</t>
        </is>
      </c>
    </row>
    <row r="20">
      <c r="B20" s="2" t="inlineStr">
        <is>
          <t>Forecast reference for actual</t>
        </is>
      </c>
      <c r="D20" t="inlineStr">
        <is>
          <t>FCAST09</t>
        </is>
      </c>
      <c r="G20" t="inlineStr">
        <is>
          <t>Apr</t>
        </is>
      </c>
      <c r="H20" t="inlineStr">
        <is>
          <t>Actual</t>
        </is>
      </c>
      <c r="J20" t="inlineStr">
        <is>
          <t>Apr</t>
        </is>
      </c>
      <c r="K20" t="inlineStr">
        <is>
          <t>Actual</t>
        </is>
      </c>
      <c r="N20" t="inlineStr">
        <is>
          <t>P04</t>
        </is>
      </c>
    </row>
    <row r="21">
      <c r="B21" s="2" t="inlineStr">
        <is>
          <t>Next month-end date:</t>
        </is>
      </c>
      <c r="D21" t="inlineStr">
        <is>
          <t>2026-10-31</t>
        </is>
      </c>
      <c r="G21" t="inlineStr">
        <is>
          <t>May</t>
        </is>
      </c>
      <c r="H21" t="inlineStr">
        <is>
          <t>Actual</t>
        </is>
      </c>
      <c r="J21" t="inlineStr">
        <is>
          <t>May</t>
        </is>
      </c>
      <c r="K21" t="inlineStr">
        <is>
          <t>Actual</t>
        </is>
      </c>
      <c r="N21" t="inlineStr">
        <is>
          <t>P05</t>
        </is>
      </c>
    </row>
    <row r="22">
      <c r="B22" s="2" t="inlineStr">
        <is>
          <t>Forecast reference for actual</t>
        </is>
      </c>
      <c r="D22" t="inlineStr">
        <is>
          <t>FCAST10</t>
        </is>
      </c>
      <c r="G22" t="inlineStr">
        <is>
          <t>Jun</t>
        </is>
      </c>
      <c r="H22" t="inlineStr">
        <is>
          <t>Actual</t>
        </is>
      </c>
      <c r="J22" t="inlineStr">
        <is>
          <t>Jun</t>
        </is>
      </c>
      <c r="K22" t="inlineStr">
        <is>
          <t>Actual</t>
        </is>
      </c>
      <c r="N22" t="inlineStr">
        <is>
          <t>P06</t>
        </is>
      </c>
    </row>
    <row r="23">
      <c r="G23" t="inlineStr">
        <is>
          <t>Jul</t>
        </is>
      </c>
      <c r="H23" t="inlineStr">
        <is>
          <t>Actual</t>
        </is>
      </c>
      <c r="J23" t="inlineStr">
        <is>
          <t>Jul</t>
        </is>
      </c>
      <c r="K23" t="inlineStr">
        <is>
          <t>Actual</t>
        </is>
      </c>
      <c r="N23" t="inlineStr">
        <is>
          <t>P07</t>
        </is>
      </c>
    </row>
    <row r="24">
      <c r="G24" t="inlineStr">
        <is>
          <t>Aug</t>
        </is>
      </c>
      <c r="H24" t="inlineStr">
        <is>
          <t>Actual</t>
        </is>
      </c>
      <c r="J24" t="inlineStr">
        <is>
          <t>Aug</t>
        </is>
      </c>
      <c r="K24" t="inlineStr">
        <is>
          <t>Actual</t>
        </is>
      </c>
      <c r="N24" t="inlineStr">
        <is>
          <t>P08</t>
        </is>
      </c>
    </row>
    <row r="25">
      <c r="B25" s="2" t="inlineStr">
        <is>
          <t>Current Period Estimate or Retrieve:</t>
        </is>
      </c>
      <c r="D25" t="inlineStr">
        <is>
          <t>Retrieve</t>
        </is>
      </c>
      <c r="G25" t="inlineStr">
        <is>
          <t>Sep</t>
        </is>
      </c>
      <c r="H25" t="inlineStr">
        <is>
          <t>FCAST09</t>
        </is>
      </c>
      <c r="J25" t="inlineStr">
        <is>
          <t>Sep</t>
        </is>
      </c>
      <c r="K25" t="inlineStr">
        <is>
          <t>Actual</t>
        </is>
      </c>
      <c r="N25" t="inlineStr">
        <is>
          <t>P09</t>
        </is>
      </c>
    </row>
    <row r="26">
      <c r="B26" s="2" t="inlineStr">
        <is>
          <t>Reported or Excl ACQ:</t>
        </is>
      </c>
      <c r="D26" t="inlineStr">
        <is>
          <t>Reported</t>
        </is>
      </c>
      <c r="G26" t="inlineStr">
        <is>
          <t>Oct</t>
        </is>
      </c>
      <c r="H26" t="inlineStr">
        <is>
          <t>FCAST09</t>
        </is>
      </c>
      <c r="J26" t="inlineStr">
        <is>
          <t>Oct</t>
        </is>
      </c>
      <c r="K26" t="inlineStr">
        <is>
          <t>FCAST10</t>
        </is>
      </c>
      <c r="N26" t="inlineStr">
        <is>
          <t>P10</t>
        </is>
      </c>
    </row>
    <row r="27">
      <c r="G27" t="inlineStr">
        <is>
          <t>Nov</t>
        </is>
      </c>
      <c r="H27" t="inlineStr">
        <is>
          <t>FCAST09</t>
        </is>
      </c>
      <c r="J27" t="inlineStr">
        <is>
          <t>Nov</t>
        </is>
      </c>
      <c r="K27" t="inlineStr">
        <is>
          <t>FCAST10</t>
        </is>
      </c>
      <c r="N27" t="inlineStr">
        <is>
          <t>P11</t>
        </is>
      </c>
    </row>
    <row r="28">
      <c r="G28" t="inlineStr">
        <is>
          <t>Dec</t>
        </is>
      </c>
      <c r="H28" t="inlineStr">
        <is>
          <t>FCAST09</t>
        </is>
      </c>
      <c r="J28" t="inlineStr">
        <is>
          <t>Dec</t>
        </is>
      </c>
      <c r="K28" t="inlineStr">
        <is>
          <t>FCAST10</t>
        </is>
      </c>
      <c r="N28" t="inlineStr">
        <is>
          <t>P12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8"/>
  <sheetViews>
    <sheetView showGridLines="0" workbookViewId="0">
      <selection activeCell="A1" sqref="A1"/>
    </sheetView>
  </sheetViews>
  <sheetFormatPr baseColWidth="8" defaultRowHeight="15"/>
  <cols>
    <col width="120" customWidth="1" min="2" max="2"/>
  </cols>
  <sheetData>
    <row r="1">
      <c r="B1" s="3" t="inlineStr">
        <is>
          <t>Granite Gloves - FCAST10 forecast file - instructions</t>
        </is>
      </c>
    </row>
    <row r="3">
      <c r="B3" s="4" t="inlineStr">
        <is>
          <t>(1) Forecast</t>
        </is>
      </c>
    </row>
    <row r="4">
      <c r="B4" s="5" t="inlineStr">
        <is>
          <t>1 - On the {HFM Defaults} tab, confirm the entity name, the current month-end period and the next month-end period. Months that are closed show Actual; the month about to close shows the estimate.</t>
        </is>
      </c>
    </row>
    <row r="5">
      <c r="B5" s="5" t="inlineStr">
        <is>
          <t>2 - Refresh the workbook so closed months show Actuals and the remaining months show the previous forecast (FCAST09).</t>
        </is>
      </c>
    </row>
    <row r="6">
      <c r="B6" s="5" t="inlineStr">
        <is>
          <t>3 - FX changes for the current month and the forecast months are estimated automatically (see the Fx Changes block on the Forecast tab). Do not include FX in your operational adjustments.</t>
        </is>
      </c>
    </row>
    <row r="7">
      <c r="B7" s="5" t="inlineStr">
        <is>
          <t>4 - On the Adjustments tab, enter your best estimate of the operational change vs FCAST09 for the month about to close and any future months (yellow cells).</t>
        </is>
      </c>
    </row>
    <row r="8">
      <c r="B8" s="5" t="inlineStr">
        <is>
          <t>5 - Send the updated forecast file to Division Finance by end of day Friday before month-end close, unless told otherwise.</t>
        </is>
      </c>
    </row>
    <row r="9">
      <c r="B9" s="4" t="inlineStr">
        <is>
          <t>Note - Make every forecast change on the Adjustments tab. Do not overwrite the Forecast tab; it is formula driven.</t>
        </is>
      </c>
    </row>
    <row r="10">
      <c r="B10" s="5" t="inlineStr">
        <is>
          <t>Section 1: adjustments tied to individual events (new customer, changed contract, lost customer). Give every line a clear description - it is the only place the story of the change is captured.</t>
        </is>
      </c>
    </row>
    <row r="11">
      <c r="B11" s="5" t="inlineStr">
        <is>
          <t>Section 2: general changes to Gross Margin % or Op Costs % of sales that are not tied to one event (for example employee turnover).</t>
        </is>
      </c>
    </row>
    <row r="12">
      <c r="B12" s="5" t="inlineStr">
        <is>
          <t>Section 3: working capital adjustments.</t>
        </is>
      </c>
    </row>
    <row r="13">
      <c r="B13" s="5" t="inlineStr">
        <is>
          <t>The Forecast tab shows Actuals for closed months plus FCAST09 for the remaining months, adds FX and your adjustments, and produces FCAST10. A variance section on the Forecast tab helps you sense-check the result.</t>
        </is>
      </c>
    </row>
    <row r="14">
      <c r="B14" s="4" t="inlineStr">
        <is>
          <t>(2) Risks and Opportunities</t>
        </is>
      </c>
    </row>
    <row r="15">
      <c r="B15" s="5" t="inlineStr">
        <is>
          <t>1 - On the R&amp;Os tab, list up to three risks and opportunities that are NOT in the forecast, with the PBITA impact and likelihood (Low 25%, Medium 50%, High 75%).</t>
        </is>
      </c>
    </row>
    <row r="16">
      <c r="B16" s="5" t="inlineStr">
        <is>
          <t>2 - Send the updated R&amp;Os with the forecast file.</t>
        </is>
      </c>
    </row>
    <row r="18">
      <c r="B18" s="1" t="inlineStr">
        <is>
          <t>TRAINING DATA ONLY - Zava Safety and all business names and numbers are fictitious. Layout mirrors a typical HFM / Cognos reporting pack.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Current ME</t>
        </is>
      </c>
      <c r="B1" t="inlineStr">
        <is>
          <t>P09</t>
        </is>
      </c>
      <c r="D1" s="6" t="inlineStr">
        <is>
          <t>Granite Gloves</t>
        </is>
      </c>
    </row>
    <row r="2">
      <c r="A2" t="inlineStr">
        <is>
          <t>Next ME</t>
        </is>
      </c>
      <c r="B2" t="inlineStr">
        <is>
          <t>P10</t>
        </is>
      </c>
      <c r="D2" s="1" t="inlineStr">
        <is>
          <t>TRAINING DATA ONLY - Zava Safety and all business names and numbers are fictitious. Layout mirrors a typical HFM / Cognos reporting pack.</t>
        </is>
      </c>
    </row>
    <row r="4">
      <c r="C4" s="7" t="inlineStr">
        <is>
          <t>FCAST10</t>
        </is>
      </c>
    </row>
    <row r="5">
      <c r="C5" s="2" t="inlineStr">
        <is>
          <t>Through Sep</t>
        </is>
      </c>
      <c r="F5" s="2" t="inlineStr">
        <is>
          <t>Rest of Year</t>
        </is>
      </c>
      <c r="I5" s="2" t="inlineStr">
        <is>
          <t>Full Year</t>
        </is>
      </c>
    </row>
    <row r="6" ht="30" customHeight="1">
      <c r="B6" s="2" t="inlineStr">
        <is>
          <t>Favorable / (Unfavorable)</t>
        </is>
      </c>
      <c r="C6" s="8" t="inlineStr">
        <is>
          <t>Actual vs. FCAST09</t>
        </is>
      </c>
      <c r="D6" s="8" t="inlineStr">
        <is>
          <t>Actual vs. Bud</t>
        </is>
      </c>
      <c r="E6" s="8" t="inlineStr">
        <is>
          <t>Actual vs. PY</t>
        </is>
      </c>
      <c r="F6" s="8" t="inlineStr">
        <is>
          <t>FCAST10 vs. FCAST09</t>
        </is>
      </c>
      <c r="G6" s="8" t="inlineStr">
        <is>
          <t>FCAST10 vs. Bud</t>
        </is>
      </c>
      <c r="H6" s="8" t="inlineStr">
        <is>
          <t>FCAST10 vs. PY</t>
        </is>
      </c>
      <c r="I6" s="8" t="inlineStr">
        <is>
          <t>FCAST10 vs. FCAST09</t>
        </is>
      </c>
      <c r="J6" s="8" t="inlineStr">
        <is>
          <t>FCAST10 vs. Bud</t>
        </is>
      </c>
      <c r="K6" s="8" t="inlineStr">
        <is>
          <t>FCAST10 vs. PY</t>
        </is>
      </c>
    </row>
    <row r="8">
      <c r="B8" s="2" t="inlineStr">
        <is>
          <t>Sales</t>
        </is>
      </c>
      <c r="C8" s="9">
        <f>'Forecast'!BU28</f>
        <v>-430.0</v>
      </c>
      <c r="D8" s="9">
        <f>'Forecast'!BV28</f>
        <v>-2792.4000000000015</v>
      </c>
      <c r="E8" s="9">
        <f>'Forecast'!BW28</f>
        <v>-1464.4000000000015</v>
      </c>
      <c r="F8" s="9">
        <f>'Forecast'!BY28</f>
        <v>-750.0</v>
      </c>
      <c r="G8" s="9">
        <f>'Forecast'!BZ28</f>
        <v>-1450.9000000000015</v>
      </c>
      <c r="H8" s="9">
        <f>'Forecast'!CA28</f>
        <v>-1011.1999999999989</v>
      </c>
      <c r="I8" s="9">
        <f>'Forecast'!CC28</f>
        <v>-1180.0</v>
      </c>
      <c r="J8" s="9">
        <f>'Forecast'!CD28</f>
        <v>-4243.300000000003</v>
      </c>
      <c r="K8" s="9">
        <f>'Forecast'!CE28</f>
        <v>-2475.5999999999985</v>
      </c>
    </row>
    <row r="10">
      <c r="B10" s="2" t="inlineStr">
        <is>
          <t>Gross Margin</t>
        </is>
      </c>
      <c r="C10" s="9">
        <f>'Forecast'!BU29</f>
        <v>-265.0</v>
      </c>
      <c r="D10" s="9">
        <f>'Forecast'!BV29</f>
        <v>-1639.9000000000015</v>
      </c>
      <c r="E10" s="9">
        <f>'Forecast'!BW29</f>
        <v>-1517.300000000001</v>
      </c>
      <c r="F10" s="9">
        <f>'Forecast'!BY29</f>
        <v>-260.0</v>
      </c>
      <c r="G10" s="9">
        <f>'Forecast'!BZ29</f>
        <v>-712.2000000000007</v>
      </c>
      <c r="H10" s="9">
        <f>'Forecast'!CA29</f>
        <v>-668.9000000000005</v>
      </c>
      <c r="I10" s="9">
        <f>'Forecast'!CC29</f>
        <v>-525.0</v>
      </c>
      <c r="J10" s="9">
        <f>'Forecast'!CD29</f>
        <v>-2352.100000000002</v>
      </c>
      <c r="K10" s="9">
        <f>'Forecast'!CE29</f>
        <v>-2186.2000000000044</v>
      </c>
    </row>
    <row r="12">
      <c r="B12" s="2" t="inlineStr">
        <is>
          <t>Op Costs</t>
        </is>
      </c>
      <c r="C12" s="9">
        <f>'Forecast'!BU30</f>
        <v>42.0</v>
      </c>
      <c r="D12" s="9">
        <f>'Forecast'!BV30</f>
        <v>254.5</v>
      </c>
      <c r="E12" s="9">
        <f>'Forecast'!BW30</f>
        <v>48.399999999999636</v>
      </c>
      <c r="F12" s="9">
        <f>'Forecast'!BY30</f>
        <v>132.0</v>
      </c>
      <c r="G12" s="9">
        <f>'Forecast'!BZ30</f>
        <v>219.70000000000027</v>
      </c>
      <c r="H12" s="9">
        <f>'Forecast'!CA30</f>
        <v>161.40000000000055</v>
      </c>
      <c r="I12" s="9">
        <f>'Forecast'!CC30</f>
        <v>174.0</v>
      </c>
      <c r="J12" s="9">
        <f>'Forecast'!CD30</f>
        <v>474.2000000000007</v>
      </c>
      <c r="K12" s="9">
        <f>'Forecast'!CE30</f>
        <v>209.79999999999927</v>
      </c>
    </row>
    <row r="14">
      <c r="B14" s="2" t="inlineStr">
        <is>
          <t>PBITA</t>
        </is>
      </c>
      <c r="C14" s="9">
        <f>'Forecast'!BU31</f>
        <v>-223.0</v>
      </c>
      <c r="D14" s="9">
        <f>'Forecast'!BV31</f>
        <v>-1385.4000000000005</v>
      </c>
      <c r="E14" s="9">
        <f>'Forecast'!BW31</f>
        <v>-1468.8999999999996</v>
      </c>
      <c r="F14" s="9">
        <f>'Forecast'!BY31</f>
        <v>-128.0</v>
      </c>
      <c r="G14" s="9">
        <f>'Forecast'!BZ31</f>
        <v>-492.4999999999998</v>
      </c>
      <c r="H14" s="9">
        <f>'Forecast'!CA31</f>
        <v>-507.49999999999955</v>
      </c>
      <c r="I14" s="9">
        <f>'Forecast'!CC31</f>
        <v>-351.0</v>
      </c>
      <c r="J14" s="9">
        <f>'Forecast'!CD31</f>
        <v>-1877.9000000000005</v>
      </c>
      <c r="K14" s="9">
        <f>'Forecast'!CE31</f>
        <v>-1976.3999999999996</v>
      </c>
    </row>
    <row r="17">
      <c r="B17" s="7" t="inlineStr">
        <is>
          <t>Commentary (business controller):</t>
        </is>
      </c>
    </row>
    <row r="18">
      <c r="B18" s="10" t="n"/>
    </row>
    <row r="19">
      <c r="B19" s="10" t="n"/>
    </row>
    <row r="20">
      <c r="B20" s="10" t="n"/>
    </row>
    <row r="21">
      <c r="B21" s="10" t="n"/>
    </row>
    <row r="22">
      <c r="B22" s="10" t="n"/>
    </row>
    <row r="23">
      <c r="B23" s="10" t="n"/>
    </row>
  </sheetData>
  <mergeCells count="6">
    <mergeCell ref="B23:K23"/>
    <mergeCell ref="B22:K22"/>
    <mergeCell ref="B18:K18"/>
    <mergeCell ref="B21:K21"/>
    <mergeCell ref="B20:K20"/>
    <mergeCell ref="B19:K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t="inlineStr">
        <is>
          <t>Index</t>
        </is>
      </c>
      <c r="C1" t="n">
        <v>21</v>
      </c>
      <c r="D1" t="n">
        <v>20</v>
      </c>
      <c r="E1" t="n">
        <v>22</v>
      </c>
      <c r="F1" t="n">
        <v>22</v>
      </c>
      <c r="G1" t="n">
        <v>20</v>
      </c>
      <c r="H1" t="n">
        <v>22</v>
      </c>
      <c r="I1" t="n">
        <v>22</v>
      </c>
      <c r="J1" t="n">
        <v>21</v>
      </c>
      <c r="K1" t="n">
        <v>21</v>
      </c>
      <c r="L1" t="n">
        <v>22</v>
      </c>
      <c r="M1" t="n">
        <v>19</v>
      </c>
      <c r="N1" t="n">
        <v>22</v>
      </c>
      <c r="O1">
        <f>SUM(C1:N1)</f>
        <v>254.0</v>
      </c>
    </row>
    <row r="2">
      <c r="B2" s="7" t="inlineStr">
        <is>
          <t>Section 1: Adjustments tied to individual events (i.e., new customer, modified sales contract, new/lost customer):</t>
        </is>
      </c>
    </row>
    <row r="3">
      <c r="B3" s="1" t="inlineStr">
        <is>
          <t>TRAINING DATA ONLY - Zava Safety and all business names and numbers are fictitious. Layout mirrors a typical HFM / Cognos reporting pack.</t>
        </is>
      </c>
    </row>
    <row r="4">
      <c r="C4" s="8" t="inlineStr">
        <is>
          <t>January</t>
        </is>
      </c>
      <c r="D4" s="8" t="inlineStr">
        <is>
          <t>February</t>
        </is>
      </c>
      <c r="E4" s="8" t="inlineStr">
        <is>
          <t>March</t>
        </is>
      </c>
      <c r="F4" s="8" t="inlineStr">
        <is>
          <t>April</t>
        </is>
      </c>
      <c r="G4" s="8" t="inlineStr">
        <is>
          <t>May</t>
        </is>
      </c>
      <c r="H4" s="8" t="inlineStr">
        <is>
          <t>June</t>
        </is>
      </c>
      <c r="I4" s="8" t="inlineStr">
        <is>
          <t>July</t>
        </is>
      </c>
      <c r="J4" s="8" t="inlineStr">
        <is>
          <t>August</t>
        </is>
      </c>
      <c r="K4" s="8" t="inlineStr">
        <is>
          <t>September</t>
        </is>
      </c>
      <c r="L4" s="8" t="inlineStr">
        <is>
          <t>October</t>
        </is>
      </c>
      <c r="M4" s="8" t="inlineStr">
        <is>
          <t>November</t>
        </is>
      </c>
      <c r="N4" s="8" t="inlineStr">
        <is>
          <t>December</t>
        </is>
      </c>
      <c r="O4" s="8" t="inlineStr">
        <is>
          <t>Total Adj</t>
        </is>
      </c>
    </row>
    <row r="5">
      <c r="B5" s="2" t="inlineStr">
        <is>
          <t>Sales</t>
        </is>
      </c>
    </row>
    <row r="6">
      <c r="B6" t="inlineStr">
        <is>
          <t>Backorders due to inventory availability</t>
        </is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11" t="n">
        <v>-250</v>
      </c>
      <c r="L6" s="11" t="n">
        <v>-250</v>
      </c>
      <c r="M6" s="11" t="n">
        <v>-200</v>
      </c>
      <c r="N6" s="11" t="n">
        <v>0</v>
      </c>
      <c r="O6" s="9">
        <f>SUM(C6:N6)</f>
        <v>-700.0</v>
      </c>
    </row>
    <row r="7">
      <c r="B7" t="inlineStr">
        <is>
          <t>Rebate true-up - buying group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11" t="n">
        <v>-180</v>
      </c>
      <c r="L7" s="11" t="n">
        <v>0</v>
      </c>
      <c r="M7" s="11" t="n">
        <v>0</v>
      </c>
      <c r="N7" s="11" t="n">
        <v>0</v>
      </c>
      <c r="O7" s="9">
        <f>SUM(C7:N7)</f>
        <v>-180.0</v>
      </c>
    </row>
    <row r="8">
      <c r="B8" t="inlineStr">
        <is>
          <t>Backorders due to inventory availability</t>
        </is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11" t="n">
        <v>0</v>
      </c>
      <c r="L8" s="11" t="n">
        <v>0</v>
      </c>
      <c r="M8" s="11" t="n">
        <v>0</v>
      </c>
      <c r="N8" s="11" t="n">
        <v>-300</v>
      </c>
      <c r="O8" s="9">
        <f>SUM(C8:N8)</f>
        <v>-300.0</v>
      </c>
    </row>
    <row r="9">
      <c r="B9" t="inlineStr">
        <is>
          <t>Insert Adj. 4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9">
        <f>SUM(C9:N9)</f>
        <v>0.0</v>
      </c>
    </row>
    <row r="10">
      <c r="B10" t="inlineStr">
        <is>
          <t>Insert Adj. 5</t>
        </is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9">
        <f>SUM(C10:N10)</f>
        <v>0.0</v>
      </c>
    </row>
    <row r="11">
      <c r="B11" t="inlineStr">
        <is>
          <t>Insert Adj. 6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9">
        <f>SUM(C11:N11)</f>
        <v>0.0</v>
      </c>
    </row>
    <row r="12">
      <c r="B12" t="inlineStr">
        <is>
          <t>Insert Adj. 7</t>
        </is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9">
        <f>SUM(C12:N12)</f>
        <v>0.0</v>
      </c>
    </row>
    <row r="13">
      <c r="B13" t="inlineStr">
        <is>
          <t>Insert Adj. 8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9">
        <f>SUM(C13:N13)</f>
        <v>0.0</v>
      </c>
    </row>
    <row r="14">
      <c r="B14" s="2" t="inlineStr">
        <is>
          <t>Total Sales</t>
        </is>
      </c>
      <c r="C14" s="12">
        <f>SUM(C6:C13)</f>
        <v>0.0</v>
      </c>
      <c r="D14" s="12">
        <f>SUM(D6:D13)</f>
        <v>0.0</v>
      </c>
      <c r="E14" s="12">
        <f>SUM(E6:E13)</f>
        <v>0.0</v>
      </c>
      <c r="F14" s="12">
        <f>SUM(F6:F13)</f>
        <v>0.0</v>
      </c>
      <c r="G14" s="12">
        <f>SUM(G6:G13)</f>
        <v>0.0</v>
      </c>
      <c r="H14" s="12">
        <f>SUM(H6:H13)</f>
        <v>0.0</v>
      </c>
      <c r="I14" s="12">
        <f>SUM(I6:I13)</f>
        <v>0.0</v>
      </c>
      <c r="J14" s="12">
        <f>SUM(J6:J13)</f>
        <v>0.0</v>
      </c>
      <c r="K14" s="12">
        <f>SUM(K6:K13)</f>
        <v>-430.0</v>
      </c>
      <c r="L14" s="12">
        <f>SUM(L6:L13)</f>
        <v>-250.0</v>
      </c>
      <c r="M14" s="12">
        <f>SUM(M6:M13)</f>
        <v>-200.0</v>
      </c>
      <c r="N14" s="12">
        <f>SUM(N6:N13)</f>
        <v>-300.0</v>
      </c>
      <c r="O14" s="12">
        <f>SUM(O6:O13)</f>
        <v>-1180.0</v>
      </c>
    </row>
    <row r="16">
      <c r="B16" s="2" t="inlineStr">
        <is>
          <t>Gross Margin (%)</t>
        </is>
      </c>
    </row>
    <row r="17">
      <c r="B17" t="str">
        <f>B6</f>
        <v>Backorders due to inventory availability</v>
      </c>
      <c r="C17" s="13">
        <f>IFERROR(C28/C6,0)</f>
        <v>0.0</v>
      </c>
      <c r="D17" s="13">
        <f>IFERROR(D28/D6,0)</f>
        <v>0.0</v>
      </c>
      <c r="E17" s="13">
        <f>IFERROR(E28/E6,0)</f>
        <v>0.0</v>
      </c>
      <c r="F17" s="13">
        <f>IFERROR(F28/F6,0)</f>
        <v>0.0</v>
      </c>
      <c r="G17" s="13">
        <f>IFERROR(G28/G6,0)</f>
        <v>0.0</v>
      </c>
      <c r="H17" s="13">
        <f>IFERROR(H28/H6,0)</f>
        <v>0.0</v>
      </c>
      <c r="I17" s="13">
        <f>IFERROR(I28/I6,0)</f>
        <v>0.0</v>
      </c>
      <c r="J17" s="13">
        <f>IFERROR(J28/J6,0)</f>
        <v>0.0</v>
      </c>
      <c r="K17" s="13">
        <f>IFERROR(K28/K6,0)</f>
        <v>0.3</v>
      </c>
      <c r="L17" s="13">
        <f>IFERROR(L28/L6,0)</f>
        <v>0.3</v>
      </c>
      <c r="M17" s="13">
        <f>IFERROR(M28/M6,0)</f>
        <v>0.3</v>
      </c>
      <c r="N17" s="13">
        <f>IFERROR(N28/N6,0)</f>
        <v>0.0</v>
      </c>
      <c r="O17" s="13">
        <f>IFERROR(O28/O6,0)</f>
        <v>0.3</v>
      </c>
    </row>
    <row r="18">
      <c r="B18" t="str">
        <f>B7</f>
        <v>Rebate true-up - buying group</v>
      </c>
      <c r="C18" s="13">
        <f>IFERROR(C29/C7,0)</f>
        <v>0.0</v>
      </c>
      <c r="D18" s="13">
        <f>IFERROR(D29/D7,0)</f>
        <v>0.0</v>
      </c>
      <c r="E18" s="13">
        <f>IFERROR(E29/E7,0)</f>
        <v>0.0</v>
      </c>
      <c r="F18" s="13">
        <f>IFERROR(F29/F7,0)</f>
        <v>0.0</v>
      </c>
      <c r="G18" s="13">
        <f>IFERROR(G29/G7,0)</f>
        <v>0.0</v>
      </c>
      <c r="H18" s="13">
        <f>IFERROR(H29/H7,0)</f>
        <v>0.0</v>
      </c>
      <c r="I18" s="13">
        <f>IFERROR(I29/I7,0)</f>
        <v>0.0</v>
      </c>
      <c r="J18" s="13">
        <f>IFERROR(J29/J7,0)</f>
        <v>0.0</v>
      </c>
      <c r="K18" s="13">
        <f>IFERROR(K29/K7,0)</f>
        <v>1.0</v>
      </c>
      <c r="L18" s="13">
        <f>IFERROR(L29/L7,0)</f>
        <v>0.0</v>
      </c>
      <c r="M18" s="13">
        <f>IFERROR(M29/M7,0)</f>
        <v>0.0</v>
      </c>
      <c r="N18" s="13">
        <f>IFERROR(N29/N7,0)</f>
        <v>0.0</v>
      </c>
      <c r="O18" s="13">
        <f>IFERROR(O29/O7,0)</f>
        <v>1.0</v>
      </c>
    </row>
    <row r="19">
      <c r="B19" t="str">
        <f>B8</f>
        <v>Backorders due to inventory availability</v>
      </c>
      <c r="C19" s="13">
        <f>IFERROR(C30/C8,0)</f>
        <v>0.0</v>
      </c>
      <c r="D19" s="13">
        <f>IFERROR(D30/D8,0)</f>
        <v>0.0</v>
      </c>
      <c r="E19" s="13">
        <f>IFERROR(E30/E8,0)</f>
        <v>0.0</v>
      </c>
      <c r="F19" s="13">
        <f>IFERROR(F30/F8,0)</f>
        <v>0.0</v>
      </c>
      <c r="G19" s="13">
        <f>IFERROR(G30/G8,0)</f>
        <v>0.0</v>
      </c>
      <c r="H19" s="13">
        <f>IFERROR(H30/H8,0)</f>
        <v>0.0</v>
      </c>
      <c r="I19" s="13">
        <f>IFERROR(I30/I8,0)</f>
        <v>0.0</v>
      </c>
      <c r="J19" s="13">
        <f>IFERROR(J30/J8,0)</f>
        <v>0.0</v>
      </c>
      <c r="K19" s="13">
        <f>IFERROR(K30/K8,0)</f>
        <v>0.0</v>
      </c>
      <c r="L19" s="13">
        <f>IFERROR(L30/L8,0)</f>
        <v>0.0</v>
      </c>
      <c r="M19" s="13">
        <f>IFERROR(M30/M8,0)</f>
        <v>0.0</v>
      </c>
      <c r="N19" s="13">
        <f>IFERROR(N30/N8,0)</f>
        <v>0.06666666666666667</v>
      </c>
      <c r="O19" s="13">
        <f>IFERROR(O30/O8,0)</f>
        <v>0.3</v>
      </c>
    </row>
    <row r="20">
      <c r="B20" t="str">
        <f>B9</f>
        <v>Insert Adj. 4</v>
      </c>
      <c r="C20" s="13">
        <f>IFERROR(C31/C9,0)</f>
        <v>0.0</v>
      </c>
      <c r="D20" s="13">
        <f>IFERROR(D31/D9,0)</f>
        <v>0.0</v>
      </c>
      <c r="E20" s="13">
        <f>IFERROR(E31/E9,0)</f>
        <v>0.0</v>
      </c>
      <c r="F20" s="13">
        <f>IFERROR(F31/F9,0)</f>
        <v>0.0</v>
      </c>
      <c r="G20" s="13">
        <f>IFERROR(G31/G9,0)</f>
        <v>0.0</v>
      </c>
      <c r="H20" s="13">
        <f>IFERROR(H31/H9,0)</f>
        <v>0.0</v>
      </c>
      <c r="I20" s="13">
        <f>IFERROR(I31/I9,0)</f>
        <v>0.0</v>
      </c>
      <c r="J20" s="13">
        <f>IFERROR(J31/J9,0)</f>
        <v>0.0</v>
      </c>
      <c r="K20" s="13">
        <f>IFERROR(K31/K9,0)</f>
        <v>0.0</v>
      </c>
      <c r="L20" s="13">
        <f>IFERROR(L31/L9,0)</f>
        <v>0.0</v>
      </c>
      <c r="M20" s="13">
        <f>IFERROR(M31/M9,0)</f>
        <v>0.0</v>
      </c>
      <c r="N20" s="13">
        <f>IFERROR(N31/N9,0)</f>
        <v>0.0</v>
      </c>
      <c r="O20" s="13">
        <f>IFERROR(O31/O9,0)</f>
        <v>0.0</v>
      </c>
    </row>
    <row r="21">
      <c r="B21" t="str">
        <f>B10</f>
        <v>Insert Adj. 5</v>
      </c>
      <c r="C21" s="13">
        <f>IFERROR(C32/C10,0)</f>
        <v>0.0</v>
      </c>
      <c r="D21" s="13">
        <f>IFERROR(D32/D10,0)</f>
        <v>0.0</v>
      </c>
      <c r="E21" s="13">
        <f>IFERROR(E32/E10,0)</f>
        <v>0.0</v>
      </c>
      <c r="F21" s="13">
        <f>IFERROR(F32/F10,0)</f>
        <v>0.0</v>
      </c>
      <c r="G21" s="13">
        <f>IFERROR(G32/G10,0)</f>
        <v>0.0</v>
      </c>
      <c r="H21" s="13">
        <f>IFERROR(H32/H10,0)</f>
        <v>0.0</v>
      </c>
      <c r="I21" s="13">
        <f>IFERROR(I32/I10,0)</f>
        <v>0.0</v>
      </c>
      <c r="J21" s="13">
        <f>IFERROR(J32/J10,0)</f>
        <v>0.0</v>
      </c>
      <c r="K21" s="13">
        <f>IFERROR(K32/K10,0)</f>
        <v>0.0</v>
      </c>
      <c r="L21" s="13">
        <f>IFERROR(L32/L10,0)</f>
        <v>0.0</v>
      </c>
      <c r="M21" s="13">
        <f>IFERROR(M32/M10,0)</f>
        <v>0.0</v>
      </c>
      <c r="N21" s="13">
        <f>IFERROR(N32/N10,0)</f>
        <v>0.0</v>
      </c>
      <c r="O21" s="13">
        <f>IFERROR(O32/O10,0)</f>
        <v>0.0</v>
      </c>
    </row>
    <row r="22">
      <c r="B22" t="str">
        <f>B11</f>
        <v>Insert Adj. 6</v>
      </c>
      <c r="C22" s="13">
        <f>IFERROR(C33/C11,0)</f>
        <v>0.0</v>
      </c>
      <c r="D22" s="13">
        <f>IFERROR(D33/D11,0)</f>
        <v>0.0</v>
      </c>
      <c r="E22" s="13">
        <f>IFERROR(E33/E11,0)</f>
        <v>0.0</v>
      </c>
      <c r="F22" s="13">
        <f>IFERROR(F33/F11,0)</f>
        <v>0.0</v>
      </c>
      <c r="G22" s="13">
        <f>IFERROR(G33/G11,0)</f>
        <v>0.0</v>
      </c>
      <c r="H22" s="13">
        <f>IFERROR(H33/H11,0)</f>
        <v>0.0</v>
      </c>
      <c r="I22" s="13">
        <f>IFERROR(I33/I11,0)</f>
        <v>0.0</v>
      </c>
      <c r="J22" s="13">
        <f>IFERROR(J33/J11,0)</f>
        <v>0.0</v>
      </c>
      <c r="K22" s="13">
        <f>IFERROR(K33/K11,0)</f>
        <v>0.0</v>
      </c>
      <c r="L22" s="13">
        <f>IFERROR(L33/L11,0)</f>
        <v>0.0</v>
      </c>
      <c r="M22" s="13">
        <f>IFERROR(M33/M11,0)</f>
        <v>0.0</v>
      </c>
      <c r="N22" s="13">
        <f>IFERROR(N33/N11,0)</f>
        <v>0.0</v>
      </c>
      <c r="O22" s="13">
        <f>IFERROR(O33/O11,0)</f>
        <v>0.0</v>
      </c>
    </row>
    <row r="23">
      <c r="B23" t="str">
        <f>B12</f>
        <v>Insert Adj. 7</v>
      </c>
      <c r="C23" s="13">
        <f>IFERROR(C34/C12,0)</f>
        <v>0.0</v>
      </c>
      <c r="D23" s="13">
        <f>IFERROR(D34/D12,0)</f>
        <v>0.0</v>
      </c>
      <c r="E23" s="13">
        <f>IFERROR(E34/E12,0)</f>
        <v>0.0</v>
      </c>
      <c r="F23" s="13">
        <f>IFERROR(F34/F12,0)</f>
        <v>0.0</v>
      </c>
      <c r="G23" s="13">
        <f>IFERROR(G34/G12,0)</f>
        <v>0.0</v>
      </c>
      <c r="H23" s="13">
        <f>IFERROR(H34/H12,0)</f>
        <v>0.0</v>
      </c>
      <c r="I23" s="13">
        <f>IFERROR(I34/I12,0)</f>
        <v>0.0</v>
      </c>
      <c r="J23" s="13">
        <f>IFERROR(J34/J12,0)</f>
        <v>0.0</v>
      </c>
      <c r="K23" s="13">
        <f>IFERROR(K34/K12,0)</f>
        <v>0.0</v>
      </c>
      <c r="L23" s="13">
        <f>IFERROR(L34/L12,0)</f>
        <v>0.0</v>
      </c>
      <c r="M23" s="13">
        <f>IFERROR(M34/M12,0)</f>
        <v>0.0</v>
      </c>
      <c r="N23" s="13">
        <f>IFERROR(N34/N12,0)</f>
        <v>0.0</v>
      </c>
      <c r="O23" s="13">
        <f>IFERROR(O34/O12,0)</f>
        <v>0.0</v>
      </c>
    </row>
    <row r="24">
      <c r="B24" t="str">
        <f>B13</f>
        <v>Insert Adj. 8</v>
      </c>
      <c r="C24" s="13">
        <f>IFERROR(C35/C13,0)</f>
        <v>0.0</v>
      </c>
      <c r="D24" s="13">
        <f>IFERROR(D35/D13,0)</f>
        <v>0.0</v>
      </c>
      <c r="E24" s="13">
        <f>IFERROR(E35/E13,0)</f>
        <v>0.0</v>
      </c>
      <c r="F24" s="13">
        <f>IFERROR(F35/F13,0)</f>
        <v>0.0</v>
      </c>
      <c r="G24" s="13">
        <f>IFERROR(G35/G13,0)</f>
        <v>0.0</v>
      </c>
      <c r="H24" s="13">
        <f>IFERROR(H35/H13,0)</f>
        <v>0.0</v>
      </c>
      <c r="I24" s="13">
        <f>IFERROR(I35/I13,0)</f>
        <v>0.0</v>
      </c>
      <c r="J24" s="13">
        <f>IFERROR(J35/J13,0)</f>
        <v>0.0</v>
      </c>
      <c r="K24" s="13">
        <f>IFERROR(K35/K13,0)</f>
        <v>0.0</v>
      </c>
      <c r="L24" s="13">
        <f>IFERROR(L35/L13,0)</f>
        <v>0.0</v>
      </c>
      <c r="M24" s="13">
        <f>IFERROR(M35/M13,0)</f>
        <v>0.0</v>
      </c>
      <c r="N24" s="13">
        <f>IFERROR(N35/N13,0)</f>
        <v>0.0</v>
      </c>
      <c r="O24" s="13">
        <f>IFERROR(O35/O13,0)</f>
        <v>0.0</v>
      </c>
    </row>
    <row r="25">
      <c r="B25" s="2" t="inlineStr">
        <is>
          <t>Total Gross Margin (%)</t>
        </is>
      </c>
      <c r="C25" s="14">
        <f>IFERROR(C36/C14,0)</f>
        <v>0.0</v>
      </c>
      <c r="D25" s="14">
        <f>IFERROR(D36/D14,0)</f>
        <v>0.0</v>
      </c>
      <c r="E25" s="14">
        <f>IFERROR(E36/E14,0)</f>
        <v>0.0</v>
      </c>
      <c r="F25" s="14">
        <f>IFERROR(F36/F14,0)</f>
        <v>0.0</v>
      </c>
      <c r="G25" s="14">
        <f>IFERROR(G36/G14,0)</f>
        <v>0.0</v>
      </c>
      <c r="H25" s="14">
        <f>IFERROR(H36/H14,0)</f>
        <v>0.0</v>
      </c>
      <c r="I25" s="14">
        <f>IFERROR(I36/I14,0)</f>
        <v>0.0</v>
      </c>
      <c r="J25" s="14">
        <f>IFERROR(J36/J14,0)</f>
        <v>0.0</v>
      </c>
      <c r="K25" s="14">
        <f>IFERROR(K36/K14,0)</f>
        <v>0.6162790697674418</v>
      </c>
      <c r="L25" s="14">
        <f>IFERROR(L36/L14,0)</f>
        <v>0.508</v>
      </c>
      <c r="M25" s="14">
        <f>IFERROR(M36/M14,0)</f>
        <v>0.51</v>
      </c>
      <c r="N25" s="14">
        <f>IFERROR(N36/N14,0)</f>
        <v>0.10333333333333333</v>
      </c>
      <c r="O25" s="14">
        <f>IFERROR(O36/O14,0)</f>
        <v>0.4449152542372881</v>
      </c>
    </row>
    <row r="27">
      <c r="B27" s="2" t="inlineStr">
        <is>
          <t>Gross Margin ($)</t>
        </is>
      </c>
    </row>
    <row r="28">
      <c r="B28" t="inlineStr">
        <is>
          <t>Backorders due to inventory availability</t>
        </is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11" t="n">
        <v>-75</v>
      </c>
      <c r="L28" s="11" t="n">
        <v>-75</v>
      </c>
      <c r="M28" s="11" t="n">
        <v>-60</v>
      </c>
      <c r="N28" s="11" t="n">
        <v>0</v>
      </c>
      <c r="O28" s="9">
        <f>SUM(C28:N28)</f>
        <v>-210.0</v>
      </c>
    </row>
    <row r="29">
      <c r="B29" t="inlineStr">
        <is>
          <t>Rebate true-up - buying group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11" t="n">
        <v>-180</v>
      </c>
      <c r="L29" s="11" t="n">
        <v>0</v>
      </c>
      <c r="M29" s="11" t="n">
        <v>0</v>
      </c>
      <c r="N29" s="11" t="n">
        <v>0</v>
      </c>
      <c r="O29" s="9">
        <f>SUM(C29:N29)</f>
        <v>-180.0</v>
      </c>
    </row>
    <row r="30">
      <c r="B30" t="inlineStr">
        <is>
          <t>Container receipts timing - freight cost</t>
        </is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11" t="n">
        <v>0</v>
      </c>
      <c r="L30" s="11" t="n">
        <v>-40</v>
      </c>
      <c r="M30" s="11" t="n">
        <v>-30</v>
      </c>
      <c r="N30" s="11" t="n">
        <v>-20</v>
      </c>
      <c r="O30" s="9">
        <f>SUM(C30:N30)</f>
        <v>-90.0</v>
      </c>
    </row>
    <row r="31">
      <c r="B31" t="inlineStr">
        <is>
          <t>Heat transfer decals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11" t="n">
        <v>-10</v>
      </c>
      <c r="L31" s="11" t="n">
        <v>-12</v>
      </c>
      <c r="M31" s="11" t="n">
        <v>-12</v>
      </c>
      <c r="N31" s="11" t="n">
        <v>-11</v>
      </c>
      <c r="O31" s="9">
        <f>SUM(C31:N31)</f>
        <v>-45.0</v>
      </c>
    </row>
    <row r="32">
      <c r="B32" t="inlineStr">
        <is>
          <t>Insert Adj. 5</t>
        </is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9">
        <f>SUM(C32:N32)</f>
        <v>0.0</v>
      </c>
    </row>
    <row r="33">
      <c r="B33" t="inlineStr">
        <is>
          <t>Insert Adj. 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9">
        <f>SUM(C33:N33)</f>
        <v>0.0</v>
      </c>
    </row>
    <row r="34">
      <c r="B34" t="inlineStr">
        <is>
          <t>Insert Adj. 7</t>
        </is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9">
        <f>SUM(C34:N34)</f>
        <v>0.0</v>
      </c>
    </row>
    <row r="35">
      <c r="B35" t="inlineStr">
        <is>
          <t>Insert Adj. 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9">
        <f>SUM(C35:N35)</f>
        <v>0.0</v>
      </c>
    </row>
    <row r="36">
      <c r="B36" s="2" t="inlineStr">
        <is>
          <t>Total Gross Margin ($)</t>
        </is>
      </c>
      <c r="C36" s="12">
        <f>SUM(C28:C35)</f>
        <v>0.0</v>
      </c>
      <c r="D36" s="12">
        <f>SUM(D28:D35)</f>
        <v>0.0</v>
      </c>
      <c r="E36" s="12">
        <f>SUM(E28:E35)</f>
        <v>0.0</v>
      </c>
      <c r="F36" s="12">
        <f>SUM(F28:F35)</f>
        <v>0.0</v>
      </c>
      <c r="G36" s="12">
        <f>SUM(G28:G35)</f>
        <v>0.0</v>
      </c>
      <c r="H36" s="12">
        <f>SUM(H28:H35)</f>
        <v>0.0</v>
      </c>
      <c r="I36" s="12">
        <f>SUM(I28:I35)</f>
        <v>0.0</v>
      </c>
      <c r="J36" s="12">
        <f>SUM(J28:J35)</f>
        <v>0.0</v>
      </c>
      <c r="K36" s="12">
        <f>SUM(K28:K35)</f>
        <v>-265.0</v>
      </c>
      <c r="L36" s="12">
        <f>SUM(L28:L35)</f>
        <v>-127.0</v>
      </c>
      <c r="M36" s="12">
        <f>SUM(M28:M35)</f>
        <v>-102.0</v>
      </c>
      <c r="N36" s="12">
        <f>SUM(N28:N35)</f>
        <v>-31.0</v>
      </c>
      <c r="O36" s="12">
        <f>SUM(O28:O35)</f>
        <v>-525.0</v>
      </c>
    </row>
    <row r="38">
      <c r="B38" s="2" t="inlineStr">
        <is>
          <t>Op Costs (%)</t>
        </is>
      </c>
    </row>
    <row r="39">
      <c r="B39" t="str">
        <f>B6</f>
        <v>Backorders due to inventory availability</v>
      </c>
      <c r="C39" s="13">
        <f>IFERROR(C50/C6,0)</f>
        <v>0.0</v>
      </c>
      <c r="D39" s="13">
        <f>IFERROR(D50/D6,0)</f>
        <v>0.0</v>
      </c>
      <c r="E39" s="13">
        <f>IFERROR(E50/E6,0)</f>
        <v>0.0</v>
      </c>
      <c r="F39" s="13">
        <f>IFERROR(F50/F6,0)</f>
        <v>0.0</v>
      </c>
      <c r="G39" s="13">
        <f>IFERROR(G50/G6,0)</f>
        <v>0.0</v>
      </c>
      <c r="H39" s="13">
        <f>IFERROR(H50/H6,0)</f>
        <v>0.0</v>
      </c>
      <c r="I39" s="13">
        <f>IFERROR(I50/I6,0)</f>
        <v>0.0</v>
      </c>
      <c r="J39" s="13">
        <f>IFERROR(J50/J6,0)</f>
        <v>0.0</v>
      </c>
      <c r="K39" s="13">
        <f>IFERROR(K50/K6,0)</f>
        <v>0.06</v>
      </c>
      <c r="L39" s="13">
        <f>IFERROR(L50/L6,0)</f>
        <v>0.06</v>
      </c>
      <c r="M39" s="13">
        <f>IFERROR(M50/M6,0)</f>
        <v>0.06</v>
      </c>
      <c r="N39" s="13">
        <f>IFERROR(N50/N6,0)</f>
        <v>0.0</v>
      </c>
      <c r="O39" s="13">
        <f>IFERROR(O50/O6,0)</f>
        <v>0.08571428571428572</v>
      </c>
    </row>
    <row r="40">
      <c r="B40" t="str">
        <f>B7</f>
        <v>Rebate true-up - buying group</v>
      </c>
      <c r="C40" s="13">
        <f>IFERROR(C51/C7,0)</f>
        <v>0.0</v>
      </c>
      <c r="D40" s="13">
        <f>IFERROR(D51/D7,0)</f>
        <v>0.0</v>
      </c>
      <c r="E40" s="13">
        <f>IFERROR(E51/E7,0)</f>
        <v>0.0</v>
      </c>
      <c r="F40" s="13">
        <f>IFERROR(F51/F7,0)</f>
        <v>0.0</v>
      </c>
      <c r="G40" s="13">
        <f>IFERROR(G51/G7,0)</f>
        <v>0.0</v>
      </c>
      <c r="H40" s="13">
        <f>IFERROR(H51/H7,0)</f>
        <v>0.0</v>
      </c>
      <c r="I40" s="13">
        <f>IFERROR(I51/I7,0)</f>
        <v>0.0</v>
      </c>
      <c r="J40" s="13">
        <f>IFERROR(J51/J7,0)</f>
        <v>0.0</v>
      </c>
      <c r="K40" s="13">
        <f>IFERROR(K51/K7,0)</f>
        <v>-0.06666666666666667</v>
      </c>
      <c r="L40" s="13">
        <f>IFERROR(L51/L7,0)</f>
        <v>0.0</v>
      </c>
      <c r="M40" s="13">
        <f>IFERROR(M51/M7,0)</f>
        <v>0.0</v>
      </c>
      <c r="N40" s="13">
        <f>IFERROR(N51/N7,0)</f>
        <v>0.0</v>
      </c>
      <c r="O40" s="13">
        <f>IFERROR(O51/O7,0)</f>
        <v>-0.26666666666666666</v>
      </c>
    </row>
    <row r="41">
      <c r="B41" t="str">
        <f>B8</f>
        <v>Backorders due to inventory availability</v>
      </c>
      <c r="C41" s="13">
        <f>IFERROR(C52/C8,0)</f>
        <v>0.0</v>
      </c>
      <c r="D41" s="13">
        <f>IFERROR(D52/D8,0)</f>
        <v>0.0</v>
      </c>
      <c r="E41" s="13">
        <f>IFERROR(E52/E8,0)</f>
        <v>0.0</v>
      </c>
      <c r="F41" s="13">
        <f>IFERROR(F52/F8,0)</f>
        <v>0.0</v>
      </c>
      <c r="G41" s="13">
        <f>IFERROR(G52/G8,0)</f>
        <v>0.0</v>
      </c>
      <c r="H41" s="13">
        <f>IFERROR(H52/H8,0)</f>
        <v>0.0</v>
      </c>
      <c r="I41" s="13">
        <f>IFERROR(I52/I8,0)</f>
        <v>0.0</v>
      </c>
      <c r="J41" s="13">
        <f>IFERROR(J52/J8,0)</f>
        <v>0.0</v>
      </c>
      <c r="K41" s="13">
        <f>IFERROR(K52/K8,0)</f>
        <v>0.0</v>
      </c>
      <c r="L41" s="13">
        <f>IFERROR(L52/L8,0)</f>
        <v>0.0</v>
      </c>
      <c r="M41" s="13">
        <f>IFERROR(M52/M8,0)</f>
        <v>0.0</v>
      </c>
      <c r="N41" s="13">
        <f>IFERROR(N52/N8,0)</f>
        <v>0.03</v>
      </c>
      <c r="O41" s="13">
        <f>IFERROR(O52/O8,0)</f>
        <v>0.12</v>
      </c>
    </row>
    <row r="42">
      <c r="B42" t="str">
        <f>B9</f>
        <v>Insert Adj. 4</v>
      </c>
      <c r="C42" s="13">
        <f>IFERROR(C53/C9,0)</f>
        <v>0.0</v>
      </c>
      <c r="D42" s="13">
        <f>IFERROR(D53/D9,0)</f>
        <v>0.0</v>
      </c>
      <c r="E42" s="13">
        <f>IFERROR(E53/E9,0)</f>
        <v>0.0</v>
      </c>
      <c r="F42" s="13">
        <f>IFERROR(F53/F9,0)</f>
        <v>0.0</v>
      </c>
      <c r="G42" s="13">
        <f>IFERROR(G53/G9,0)</f>
        <v>0.0</v>
      </c>
      <c r="H42" s="13">
        <f>IFERROR(H53/H9,0)</f>
        <v>0.0</v>
      </c>
      <c r="I42" s="13">
        <f>IFERROR(I53/I9,0)</f>
        <v>0.0</v>
      </c>
      <c r="J42" s="13">
        <f>IFERROR(J53/J9,0)</f>
        <v>0.0</v>
      </c>
      <c r="K42" s="13">
        <f>IFERROR(K53/K9,0)</f>
        <v>0.0</v>
      </c>
      <c r="L42" s="13">
        <f>IFERROR(L53/L9,0)</f>
        <v>0.0</v>
      </c>
      <c r="M42" s="13">
        <f>IFERROR(M53/M9,0)</f>
        <v>0.0</v>
      </c>
      <c r="N42" s="13">
        <f>IFERROR(N53/N9,0)</f>
        <v>0.0</v>
      </c>
      <c r="O42" s="13">
        <f>IFERROR(O53/O9,0)</f>
        <v>0.0</v>
      </c>
    </row>
    <row r="43">
      <c r="B43" t="str">
        <f>B10</f>
        <v>Insert Adj. 5</v>
      </c>
      <c r="C43" s="13">
        <f>IFERROR(C54/C10,0)</f>
        <v>0.0</v>
      </c>
      <c r="D43" s="13">
        <f>IFERROR(D54/D10,0)</f>
        <v>0.0</v>
      </c>
      <c r="E43" s="13">
        <f>IFERROR(E54/E10,0)</f>
        <v>0.0</v>
      </c>
      <c r="F43" s="13">
        <f>IFERROR(F54/F10,0)</f>
        <v>0.0</v>
      </c>
      <c r="G43" s="13">
        <f>IFERROR(G54/G10,0)</f>
        <v>0.0</v>
      </c>
      <c r="H43" s="13">
        <f>IFERROR(H54/H10,0)</f>
        <v>0.0</v>
      </c>
      <c r="I43" s="13">
        <f>IFERROR(I54/I10,0)</f>
        <v>0.0</v>
      </c>
      <c r="J43" s="13">
        <f>IFERROR(J54/J10,0)</f>
        <v>0.0</v>
      </c>
      <c r="K43" s="13">
        <f>IFERROR(K54/K10,0)</f>
        <v>0.0</v>
      </c>
      <c r="L43" s="13">
        <f>IFERROR(L54/L10,0)</f>
        <v>0.0</v>
      </c>
      <c r="M43" s="13">
        <f>IFERROR(M54/M10,0)</f>
        <v>0.0</v>
      </c>
      <c r="N43" s="13">
        <f>IFERROR(N54/N10,0)</f>
        <v>0.0</v>
      </c>
      <c r="O43" s="13">
        <f>IFERROR(O54/O10,0)</f>
        <v>0.0</v>
      </c>
    </row>
    <row r="44">
      <c r="B44" t="str">
        <f>B11</f>
        <v>Insert Adj. 6</v>
      </c>
      <c r="C44" s="13">
        <f>IFERROR(C55/C11,0)</f>
        <v>0.0</v>
      </c>
      <c r="D44" s="13">
        <f>IFERROR(D55/D11,0)</f>
        <v>0.0</v>
      </c>
      <c r="E44" s="13">
        <f>IFERROR(E55/E11,0)</f>
        <v>0.0</v>
      </c>
      <c r="F44" s="13">
        <f>IFERROR(F55/F11,0)</f>
        <v>0.0</v>
      </c>
      <c r="G44" s="13">
        <f>IFERROR(G55/G11,0)</f>
        <v>0.0</v>
      </c>
      <c r="H44" s="13">
        <f>IFERROR(H55/H11,0)</f>
        <v>0.0</v>
      </c>
      <c r="I44" s="13">
        <f>IFERROR(I55/I11,0)</f>
        <v>0.0</v>
      </c>
      <c r="J44" s="13">
        <f>IFERROR(J55/J11,0)</f>
        <v>0.0</v>
      </c>
      <c r="K44" s="13">
        <f>IFERROR(K55/K11,0)</f>
        <v>0.0</v>
      </c>
      <c r="L44" s="13">
        <f>IFERROR(L55/L11,0)</f>
        <v>0.0</v>
      </c>
      <c r="M44" s="13">
        <f>IFERROR(M55/M11,0)</f>
        <v>0.0</v>
      </c>
      <c r="N44" s="13">
        <f>IFERROR(N55/N11,0)</f>
        <v>0.0</v>
      </c>
      <c r="O44" s="13">
        <f>IFERROR(O55/O11,0)</f>
        <v>0.0</v>
      </c>
    </row>
    <row r="45">
      <c r="B45" t="str">
        <f>B12</f>
        <v>Insert Adj. 7</v>
      </c>
      <c r="C45" s="13">
        <f>IFERROR(C56/C12,0)</f>
        <v>0.0</v>
      </c>
      <c r="D45" s="13">
        <f>IFERROR(D56/D12,0)</f>
        <v>0.0</v>
      </c>
      <c r="E45" s="13">
        <f>IFERROR(E56/E12,0)</f>
        <v>0.0</v>
      </c>
      <c r="F45" s="13">
        <f>IFERROR(F56/F12,0)</f>
        <v>0.0</v>
      </c>
      <c r="G45" s="13">
        <f>IFERROR(G56/G12,0)</f>
        <v>0.0</v>
      </c>
      <c r="H45" s="13">
        <f>IFERROR(H56/H12,0)</f>
        <v>0.0</v>
      </c>
      <c r="I45" s="13">
        <f>IFERROR(I56/I12,0)</f>
        <v>0.0</v>
      </c>
      <c r="J45" s="13">
        <f>IFERROR(J56/J12,0)</f>
        <v>0.0</v>
      </c>
      <c r="K45" s="13">
        <f>IFERROR(K56/K12,0)</f>
        <v>0.0</v>
      </c>
      <c r="L45" s="13">
        <f>IFERROR(L56/L12,0)</f>
        <v>0.0</v>
      </c>
      <c r="M45" s="13">
        <f>IFERROR(M56/M12,0)</f>
        <v>0.0</v>
      </c>
      <c r="N45" s="13">
        <f>IFERROR(N56/N12,0)</f>
        <v>0.0</v>
      </c>
      <c r="O45" s="13">
        <f>IFERROR(O56/O12,0)</f>
        <v>0.0</v>
      </c>
    </row>
    <row r="46">
      <c r="B46" t="str">
        <f>B13</f>
        <v>Insert Adj. 8</v>
      </c>
      <c r="C46" s="13">
        <f>IFERROR(C57/C13,0)</f>
        <v>0.0</v>
      </c>
      <c r="D46" s="13">
        <f>IFERROR(D57/D13,0)</f>
        <v>0.0</v>
      </c>
      <c r="E46" s="13">
        <f>IFERROR(E57/E13,0)</f>
        <v>0.0</v>
      </c>
      <c r="F46" s="13">
        <f>IFERROR(F57/F13,0)</f>
        <v>0.0</v>
      </c>
      <c r="G46" s="13">
        <f>IFERROR(G57/G13,0)</f>
        <v>0.0</v>
      </c>
      <c r="H46" s="13">
        <f>IFERROR(H57/H13,0)</f>
        <v>0.0</v>
      </c>
      <c r="I46" s="13">
        <f>IFERROR(I57/I13,0)</f>
        <v>0.0</v>
      </c>
      <c r="J46" s="13">
        <f>IFERROR(J57/J13,0)</f>
        <v>0.0</v>
      </c>
      <c r="K46" s="13">
        <f>IFERROR(K57/K13,0)</f>
        <v>0.0</v>
      </c>
      <c r="L46" s="13">
        <f>IFERROR(L57/L13,0)</f>
        <v>0.0</v>
      </c>
      <c r="M46" s="13">
        <f>IFERROR(M57/M13,0)</f>
        <v>0.0</v>
      </c>
      <c r="N46" s="13">
        <f>IFERROR(N57/N13,0)</f>
        <v>0.0</v>
      </c>
      <c r="O46" s="13">
        <f>IFERROR(O57/O13,0)</f>
        <v>0.0</v>
      </c>
    </row>
    <row r="47">
      <c r="B47" s="2" t="inlineStr">
        <is>
          <t>Total Op Costs (%)</t>
        </is>
      </c>
      <c r="C47" s="14">
        <f>IFERROR(C58/C14,0)</f>
        <v>0.0</v>
      </c>
      <c r="D47" s="14">
        <f>IFERROR(D58/D14,0)</f>
        <v>0.0</v>
      </c>
      <c r="E47" s="14">
        <f>IFERROR(E58/E14,0)</f>
        <v>0.0</v>
      </c>
      <c r="F47" s="14">
        <f>IFERROR(F58/F14,0)</f>
        <v>0.0</v>
      </c>
      <c r="G47" s="14">
        <f>IFERROR(G58/G14,0)</f>
        <v>0.0</v>
      </c>
      <c r="H47" s="14">
        <f>IFERROR(H58/H14,0)</f>
        <v>0.0</v>
      </c>
      <c r="I47" s="14">
        <f>IFERROR(I58/I14,0)</f>
        <v>0.0</v>
      </c>
      <c r="J47" s="14">
        <f>IFERROR(J58/J14,0)</f>
        <v>0.0</v>
      </c>
      <c r="K47" s="14">
        <f>IFERROR(K58/K14,0)</f>
        <v>0.09767441860465116</v>
      </c>
      <c r="L47" s="14">
        <f>IFERROR(L58/L14,0)</f>
        <v>0.176</v>
      </c>
      <c r="M47" s="14">
        <f>IFERROR(M58/M14,0)</f>
        <v>0.205</v>
      </c>
      <c r="N47" s="14">
        <f>IFERROR(N58/N14,0)</f>
        <v>0.15666666666666668</v>
      </c>
      <c r="O47" s="14">
        <f>IFERROR(O58/O14,0)</f>
        <v>0.14745762711864407</v>
      </c>
    </row>
    <row r="49">
      <c r="B49" s="2" t="inlineStr">
        <is>
          <t>Op Costs ($)</t>
        </is>
      </c>
    </row>
    <row r="50">
      <c r="B50" t="inlineStr">
        <is>
          <t>Backorders - variable cost savings</t>
        </is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11" t="n">
        <v>-15</v>
      </c>
      <c r="L50" s="11" t="n">
        <v>-15</v>
      </c>
      <c r="M50" s="11" t="n">
        <v>-12</v>
      </c>
      <c r="N50" s="11" t="n">
        <v>-18</v>
      </c>
      <c r="O50" s="9">
        <f>SUM(C50:N50)</f>
        <v>-60.0</v>
      </c>
    </row>
    <row r="51">
      <c r="B51" t="inlineStr">
        <is>
          <t>Temp labor - new distribution center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11" t="n">
        <v>12</v>
      </c>
      <c r="L51" s="11" t="n">
        <v>12</v>
      </c>
      <c r="M51" s="11" t="n">
        <v>12</v>
      </c>
      <c r="N51" s="11" t="n">
        <v>12</v>
      </c>
      <c r="O51" s="9">
        <f>SUM(C51:N51)</f>
        <v>48.0</v>
      </c>
    </row>
    <row r="52">
      <c r="B52" t="inlineStr">
        <is>
          <t>OT reduction</t>
        </is>
      </c>
      <c r="C52" s="9" t="n">
        <v>0</v>
      </c>
      <c r="D52" s="9" t="n">
        <v>0</v>
      </c>
      <c r="E52" s="9" t="n">
        <v>0</v>
      </c>
      <c r="F52" s="9" t="n">
        <v>0</v>
      </c>
      <c r="G52" s="9" t="n">
        <v>0</v>
      </c>
      <c r="H52" s="9" t="n">
        <v>0</v>
      </c>
      <c r="I52" s="9" t="n">
        <v>0</v>
      </c>
      <c r="J52" s="9" t="n">
        <v>0</v>
      </c>
      <c r="K52" s="11" t="n">
        <v>-9</v>
      </c>
      <c r="L52" s="11" t="n">
        <v>-9</v>
      </c>
      <c r="M52" s="11" t="n">
        <v>-9</v>
      </c>
      <c r="N52" s="11" t="n">
        <v>-9</v>
      </c>
      <c r="O52" s="9">
        <f>SUM(C52:N52)</f>
        <v>-36.0</v>
      </c>
    </row>
    <row r="53">
      <c r="B53" t="inlineStr">
        <is>
          <t>Headcount reduction / postpone hiring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11" t="n">
        <v>-24</v>
      </c>
      <c r="L53" s="11" t="n">
        <v>-24</v>
      </c>
      <c r="M53" s="11" t="n">
        <v>-24</v>
      </c>
      <c r="N53" s="11" t="n">
        <v>-24</v>
      </c>
      <c r="O53" s="9">
        <f>SUM(C53:N53)</f>
        <v>-96.0</v>
      </c>
    </row>
    <row r="54">
      <c r="B54" t="inlineStr">
        <is>
          <t>Others</t>
        </is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I54" s="9" t="n">
        <v>0</v>
      </c>
      <c r="J54" s="9" t="n">
        <v>0</v>
      </c>
      <c r="K54" s="11" t="n">
        <v>-6</v>
      </c>
      <c r="L54" s="11" t="n">
        <v>-8</v>
      </c>
      <c r="M54" s="11" t="n">
        <v>-8</v>
      </c>
      <c r="N54" s="11" t="n">
        <v>-8</v>
      </c>
      <c r="O54" s="9">
        <f>SUM(C54:N54)</f>
        <v>-30.0</v>
      </c>
    </row>
    <row r="55">
      <c r="B55" t="inlineStr">
        <is>
          <t>Insert Adj. 6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9">
        <f>SUM(C55:N55)</f>
        <v>0.0</v>
      </c>
    </row>
    <row r="56">
      <c r="B56" t="inlineStr">
        <is>
          <t>Insert Adj. 7</t>
        </is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9">
        <f>SUM(C56:N56)</f>
        <v>0.0</v>
      </c>
    </row>
    <row r="57">
      <c r="B57" t="inlineStr">
        <is>
          <t>Insert Adj. 8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9">
        <f>SUM(C57:N57)</f>
        <v>0.0</v>
      </c>
    </row>
    <row r="58">
      <c r="B58" s="2" t="inlineStr">
        <is>
          <t>Total Op Costs ($)</t>
        </is>
      </c>
      <c r="C58" s="12">
        <f>SUM(C50:C57)</f>
        <v>0.0</v>
      </c>
      <c r="D58" s="12">
        <f>SUM(D50:D57)</f>
        <v>0.0</v>
      </c>
      <c r="E58" s="12">
        <f>SUM(E50:E57)</f>
        <v>0.0</v>
      </c>
      <c r="F58" s="12">
        <f>SUM(F50:F57)</f>
        <v>0.0</v>
      </c>
      <c r="G58" s="12">
        <f>SUM(G50:G57)</f>
        <v>0.0</v>
      </c>
      <c r="H58" s="12">
        <f>SUM(H50:H57)</f>
        <v>0.0</v>
      </c>
      <c r="I58" s="12">
        <f>SUM(I50:I57)</f>
        <v>0.0</v>
      </c>
      <c r="J58" s="12">
        <f>SUM(J50:J57)</f>
        <v>0.0</v>
      </c>
      <c r="K58" s="12">
        <f>SUM(K50:K57)</f>
        <v>-42.0</v>
      </c>
      <c r="L58" s="12">
        <f>SUM(L50:L57)</f>
        <v>-44.0</v>
      </c>
      <c r="M58" s="12">
        <f>SUM(M50:M57)</f>
        <v>-41.0</v>
      </c>
      <c r="N58" s="12">
        <f>SUM(N50:N57)</f>
        <v>-47.0</v>
      </c>
      <c r="O58" s="12">
        <f>SUM(O50:O57)</f>
        <v>-174.0</v>
      </c>
    </row>
    <row r="60">
      <c r="B60" s="2" t="inlineStr">
        <is>
          <t>PBITA</t>
        </is>
      </c>
    </row>
    <row r="61">
      <c r="B61" t="str">
        <f>B6</f>
        <v>Backorders due to inventory availability</v>
      </c>
      <c r="C61" s="9">
        <f>C28-C50</f>
        <v>0.0</v>
      </c>
      <c r="D61" s="9">
        <f>D28-D50</f>
        <v>0.0</v>
      </c>
      <c r="E61" s="9">
        <f>E28-E50</f>
        <v>0.0</v>
      </c>
      <c r="F61" s="9">
        <f>F28-F50</f>
        <v>0.0</v>
      </c>
      <c r="G61" s="9">
        <f>G28-G50</f>
        <v>0.0</v>
      </c>
      <c r="H61" s="9">
        <f>H28-H50</f>
        <v>0.0</v>
      </c>
      <c r="I61" s="9">
        <f>I28-I50</f>
        <v>0.0</v>
      </c>
      <c r="J61" s="9">
        <f>J28-J50</f>
        <v>0.0</v>
      </c>
      <c r="K61" s="9">
        <f>K28-K50</f>
        <v>-60.0</v>
      </c>
      <c r="L61" s="9">
        <f>L28-L50</f>
        <v>-60.0</v>
      </c>
      <c r="M61" s="9">
        <f>M28-M50</f>
        <v>-48.0</v>
      </c>
      <c r="N61" s="9">
        <f>N28-N50</f>
        <v>18.0</v>
      </c>
      <c r="O61" s="9">
        <f>SUM(C61:N61)</f>
        <v>-150.0</v>
      </c>
    </row>
    <row r="62">
      <c r="B62" t="str">
        <f>B7</f>
        <v>Rebate true-up - buying group</v>
      </c>
      <c r="C62" s="9">
        <f>C29-C51</f>
        <v>0.0</v>
      </c>
      <c r="D62" s="9">
        <f>D29-D51</f>
        <v>0.0</v>
      </c>
      <c r="E62" s="9">
        <f>E29-E51</f>
        <v>0.0</v>
      </c>
      <c r="F62" s="9">
        <f>F29-F51</f>
        <v>0.0</v>
      </c>
      <c r="G62" s="9">
        <f>G29-G51</f>
        <v>0.0</v>
      </c>
      <c r="H62" s="9">
        <f>H29-H51</f>
        <v>0.0</v>
      </c>
      <c r="I62" s="9">
        <f>I29-I51</f>
        <v>0.0</v>
      </c>
      <c r="J62" s="9">
        <f>J29-J51</f>
        <v>0.0</v>
      </c>
      <c r="K62" s="9">
        <f>K29-K51</f>
        <v>-192.0</v>
      </c>
      <c r="L62" s="9">
        <f>L29-L51</f>
        <v>-12.0</v>
      </c>
      <c r="M62" s="9">
        <f>M29-M51</f>
        <v>-12.0</v>
      </c>
      <c r="N62" s="9">
        <f>N29-N51</f>
        <v>-12.0</v>
      </c>
      <c r="O62" s="9">
        <f>SUM(C62:N62)</f>
        <v>-228.0</v>
      </c>
    </row>
    <row r="63">
      <c r="B63" t="str">
        <f>B8</f>
        <v>Backorders due to inventory availability</v>
      </c>
      <c r="C63" s="9">
        <f>C30-C52</f>
        <v>0.0</v>
      </c>
      <c r="D63" s="9">
        <f>D30-D52</f>
        <v>0.0</v>
      </c>
      <c r="E63" s="9">
        <f>E30-E52</f>
        <v>0.0</v>
      </c>
      <c r="F63" s="9">
        <f>F30-F52</f>
        <v>0.0</v>
      </c>
      <c r="G63" s="9">
        <f>G30-G52</f>
        <v>0.0</v>
      </c>
      <c r="H63" s="9">
        <f>H30-H52</f>
        <v>0.0</v>
      </c>
      <c r="I63" s="9">
        <f>I30-I52</f>
        <v>0.0</v>
      </c>
      <c r="J63" s="9">
        <f>J30-J52</f>
        <v>0.0</v>
      </c>
      <c r="K63" s="9">
        <f>K30-K52</f>
        <v>9.0</v>
      </c>
      <c r="L63" s="9">
        <f>L30-L52</f>
        <v>-31.0</v>
      </c>
      <c r="M63" s="9">
        <f>M30-M52</f>
        <v>-21.0</v>
      </c>
      <c r="N63" s="9">
        <f>N30-N52</f>
        <v>-11.0</v>
      </c>
      <c r="O63" s="9">
        <f>SUM(C63:N63)</f>
        <v>-54.0</v>
      </c>
    </row>
    <row r="64">
      <c r="B64" t="str">
        <f>B9</f>
        <v>Insert Adj. 4</v>
      </c>
      <c r="C64" s="9">
        <f>C31-C53</f>
        <v>0.0</v>
      </c>
      <c r="D64" s="9">
        <f>D31-D53</f>
        <v>0.0</v>
      </c>
      <c r="E64" s="9">
        <f>E31-E53</f>
        <v>0.0</v>
      </c>
      <c r="F64" s="9">
        <f>F31-F53</f>
        <v>0.0</v>
      </c>
      <c r="G64" s="9">
        <f>G31-G53</f>
        <v>0.0</v>
      </c>
      <c r="H64" s="9">
        <f>H31-H53</f>
        <v>0.0</v>
      </c>
      <c r="I64" s="9">
        <f>I31-I53</f>
        <v>0.0</v>
      </c>
      <c r="J64" s="9">
        <f>J31-J53</f>
        <v>0.0</v>
      </c>
      <c r="K64" s="9">
        <f>K31-K53</f>
        <v>14.0</v>
      </c>
      <c r="L64" s="9">
        <f>L31-L53</f>
        <v>12.0</v>
      </c>
      <c r="M64" s="9">
        <f>M31-M53</f>
        <v>12.0</v>
      </c>
      <c r="N64" s="9">
        <f>N31-N53</f>
        <v>13.0</v>
      </c>
      <c r="O64" s="9">
        <f>SUM(C64:N64)</f>
        <v>51.0</v>
      </c>
    </row>
    <row r="65">
      <c r="B65" t="str">
        <f>B10</f>
        <v>Insert Adj. 5</v>
      </c>
      <c r="C65" s="9">
        <f>C32-C54</f>
        <v>0.0</v>
      </c>
      <c r="D65" s="9">
        <f>D32-D54</f>
        <v>0.0</v>
      </c>
      <c r="E65" s="9">
        <f>E32-E54</f>
        <v>0.0</v>
      </c>
      <c r="F65" s="9">
        <f>F32-F54</f>
        <v>0.0</v>
      </c>
      <c r="G65" s="9">
        <f>G32-G54</f>
        <v>0.0</v>
      </c>
      <c r="H65" s="9">
        <f>H32-H54</f>
        <v>0.0</v>
      </c>
      <c r="I65" s="9">
        <f>I32-I54</f>
        <v>0.0</v>
      </c>
      <c r="J65" s="9">
        <f>J32-J54</f>
        <v>0.0</v>
      </c>
      <c r="K65" s="9">
        <f>K32-K54</f>
        <v>6.0</v>
      </c>
      <c r="L65" s="9">
        <f>L32-L54</f>
        <v>8.0</v>
      </c>
      <c r="M65" s="9">
        <f>M32-M54</f>
        <v>8.0</v>
      </c>
      <c r="N65" s="9">
        <f>N32-N54</f>
        <v>8.0</v>
      </c>
      <c r="O65" s="9">
        <f>SUM(C65:N65)</f>
        <v>30.0</v>
      </c>
    </row>
    <row r="66">
      <c r="B66" t="str">
        <f>B11</f>
        <v>Insert Adj. 6</v>
      </c>
      <c r="C66" s="9">
        <f>C33-C55</f>
        <v>0.0</v>
      </c>
      <c r="D66" s="9">
        <f>D33-D55</f>
        <v>0.0</v>
      </c>
      <c r="E66" s="9">
        <f>E33-E55</f>
        <v>0.0</v>
      </c>
      <c r="F66" s="9">
        <f>F33-F55</f>
        <v>0.0</v>
      </c>
      <c r="G66" s="9">
        <f>G33-G55</f>
        <v>0.0</v>
      </c>
      <c r="H66" s="9">
        <f>H33-H55</f>
        <v>0.0</v>
      </c>
      <c r="I66" s="9">
        <f>I33-I55</f>
        <v>0.0</v>
      </c>
      <c r="J66" s="9">
        <f>J33-J55</f>
        <v>0.0</v>
      </c>
      <c r="K66" s="9">
        <f>K33-K55</f>
        <v>0.0</v>
      </c>
      <c r="L66" s="9">
        <f>L33-L55</f>
        <v>0.0</v>
      </c>
      <c r="M66" s="9">
        <f>M33-M55</f>
        <v>0.0</v>
      </c>
      <c r="N66" s="9">
        <f>N33-N55</f>
        <v>0.0</v>
      </c>
      <c r="O66" s="9">
        <f>SUM(C66:N66)</f>
        <v>0.0</v>
      </c>
    </row>
    <row r="67">
      <c r="B67" t="str">
        <f>B12</f>
        <v>Insert Adj. 7</v>
      </c>
      <c r="C67" s="9">
        <f>C34-C56</f>
        <v>0.0</v>
      </c>
      <c r="D67" s="9">
        <f>D34-D56</f>
        <v>0.0</v>
      </c>
      <c r="E67" s="9">
        <f>E34-E56</f>
        <v>0.0</v>
      </c>
      <c r="F67" s="9">
        <f>F34-F56</f>
        <v>0.0</v>
      </c>
      <c r="G67" s="9">
        <f>G34-G56</f>
        <v>0.0</v>
      </c>
      <c r="H67" s="9">
        <f>H34-H56</f>
        <v>0.0</v>
      </c>
      <c r="I67" s="9">
        <f>I34-I56</f>
        <v>0.0</v>
      </c>
      <c r="J67" s="9">
        <f>J34-J56</f>
        <v>0.0</v>
      </c>
      <c r="K67" s="9">
        <f>K34-K56</f>
        <v>0.0</v>
      </c>
      <c r="L67" s="9">
        <f>L34-L56</f>
        <v>0.0</v>
      </c>
      <c r="M67" s="9">
        <f>M34-M56</f>
        <v>0.0</v>
      </c>
      <c r="N67" s="9">
        <f>N34-N56</f>
        <v>0.0</v>
      </c>
      <c r="O67" s="9">
        <f>SUM(C67:N67)</f>
        <v>0.0</v>
      </c>
    </row>
    <row r="68">
      <c r="B68" t="str">
        <f>B13</f>
        <v>Insert Adj. 8</v>
      </c>
      <c r="C68" s="9">
        <f>C35-C57</f>
        <v>0.0</v>
      </c>
      <c r="D68" s="9">
        <f>D35-D57</f>
        <v>0.0</v>
      </c>
      <c r="E68" s="9">
        <f>E35-E57</f>
        <v>0.0</v>
      </c>
      <c r="F68" s="9">
        <f>F35-F57</f>
        <v>0.0</v>
      </c>
      <c r="G68" s="9">
        <f>G35-G57</f>
        <v>0.0</v>
      </c>
      <c r="H68" s="9">
        <f>H35-H57</f>
        <v>0.0</v>
      </c>
      <c r="I68" s="9">
        <f>I35-I57</f>
        <v>0.0</v>
      </c>
      <c r="J68" s="9">
        <f>J35-J57</f>
        <v>0.0</v>
      </c>
      <c r="K68" s="9">
        <f>K35-K57</f>
        <v>0.0</v>
      </c>
      <c r="L68" s="9">
        <f>L35-L57</f>
        <v>0.0</v>
      </c>
      <c r="M68" s="9">
        <f>M35-M57</f>
        <v>0.0</v>
      </c>
      <c r="N68" s="9">
        <f>N35-N57</f>
        <v>0.0</v>
      </c>
      <c r="O68" s="9">
        <f>SUM(C68:N68)</f>
        <v>0.0</v>
      </c>
    </row>
    <row r="69">
      <c r="B69" s="2" t="inlineStr">
        <is>
          <t>Total PBITA</t>
        </is>
      </c>
      <c r="C69" s="12">
        <f>SUM(C61:C68)</f>
        <v>0.0</v>
      </c>
      <c r="D69" s="12">
        <f>SUM(D61:D68)</f>
        <v>0.0</v>
      </c>
      <c r="E69" s="12">
        <f>SUM(E61:E68)</f>
        <v>0.0</v>
      </c>
      <c r="F69" s="12">
        <f>SUM(F61:F68)</f>
        <v>0.0</v>
      </c>
      <c r="G69" s="12">
        <f>SUM(G61:G68)</f>
        <v>0.0</v>
      </c>
      <c r="H69" s="12">
        <f>SUM(H61:H68)</f>
        <v>0.0</v>
      </c>
      <c r="I69" s="12">
        <f>SUM(I61:I68)</f>
        <v>0.0</v>
      </c>
      <c r="J69" s="12">
        <f>SUM(J61:J68)</f>
        <v>0.0</v>
      </c>
      <c r="K69" s="12">
        <f>SUM(K61:K68)</f>
        <v>-223.0</v>
      </c>
      <c r="L69" s="12">
        <f>SUM(L61:L68)</f>
        <v>-83.0</v>
      </c>
      <c r="M69" s="12">
        <f>SUM(M61:M68)</f>
        <v>-61.0</v>
      </c>
      <c r="N69" s="12">
        <f>SUM(N61:N68)</f>
        <v>16.0</v>
      </c>
      <c r="O69" s="12">
        <f>SUM(O61:O68)</f>
        <v>-351.0</v>
      </c>
    </row>
    <row r="71">
      <c r="B71" s="7" t="inlineStr">
        <is>
          <t>Section 2: General adjustments in Gross Margin or Opex % of Sales that are not tied to individual events (i.e., employee turnover):</t>
        </is>
      </c>
    </row>
    <row r="73">
      <c r="C73" s="8" t="inlineStr">
        <is>
          <t>January</t>
        </is>
      </c>
      <c r="D73" s="8" t="inlineStr">
        <is>
          <t>February</t>
        </is>
      </c>
      <c r="E73" s="8" t="inlineStr">
        <is>
          <t>March</t>
        </is>
      </c>
      <c r="F73" s="8" t="inlineStr">
        <is>
          <t>April</t>
        </is>
      </c>
      <c r="G73" s="8" t="inlineStr">
        <is>
          <t>May</t>
        </is>
      </c>
      <c r="H73" s="8" t="inlineStr">
        <is>
          <t>June</t>
        </is>
      </c>
      <c r="I73" s="8" t="inlineStr">
        <is>
          <t>July</t>
        </is>
      </c>
      <c r="J73" s="8" t="inlineStr">
        <is>
          <t>August</t>
        </is>
      </c>
      <c r="K73" s="8" t="inlineStr">
        <is>
          <t>September</t>
        </is>
      </c>
      <c r="L73" s="8" t="inlineStr">
        <is>
          <t>October</t>
        </is>
      </c>
      <c r="M73" s="8" t="inlineStr">
        <is>
          <t>November</t>
        </is>
      </c>
      <c r="N73" s="8" t="inlineStr">
        <is>
          <t>December</t>
        </is>
      </c>
      <c r="O73" s="8" t="inlineStr">
        <is>
          <t>Total Adj</t>
        </is>
      </c>
    </row>
    <row r="74">
      <c r="B74" s="2" t="inlineStr">
        <is>
          <t>Gross Margin</t>
        </is>
      </c>
    </row>
    <row r="75">
      <c r="B75" t="inlineStr">
        <is>
          <t>Gross Margin - Previous FCAST</t>
        </is>
      </c>
      <c r="C75" s="13">
        <f>'Forecast'!C35</f>
        <v>0.28788406747699186</v>
      </c>
      <c r="D75" s="13">
        <f>'Forecast'!D35</f>
        <v>0.28653610516915534</v>
      </c>
      <c r="E75" s="13">
        <f>'Forecast'!E35</f>
        <v>0.2851588579507521</v>
      </c>
      <c r="F75" s="13">
        <f>'Forecast'!F35</f>
        <v>0.2822088080865807</v>
      </c>
      <c r="G75" s="13">
        <f>'Forecast'!G35</f>
        <v>0.2877413954600713</v>
      </c>
      <c r="H75" s="13">
        <f>'Forecast'!H35</f>
        <v>0.2875197175692932</v>
      </c>
      <c r="I75" s="13">
        <f>'Forecast'!I35</f>
        <v>0.2854190367842245</v>
      </c>
      <c r="J75" s="13">
        <f>'Forecast'!J35</f>
        <v>0.2824208616956954</v>
      </c>
      <c r="K75" s="13">
        <f>'Forecast'!K35</f>
        <v>0.28585166722273464</v>
      </c>
      <c r="L75" s="13">
        <f>'Forecast'!L35</f>
        <v>0.2836298147603646</v>
      </c>
      <c r="M75" s="13">
        <f>'Forecast'!M35</f>
        <v>0.28753941613264167</v>
      </c>
      <c r="N75" s="13">
        <f>'Forecast'!N35</f>
        <v>0.28287016285671596</v>
      </c>
      <c r="O75" t="inlineStr">
        <is>
          <t>N/A</t>
        </is>
      </c>
    </row>
    <row r="76">
      <c r="B76" t="inlineStr">
        <is>
          <t>New Adjustments (%)</t>
        </is>
      </c>
      <c r="C76" t="inlineStr">
        <is>
          <t>None</t>
        </is>
      </c>
      <c r="D76" t="inlineStr">
        <is>
          <t>None</t>
        </is>
      </c>
      <c r="E76" t="inlineStr">
        <is>
          <t>None</t>
        </is>
      </c>
      <c r="F76" t="inlineStr">
        <is>
          <t>None</t>
        </is>
      </c>
      <c r="G76" t="inlineStr">
        <is>
          <t>None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>
        <is>
          <t>None</t>
        </is>
      </c>
      <c r="M76" t="inlineStr">
        <is>
          <t>None</t>
        </is>
      </c>
      <c r="N76" t="inlineStr">
        <is>
          <t>None</t>
        </is>
      </c>
    </row>
    <row r="77">
      <c r="B77" t="inlineStr">
        <is>
          <t>New Adjustments ($)</t>
        </is>
      </c>
      <c r="C77" s="9">
        <f>IF(C76="None",0,((('Forecast'!C28*(C75+C76))-'Forecast'!C29)))</f>
        <v>0.0</v>
      </c>
      <c r="D77" s="9">
        <f>IF(D76="None",0,((('Forecast'!D28*(D75+D76))-'Forecast'!D29)))</f>
        <v>0.0</v>
      </c>
      <c r="E77" s="9">
        <f>IF(E76="None",0,((('Forecast'!E28*(E75+E76))-'Forecast'!E29)))</f>
        <v>0.0</v>
      </c>
      <c r="F77" s="9">
        <f>IF(F76="None",0,((('Forecast'!F28*(F75+F76))-'Forecast'!F29)))</f>
        <v>0.0</v>
      </c>
      <c r="G77" s="9">
        <f>IF(G76="None",0,((('Forecast'!G28*(G75+G76))-'Forecast'!G29)))</f>
        <v>0.0</v>
      </c>
      <c r="H77" s="9">
        <f>IF(H76="None",0,((('Forecast'!H28*(H75+H76))-'Forecast'!H29)))</f>
        <v>0.0</v>
      </c>
      <c r="I77" s="9">
        <f>IF(I76="None",0,((('Forecast'!I28*(I75+I76))-'Forecast'!I29)))</f>
        <v>0.0</v>
      </c>
      <c r="J77" s="9">
        <f>IF(J76="None",0,((('Forecast'!J28*(J75+J76))-'Forecast'!J29)))</f>
        <v>0.0</v>
      </c>
      <c r="K77" s="9">
        <f>IF(K76="None",0,((('Forecast'!K28*(K75+K76))-'Forecast'!K29)))</f>
        <v>0.0</v>
      </c>
      <c r="L77" s="9">
        <f>IF(L76="None",0,((('Forecast'!L28*(L75+L76))-'Forecast'!L29)))</f>
        <v>0.0</v>
      </c>
      <c r="M77" s="9">
        <f>IF(M76="None",0,((('Forecast'!M28*(M75+M76))-'Forecast'!M29)))</f>
        <v>0.0</v>
      </c>
      <c r="N77" s="9">
        <f>IF(N76="None",0,((('Forecast'!N28*(N75+N76))-'Forecast'!N29)))</f>
        <v>0.0</v>
      </c>
      <c r="O77" s="9">
        <f>SUM(C77:N77)</f>
        <v>0.0</v>
      </c>
    </row>
    <row r="78">
      <c r="B78" t="inlineStr">
        <is>
          <t>Gross Margin - Current FCAST</t>
        </is>
      </c>
      <c r="C78" s="13">
        <f>SUM(C75:C76)</f>
        <v>0.28788406747699186</v>
      </c>
      <c r="D78" s="13">
        <f>SUM(D75:D76)</f>
        <v>0.28653610516915534</v>
      </c>
      <c r="E78" s="13">
        <f>SUM(E75:E76)</f>
        <v>0.2851588579507521</v>
      </c>
      <c r="F78" s="13">
        <f>SUM(F75:F76)</f>
        <v>0.2822088080865807</v>
      </c>
      <c r="G78" s="13">
        <f>SUM(G75:G76)</f>
        <v>0.2877413954600713</v>
      </c>
      <c r="H78" s="13">
        <f>SUM(H75:H76)</f>
        <v>0.2875197175692932</v>
      </c>
      <c r="I78" s="13">
        <f>SUM(I75:I76)</f>
        <v>0.2854190367842245</v>
      </c>
      <c r="J78" s="13">
        <f>SUM(J75:J76)</f>
        <v>0.2824208616956954</v>
      </c>
      <c r="K78" s="13">
        <f>SUM(K75:K76)</f>
        <v>0.28585166722273464</v>
      </c>
      <c r="L78" s="13">
        <f>SUM(L75:L76)</f>
        <v>0.2836298147603646</v>
      </c>
      <c r="M78" s="13">
        <f>SUM(M75:M76)</f>
        <v>0.28753941613264167</v>
      </c>
      <c r="N78" s="13">
        <f>SUM(N75:N76)</f>
        <v>0.28287016285671596</v>
      </c>
      <c r="O78" t="inlineStr">
        <is>
          <t>N/A</t>
        </is>
      </c>
    </row>
    <row r="81">
      <c r="B81" s="2" t="inlineStr">
        <is>
          <t>Op Costs</t>
        </is>
      </c>
    </row>
    <row r="82">
      <c r="B82" t="inlineStr">
        <is>
          <t>Op Costs - Previous FCAST</t>
        </is>
      </c>
      <c r="C82" s="13">
        <f>'Forecast'!C36</f>
        <v>-0.21456535552503742</v>
      </c>
      <c r="D82" s="13">
        <f>'Forecast'!D36</f>
        <v>-0.2144296068617474</v>
      </c>
      <c r="E82" s="13">
        <f>'Forecast'!E36</f>
        <v>-0.21929859011114164</v>
      </c>
      <c r="F82" s="13">
        <f>'Forecast'!F36</f>
        <v>-0.21388005857770476</v>
      </c>
      <c r="G82" s="13">
        <f>'Forecast'!G36</f>
        <v>-0.2179086035434562</v>
      </c>
      <c r="H82" s="13">
        <f>'Forecast'!H36</f>
        <v>-0.21490272665815371</v>
      </c>
      <c r="I82" s="13">
        <f>'Forecast'!I36</f>
        <v>-0.21492226014410315</v>
      </c>
      <c r="J82" s="13">
        <f>'Forecast'!J36</f>
        <v>-0.24003822823818532</v>
      </c>
      <c r="K82" s="13">
        <f>'Forecast'!K36</f>
        <v>-0.19543500873353872</v>
      </c>
      <c r="L82" s="13">
        <f>'Forecast'!L36</f>
        <v>-0.21392605116142308</v>
      </c>
      <c r="M82" s="13">
        <f>'Forecast'!M36</f>
        <v>-0.2144847930017292</v>
      </c>
      <c r="N82" s="13">
        <f>'Forecast'!N36</f>
        <v>-0.21311444793067383</v>
      </c>
      <c r="O82" t="inlineStr">
        <is>
          <t>N/A</t>
        </is>
      </c>
    </row>
    <row r="83">
      <c r="B83" t="inlineStr">
        <is>
          <t>New Adjustments (%)</t>
        </is>
      </c>
      <c r="C83" t="inlineStr">
        <is>
          <t>None</t>
        </is>
      </c>
      <c r="D83" t="inlineStr">
        <is>
          <t>None</t>
        </is>
      </c>
      <c r="E83" t="inlineStr">
        <is>
          <t>None</t>
        </is>
      </c>
      <c r="F83" t="inlineStr">
        <is>
          <t>None</t>
        </is>
      </c>
      <c r="G83" t="inlineStr">
        <is>
          <t>None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>
        <is>
          <t>None</t>
        </is>
      </c>
      <c r="M83" t="inlineStr">
        <is>
          <t>None</t>
        </is>
      </c>
      <c r="N83" t="inlineStr">
        <is>
          <t>None</t>
        </is>
      </c>
    </row>
    <row r="84">
      <c r="B84" t="inlineStr">
        <is>
          <t>New Adjustments ($)</t>
        </is>
      </c>
      <c r="C84" s="9">
        <f>-IF(C83="None",0,((('Forecast'!C28*-(C82+C83))-'Forecast'!C30)))</f>
        <v>0.0</v>
      </c>
      <c r="D84" s="9">
        <f>-IF(D83="None",0,((('Forecast'!D28*-(D82+D83))-'Forecast'!D30)))</f>
        <v>0.0</v>
      </c>
      <c r="E84" s="9">
        <f>-IF(E83="None",0,((('Forecast'!E28*-(E82+E83))-'Forecast'!E30)))</f>
        <v>0.0</v>
      </c>
      <c r="F84" s="9">
        <f>-IF(F83="None",0,((('Forecast'!F28*-(F82+F83))-'Forecast'!F30)))</f>
        <v>0.0</v>
      </c>
      <c r="G84" s="9">
        <f>-IF(G83="None",0,((('Forecast'!G28*-(G82+G83))-'Forecast'!G30)))</f>
        <v>0.0</v>
      </c>
      <c r="H84" s="9">
        <f>-IF(H83="None",0,((('Forecast'!H28*-(H82+H83))-'Forecast'!H30)))</f>
        <v>0.0</v>
      </c>
      <c r="I84" s="9">
        <f>-IF(I83="None",0,((('Forecast'!I28*-(I82+I83))-'Forecast'!I30)))</f>
        <v>0.0</v>
      </c>
      <c r="J84" s="9">
        <f>-IF(J83="None",0,((('Forecast'!J28*-(J82+J83))-'Forecast'!J30)))</f>
        <v>0.0</v>
      </c>
      <c r="K84" s="9">
        <f>-IF(K83="None",0,((('Forecast'!K28*-(K82+K83))-'Forecast'!K30)))</f>
        <v>0.0</v>
      </c>
      <c r="L84" s="9">
        <f>-IF(L83="None",0,((('Forecast'!L28*-(L82+L83))-'Forecast'!L30)))</f>
        <v>0.0</v>
      </c>
      <c r="M84" s="9">
        <f>-IF(M83="None",0,((('Forecast'!M28*-(M82+M83))-'Forecast'!M30)))</f>
        <v>0.0</v>
      </c>
      <c r="N84" s="9">
        <f>-IF(N83="None",0,((('Forecast'!N28*-(N82+N83))-'Forecast'!N30)))</f>
        <v>0.0</v>
      </c>
      <c r="O84" s="9">
        <f>SUM(C84:N84)</f>
        <v>0.0</v>
      </c>
    </row>
    <row r="85">
      <c r="B85" t="inlineStr">
        <is>
          <t>Op Costs - Current FCAST</t>
        </is>
      </c>
      <c r="C85" s="13">
        <f>SUM(C82:C83)</f>
        <v>-0.21456535552503742</v>
      </c>
      <c r="D85" s="13">
        <f>SUM(D82:D83)</f>
        <v>-0.2144296068617474</v>
      </c>
      <c r="E85" s="13">
        <f>SUM(E82:E83)</f>
        <v>-0.21929859011114164</v>
      </c>
      <c r="F85" s="13">
        <f>SUM(F82:F83)</f>
        <v>-0.21388005857770476</v>
      </c>
      <c r="G85" s="13">
        <f>SUM(G82:G83)</f>
        <v>-0.2179086035434562</v>
      </c>
      <c r="H85" s="13">
        <f>SUM(H82:H83)</f>
        <v>-0.21490272665815371</v>
      </c>
      <c r="I85" s="13">
        <f>SUM(I82:I83)</f>
        <v>-0.21492226014410315</v>
      </c>
      <c r="J85" s="13">
        <f>SUM(J82:J83)</f>
        <v>-0.24003822823818532</v>
      </c>
      <c r="K85" s="13">
        <f>SUM(K82:K83)</f>
        <v>-0.19543500873353872</v>
      </c>
      <c r="L85" s="13">
        <f>SUM(L82:L83)</f>
        <v>-0.21392605116142308</v>
      </c>
      <c r="M85" s="13">
        <f>SUM(M82:M83)</f>
        <v>-0.2144847930017292</v>
      </c>
      <c r="N85" s="13">
        <f>SUM(N82:N83)</f>
        <v>-0.21311444793067383</v>
      </c>
      <c r="O85" t="inlineStr">
        <is>
          <t>N/A</t>
        </is>
      </c>
    </row>
    <row r="87">
      <c r="B87" s="7" t="inlineStr">
        <is>
          <t>Section 3: Working Capital Adjustments</t>
        </is>
      </c>
    </row>
    <row r="89">
      <c r="C89" s="8" t="inlineStr">
        <is>
          <t>January</t>
        </is>
      </c>
      <c r="D89" s="8" t="inlineStr">
        <is>
          <t>February</t>
        </is>
      </c>
      <c r="E89" s="8" t="inlineStr">
        <is>
          <t>March</t>
        </is>
      </c>
      <c r="F89" s="8" t="inlineStr">
        <is>
          <t>April</t>
        </is>
      </c>
      <c r="G89" s="8" t="inlineStr">
        <is>
          <t>May</t>
        </is>
      </c>
      <c r="H89" s="8" t="inlineStr">
        <is>
          <t>June</t>
        </is>
      </c>
      <c r="I89" s="8" t="inlineStr">
        <is>
          <t>July</t>
        </is>
      </c>
      <c r="J89" s="8" t="inlineStr">
        <is>
          <t>August</t>
        </is>
      </c>
      <c r="K89" s="8" t="inlineStr">
        <is>
          <t>September</t>
        </is>
      </c>
      <c r="L89" s="8" t="inlineStr">
        <is>
          <t>October</t>
        </is>
      </c>
      <c r="M89" s="8" t="inlineStr">
        <is>
          <t>November</t>
        </is>
      </c>
      <c r="N89" s="8" t="inlineStr">
        <is>
          <t>December</t>
        </is>
      </c>
      <c r="O89" s="8" t="inlineStr">
        <is>
          <t>Total Adj</t>
        </is>
      </c>
    </row>
    <row r="90">
      <c r="A90" t="n">
        <v>2090</v>
      </c>
      <c r="B90" t="inlineStr">
        <is>
          <t>Net Inventory</t>
        </is>
      </c>
      <c r="C90" s="9" t="n">
        <v>0</v>
      </c>
      <c r="D90" s="9" t="n">
        <v>0</v>
      </c>
      <c r="E90" s="9" t="n">
        <v>0</v>
      </c>
      <c r="F90" s="9" t="n">
        <v>0</v>
      </c>
      <c r="G90" s="9" t="n">
        <v>0</v>
      </c>
      <c r="H90" s="9" t="n">
        <v>0</v>
      </c>
      <c r="I90" s="9" t="n">
        <v>0</v>
      </c>
      <c r="J90" s="9" t="n">
        <v>0</v>
      </c>
      <c r="K90" s="11" t="n">
        <v>400</v>
      </c>
      <c r="L90" s="11" t="n">
        <v>600</v>
      </c>
      <c r="M90" s="11" t="n">
        <v>300</v>
      </c>
      <c r="N90" s="11" t="n">
        <v>0</v>
      </c>
    </row>
    <row r="91">
      <c r="A91" t="n">
        <v>2135</v>
      </c>
      <c r="B91" t="inlineStr">
        <is>
          <t>Trade Receivables</t>
        </is>
      </c>
      <c r="C91" s="9" t="n">
        <v>0</v>
      </c>
      <c r="D91" s="9" t="n">
        <v>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0</v>
      </c>
      <c r="K91" s="11" t="n">
        <v>0</v>
      </c>
      <c r="L91" s="11" t="n">
        <v>0</v>
      </c>
      <c r="M91" s="11" t="n">
        <v>0</v>
      </c>
      <c r="N91" s="11" t="n">
        <v>0</v>
      </c>
    </row>
    <row r="92">
      <c r="A92" t="n">
        <v>2175</v>
      </c>
      <c r="B92" t="inlineStr">
        <is>
          <t>Other Receivables</t>
        </is>
      </c>
      <c r="C92" s="9" t="n">
        <v>0</v>
      </c>
      <c r="D92" s="9" t="n">
        <v>0</v>
      </c>
      <c r="E92" s="9" t="n">
        <v>0</v>
      </c>
      <c r="F92" s="9" t="n">
        <v>0</v>
      </c>
      <c r="G92" s="9" t="n">
        <v>0</v>
      </c>
      <c r="H92" s="9" t="n">
        <v>0</v>
      </c>
      <c r="I92" s="9" t="n">
        <v>0</v>
      </c>
      <c r="J92" s="9" t="n">
        <v>0</v>
      </c>
      <c r="K92" s="11" t="n">
        <v>0</v>
      </c>
      <c r="L92" s="11" t="n">
        <v>0</v>
      </c>
      <c r="M92" s="11" t="n">
        <v>0</v>
      </c>
      <c r="N92" s="11" t="n">
        <v>0</v>
      </c>
    </row>
    <row r="93">
      <c r="A93" t="n">
        <v>2140</v>
      </c>
      <c r="B93" t="inlineStr">
        <is>
          <t>Trade Payables</t>
        </is>
      </c>
      <c r="C93" s="9" t="n">
        <v>0</v>
      </c>
      <c r="D93" s="9" t="n">
        <v>0</v>
      </c>
      <c r="E93" s="9" t="n">
        <v>0</v>
      </c>
      <c r="F93" s="9" t="n">
        <v>0</v>
      </c>
      <c r="G93" s="9" t="n">
        <v>0</v>
      </c>
      <c r="H93" s="9" t="n">
        <v>0</v>
      </c>
      <c r="I93" s="9" t="n">
        <v>0</v>
      </c>
      <c r="J93" s="9" t="n">
        <v>0</v>
      </c>
      <c r="K93" s="11" t="n">
        <v>0</v>
      </c>
      <c r="L93" s="11" t="n">
        <v>0</v>
      </c>
      <c r="M93" s="11" t="n">
        <v>0</v>
      </c>
      <c r="N93" s="11" t="n">
        <v>0</v>
      </c>
    </row>
    <row r="94">
      <c r="A94" t="n">
        <v>2180</v>
      </c>
      <c r="B94" t="inlineStr">
        <is>
          <t>Other Payables</t>
        </is>
      </c>
      <c r="C94" s="9" t="n">
        <v>0</v>
      </c>
      <c r="D94" s="9" t="n">
        <v>0</v>
      </c>
      <c r="E94" s="9" t="n">
        <v>0</v>
      </c>
      <c r="F94" s="9" t="n">
        <v>0</v>
      </c>
      <c r="G94" s="9" t="n">
        <v>0</v>
      </c>
      <c r="H94" s="9" t="n">
        <v>0</v>
      </c>
      <c r="I94" s="9" t="n">
        <v>0</v>
      </c>
      <c r="J94" s="9" t="n">
        <v>0</v>
      </c>
      <c r="K94" s="11" t="n">
        <v>0</v>
      </c>
      <c r="L94" s="11" t="n">
        <v>0</v>
      </c>
      <c r="M94" s="11" t="n">
        <v>0</v>
      </c>
      <c r="N94" s="11" t="n">
        <v>0</v>
      </c>
    </row>
    <row r="95">
      <c r="A95" t="n">
        <v>2185</v>
      </c>
      <c r="B95" s="2" t="inlineStr">
        <is>
          <t>Total Working Capital</t>
        </is>
      </c>
      <c r="C95" s="9">
        <f>SUM(C90:C94)</f>
        <v>0.0</v>
      </c>
      <c r="D95" s="9">
        <f>SUM(D90:D94)</f>
        <v>0.0</v>
      </c>
      <c r="E95" s="9">
        <f>SUM(E90:E94)</f>
        <v>0.0</v>
      </c>
      <c r="F95" s="9">
        <f>SUM(F90:F94)</f>
        <v>0.0</v>
      </c>
      <c r="G95" s="9">
        <f>SUM(G90:G94)</f>
        <v>0.0</v>
      </c>
      <c r="H95" s="9">
        <f>SUM(H90:H94)</f>
        <v>0.0</v>
      </c>
      <c r="I95" s="9">
        <f>SUM(I90:I94)</f>
        <v>0.0</v>
      </c>
      <c r="J95" s="9">
        <f>SUM(J90:J94)</f>
        <v>0.0</v>
      </c>
      <c r="K95" s="9">
        <f>SUM(K90:K94)</f>
        <v>400.0</v>
      </c>
      <c r="L95" s="9">
        <f>SUM(L90:L94)</f>
        <v>600.0</v>
      </c>
      <c r="M95" s="9">
        <f>SUM(M90:M94)</f>
        <v>300.0</v>
      </c>
      <c r="N95" s="9">
        <f>SUM(N90:N94)</f>
        <v>0.0</v>
      </c>
    </row>
    <row r="97">
      <c r="B97" s="15" t="inlineStr">
        <is>
          <t>NOTE: A positive number within the working capital adjustments section indicates a DR (i.e., increase to asset / decrease to liability). A negative number indicates a CR.</t>
        </is>
      </c>
    </row>
  </sheetData>
  <dataValidations count="1">
    <dataValidation sqref="C76:N76 C83:N83" showDropDown="0" showInputMessage="0" showErrorMessage="0" allowBlank="1" type="list">
      <formula1>"None,-2.0%,-1.5%,-1.0%,-0.5%,0.5%,1.0%,1.5%,2.0%"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70C0"/>
    <outlinePr summaryBelow="1" summaryRight="1"/>
    <pageSetUpPr/>
  </sheetPr>
  <dimension ref="B1:CE73"/>
  <sheetViews>
    <sheetView showGridLines="0" workbookViewId="0">
      <pane xSplit="2" ySplit="26" topLeftCell="C2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2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2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2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2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2" customWidth="1" min="72" max="72"/>
    <col width="11" customWidth="1" min="73" max="73"/>
    <col width="11" customWidth="1" min="74" max="74"/>
    <col width="11" customWidth="1" min="75" max="75"/>
    <col width="2" customWidth="1" min="76" max="76"/>
    <col width="11" customWidth="1" min="77" max="77"/>
    <col width="11" customWidth="1" min="78" max="78"/>
    <col width="11" customWidth="1" min="79" max="79"/>
    <col width="2" customWidth="1" min="80" max="80"/>
    <col width="11" customWidth="1" min="81" max="81"/>
    <col width="11" customWidth="1" min="82" max="82"/>
    <col width="11" customWidth="1" min="83" max="83"/>
  </cols>
  <sheetData>
    <row r="1" outlineLevel="1">
      <c r="C1" s="16" t="inlineStr">
        <is>
          <t>Actual</t>
        </is>
      </c>
      <c r="D1" s="16" t="inlineStr">
        <is>
          <t>Actual</t>
        </is>
      </c>
      <c r="E1" s="16" t="inlineStr">
        <is>
          <t>Actual</t>
        </is>
      </c>
      <c r="F1" s="16" t="inlineStr">
        <is>
          <t>Actual</t>
        </is>
      </c>
      <c r="G1" s="16" t="inlineStr">
        <is>
          <t>Actual</t>
        </is>
      </c>
      <c r="H1" s="16" t="inlineStr">
        <is>
          <t>Actual</t>
        </is>
      </c>
      <c r="I1" s="16" t="inlineStr">
        <is>
          <t>Actual</t>
        </is>
      </c>
      <c r="J1" s="16" t="inlineStr">
        <is>
          <t>Actual</t>
        </is>
      </c>
      <c r="K1" s="16" t="inlineStr">
        <is>
          <t>FCAST09</t>
        </is>
      </c>
      <c r="L1" s="16" t="inlineStr">
        <is>
          <t>FCAST09</t>
        </is>
      </c>
      <c r="M1" s="16" t="inlineStr">
        <is>
          <t>FCAST09</t>
        </is>
      </c>
      <c r="N1" s="16" t="inlineStr">
        <is>
          <t>FCAST09</t>
        </is>
      </c>
    </row>
    <row r="2" outlineLevel="1">
      <c r="B2" s="16" t="inlineStr">
        <is>
          <t>Scenario#</t>
        </is>
      </c>
      <c r="C2" s="16" t="inlineStr">
        <is>
          <t>Actual</t>
        </is>
      </c>
      <c r="D2" s="16" t="inlineStr">
        <is>
          <t>Actual</t>
        </is>
      </c>
      <c r="E2" s="16" t="inlineStr">
        <is>
          <t>Actual</t>
        </is>
      </c>
      <c r="F2" s="16" t="inlineStr">
        <is>
          <t>Actual</t>
        </is>
      </c>
      <c r="G2" s="16" t="inlineStr">
        <is>
          <t>Actual</t>
        </is>
      </c>
      <c r="H2" s="16" t="inlineStr">
        <is>
          <t>Actual</t>
        </is>
      </c>
      <c r="I2" s="16" t="inlineStr">
        <is>
          <t>Actual</t>
        </is>
      </c>
      <c r="J2" s="16" t="inlineStr">
        <is>
          <t>Actual</t>
        </is>
      </c>
      <c r="K2" s="16" t="inlineStr">
        <is>
          <t>Actual</t>
        </is>
      </c>
      <c r="L2" s="16" t="inlineStr">
        <is>
          <t>Actual</t>
        </is>
      </c>
      <c r="M2" s="16" t="inlineStr">
        <is>
          <t>Actual</t>
        </is>
      </c>
      <c r="N2" s="16" t="inlineStr">
        <is>
          <t>Actual</t>
        </is>
      </c>
    </row>
    <row r="3" outlineLevel="1"/>
    <row r="4" outlineLevel="1"/>
    <row r="5" outlineLevel="1">
      <c r="B5" s="16" t="inlineStr">
        <is>
          <t>Year#</t>
        </is>
      </c>
      <c r="C5" s="16" t="n">
        <v>2026</v>
      </c>
      <c r="D5" s="16" t="n">
        <v>2026</v>
      </c>
      <c r="E5" s="16" t="n">
        <v>2026</v>
      </c>
      <c r="F5" s="16" t="n">
        <v>2026</v>
      </c>
      <c r="G5" s="16" t="n">
        <v>2026</v>
      </c>
      <c r="H5" s="16" t="n">
        <v>2026</v>
      </c>
      <c r="I5" s="16" t="n">
        <v>2026</v>
      </c>
      <c r="J5" s="16" t="n">
        <v>2026</v>
      </c>
      <c r="K5" s="16" t="n">
        <v>2026</v>
      </c>
      <c r="L5" s="16" t="n">
        <v>2026</v>
      </c>
      <c r="M5" s="16" t="n">
        <v>2026</v>
      </c>
      <c r="N5" s="16" t="n">
        <v>2026</v>
      </c>
    </row>
    <row r="6" outlineLevel="1"/>
    <row r="7" outlineLevel="1"/>
    <row r="8" outlineLevel="1">
      <c r="B8" s="16" t="inlineStr">
        <is>
          <t>Period#</t>
        </is>
      </c>
      <c r="C8" s="16" t="inlineStr">
        <is>
          <t>P01</t>
        </is>
      </c>
      <c r="D8" s="16" t="inlineStr">
        <is>
          <t>P02</t>
        </is>
      </c>
      <c r="E8" s="16" t="inlineStr">
        <is>
          <t>P03</t>
        </is>
      </c>
      <c r="F8" s="16" t="inlineStr">
        <is>
          <t>P04</t>
        </is>
      </c>
      <c r="G8" s="16" t="inlineStr">
        <is>
          <t>P05</t>
        </is>
      </c>
      <c r="H8" s="16" t="inlineStr">
        <is>
          <t>P06</t>
        </is>
      </c>
      <c r="I8" s="16" t="inlineStr">
        <is>
          <t>P07</t>
        </is>
      </c>
      <c r="J8" s="16" t="inlineStr">
        <is>
          <t>P08</t>
        </is>
      </c>
      <c r="K8" s="16" t="inlineStr">
        <is>
          <t>P09</t>
        </is>
      </c>
      <c r="L8" s="16" t="inlineStr">
        <is>
          <t>P10</t>
        </is>
      </c>
      <c r="M8" s="16" t="inlineStr">
        <is>
          <t>P11</t>
        </is>
      </c>
      <c r="N8" s="16" t="inlineStr">
        <is>
          <t>P12</t>
        </is>
      </c>
    </row>
    <row r="9" outlineLevel="1">
      <c r="B9" s="16" t="inlineStr">
        <is>
          <t>Account#</t>
        </is>
      </c>
    </row>
    <row r="10" outlineLevel="1">
      <c r="B10" s="16" t="inlineStr">
        <is>
          <t>ICP#</t>
        </is>
      </c>
    </row>
    <row r="11" outlineLevel="1">
      <c r="B11" s="16" t="inlineStr">
        <is>
          <t>Custom1#</t>
        </is>
      </c>
      <c r="C11" s="16" t="inlineStr">
        <is>
          <t>TotalC1</t>
        </is>
      </c>
      <c r="D11" s="16" t="inlineStr">
        <is>
          <t>TotalC1</t>
        </is>
      </c>
      <c r="E11" s="16" t="inlineStr">
        <is>
          <t>TotalC1</t>
        </is>
      </c>
      <c r="F11" s="16" t="inlineStr">
        <is>
          <t>TotalC1</t>
        </is>
      </c>
      <c r="G11" s="16" t="inlineStr">
        <is>
          <t>TotalC1</t>
        </is>
      </c>
      <c r="H11" s="16" t="inlineStr">
        <is>
          <t>TotalC1</t>
        </is>
      </c>
      <c r="I11" s="16" t="inlineStr">
        <is>
          <t>TotalC1</t>
        </is>
      </c>
      <c r="J11" s="16" t="inlineStr">
        <is>
          <t>TotalC1</t>
        </is>
      </c>
      <c r="K11" s="16" t="inlineStr">
        <is>
          <t>TotalC1</t>
        </is>
      </c>
      <c r="L11" s="16" t="inlineStr">
        <is>
          <t>TotalC1</t>
        </is>
      </c>
      <c r="M11" s="16" t="inlineStr">
        <is>
          <t>TotalC1</t>
        </is>
      </c>
      <c r="N11" s="16" t="inlineStr">
        <is>
          <t>TotalC1</t>
        </is>
      </c>
    </row>
    <row r="12" outlineLevel="1">
      <c r="B12" s="16" t="inlineStr">
        <is>
          <t>Custom2#</t>
        </is>
      </c>
      <c r="C12" s="16" t="inlineStr">
        <is>
          <t>TotalC2</t>
        </is>
      </c>
      <c r="D12" s="16" t="inlineStr">
        <is>
          <t>TotalC2</t>
        </is>
      </c>
      <c r="E12" s="16" t="inlineStr">
        <is>
          <t>TotalC2</t>
        </is>
      </c>
      <c r="F12" s="16" t="inlineStr">
        <is>
          <t>TotalC2</t>
        </is>
      </c>
      <c r="G12" s="16" t="inlineStr">
        <is>
          <t>TotalC2</t>
        </is>
      </c>
      <c r="H12" s="16" t="inlineStr">
        <is>
          <t>TotalC2</t>
        </is>
      </c>
      <c r="I12" s="16" t="inlineStr">
        <is>
          <t>TotalC2</t>
        </is>
      </c>
      <c r="J12" s="16" t="inlineStr">
        <is>
          <t>TotalC2</t>
        </is>
      </c>
      <c r="K12" s="16" t="inlineStr">
        <is>
          <t>TotalC2</t>
        </is>
      </c>
      <c r="L12" s="16" t="inlineStr">
        <is>
          <t>TotalC2</t>
        </is>
      </c>
      <c r="M12" s="16" t="inlineStr">
        <is>
          <t>TotalC2</t>
        </is>
      </c>
      <c r="N12" s="16" t="inlineStr">
        <is>
          <t>TotalC2</t>
        </is>
      </c>
    </row>
    <row r="13" outlineLevel="1">
      <c r="B13" s="16" t="inlineStr">
        <is>
          <t>Custom3#</t>
        </is>
      </c>
    </row>
    <row r="14" outlineLevel="1">
      <c r="B14" s="16" t="inlineStr">
        <is>
          <t>Custom4#</t>
        </is>
      </c>
    </row>
    <row r="15" outlineLevel="1"/>
    <row r="16" outlineLevel="1"/>
    <row r="17" outlineLevel="1"/>
    <row r="18" outlineLevel="1">
      <c r="B18" s="16" t="inlineStr">
        <is>
          <t>View#</t>
        </is>
      </c>
      <c r="C18" s="16" t="inlineStr">
        <is>
          <t>Periodic</t>
        </is>
      </c>
      <c r="D18" s="16" t="inlineStr">
        <is>
          <t>Periodic</t>
        </is>
      </c>
      <c r="E18" s="16" t="inlineStr">
        <is>
          <t>Periodic</t>
        </is>
      </c>
      <c r="F18" s="16" t="inlineStr">
        <is>
          <t>Periodic</t>
        </is>
      </c>
      <c r="G18" s="16" t="inlineStr">
        <is>
          <t>Periodic</t>
        </is>
      </c>
      <c r="H18" s="16" t="inlineStr">
        <is>
          <t>Periodic</t>
        </is>
      </c>
      <c r="I18" s="16" t="inlineStr">
        <is>
          <t>Periodic</t>
        </is>
      </c>
      <c r="J18" s="16" t="inlineStr">
        <is>
          <t>Periodic</t>
        </is>
      </c>
      <c r="K18" s="16" t="inlineStr">
        <is>
          <t>Periodic</t>
        </is>
      </c>
      <c r="L18" s="16" t="inlineStr">
        <is>
          <t>Periodic</t>
        </is>
      </c>
      <c r="M18" s="16" t="inlineStr">
        <is>
          <t>Periodic</t>
        </is>
      </c>
      <c r="N18" s="16" t="inlineStr">
        <is>
          <t>Periodic</t>
        </is>
      </c>
    </row>
    <row r="19" outlineLevel="1">
      <c r="B19" s="16" t="inlineStr">
        <is>
          <t>Value#</t>
        </is>
      </c>
      <c r="C19" s="16" t="inlineStr">
        <is>
          <t>USD Total</t>
        </is>
      </c>
      <c r="D19" s="16" t="inlineStr">
        <is>
          <t>USD Total</t>
        </is>
      </c>
      <c r="E19" s="16" t="inlineStr">
        <is>
          <t>USD Total</t>
        </is>
      </c>
      <c r="F19" s="16" t="inlineStr">
        <is>
          <t>USD Total</t>
        </is>
      </c>
      <c r="G19" s="16" t="inlineStr">
        <is>
          <t>USD Total</t>
        </is>
      </c>
      <c r="H19" s="16" t="inlineStr">
        <is>
          <t>USD Total</t>
        </is>
      </c>
      <c r="I19" s="16" t="inlineStr">
        <is>
          <t>USD Total</t>
        </is>
      </c>
      <c r="J19" s="16" t="inlineStr">
        <is>
          <t>USD Total</t>
        </is>
      </c>
      <c r="K19" s="16" t="inlineStr">
        <is>
          <t>USD Total</t>
        </is>
      </c>
      <c r="L19" s="16" t="inlineStr">
        <is>
          <t>USD Total</t>
        </is>
      </c>
      <c r="M19" s="16" t="inlineStr">
        <is>
          <t>USD Total</t>
        </is>
      </c>
      <c r="N19" s="16" t="inlineStr">
        <is>
          <t>USD Total</t>
        </is>
      </c>
    </row>
    <row r="21">
      <c r="B21" s="1" t="inlineStr">
        <is>
          <t>TRAINING DATA ONLY - Zava Safety and all business names and numbers are fictitious. Layout mirrors a typical HFM / Cognos reporting pack.</t>
        </is>
      </c>
    </row>
    <row r="22">
      <c r="B22" s="16" t="inlineStr">
        <is>
          <t>GRANITE_DISP</t>
        </is>
      </c>
    </row>
    <row r="23">
      <c r="B23" s="6" t="inlineStr">
        <is>
          <t>Granite Gloves</t>
        </is>
      </c>
      <c r="BU23" s="7" t="inlineStr">
        <is>
          <t>FCAST10 - Variance ($) - Favorable / (Unfavorable)</t>
        </is>
      </c>
    </row>
    <row r="24">
      <c r="C24" s="7" t="inlineStr">
        <is>
          <t>FCAST09 as Reported</t>
        </is>
      </c>
      <c r="Q24" s="7" t="inlineStr">
        <is>
          <t>FCAST09 at New Fx Rates</t>
        </is>
      </c>
      <c r="AE24" s="7" t="inlineStr">
        <is>
          <t>Fx Changes</t>
        </is>
      </c>
      <c r="AS24" s="7" t="inlineStr">
        <is>
          <t>Operational Adjustments</t>
        </is>
      </c>
      <c r="BG24" s="7" t="inlineStr">
        <is>
          <t>FCAST10</t>
        </is>
      </c>
      <c r="BU24" s="2" t="inlineStr">
        <is>
          <t>Through Sep</t>
        </is>
      </c>
      <c r="BY24" s="2" t="inlineStr">
        <is>
          <t>Rest of Year</t>
        </is>
      </c>
      <c r="CC24" s="2" t="inlineStr">
        <is>
          <t>Full Year</t>
        </is>
      </c>
    </row>
    <row r="25">
      <c r="C25" t="inlineStr">
        <is>
          <t>Actual</t>
        </is>
      </c>
      <c r="D25" t="inlineStr">
        <is>
          <t>Actual</t>
        </is>
      </c>
      <c r="E25" t="inlineStr">
        <is>
          <t>Actual</t>
        </is>
      </c>
      <c r="F25" t="inlineStr">
        <is>
          <t>Actual</t>
        </is>
      </c>
      <c r="G25" t="inlineStr">
        <is>
          <t>Actual</t>
        </is>
      </c>
      <c r="H25" t="inlineStr">
        <is>
          <t>Actual</t>
        </is>
      </c>
      <c r="I25" t="inlineStr">
        <is>
          <t>Actual</t>
        </is>
      </c>
      <c r="J25" t="inlineStr">
        <is>
          <t>Actual</t>
        </is>
      </c>
      <c r="K25" t="inlineStr">
        <is>
          <t>FCAST09</t>
        </is>
      </c>
      <c r="L25" t="inlineStr">
        <is>
          <t>FCAST09</t>
        </is>
      </c>
      <c r="M25" t="inlineStr">
        <is>
          <t>FCAST09</t>
        </is>
      </c>
      <c r="N25" t="inlineStr">
        <is>
          <t>FCAST09</t>
        </is>
      </c>
      <c r="O25" t="inlineStr">
        <is>
          <t>Forecast</t>
        </is>
      </c>
      <c r="Q25" t="inlineStr">
        <is>
          <t>Actual</t>
        </is>
      </c>
      <c r="R25" t="inlineStr">
        <is>
          <t>Actual</t>
        </is>
      </c>
      <c r="S25" t="inlineStr">
        <is>
          <t>Actual</t>
        </is>
      </c>
      <c r="T25" t="inlineStr">
        <is>
          <t>Actual</t>
        </is>
      </c>
      <c r="U25" t="inlineStr">
        <is>
          <t>Actual</t>
        </is>
      </c>
      <c r="V25" t="inlineStr">
        <is>
          <t>Actual</t>
        </is>
      </c>
      <c r="W25" t="inlineStr">
        <is>
          <t>Actual</t>
        </is>
      </c>
      <c r="X25" t="inlineStr">
        <is>
          <t>Actual</t>
        </is>
      </c>
      <c r="Y25" t="inlineStr">
        <is>
          <t>FCAST09</t>
        </is>
      </c>
      <c r="Z25" t="inlineStr">
        <is>
          <t>FCAST09</t>
        </is>
      </c>
      <c r="AA25" t="inlineStr">
        <is>
          <t>FCAST09</t>
        </is>
      </c>
      <c r="AB25" t="inlineStr">
        <is>
          <t>FCAST09</t>
        </is>
      </c>
      <c r="AC25" t="inlineStr">
        <is>
          <t>Forecast</t>
        </is>
      </c>
      <c r="BG25" t="inlineStr">
        <is>
          <t>Actual</t>
        </is>
      </c>
      <c r="BH25" t="inlineStr">
        <is>
          <t>Actual</t>
        </is>
      </c>
      <c r="BI25" t="inlineStr">
        <is>
          <t>Actual</t>
        </is>
      </c>
      <c r="BJ25" t="inlineStr">
        <is>
          <t>Actual</t>
        </is>
      </c>
      <c r="BK25" t="inlineStr">
        <is>
          <t>Actual</t>
        </is>
      </c>
      <c r="BL25" t="inlineStr">
        <is>
          <t>Actual</t>
        </is>
      </c>
      <c r="BM25" t="inlineStr">
        <is>
          <t>Actual</t>
        </is>
      </c>
      <c r="BN25" t="inlineStr">
        <is>
          <t>Actual</t>
        </is>
      </c>
      <c r="BO25" t="inlineStr">
        <is>
          <t>Actual</t>
        </is>
      </c>
      <c r="BP25" t="inlineStr">
        <is>
          <t>FCAST10</t>
        </is>
      </c>
      <c r="BQ25" t="inlineStr">
        <is>
          <t>FCAST10</t>
        </is>
      </c>
      <c r="BR25" t="inlineStr">
        <is>
          <t>FCAST10</t>
        </is>
      </c>
      <c r="BS25" t="inlineStr">
        <is>
          <t>Forecast</t>
        </is>
      </c>
    </row>
    <row r="26" ht="30" customHeight="1">
      <c r="B26" s="2" t="inlineStr">
        <is>
          <t>Description:</t>
        </is>
      </c>
      <c r="C26" s="17" t="inlineStr">
        <is>
          <t>January</t>
        </is>
      </c>
      <c r="D26" s="17" t="inlineStr">
        <is>
          <t>February</t>
        </is>
      </c>
      <c r="E26" s="17" t="inlineStr">
        <is>
          <t>March</t>
        </is>
      </c>
      <c r="F26" s="17" t="inlineStr">
        <is>
          <t>April</t>
        </is>
      </c>
      <c r="G26" s="17" t="inlineStr">
        <is>
          <t>May</t>
        </is>
      </c>
      <c r="H26" s="17" t="inlineStr">
        <is>
          <t>June</t>
        </is>
      </c>
      <c r="I26" s="17" t="inlineStr">
        <is>
          <t>July</t>
        </is>
      </c>
      <c r="J26" s="17" t="inlineStr">
        <is>
          <t>August</t>
        </is>
      </c>
      <c r="K26" s="17" t="inlineStr">
        <is>
          <t>September</t>
        </is>
      </c>
      <c r="L26" s="17" t="inlineStr">
        <is>
          <t>October</t>
        </is>
      </c>
      <c r="M26" s="17" t="inlineStr">
        <is>
          <t>November</t>
        </is>
      </c>
      <c r="N26" s="17" t="inlineStr">
        <is>
          <t>December</t>
        </is>
      </c>
      <c r="O26" s="17" t="inlineStr">
        <is>
          <t>Full year</t>
        </is>
      </c>
      <c r="Q26" s="17" t="inlineStr">
        <is>
          <t>January</t>
        </is>
      </c>
      <c r="R26" s="17" t="inlineStr">
        <is>
          <t>February</t>
        </is>
      </c>
      <c r="S26" s="17" t="inlineStr">
        <is>
          <t>March</t>
        </is>
      </c>
      <c r="T26" s="17" t="inlineStr">
        <is>
          <t>April</t>
        </is>
      </c>
      <c r="U26" s="17" t="inlineStr">
        <is>
          <t>May</t>
        </is>
      </c>
      <c r="V26" s="17" t="inlineStr">
        <is>
          <t>June</t>
        </is>
      </c>
      <c r="W26" s="17" t="inlineStr">
        <is>
          <t>July</t>
        </is>
      </c>
      <c r="X26" s="17" t="inlineStr">
        <is>
          <t>August</t>
        </is>
      </c>
      <c r="Y26" s="17" t="inlineStr">
        <is>
          <t>September</t>
        </is>
      </c>
      <c r="Z26" s="17" t="inlineStr">
        <is>
          <t>October</t>
        </is>
      </c>
      <c r="AA26" s="17" t="inlineStr">
        <is>
          <t>November</t>
        </is>
      </c>
      <c r="AB26" s="17" t="inlineStr">
        <is>
          <t>December</t>
        </is>
      </c>
      <c r="AC26" s="17" t="inlineStr">
        <is>
          <t>Full year</t>
        </is>
      </c>
      <c r="AE26" s="17" t="inlineStr">
        <is>
          <t>January</t>
        </is>
      </c>
      <c r="AF26" s="17" t="inlineStr">
        <is>
          <t>February</t>
        </is>
      </c>
      <c r="AG26" s="17" t="inlineStr">
        <is>
          <t>March</t>
        </is>
      </c>
      <c r="AH26" s="17" t="inlineStr">
        <is>
          <t>April</t>
        </is>
      </c>
      <c r="AI26" s="17" t="inlineStr">
        <is>
          <t>May</t>
        </is>
      </c>
      <c r="AJ26" s="17" t="inlineStr">
        <is>
          <t>June</t>
        </is>
      </c>
      <c r="AK26" s="17" t="inlineStr">
        <is>
          <t>July</t>
        </is>
      </c>
      <c r="AL26" s="17" t="inlineStr">
        <is>
          <t>August</t>
        </is>
      </c>
      <c r="AM26" s="17" t="inlineStr">
        <is>
          <t>September</t>
        </is>
      </c>
      <c r="AN26" s="17" t="inlineStr">
        <is>
          <t>October</t>
        </is>
      </c>
      <c r="AO26" s="17" t="inlineStr">
        <is>
          <t>November</t>
        </is>
      </c>
      <c r="AP26" s="17" t="inlineStr">
        <is>
          <t>December</t>
        </is>
      </c>
      <c r="AQ26" s="17" t="inlineStr">
        <is>
          <t>Full year</t>
        </is>
      </c>
      <c r="AS26" s="17" t="inlineStr">
        <is>
          <t>January</t>
        </is>
      </c>
      <c r="AT26" s="17" t="inlineStr">
        <is>
          <t>February</t>
        </is>
      </c>
      <c r="AU26" s="17" t="inlineStr">
        <is>
          <t>March</t>
        </is>
      </c>
      <c r="AV26" s="17" t="inlineStr">
        <is>
          <t>April</t>
        </is>
      </c>
      <c r="AW26" s="17" t="inlineStr">
        <is>
          <t>May</t>
        </is>
      </c>
      <c r="AX26" s="17" t="inlineStr">
        <is>
          <t>June</t>
        </is>
      </c>
      <c r="AY26" s="17" t="inlineStr">
        <is>
          <t>July</t>
        </is>
      </c>
      <c r="AZ26" s="17" t="inlineStr">
        <is>
          <t>August</t>
        </is>
      </c>
      <c r="BA26" s="17" t="inlineStr">
        <is>
          <t>September</t>
        </is>
      </c>
      <c r="BB26" s="17" t="inlineStr">
        <is>
          <t>October</t>
        </is>
      </c>
      <c r="BC26" s="17" t="inlineStr">
        <is>
          <t>November</t>
        </is>
      </c>
      <c r="BD26" s="17" t="inlineStr">
        <is>
          <t>December</t>
        </is>
      </c>
      <c r="BE26" s="17" t="inlineStr">
        <is>
          <t>Full year</t>
        </is>
      </c>
      <c r="BG26" s="17" t="inlineStr">
        <is>
          <t>January</t>
        </is>
      </c>
      <c r="BH26" s="17" t="inlineStr">
        <is>
          <t>February</t>
        </is>
      </c>
      <c r="BI26" s="17" t="inlineStr">
        <is>
          <t>March</t>
        </is>
      </c>
      <c r="BJ26" s="17" t="inlineStr">
        <is>
          <t>April</t>
        </is>
      </c>
      <c r="BK26" s="17" t="inlineStr">
        <is>
          <t>May</t>
        </is>
      </c>
      <c r="BL26" s="17" t="inlineStr">
        <is>
          <t>June</t>
        </is>
      </c>
      <c r="BM26" s="17" t="inlineStr">
        <is>
          <t>July</t>
        </is>
      </c>
      <c r="BN26" s="17" t="inlineStr">
        <is>
          <t>August</t>
        </is>
      </c>
      <c r="BO26" s="17" t="inlineStr">
        <is>
          <t>September</t>
        </is>
      </c>
      <c r="BP26" s="17" t="inlineStr">
        <is>
          <t>October</t>
        </is>
      </c>
      <c r="BQ26" s="17" t="inlineStr">
        <is>
          <t>November</t>
        </is>
      </c>
      <c r="BR26" s="17" t="inlineStr">
        <is>
          <t>December</t>
        </is>
      </c>
      <c r="BS26" s="17" t="inlineStr">
        <is>
          <t>Full year</t>
        </is>
      </c>
      <c r="BU26" s="18" t="inlineStr">
        <is>
          <t>Actual vs. FCAST09</t>
        </is>
      </c>
      <c r="BV26" s="18" t="inlineStr">
        <is>
          <t>Actual vs. Bud</t>
        </is>
      </c>
      <c r="BW26" s="18" t="inlineStr">
        <is>
          <t>Actual vs. PY</t>
        </is>
      </c>
      <c r="BY26" s="18" t="inlineStr">
        <is>
          <t>FCAST10 vs. FCAST09</t>
        </is>
      </c>
      <c r="BZ26" s="18" t="inlineStr">
        <is>
          <t>FCAST10 vs. Bud</t>
        </is>
      </c>
      <c r="CA26" s="18" t="inlineStr">
        <is>
          <t>FCAST10 vs. PY</t>
        </is>
      </c>
      <c r="CC26" s="18" t="inlineStr">
        <is>
          <t>FCAST10 vs. FCAST09</t>
        </is>
      </c>
      <c r="CD26" s="18" t="inlineStr">
        <is>
          <t>FCAST10 vs. Bud</t>
        </is>
      </c>
      <c r="CE26" s="18" t="inlineStr">
        <is>
          <t>FCAST10 vs. PY</t>
        </is>
      </c>
    </row>
    <row r="28">
      <c r="B28" s="2" t="inlineStr">
        <is>
          <t>Sales</t>
        </is>
      </c>
      <c r="C28" s="9" t="n">
        <v>4878.7</v>
      </c>
      <c r="D28" s="9" t="n">
        <v>4815.1</v>
      </c>
      <c r="E28" s="9" t="n">
        <v>5092.6</v>
      </c>
      <c r="F28" s="9" t="n">
        <v>5599.4</v>
      </c>
      <c r="G28" s="9" t="n">
        <v>5017.7</v>
      </c>
      <c r="H28" s="9" t="n">
        <v>5325.2</v>
      </c>
      <c r="I28" s="9" t="n">
        <v>5274</v>
      </c>
      <c r="J28" s="9" t="n">
        <v>5127.1</v>
      </c>
      <c r="K28" s="9" t="n">
        <v>5095.3</v>
      </c>
      <c r="L28" s="9" t="n">
        <v>5441.6</v>
      </c>
      <c r="M28" s="9" t="n">
        <v>4915.5</v>
      </c>
      <c r="N28" s="9" t="n">
        <v>5354.4</v>
      </c>
      <c r="O28" s="19">
        <f>SUM(C28:N28)</f>
        <v>61936.6</v>
      </c>
      <c r="Q28" s="9" t="n">
        <v>4878.7</v>
      </c>
      <c r="R28" s="9" t="n">
        <v>4815.1</v>
      </c>
      <c r="S28" s="9" t="n">
        <v>5092.6</v>
      </c>
      <c r="T28" s="9" t="n">
        <v>5599.4</v>
      </c>
      <c r="U28" s="9" t="n">
        <v>5017.7</v>
      </c>
      <c r="V28" s="9" t="n">
        <v>5325.2</v>
      </c>
      <c r="W28" s="9" t="n">
        <v>5274</v>
      </c>
      <c r="X28" s="9" t="n">
        <v>5127.1</v>
      </c>
      <c r="Y28" s="9" t="n">
        <v>5095.3</v>
      </c>
      <c r="Z28" s="9" t="n">
        <v>5441.6</v>
      </c>
      <c r="AA28" s="9" t="n">
        <v>4915.5</v>
      </c>
      <c r="AB28" s="9" t="n">
        <v>5354.4</v>
      </c>
      <c r="AC28" s="19">
        <f>SUM(Q28:AB28)</f>
        <v>61936.6</v>
      </c>
      <c r="AE28" s="9">
        <f>Q28-C28</f>
        <v>0.0</v>
      </c>
      <c r="AF28" s="9">
        <f>R28-D28</f>
        <v>0.0</v>
      </c>
      <c r="AG28" s="9">
        <f>S28-E28</f>
        <v>0.0</v>
      </c>
      <c r="AH28" s="9">
        <f>T28-F28</f>
        <v>0.0</v>
      </c>
      <c r="AI28" s="9">
        <f>U28-G28</f>
        <v>0.0</v>
      </c>
      <c r="AJ28" s="9">
        <f>V28-H28</f>
        <v>0.0</v>
      </c>
      <c r="AK28" s="9">
        <f>W28-I28</f>
        <v>0.0</v>
      </c>
      <c r="AL28" s="9">
        <f>X28-J28</f>
        <v>0.0</v>
      </c>
      <c r="AM28" s="9">
        <f>Y28-K28</f>
        <v>0.0</v>
      </c>
      <c r="AN28" s="9">
        <f>Z28-L28</f>
        <v>0.0</v>
      </c>
      <c r="AO28" s="9">
        <f>AA28-M28</f>
        <v>0.0</v>
      </c>
      <c r="AP28" s="9">
        <f>AB28-N28</f>
        <v>0.0</v>
      </c>
      <c r="AQ28" s="19">
        <f>SUM(AE28:AP28)</f>
        <v>0.0</v>
      </c>
      <c r="AS28" s="9">
        <f>'Adjustments'!C14</f>
        <v>0.0</v>
      </c>
      <c r="AT28" s="9">
        <f>'Adjustments'!D14</f>
        <v>0.0</v>
      </c>
      <c r="AU28" s="9">
        <f>'Adjustments'!E14</f>
        <v>0.0</v>
      </c>
      <c r="AV28" s="9">
        <f>'Adjustments'!F14</f>
        <v>0.0</v>
      </c>
      <c r="AW28" s="9">
        <f>'Adjustments'!G14</f>
        <v>0.0</v>
      </c>
      <c r="AX28" s="9">
        <f>'Adjustments'!H14</f>
        <v>0.0</v>
      </c>
      <c r="AY28" s="9">
        <f>'Adjustments'!I14</f>
        <v>0.0</v>
      </c>
      <c r="AZ28" s="9">
        <f>'Adjustments'!J14</f>
        <v>0.0</v>
      </c>
      <c r="BA28" s="9">
        <f>'Adjustments'!K14</f>
        <v>-430.0</v>
      </c>
      <c r="BB28" s="9">
        <f>'Adjustments'!L14</f>
        <v>-250.0</v>
      </c>
      <c r="BC28" s="9">
        <f>'Adjustments'!M14</f>
        <v>-200.0</v>
      </c>
      <c r="BD28" s="9">
        <f>'Adjustments'!N14</f>
        <v>-300.0</v>
      </c>
      <c r="BE28" s="19">
        <f>SUM(AS28:BD28)</f>
        <v>-1180.0</v>
      </c>
      <c r="BG28" s="9">
        <f>C28+AE28+AS28</f>
        <v>4878.7</v>
      </c>
      <c r="BH28" s="9">
        <f>D28+AF28+AT28</f>
        <v>4815.1</v>
      </c>
      <c r="BI28" s="9">
        <f>E28+AG28+AU28</f>
        <v>5092.6</v>
      </c>
      <c r="BJ28" s="9">
        <f>F28+AH28+AV28</f>
        <v>5599.4</v>
      </c>
      <c r="BK28" s="9">
        <f>G28+AI28+AW28</f>
        <v>5017.7</v>
      </c>
      <c r="BL28" s="9">
        <f>H28+AJ28+AX28</f>
        <v>5325.2</v>
      </c>
      <c r="BM28" s="9">
        <f>I28+AK28+AY28</f>
        <v>5274.0</v>
      </c>
      <c r="BN28" s="9">
        <f>J28+AL28+AZ28</f>
        <v>5127.1</v>
      </c>
      <c r="BO28" s="9">
        <f>K28+AM28+BA28</f>
        <v>4665.3</v>
      </c>
      <c r="BP28" s="9">
        <f>L28+AN28+BB28</f>
        <v>5191.6</v>
      </c>
      <c r="BQ28" s="9">
        <f>M28+AO28+BC28</f>
        <v>4715.5</v>
      </c>
      <c r="BR28" s="9">
        <f>N28+AP28+BD28</f>
        <v>5054.4</v>
      </c>
      <c r="BS28" s="19">
        <f>SUM(BG28:BR28)</f>
        <v>60756.6</v>
      </c>
      <c r="BU28" s="9">
        <f>SUM(BG28:BO28)-SUM(C28:K28)</f>
        <v>-430.0</v>
      </c>
      <c r="BV28" s="9">
        <f>SUM(BG28:BO28)-SUM(C51:K51)</f>
        <v>-2792.4000000000015</v>
      </c>
      <c r="BW28" s="9">
        <f>SUM(BG28:BO28)-SUM(C64:K64)</f>
        <v>-1464.4000000000015</v>
      </c>
      <c r="BY28" s="9">
        <f>SUM(BP28:BR28)-SUM(L28:N28)</f>
        <v>-750.0</v>
      </c>
      <c r="BZ28" s="9">
        <f>SUM(BP28:BR28)-SUM(L51:N51)</f>
        <v>-1450.9000000000015</v>
      </c>
      <c r="CA28" s="9">
        <f>SUM(BP28:BR28)-SUM(L64:N64)</f>
        <v>-1011.1999999999989</v>
      </c>
      <c r="CC28" s="9">
        <f>BS28-O28</f>
        <v>-1180.0</v>
      </c>
      <c r="CD28" s="9">
        <f>BS28-O51</f>
        <v>-4243.300000000003</v>
      </c>
      <c r="CE28" s="9">
        <f>BS28-O64</f>
        <v>-2475.5999999999985</v>
      </c>
    </row>
    <row r="29">
      <c r="B29" s="20" t="inlineStr">
        <is>
          <t>Gross Margin</t>
        </is>
      </c>
      <c r="C29" s="9" t="n">
        <v>1404.5</v>
      </c>
      <c r="D29" s="9" t="n">
        <v>1379.7</v>
      </c>
      <c r="E29" s="9" t="n">
        <v>1452.2</v>
      </c>
      <c r="F29" s="9" t="n">
        <v>1580.2</v>
      </c>
      <c r="G29" s="9" t="n">
        <v>1443.8</v>
      </c>
      <c r="H29" s="9" t="n">
        <v>1531.1</v>
      </c>
      <c r="I29" s="9" t="n">
        <v>1505.3</v>
      </c>
      <c r="J29" s="9" t="n">
        <v>1448</v>
      </c>
      <c r="K29" s="9" t="n">
        <v>1456.5</v>
      </c>
      <c r="L29" s="9" t="n">
        <v>1543.4</v>
      </c>
      <c r="M29" s="9" t="n">
        <v>1413.4</v>
      </c>
      <c r="N29" s="9" t="n">
        <v>1514.6</v>
      </c>
      <c r="O29" s="19">
        <f>SUM(C29:N29)</f>
        <v>17672.699999999997</v>
      </c>
      <c r="Q29" s="9" t="n">
        <v>1404.5</v>
      </c>
      <c r="R29" s="9" t="n">
        <v>1379.7</v>
      </c>
      <c r="S29" s="9" t="n">
        <v>1452.2</v>
      </c>
      <c r="T29" s="9" t="n">
        <v>1580.2</v>
      </c>
      <c r="U29" s="9" t="n">
        <v>1443.8</v>
      </c>
      <c r="V29" s="9" t="n">
        <v>1531.1</v>
      </c>
      <c r="W29" s="9" t="n">
        <v>1505.3</v>
      </c>
      <c r="X29" s="9" t="n">
        <v>1448</v>
      </c>
      <c r="Y29" s="9" t="n">
        <v>1456.5</v>
      </c>
      <c r="Z29" s="9" t="n">
        <v>1543.4</v>
      </c>
      <c r="AA29" s="9" t="n">
        <v>1413.4</v>
      </c>
      <c r="AB29" s="9" t="n">
        <v>1514.6</v>
      </c>
      <c r="AC29" s="19">
        <f>SUM(Q29:AB29)</f>
        <v>17672.699999999997</v>
      </c>
      <c r="AE29" s="9">
        <f>Q29-C29</f>
        <v>0.0</v>
      </c>
      <c r="AF29" s="9">
        <f>R29-D29</f>
        <v>0.0</v>
      </c>
      <c r="AG29" s="9">
        <f>S29-E29</f>
        <v>0.0</v>
      </c>
      <c r="AH29" s="9">
        <f>T29-F29</f>
        <v>0.0</v>
      </c>
      <c r="AI29" s="9">
        <f>U29-G29</f>
        <v>0.0</v>
      </c>
      <c r="AJ29" s="9">
        <f>V29-H29</f>
        <v>0.0</v>
      </c>
      <c r="AK29" s="9">
        <f>W29-I29</f>
        <v>0.0</v>
      </c>
      <c r="AL29" s="9">
        <f>X29-J29</f>
        <v>0.0</v>
      </c>
      <c r="AM29" s="9">
        <f>Y29-K29</f>
        <v>0.0</v>
      </c>
      <c r="AN29" s="9">
        <f>Z29-L29</f>
        <v>0.0</v>
      </c>
      <c r="AO29" s="9">
        <f>AA29-M29</f>
        <v>0.0</v>
      </c>
      <c r="AP29" s="9">
        <f>AB29-N29</f>
        <v>0.0</v>
      </c>
      <c r="AQ29" s="19">
        <f>SUM(AE29:AP29)</f>
        <v>0.0</v>
      </c>
      <c r="AS29" s="9">
        <f>'Adjustments'!C36+'Adjustments'!C77</f>
        <v>0.0</v>
      </c>
      <c r="AT29" s="9">
        <f>'Adjustments'!D36+'Adjustments'!D77</f>
        <v>0.0</v>
      </c>
      <c r="AU29" s="9">
        <f>'Adjustments'!E36+'Adjustments'!E77</f>
        <v>0.0</v>
      </c>
      <c r="AV29" s="9">
        <f>'Adjustments'!F36+'Adjustments'!F77</f>
        <v>0.0</v>
      </c>
      <c r="AW29" s="9">
        <f>'Adjustments'!G36+'Adjustments'!G77</f>
        <v>0.0</v>
      </c>
      <c r="AX29" s="9">
        <f>'Adjustments'!H36+'Adjustments'!H77</f>
        <v>0.0</v>
      </c>
      <c r="AY29" s="9">
        <f>'Adjustments'!I36+'Adjustments'!I77</f>
        <v>0.0</v>
      </c>
      <c r="AZ29" s="9">
        <f>'Adjustments'!J36+'Adjustments'!J77</f>
        <v>0.0</v>
      </c>
      <c r="BA29" s="9">
        <f>'Adjustments'!K36+'Adjustments'!K77</f>
        <v>-265.0</v>
      </c>
      <c r="BB29" s="9">
        <f>'Adjustments'!L36+'Adjustments'!L77</f>
        <v>-127.0</v>
      </c>
      <c r="BC29" s="9">
        <f>'Adjustments'!M36+'Adjustments'!M77</f>
        <v>-102.0</v>
      </c>
      <c r="BD29" s="9">
        <f>'Adjustments'!N36+'Adjustments'!N77</f>
        <v>-31.0</v>
      </c>
      <c r="BE29" s="19">
        <f>SUM(AS29:BD29)</f>
        <v>-525.0</v>
      </c>
      <c r="BG29" s="9">
        <f>C29+AE29+AS29</f>
        <v>1404.5</v>
      </c>
      <c r="BH29" s="9">
        <f>D29+AF29+AT29</f>
        <v>1379.7</v>
      </c>
      <c r="BI29" s="9">
        <f>E29+AG29+AU29</f>
        <v>1452.2</v>
      </c>
      <c r="BJ29" s="9">
        <f>F29+AH29+AV29</f>
        <v>1580.2</v>
      </c>
      <c r="BK29" s="9">
        <f>G29+AI29+AW29</f>
        <v>1443.8</v>
      </c>
      <c r="BL29" s="9">
        <f>H29+AJ29+AX29</f>
        <v>1531.1</v>
      </c>
      <c r="BM29" s="9">
        <f>I29+AK29+AY29</f>
        <v>1505.3</v>
      </c>
      <c r="BN29" s="9">
        <f>J29+AL29+AZ29</f>
        <v>1448.0</v>
      </c>
      <c r="BO29" s="9">
        <f>K29+AM29+BA29</f>
        <v>1191.5</v>
      </c>
      <c r="BP29" s="9">
        <f>L29+AN29+BB29</f>
        <v>1416.4</v>
      </c>
      <c r="BQ29" s="9">
        <f>M29+AO29+BC29</f>
        <v>1311.4</v>
      </c>
      <c r="BR29" s="9">
        <f>N29+AP29+BD29</f>
        <v>1483.6</v>
      </c>
      <c r="BS29" s="19">
        <f>SUM(BG29:BR29)</f>
        <v>17147.699999999997</v>
      </c>
      <c r="BU29" s="9">
        <f>SUM(BG29:BO29)-SUM(C29:K29)</f>
        <v>-265.0</v>
      </c>
      <c r="BV29" s="9">
        <f>SUM(BG29:BO29)-SUM(C52:K52)</f>
        <v>-1639.9000000000015</v>
      </c>
      <c r="BW29" s="9">
        <f>SUM(BG29:BO29)-SUM(C65:K65)</f>
        <v>-1517.300000000001</v>
      </c>
      <c r="BY29" s="9">
        <f>SUM(BP29:BR29)-SUM(L29:N29)</f>
        <v>-260.0</v>
      </c>
      <c r="BZ29" s="9">
        <f>SUM(BP29:BR29)-SUM(L52:N52)</f>
        <v>-712.2000000000007</v>
      </c>
      <c r="CA29" s="9">
        <f>SUM(BP29:BR29)-SUM(L65:N65)</f>
        <v>-668.9000000000005</v>
      </c>
      <c r="CC29" s="9">
        <f>BS29-O29</f>
        <v>-525.0</v>
      </c>
      <c r="CD29" s="9">
        <f>BS29-O52</f>
        <v>-2352.100000000002</v>
      </c>
      <c r="CE29" s="9">
        <f>BS29-O65</f>
        <v>-2186.2000000000044</v>
      </c>
    </row>
    <row r="30">
      <c r="B30" s="20" t="inlineStr">
        <is>
          <t>Op Costs</t>
        </is>
      </c>
      <c r="C30" s="9" t="n">
        <v>-1046.8</v>
      </c>
      <c r="D30" s="9" t="n">
        <v>-1032.5</v>
      </c>
      <c r="E30" s="9" t="n">
        <v>-1116.8</v>
      </c>
      <c r="F30" s="9" t="n">
        <v>-1197.6</v>
      </c>
      <c r="G30" s="9" t="n">
        <v>-1093.4</v>
      </c>
      <c r="H30" s="9" t="n">
        <v>-1144.4</v>
      </c>
      <c r="I30" s="9" t="n">
        <v>-1133.5</v>
      </c>
      <c r="J30" s="9" t="n">
        <v>-1230.7</v>
      </c>
      <c r="K30" s="9" t="n">
        <v>-995.8</v>
      </c>
      <c r="L30" s="9" t="n">
        <v>-1164.1</v>
      </c>
      <c r="M30" s="9" t="n">
        <v>-1054.3</v>
      </c>
      <c r="N30" s="9" t="n">
        <v>-1141.1</v>
      </c>
      <c r="O30" s="19">
        <f>SUM(C30:N30)</f>
        <v>-13351.0</v>
      </c>
      <c r="Q30" s="9" t="n">
        <v>-1046.8</v>
      </c>
      <c r="R30" s="9" t="n">
        <v>-1032.5</v>
      </c>
      <c r="S30" s="9" t="n">
        <v>-1116.8</v>
      </c>
      <c r="T30" s="9" t="n">
        <v>-1197.6</v>
      </c>
      <c r="U30" s="9" t="n">
        <v>-1093.4</v>
      </c>
      <c r="V30" s="9" t="n">
        <v>-1144.4</v>
      </c>
      <c r="W30" s="9" t="n">
        <v>-1133.5</v>
      </c>
      <c r="X30" s="9" t="n">
        <v>-1230.7</v>
      </c>
      <c r="Y30" s="9" t="n">
        <v>-995.8</v>
      </c>
      <c r="Z30" s="9" t="n">
        <v>-1164.1</v>
      </c>
      <c r="AA30" s="9" t="n">
        <v>-1054.3</v>
      </c>
      <c r="AB30" s="9" t="n">
        <v>-1141.1</v>
      </c>
      <c r="AC30" s="19">
        <f>SUM(Q30:AB30)</f>
        <v>-13351.0</v>
      </c>
      <c r="AE30" s="9">
        <f>Q30-C30</f>
        <v>0.0</v>
      </c>
      <c r="AF30" s="9">
        <f>R30-D30</f>
        <v>0.0</v>
      </c>
      <c r="AG30" s="9">
        <f>S30-E30</f>
        <v>0.0</v>
      </c>
      <c r="AH30" s="9">
        <f>T30-F30</f>
        <v>0.0</v>
      </c>
      <c r="AI30" s="9">
        <f>U30-G30</f>
        <v>0.0</v>
      </c>
      <c r="AJ30" s="9">
        <f>V30-H30</f>
        <v>0.0</v>
      </c>
      <c r="AK30" s="9">
        <f>W30-I30</f>
        <v>0.0</v>
      </c>
      <c r="AL30" s="9">
        <f>X30-J30</f>
        <v>0.0</v>
      </c>
      <c r="AM30" s="9">
        <f>Y30-K30</f>
        <v>0.0</v>
      </c>
      <c r="AN30" s="9">
        <f>Z30-L30</f>
        <v>0.0</v>
      </c>
      <c r="AO30" s="9">
        <f>AA30-M30</f>
        <v>0.0</v>
      </c>
      <c r="AP30" s="9">
        <f>AB30-N30</f>
        <v>0.0</v>
      </c>
      <c r="AQ30" s="19">
        <f>SUM(AE30:AP30)</f>
        <v>0.0</v>
      </c>
      <c r="AS30" s="9">
        <f>-'Adjustments'!C58-'Adjustments'!C84</f>
        <v>0.0</v>
      </c>
      <c r="AT30" s="9">
        <f>-'Adjustments'!D58-'Adjustments'!D84</f>
        <v>0.0</v>
      </c>
      <c r="AU30" s="9">
        <f>-'Adjustments'!E58-'Adjustments'!E84</f>
        <v>0.0</v>
      </c>
      <c r="AV30" s="9">
        <f>-'Adjustments'!F58-'Adjustments'!F84</f>
        <v>0.0</v>
      </c>
      <c r="AW30" s="9">
        <f>-'Adjustments'!G58-'Adjustments'!G84</f>
        <v>0.0</v>
      </c>
      <c r="AX30" s="9">
        <f>-'Adjustments'!H58-'Adjustments'!H84</f>
        <v>0.0</v>
      </c>
      <c r="AY30" s="9">
        <f>-'Adjustments'!I58-'Adjustments'!I84</f>
        <v>0.0</v>
      </c>
      <c r="AZ30" s="9">
        <f>-'Adjustments'!J58-'Adjustments'!J84</f>
        <v>0.0</v>
      </c>
      <c r="BA30" s="9">
        <f>-'Adjustments'!K58-'Adjustments'!K84</f>
        <v>42.0</v>
      </c>
      <c r="BB30" s="9">
        <f>-'Adjustments'!L58-'Adjustments'!L84</f>
        <v>44.0</v>
      </c>
      <c r="BC30" s="9">
        <f>-'Adjustments'!M58-'Adjustments'!M84</f>
        <v>41.0</v>
      </c>
      <c r="BD30" s="9">
        <f>-'Adjustments'!N58-'Adjustments'!N84</f>
        <v>47.0</v>
      </c>
      <c r="BE30" s="19">
        <f>SUM(AS30:BD30)</f>
        <v>174.0</v>
      </c>
      <c r="BG30" s="9">
        <f>C30+AE30+AS30</f>
        <v>-1046.8</v>
      </c>
      <c r="BH30" s="9">
        <f>D30+AF30+AT30</f>
        <v>-1032.5</v>
      </c>
      <c r="BI30" s="9">
        <f>E30+AG30+AU30</f>
        <v>-1116.8</v>
      </c>
      <c r="BJ30" s="9">
        <f>F30+AH30+AV30</f>
        <v>-1197.6</v>
      </c>
      <c r="BK30" s="9">
        <f>G30+AI30+AW30</f>
        <v>-1093.4</v>
      </c>
      <c r="BL30" s="9">
        <f>H30+AJ30+AX30</f>
        <v>-1144.4</v>
      </c>
      <c r="BM30" s="9">
        <f>I30+AK30+AY30</f>
        <v>-1133.5</v>
      </c>
      <c r="BN30" s="9">
        <f>J30+AL30+AZ30</f>
        <v>-1230.7</v>
      </c>
      <c r="BO30" s="9">
        <f>K30+AM30+BA30</f>
        <v>-953.8</v>
      </c>
      <c r="BP30" s="9">
        <f>L30+AN30+BB30</f>
        <v>-1120.1</v>
      </c>
      <c r="BQ30" s="9">
        <f>M30+AO30+BC30</f>
        <v>-1013.3</v>
      </c>
      <c r="BR30" s="9">
        <f>N30+AP30+BD30</f>
        <v>-1094.1</v>
      </c>
      <c r="BS30" s="19">
        <f>SUM(BG30:BR30)</f>
        <v>-13177.0</v>
      </c>
      <c r="BU30" s="9">
        <f>SUM(BG30:BO30)-SUM(C30:K30)</f>
        <v>42.0</v>
      </c>
      <c r="BV30" s="9">
        <f>SUM(BG30:BO30)-SUM(C53:K53)</f>
        <v>254.5</v>
      </c>
      <c r="BW30" s="9">
        <f>SUM(BG30:BO30)-SUM(C66:K66)</f>
        <v>48.399999999999636</v>
      </c>
      <c r="BY30" s="9">
        <f>SUM(BP30:BR30)-SUM(L30:N30)</f>
        <v>132.0</v>
      </c>
      <c r="BZ30" s="9">
        <f>SUM(BP30:BR30)-SUM(L53:N53)</f>
        <v>219.70000000000027</v>
      </c>
      <c r="CA30" s="9">
        <f>SUM(BP30:BR30)-SUM(L66:N66)</f>
        <v>161.40000000000055</v>
      </c>
      <c r="CC30" s="9">
        <f>BS30-O30</f>
        <v>174.0</v>
      </c>
      <c r="CD30" s="9">
        <f>BS30-O53</f>
        <v>474.2000000000007</v>
      </c>
      <c r="CE30" s="9">
        <f>BS30-O66</f>
        <v>209.79999999999927</v>
      </c>
    </row>
    <row r="31">
      <c r="B31" s="2" t="inlineStr">
        <is>
          <t>PBITA</t>
        </is>
      </c>
      <c r="C31" s="9">
        <f>C29+C30</f>
        <v>357.70000000000005</v>
      </c>
      <c r="D31" s="9">
        <f>D29+D30</f>
        <v>347.20000000000005</v>
      </c>
      <c r="E31" s="9">
        <f>E29+E30</f>
        <v>335.4000000000001</v>
      </c>
      <c r="F31" s="9">
        <f>F29+F30</f>
        <v>382.60000000000014</v>
      </c>
      <c r="G31" s="9">
        <f>G29+G30</f>
        <v>350.39999999999986</v>
      </c>
      <c r="H31" s="9">
        <f>H29+H30</f>
        <v>386.6999999999998</v>
      </c>
      <c r="I31" s="9">
        <f>I29+I30</f>
        <v>371.79999999999995</v>
      </c>
      <c r="J31" s="9">
        <f>J29+J30</f>
        <v>217.29999999999995</v>
      </c>
      <c r="K31" s="9">
        <f>K29+K30</f>
        <v>460.70000000000005</v>
      </c>
      <c r="L31" s="9">
        <f>L29+L30</f>
        <v>379.3000000000002</v>
      </c>
      <c r="M31" s="9">
        <f>M29+M30</f>
        <v>359.10000000000014</v>
      </c>
      <c r="N31" s="9">
        <f>N29+N30</f>
        <v>373.5</v>
      </c>
      <c r="O31" s="19">
        <f>SUM(C31:N31)</f>
        <v>4321.700000000001</v>
      </c>
      <c r="Q31" s="9">
        <f>Q29+Q30</f>
        <v>357.70000000000005</v>
      </c>
      <c r="R31" s="9">
        <f>R29+R30</f>
        <v>347.20000000000005</v>
      </c>
      <c r="S31" s="9">
        <f>S29+S30</f>
        <v>335.4000000000001</v>
      </c>
      <c r="T31" s="9">
        <f>T29+T30</f>
        <v>382.60000000000014</v>
      </c>
      <c r="U31" s="9">
        <f>U29+U30</f>
        <v>350.39999999999986</v>
      </c>
      <c r="V31" s="9">
        <f>V29+V30</f>
        <v>386.6999999999998</v>
      </c>
      <c r="W31" s="9">
        <f>W29+W30</f>
        <v>371.79999999999995</v>
      </c>
      <c r="X31" s="9">
        <f>X29+X30</f>
        <v>217.29999999999995</v>
      </c>
      <c r="Y31" s="9">
        <f>Y29+Y30</f>
        <v>460.70000000000005</v>
      </c>
      <c r="Z31" s="9">
        <f>Z29+Z30</f>
        <v>379.3000000000002</v>
      </c>
      <c r="AA31" s="9">
        <f>AA29+AA30</f>
        <v>359.10000000000014</v>
      </c>
      <c r="AB31" s="9">
        <f>AB29+AB30</f>
        <v>373.5</v>
      </c>
      <c r="AC31" s="19">
        <f>SUM(Q31:AB31)</f>
        <v>4321.700000000001</v>
      </c>
      <c r="AE31" s="9">
        <f>AE29+AE30</f>
        <v>0.0</v>
      </c>
      <c r="AF31" s="9">
        <f>AF29+AF30</f>
        <v>0.0</v>
      </c>
      <c r="AG31" s="9">
        <f>AG29+AG30</f>
        <v>0.0</v>
      </c>
      <c r="AH31" s="9">
        <f>AH29+AH30</f>
        <v>0.0</v>
      </c>
      <c r="AI31" s="9">
        <f>AI29+AI30</f>
        <v>0.0</v>
      </c>
      <c r="AJ31" s="9">
        <f>AJ29+AJ30</f>
        <v>0.0</v>
      </c>
      <c r="AK31" s="9">
        <f>AK29+AK30</f>
        <v>0.0</v>
      </c>
      <c r="AL31" s="9">
        <f>AL29+AL30</f>
        <v>0.0</v>
      </c>
      <c r="AM31" s="9">
        <f>AM29+AM30</f>
        <v>0.0</v>
      </c>
      <c r="AN31" s="9">
        <f>AN29+AN30</f>
        <v>0.0</v>
      </c>
      <c r="AO31" s="9">
        <f>AO29+AO30</f>
        <v>0.0</v>
      </c>
      <c r="AP31" s="9">
        <f>AP29+AP30</f>
        <v>0.0</v>
      </c>
      <c r="AQ31" s="19">
        <f>SUM(AE31:AP31)</f>
        <v>0.0</v>
      </c>
      <c r="AS31" s="9">
        <f>AS29+AS30</f>
        <v>0.0</v>
      </c>
      <c r="AT31" s="9">
        <f>AT29+AT30</f>
        <v>0.0</v>
      </c>
      <c r="AU31" s="9">
        <f>AU29+AU30</f>
        <v>0.0</v>
      </c>
      <c r="AV31" s="9">
        <f>AV29+AV30</f>
        <v>0.0</v>
      </c>
      <c r="AW31" s="9">
        <f>AW29+AW30</f>
        <v>0.0</v>
      </c>
      <c r="AX31" s="9">
        <f>AX29+AX30</f>
        <v>0.0</v>
      </c>
      <c r="AY31" s="9">
        <f>AY29+AY30</f>
        <v>0.0</v>
      </c>
      <c r="AZ31" s="9">
        <f>AZ29+AZ30</f>
        <v>0.0</v>
      </c>
      <c r="BA31" s="9">
        <f>BA29+BA30</f>
        <v>-223.0</v>
      </c>
      <c r="BB31" s="9">
        <f>BB29+BB30</f>
        <v>-83.0</v>
      </c>
      <c r="BC31" s="9">
        <f>BC29+BC30</f>
        <v>-61.0</v>
      </c>
      <c r="BD31" s="9">
        <f>BD29+BD30</f>
        <v>16.0</v>
      </c>
      <c r="BE31" s="19">
        <f>SUM(AS31:BD31)</f>
        <v>-351.0</v>
      </c>
      <c r="BG31" s="9">
        <f>BG29+BG30</f>
        <v>357.70000000000005</v>
      </c>
      <c r="BH31" s="9">
        <f>BH29+BH30</f>
        <v>347.20000000000005</v>
      </c>
      <c r="BI31" s="9">
        <f>BI29+BI30</f>
        <v>335.4000000000001</v>
      </c>
      <c r="BJ31" s="9">
        <f>BJ29+BJ30</f>
        <v>382.60000000000014</v>
      </c>
      <c r="BK31" s="9">
        <f>BK29+BK30</f>
        <v>350.39999999999986</v>
      </c>
      <c r="BL31" s="9">
        <f>BL29+BL30</f>
        <v>386.6999999999998</v>
      </c>
      <c r="BM31" s="9">
        <f>BM29+BM30</f>
        <v>371.79999999999995</v>
      </c>
      <c r="BN31" s="9">
        <f>BN29+BN30</f>
        <v>217.29999999999995</v>
      </c>
      <c r="BO31" s="9">
        <f>BO29+BO30</f>
        <v>237.70000000000005</v>
      </c>
      <c r="BP31" s="9">
        <f>BP29+BP30</f>
        <v>296.3000000000002</v>
      </c>
      <c r="BQ31" s="9">
        <f>BQ29+BQ30</f>
        <v>298.10000000000014</v>
      </c>
      <c r="BR31" s="9">
        <f>BR29+BR30</f>
        <v>389.5</v>
      </c>
      <c r="BS31" s="19">
        <f>SUM(BG31:BR31)</f>
        <v>3970.7000000000007</v>
      </c>
      <c r="BU31" s="9">
        <f>SUM(BG31:BO31)-SUM(C31:K31)</f>
        <v>-223.0</v>
      </c>
      <c r="BV31" s="9">
        <f>SUM(BG31:BO31)-SUM(C54:K54)</f>
        <v>-1385.4000000000005</v>
      </c>
      <c r="BW31" s="9">
        <f>SUM(BG31:BO31)-SUM(C67:K67)</f>
        <v>-1468.8999999999996</v>
      </c>
      <c r="BY31" s="9">
        <f>SUM(BP31:BR31)-SUM(L31:N31)</f>
        <v>-128.0</v>
      </c>
      <c r="BZ31" s="9">
        <f>SUM(BP31:BR31)-SUM(L54:N54)</f>
        <v>-492.4999999999998</v>
      </c>
      <c r="CA31" s="9">
        <f>SUM(BP31:BR31)-SUM(L67:N67)</f>
        <v>-507.49999999999955</v>
      </c>
      <c r="CC31" s="9">
        <f>BS31-O31</f>
        <v>-351.0</v>
      </c>
      <c r="CD31" s="9">
        <f>BS31-O54</f>
        <v>-1877.9000000000005</v>
      </c>
      <c r="CE31" s="9">
        <f>BS31-O67</f>
        <v>-1976.3999999999996</v>
      </c>
    </row>
    <row r="35">
      <c r="B35" s="20" t="inlineStr">
        <is>
          <t>GM %</t>
        </is>
      </c>
      <c r="C35" s="13">
        <f>IFERROR(C29/C28,0)</f>
        <v>0.28788406747699186</v>
      </c>
      <c r="D35" s="13">
        <f>IFERROR(D29/D28,0)</f>
        <v>0.28653610516915534</v>
      </c>
      <c r="E35" s="13">
        <f>IFERROR(E29/E28,0)</f>
        <v>0.2851588579507521</v>
      </c>
      <c r="F35" s="13">
        <f>IFERROR(F29/F28,0)</f>
        <v>0.2822088080865807</v>
      </c>
      <c r="G35" s="13">
        <f>IFERROR(G29/G28,0)</f>
        <v>0.2877413954600713</v>
      </c>
      <c r="H35" s="13">
        <f>IFERROR(H29/H28,0)</f>
        <v>0.2875197175692932</v>
      </c>
      <c r="I35" s="13">
        <f>IFERROR(I29/I28,0)</f>
        <v>0.2854190367842245</v>
      </c>
      <c r="J35" s="13">
        <f>IFERROR(J29/J28,0)</f>
        <v>0.2824208616956954</v>
      </c>
      <c r="K35" s="13">
        <f>IFERROR(K29/K28,0)</f>
        <v>0.28585166722273464</v>
      </c>
      <c r="L35" s="13">
        <f>IFERROR(L29/L28,0)</f>
        <v>0.2836298147603646</v>
      </c>
      <c r="M35" s="13">
        <f>IFERROR(M29/M28,0)</f>
        <v>0.28753941613264167</v>
      </c>
      <c r="N35" s="13">
        <f>IFERROR(N29/N28,0)</f>
        <v>0.28287016285671596</v>
      </c>
      <c r="O35" s="13">
        <f>IFERROR(O29/O28,0)</f>
        <v>0.28533532676963214</v>
      </c>
      <c r="Q35" s="13">
        <f>IFERROR(Q29/Q28,0)</f>
        <v>0.28788406747699186</v>
      </c>
      <c r="R35" s="13">
        <f>IFERROR(R29/R28,0)</f>
        <v>0.28653610516915534</v>
      </c>
      <c r="S35" s="13">
        <f>IFERROR(S29/S28,0)</f>
        <v>0.2851588579507521</v>
      </c>
      <c r="T35" s="13">
        <f>IFERROR(T29/T28,0)</f>
        <v>0.2822088080865807</v>
      </c>
      <c r="U35" s="13">
        <f>IFERROR(U29/U28,0)</f>
        <v>0.2877413954600713</v>
      </c>
      <c r="V35" s="13">
        <f>IFERROR(V29/V28,0)</f>
        <v>0.2875197175692932</v>
      </c>
      <c r="W35" s="13">
        <f>IFERROR(W29/W28,0)</f>
        <v>0.2854190367842245</v>
      </c>
      <c r="X35" s="13">
        <f>IFERROR(X29/X28,0)</f>
        <v>0.2824208616956954</v>
      </c>
      <c r="Y35" s="13">
        <f>IFERROR(Y29/Y28,0)</f>
        <v>0.28585166722273464</v>
      </c>
      <c r="Z35" s="13">
        <f>IFERROR(Z29/Z28,0)</f>
        <v>0.2836298147603646</v>
      </c>
      <c r="AA35" s="13">
        <f>IFERROR(AA29/AA28,0)</f>
        <v>0.28753941613264167</v>
      </c>
      <c r="AB35" s="13">
        <f>IFERROR(AB29/AB28,0)</f>
        <v>0.28287016285671596</v>
      </c>
      <c r="AC35" s="13">
        <f>IFERROR(AC29/AC28,0)</f>
        <v>0.28533532676963214</v>
      </c>
      <c r="AE35" s="13">
        <f>IFERROR(AE29/AE28,0)</f>
        <v>0.0</v>
      </c>
      <c r="AF35" s="13">
        <f>IFERROR(AF29/AF28,0)</f>
        <v>0.0</v>
      </c>
      <c r="AG35" s="13">
        <f>IFERROR(AG29/AG28,0)</f>
        <v>0.0</v>
      </c>
      <c r="AH35" s="13">
        <f>IFERROR(AH29/AH28,0)</f>
        <v>0.0</v>
      </c>
      <c r="AI35" s="13">
        <f>IFERROR(AI29/AI28,0)</f>
        <v>0.0</v>
      </c>
      <c r="AJ35" s="13">
        <f>IFERROR(AJ29/AJ28,0)</f>
        <v>0.0</v>
      </c>
      <c r="AK35" s="13">
        <f>IFERROR(AK29/AK28,0)</f>
        <v>0.0</v>
      </c>
      <c r="AL35" s="13">
        <f>IFERROR(AL29/AL28,0)</f>
        <v>0.0</v>
      </c>
      <c r="AM35" s="13">
        <f>IFERROR(AM29/AM28,0)</f>
        <v>0.0</v>
      </c>
      <c r="AN35" s="13">
        <f>IFERROR(AN29/AN28,0)</f>
        <v>0.0</v>
      </c>
      <c r="AO35" s="13">
        <f>IFERROR(AO29/AO28,0)</f>
        <v>0.0</v>
      </c>
      <c r="AP35" s="13">
        <f>IFERROR(AP29/AP28,0)</f>
        <v>0.0</v>
      </c>
      <c r="AQ35" s="13">
        <f>IFERROR(AQ29/AQ28,0)</f>
        <v>0.0</v>
      </c>
      <c r="AS35" s="13">
        <f>IFERROR(AS29/AS28,0)</f>
        <v>0.0</v>
      </c>
      <c r="AT35" s="13">
        <f>IFERROR(AT29/AT28,0)</f>
        <v>0.0</v>
      </c>
      <c r="AU35" s="13">
        <f>IFERROR(AU29/AU28,0)</f>
        <v>0.0</v>
      </c>
      <c r="AV35" s="13">
        <f>IFERROR(AV29/AV28,0)</f>
        <v>0.0</v>
      </c>
      <c r="AW35" s="13">
        <f>IFERROR(AW29/AW28,0)</f>
        <v>0.0</v>
      </c>
      <c r="AX35" s="13">
        <f>IFERROR(AX29/AX28,0)</f>
        <v>0.0</v>
      </c>
      <c r="AY35" s="13">
        <f>IFERROR(AY29/AY28,0)</f>
        <v>0.0</v>
      </c>
      <c r="AZ35" s="13">
        <f>IFERROR(AZ29/AZ28,0)</f>
        <v>0.0</v>
      </c>
      <c r="BA35" s="13">
        <f>IFERROR(BA29/BA28,0)</f>
        <v>0.6162790697674418</v>
      </c>
      <c r="BB35" s="13">
        <f>IFERROR(BB29/BB28,0)</f>
        <v>0.508</v>
      </c>
      <c r="BC35" s="13">
        <f>IFERROR(BC29/BC28,0)</f>
        <v>0.51</v>
      </c>
      <c r="BD35" s="13">
        <f>IFERROR(BD29/BD28,0)</f>
        <v>0.10333333333333333</v>
      </c>
      <c r="BE35" s="13">
        <f>IFERROR(BE29/BE28,0)</f>
        <v>0.4449152542372881</v>
      </c>
      <c r="BG35" s="13">
        <f>IFERROR(BG29/BG28,0)</f>
        <v>0.28788406747699186</v>
      </c>
      <c r="BH35" s="13">
        <f>IFERROR(BH29/BH28,0)</f>
        <v>0.28653610516915534</v>
      </c>
      <c r="BI35" s="13">
        <f>IFERROR(BI29/BI28,0)</f>
        <v>0.2851588579507521</v>
      </c>
      <c r="BJ35" s="13">
        <f>IFERROR(BJ29/BJ28,0)</f>
        <v>0.2822088080865807</v>
      </c>
      <c r="BK35" s="13">
        <f>IFERROR(BK29/BK28,0)</f>
        <v>0.2877413954600713</v>
      </c>
      <c r="BL35" s="13">
        <f>IFERROR(BL29/BL28,0)</f>
        <v>0.2875197175692932</v>
      </c>
      <c r="BM35" s="13">
        <f>IFERROR(BM29/BM28,0)</f>
        <v>0.2854190367842245</v>
      </c>
      <c r="BN35" s="13">
        <f>IFERROR(BN29/BN28,0)</f>
        <v>0.2824208616956954</v>
      </c>
      <c r="BO35" s="13">
        <f>IFERROR(BO29/BO28,0)</f>
        <v>0.25539622317964544</v>
      </c>
      <c r="BP35" s="13">
        <f>IFERROR(BP29/BP28,0)</f>
        <v>0.27282533323060326</v>
      </c>
      <c r="BQ35" s="13">
        <f>IFERROR(BQ29/BQ28,0)</f>
        <v>0.2781041246951543</v>
      </c>
      <c r="BR35" s="13">
        <f>IFERROR(BR29/BR28,0)</f>
        <v>0.2935264324153213</v>
      </c>
      <c r="BS35" s="13">
        <f>IFERROR(BS29/BS28,0)</f>
        <v>0.28223600398968995</v>
      </c>
    </row>
    <row r="36">
      <c r="B36" s="20" t="inlineStr">
        <is>
          <t>Op Cost %</t>
        </is>
      </c>
      <c r="C36" s="13">
        <f>IFERROR(C30/C28,0)</f>
        <v>-0.21456535552503742</v>
      </c>
      <c r="D36" s="13">
        <f>IFERROR(D30/D28,0)</f>
        <v>-0.2144296068617474</v>
      </c>
      <c r="E36" s="13">
        <f>IFERROR(E30/E28,0)</f>
        <v>-0.21929859011114164</v>
      </c>
      <c r="F36" s="13">
        <f>IFERROR(F30/F28,0)</f>
        <v>-0.21388005857770476</v>
      </c>
      <c r="G36" s="13">
        <f>IFERROR(G30/G28,0)</f>
        <v>-0.2179086035434562</v>
      </c>
      <c r="H36" s="13">
        <f>IFERROR(H30/H28,0)</f>
        <v>-0.21490272665815371</v>
      </c>
      <c r="I36" s="13">
        <f>IFERROR(I30/I28,0)</f>
        <v>-0.21492226014410315</v>
      </c>
      <c r="J36" s="13">
        <f>IFERROR(J30/J28,0)</f>
        <v>-0.24003822823818532</v>
      </c>
      <c r="K36" s="13">
        <f>IFERROR(K30/K28,0)</f>
        <v>-0.19543500873353872</v>
      </c>
      <c r="L36" s="13">
        <f>IFERROR(L30/L28,0)</f>
        <v>-0.21392605116142308</v>
      </c>
      <c r="M36" s="13">
        <f>IFERROR(M30/M28,0)</f>
        <v>-0.2144847930017292</v>
      </c>
      <c r="N36" s="13">
        <f>IFERROR(N30/N28,0)</f>
        <v>-0.21311444793067383</v>
      </c>
      <c r="O36" s="13">
        <f>IFERROR(O30/O28,0)</f>
        <v>-0.215559136278065</v>
      </c>
      <c r="Q36" s="13">
        <f>IFERROR(Q30/Q28,0)</f>
        <v>-0.21456535552503742</v>
      </c>
      <c r="R36" s="13">
        <f>IFERROR(R30/R28,0)</f>
        <v>-0.2144296068617474</v>
      </c>
      <c r="S36" s="13">
        <f>IFERROR(S30/S28,0)</f>
        <v>-0.21929859011114164</v>
      </c>
      <c r="T36" s="13">
        <f>IFERROR(T30/T28,0)</f>
        <v>-0.21388005857770476</v>
      </c>
      <c r="U36" s="13">
        <f>IFERROR(U30/U28,0)</f>
        <v>-0.2179086035434562</v>
      </c>
      <c r="V36" s="13">
        <f>IFERROR(V30/V28,0)</f>
        <v>-0.21490272665815371</v>
      </c>
      <c r="W36" s="13">
        <f>IFERROR(W30/W28,0)</f>
        <v>-0.21492226014410315</v>
      </c>
      <c r="X36" s="13">
        <f>IFERROR(X30/X28,0)</f>
        <v>-0.24003822823818532</v>
      </c>
      <c r="Y36" s="13">
        <f>IFERROR(Y30/Y28,0)</f>
        <v>-0.19543500873353872</v>
      </c>
      <c r="Z36" s="13">
        <f>IFERROR(Z30/Z28,0)</f>
        <v>-0.21392605116142308</v>
      </c>
      <c r="AA36" s="13">
        <f>IFERROR(AA30/AA28,0)</f>
        <v>-0.2144847930017292</v>
      </c>
      <c r="AB36" s="13">
        <f>IFERROR(AB30/AB28,0)</f>
        <v>-0.21311444793067383</v>
      </c>
      <c r="AC36" s="13">
        <f>IFERROR(AC30/AC28,0)</f>
        <v>-0.215559136278065</v>
      </c>
      <c r="AE36" s="13">
        <f>IFERROR(AE30/AE28,0)</f>
        <v>0.0</v>
      </c>
      <c r="AF36" s="13">
        <f>IFERROR(AF30/AF28,0)</f>
        <v>0.0</v>
      </c>
      <c r="AG36" s="13">
        <f>IFERROR(AG30/AG28,0)</f>
        <v>0.0</v>
      </c>
      <c r="AH36" s="13">
        <f>IFERROR(AH30/AH28,0)</f>
        <v>0.0</v>
      </c>
      <c r="AI36" s="13">
        <f>IFERROR(AI30/AI28,0)</f>
        <v>0.0</v>
      </c>
      <c r="AJ36" s="13">
        <f>IFERROR(AJ30/AJ28,0)</f>
        <v>0.0</v>
      </c>
      <c r="AK36" s="13">
        <f>IFERROR(AK30/AK28,0)</f>
        <v>0.0</v>
      </c>
      <c r="AL36" s="13">
        <f>IFERROR(AL30/AL28,0)</f>
        <v>0.0</v>
      </c>
      <c r="AM36" s="13">
        <f>IFERROR(AM30/AM28,0)</f>
        <v>0.0</v>
      </c>
      <c r="AN36" s="13">
        <f>IFERROR(AN30/AN28,0)</f>
        <v>0.0</v>
      </c>
      <c r="AO36" s="13">
        <f>IFERROR(AO30/AO28,0)</f>
        <v>0.0</v>
      </c>
      <c r="AP36" s="13">
        <f>IFERROR(AP30/AP28,0)</f>
        <v>0.0</v>
      </c>
      <c r="AQ36" s="13">
        <f>IFERROR(AQ30/AQ28,0)</f>
        <v>0.0</v>
      </c>
      <c r="AS36" s="13">
        <f>IFERROR(AS30/AS28,0)</f>
        <v>0.0</v>
      </c>
      <c r="AT36" s="13">
        <f>IFERROR(AT30/AT28,0)</f>
        <v>0.0</v>
      </c>
      <c r="AU36" s="13">
        <f>IFERROR(AU30/AU28,0)</f>
        <v>0.0</v>
      </c>
      <c r="AV36" s="13">
        <f>IFERROR(AV30/AV28,0)</f>
        <v>0.0</v>
      </c>
      <c r="AW36" s="13">
        <f>IFERROR(AW30/AW28,0)</f>
        <v>0.0</v>
      </c>
      <c r="AX36" s="13">
        <f>IFERROR(AX30/AX28,0)</f>
        <v>0.0</v>
      </c>
      <c r="AY36" s="13">
        <f>IFERROR(AY30/AY28,0)</f>
        <v>0.0</v>
      </c>
      <c r="AZ36" s="13">
        <f>IFERROR(AZ30/AZ28,0)</f>
        <v>0.0</v>
      </c>
      <c r="BA36" s="13">
        <f>IFERROR(BA30/BA28,0)</f>
        <v>-0.09767441860465116</v>
      </c>
      <c r="BB36" s="13">
        <f>IFERROR(BB30/BB28,0)</f>
        <v>-0.176</v>
      </c>
      <c r="BC36" s="13">
        <f>IFERROR(BC30/BC28,0)</f>
        <v>-0.205</v>
      </c>
      <c r="BD36" s="13">
        <f>IFERROR(BD30/BD28,0)</f>
        <v>-0.15666666666666668</v>
      </c>
      <c r="BE36" s="13">
        <f>IFERROR(BE30/BE28,0)</f>
        <v>-0.14745762711864407</v>
      </c>
      <c r="BG36" s="13">
        <f>IFERROR(BG30/BG28,0)</f>
        <v>-0.21456535552503742</v>
      </c>
      <c r="BH36" s="13">
        <f>IFERROR(BH30/BH28,0)</f>
        <v>-0.2144296068617474</v>
      </c>
      <c r="BI36" s="13">
        <f>IFERROR(BI30/BI28,0)</f>
        <v>-0.21929859011114164</v>
      </c>
      <c r="BJ36" s="13">
        <f>IFERROR(BJ30/BJ28,0)</f>
        <v>-0.21388005857770476</v>
      </c>
      <c r="BK36" s="13">
        <f>IFERROR(BK30/BK28,0)</f>
        <v>-0.2179086035434562</v>
      </c>
      <c r="BL36" s="13">
        <f>IFERROR(BL30/BL28,0)</f>
        <v>-0.21490272665815371</v>
      </c>
      <c r="BM36" s="13">
        <f>IFERROR(BM30/BM28,0)</f>
        <v>-0.21492226014410315</v>
      </c>
      <c r="BN36" s="13">
        <f>IFERROR(BN30/BN28,0)</f>
        <v>-0.24003822823818532</v>
      </c>
      <c r="BO36" s="13">
        <f>IFERROR(BO30/BO28,0)</f>
        <v>-0.2044455876363792</v>
      </c>
      <c r="BP36" s="13">
        <f>IFERROR(BP30/BP28,0)</f>
        <v>-0.21575236921180366</v>
      </c>
      <c r="BQ36" s="13">
        <f>IFERROR(BQ30/BQ28,0)</f>
        <v>-0.214887074541406</v>
      </c>
      <c r="BR36" s="13">
        <f>IFERROR(BR30/BR28,0)</f>
        <v>-0.21646486229819564</v>
      </c>
      <c r="BS36" s="13">
        <f>IFERROR(BS30/BS28,0)</f>
        <v>-0.21688178732845487</v>
      </c>
    </row>
    <row r="37">
      <c r="B37" s="20" t="inlineStr">
        <is>
          <t>PBITA %</t>
        </is>
      </c>
      <c r="C37" s="13">
        <f>IFERROR(C31/C28,0)</f>
        <v>0.07331871195195443</v>
      </c>
      <c r="D37" s="13">
        <f>IFERROR(D31/D28,0)</f>
        <v>0.07210649830740795</v>
      </c>
      <c r="E37" s="13">
        <f>IFERROR(E31/E28,0)</f>
        <v>0.06586026783961042</v>
      </c>
      <c r="F37" s="13">
        <f>IFERROR(F31/F28,0)</f>
        <v>0.06832874950887598</v>
      </c>
      <c r="G37" s="13">
        <f>IFERROR(G31/G28,0)</f>
        <v>0.06983279191661516</v>
      </c>
      <c r="H37" s="13">
        <f>IFERROR(H31/H28,0)</f>
        <v>0.07261699091113946</v>
      </c>
      <c r="I37" s="13">
        <f>IFERROR(I31/I28,0)</f>
        <v>0.07049677664012134</v>
      </c>
      <c r="J37" s="13">
        <f>IFERROR(J31/J28,0)</f>
        <v>0.04238263345751008</v>
      </c>
      <c r="K37" s="13">
        <f>IFERROR(K31/K28,0)</f>
        <v>0.09041665848919593</v>
      </c>
      <c r="L37" s="13">
        <f>IFERROR(L31/L28,0)</f>
        <v>0.06970376359894152</v>
      </c>
      <c r="M37" s="13">
        <f>IFERROR(M31/M28,0)</f>
        <v>0.07305462313091245</v>
      </c>
      <c r="N37" s="13">
        <f>IFERROR(N31/N28,0)</f>
        <v>0.06975571492604214</v>
      </c>
      <c r="O37" s="13">
        <f>IFERROR(O31/O28,0)</f>
        <v>0.06977619049156719</v>
      </c>
      <c r="Q37" s="13">
        <f>IFERROR(Q31/Q28,0)</f>
        <v>0.07331871195195443</v>
      </c>
      <c r="R37" s="13">
        <f>IFERROR(R31/R28,0)</f>
        <v>0.07210649830740795</v>
      </c>
      <c r="S37" s="13">
        <f>IFERROR(S31/S28,0)</f>
        <v>0.06586026783961042</v>
      </c>
      <c r="T37" s="13">
        <f>IFERROR(T31/T28,0)</f>
        <v>0.06832874950887598</v>
      </c>
      <c r="U37" s="13">
        <f>IFERROR(U31/U28,0)</f>
        <v>0.06983279191661516</v>
      </c>
      <c r="V37" s="13">
        <f>IFERROR(V31/V28,0)</f>
        <v>0.07261699091113946</v>
      </c>
      <c r="W37" s="13">
        <f>IFERROR(W31/W28,0)</f>
        <v>0.07049677664012134</v>
      </c>
      <c r="X37" s="13">
        <f>IFERROR(X31/X28,0)</f>
        <v>0.04238263345751008</v>
      </c>
      <c r="Y37" s="13">
        <f>IFERROR(Y31/Y28,0)</f>
        <v>0.09041665848919593</v>
      </c>
      <c r="Z37" s="13">
        <f>IFERROR(Z31/Z28,0)</f>
        <v>0.06970376359894152</v>
      </c>
      <c r="AA37" s="13">
        <f>IFERROR(AA31/AA28,0)</f>
        <v>0.07305462313091245</v>
      </c>
      <c r="AB37" s="13">
        <f>IFERROR(AB31/AB28,0)</f>
        <v>0.06975571492604214</v>
      </c>
      <c r="AC37" s="13">
        <f>IFERROR(AC31/AC28,0)</f>
        <v>0.06977619049156719</v>
      </c>
      <c r="AE37" s="13">
        <f>IFERROR(AE31/AE28,0)</f>
        <v>0.0</v>
      </c>
      <c r="AF37" s="13">
        <f>IFERROR(AF31/AF28,0)</f>
        <v>0.0</v>
      </c>
      <c r="AG37" s="13">
        <f>IFERROR(AG31/AG28,0)</f>
        <v>0.0</v>
      </c>
      <c r="AH37" s="13">
        <f>IFERROR(AH31/AH28,0)</f>
        <v>0.0</v>
      </c>
      <c r="AI37" s="13">
        <f>IFERROR(AI31/AI28,0)</f>
        <v>0.0</v>
      </c>
      <c r="AJ37" s="13">
        <f>IFERROR(AJ31/AJ28,0)</f>
        <v>0.0</v>
      </c>
      <c r="AK37" s="13">
        <f>IFERROR(AK31/AK28,0)</f>
        <v>0.0</v>
      </c>
      <c r="AL37" s="13">
        <f>IFERROR(AL31/AL28,0)</f>
        <v>0.0</v>
      </c>
      <c r="AM37" s="13">
        <f>IFERROR(AM31/AM28,0)</f>
        <v>0.0</v>
      </c>
      <c r="AN37" s="13">
        <f>IFERROR(AN31/AN28,0)</f>
        <v>0.0</v>
      </c>
      <c r="AO37" s="13">
        <f>IFERROR(AO31/AO28,0)</f>
        <v>0.0</v>
      </c>
      <c r="AP37" s="13">
        <f>IFERROR(AP31/AP28,0)</f>
        <v>0.0</v>
      </c>
      <c r="AQ37" s="13">
        <f>IFERROR(AQ31/AQ28,0)</f>
        <v>0.0</v>
      </c>
      <c r="AS37" s="13">
        <f>IFERROR(AS31/AS28,0)</f>
        <v>0.0</v>
      </c>
      <c r="AT37" s="13">
        <f>IFERROR(AT31/AT28,0)</f>
        <v>0.0</v>
      </c>
      <c r="AU37" s="13">
        <f>IFERROR(AU31/AU28,0)</f>
        <v>0.0</v>
      </c>
      <c r="AV37" s="13">
        <f>IFERROR(AV31/AV28,0)</f>
        <v>0.0</v>
      </c>
      <c r="AW37" s="13">
        <f>IFERROR(AW31/AW28,0)</f>
        <v>0.0</v>
      </c>
      <c r="AX37" s="13">
        <f>IFERROR(AX31/AX28,0)</f>
        <v>0.0</v>
      </c>
      <c r="AY37" s="13">
        <f>IFERROR(AY31/AY28,0)</f>
        <v>0.0</v>
      </c>
      <c r="AZ37" s="13">
        <f>IFERROR(AZ31/AZ28,0)</f>
        <v>0.0</v>
      </c>
      <c r="BA37" s="13">
        <f>IFERROR(BA31/BA28,0)</f>
        <v>0.5186046511627908</v>
      </c>
      <c r="BB37" s="13">
        <f>IFERROR(BB31/BB28,0)</f>
        <v>0.332</v>
      </c>
      <c r="BC37" s="13">
        <f>IFERROR(BC31/BC28,0)</f>
        <v>0.305</v>
      </c>
      <c r="BD37" s="13">
        <f>IFERROR(BD31/BD28,0)</f>
        <v>-0.05333333333333334</v>
      </c>
      <c r="BE37" s="13">
        <f>IFERROR(BE31/BE28,0)</f>
        <v>0.29745762711864404</v>
      </c>
      <c r="BG37" s="13">
        <f>IFERROR(BG31/BG28,0)</f>
        <v>0.07331871195195443</v>
      </c>
      <c r="BH37" s="13">
        <f>IFERROR(BH31/BH28,0)</f>
        <v>0.07210649830740795</v>
      </c>
      <c r="BI37" s="13">
        <f>IFERROR(BI31/BI28,0)</f>
        <v>0.06586026783961042</v>
      </c>
      <c r="BJ37" s="13">
        <f>IFERROR(BJ31/BJ28,0)</f>
        <v>0.06832874950887598</v>
      </c>
      <c r="BK37" s="13">
        <f>IFERROR(BK31/BK28,0)</f>
        <v>0.06983279191661516</v>
      </c>
      <c r="BL37" s="13">
        <f>IFERROR(BL31/BL28,0)</f>
        <v>0.07261699091113946</v>
      </c>
      <c r="BM37" s="13">
        <f>IFERROR(BM31/BM28,0)</f>
        <v>0.07049677664012134</v>
      </c>
      <c r="BN37" s="13">
        <f>IFERROR(BN31/BN28,0)</f>
        <v>0.04238263345751008</v>
      </c>
      <c r="BO37" s="13">
        <f>IFERROR(BO31/BO28,0)</f>
        <v>0.05095063554326625</v>
      </c>
      <c r="BP37" s="13">
        <f>IFERROR(BP31/BP28,0)</f>
        <v>0.05707296401879963</v>
      </c>
      <c r="BQ37" s="13">
        <f>IFERROR(BQ31/BQ28,0)</f>
        <v>0.0632170501537483</v>
      </c>
      <c r="BR37" s="13">
        <f>IFERROR(BR31/BR28,0)</f>
        <v>0.07706157011712568</v>
      </c>
      <c r="BS37" s="13">
        <f>IFERROR(BS31/BS28,0)</f>
        <v>0.06535421666123517</v>
      </c>
    </row>
    <row r="38">
      <c r="B38" s="20" t="inlineStr">
        <is>
          <t>Sales/Day</t>
        </is>
      </c>
      <c r="C38" s="9">
        <f>IFERROR(C28/21,0)</f>
        <v>232.3190476190476</v>
      </c>
      <c r="D38" s="9">
        <f>IFERROR(D28/20,0)</f>
        <v>240.75500000000002</v>
      </c>
      <c r="E38" s="9">
        <f>IFERROR(E28/22,0)</f>
        <v>231.4818181818182</v>
      </c>
      <c r="F38" s="9">
        <f>IFERROR(F28/22,0)</f>
        <v>254.5181818181818</v>
      </c>
      <c r="G38" s="9">
        <f>IFERROR(G28/20,0)</f>
        <v>250.885</v>
      </c>
      <c r="H38" s="9">
        <f>IFERROR(H28/22,0)</f>
        <v>242.05454545454543</v>
      </c>
      <c r="I38" s="9">
        <f>IFERROR(I28/22,0)</f>
        <v>239.72727272727272</v>
      </c>
      <c r="J38" s="9">
        <f>IFERROR(J28/21,0)</f>
        <v>244.14761904761906</v>
      </c>
      <c r="K38" s="9">
        <f>IFERROR(K28/21,0)</f>
        <v>242.63333333333335</v>
      </c>
      <c r="L38" s="9">
        <f>IFERROR(L28/22,0)</f>
        <v>247.34545454545457</v>
      </c>
      <c r="M38" s="9">
        <f>IFERROR(M28/19,0)</f>
        <v>258.7105263157895</v>
      </c>
      <c r="N38" s="9">
        <f>IFERROR(N28/22,0)</f>
        <v>243.38181818181818</v>
      </c>
      <c r="O38" s="9">
        <f>IFERROR(O28/254,0)</f>
        <v>243.84488188976377</v>
      </c>
      <c r="Q38" s="9">
        <f>IFERROR(Q28/21,0)</f>
        <v>232.3190476190476</v>
      </c>
      <c r="R38" s="9">
        <f>IFERROR(R28/20,0)</f>
        <v>240.75500000000002</v>
      </c>
      <c r="S38" s="9">
        <f>IFERROR(S28/22,0)</f>
        <v>231.4818181818182</v>
      </c>
      <c r="T38" s="9">
        <f>IFERROR(T28/22,0)</f>
        <v>254.5181818181818</v>
      </c>
      <c r="U38" s="9">
        <f>IFERROR(U28/20,0)</f>
        <v>250.885</v>
      </c>
      <c r="V38" s="9">
        <f>IFERROR(V28/22,0)</f>
        <v>242.05454545454543</v>
      </c>
      <c r="W38" s="9">
        <f>IFERROR(W28/22,0)</f>
        <v>239.72727272727272</v>
      </c>
      <c r="X38" s="9">
        <f>IFERROR(X28/21,0)</f>
        <v>244.14761904761906</v>
      </c>
      <c r="Y38" s="9">
        <f>IFERROR(Y28/21,0)</f>
        <v>242.63333333333335</v>
      </c>
      <c r="Z38" s="9">
        <f>IFERROR(Z28/22,0)</f>
        <v>247.34545454545457</v>
      </c>
      <c r="AA38" s="9">
        <f>IFERROR(AA28/19,0)</f>
        <v>258.7105263157895</v>
      </c>
      <c r="AB38" s="9">
        <f>IFERROR(AB28/22,0)</f>
        <v>243.38181818181818</v>
      </c>
      <c r="AC38" s="9">
        <f>IFERROR(AC28/254,0)</f>
        <v>243.84488188976377</v>
      </c>
      <c r="AE38" s="9">
        <f>IFERROR(AE28/21,0)</f>
        <v>0.0</v>
      </c>
      <c r="AF38" s="9">
        <f>IFERROR(AF28/20,0)</f>
        <v>0.0</v>
      </c>
      <c r="AG38" s="9">
        <f>IFERROR(AG28/22,0)</f>
        <v>0.0</v>
      </c>
      <c r="AH38" s="9">
        <f>IFERROR(AH28/22,0)</f>
        <v>0.0</v>
      </c>
      <c r="AI38" s="9">
        <f>IFERROR(AI28/20,0)</f>
        <v>0.0</v>
      </c>
      <c r="AJ38" s="9">
        <f>IFERROR(AJ28/22,0)</f>
        <v>0.0</v>
      </c>
      <c r="AK38" s="9">
        <f>IFERROR(AK28/22,0)</f>
        <v>0.0</v>
      </c>
      <c r="AL38" s="9">
        <f>IFERROR(AL28/21,0)</f>
        <v>0.0</v>
      </c>
      <c r="AM38" s="9">
        <f>IFERROR(AM28/21,0)</f>
        <v>0.0</v>
      </c>
      <c r="AN38" s="9">
        <f>IFERROR(AN28/22,0)</f>
        <v>0.0</v>
      </c>
      <c r="AO38" s="9">
        <f>IFERROR(AO28/19,0)</f>
        <v>0.0</v>
      </c>
      <c r="AP38" s="9">
        <f>IFERROR(AP28/22,0)</f>
        <v>0.0</v>
      </c>
      <c r="AQ38" s="9">
        <f>IFERROR(AQ28/254,0)</f>
        <v>0.0</v>
      </c>
      <c r="AS38" s="9">
        <f>IFERROR(AS28/21,0)</f>
        <v>0.0</v>
      </c>
      <c r="AT38" s="9">
        <f>IFERROR(AT28/20,0)</f>
        <v>0.0</v>
      </c>
      <c r="AU38" s="9">
        <f>IFERROR(AU28/22,0)</f>
        <v>0.0</v>
      </c>
      <c r="AV38" s="9">
        <f>IFERROR(AV28/22,0)</f>
        <v>0.0</v>
      </c>
      <c r="AW38" s="9">
        <f>IFERROR(AW28/20,0)</f>
        <v>0.0</v>
      </c>
      <c r="AX38" s="9">
        <f>IFERROR(AX28/22,0)</f>
        <v>0.0</v>
      </c>
      <c r="AY38" s="9">
        <f>IFERROR(AY28/22,0)</f>
        <v>0.0</v>
      </c>
      <c r="AZ38" s="9">
        <f>IFERROR(AZ28/21,0)</f>
        <v>0.0</v>
      </c>
      <c r="BA38" s="9">
        <f>IFERROR(BA28/21,0)</f>
        <v>-20.476190476190474</v>
      </c>
      <c r="BB38" s="9">
        <f>IFERROR(BB28/22,0)</f>
        <v>-11.363636363636363</v>
      </c>
      <c r="BC38" s="9">
        <f>IFERROR(BC28/19,0)</f>
        <v>-10.526315789473685</v>
      </c>
      <c r="BD38" s="9">
        <f>IFERROR(BD28/22,0)</f>
        <v>-13.636363636363637</v>
      </c>
      <c r="BE38" s="9">
        <f>IFERROR(BE28/254,0)</f>
        <v>-4.645669291338582</v>
      </c>
      <c r="BG38" s="9">
        <f>IFERROR(BG28/21,0)</f>
        <v>232.3190476190476</v>
      </c>
      <c r="BH38" s="9">
        <f>IFERROR(BH28/20,0)</f>
        <v>240.75500000000002</v>
      </c>
      <c r="BI38" s="9">
        <f>IFERROR(BI28/22,0)</f>
        <v>231.4818181818182</v>
      </c>
      <c r="BJ38" s="9">
        <f>IFERROR(BJ28/22,0)</f>
        <v>254.5181818181818</v>
      </c>
      <c r="BK38" s="9">
        <f>IFERROR(BK28/20,0)</f>
        <v>250.885</v>
      </c>
      <c r="BL38" s="9">
        <f>IFERROR(BL28/22,0)</f>
        <v>242.05454545454543</v>
      </c>
      <c r="BM38" s="9">
        <f>IFERROR(BM28/22,0)</f>
        <v>239.72727272727272</v>
      </c>
      <c r="BN38" s="9">
        <f>IFERROR(BN28/21,0)</f>
        <v>244.14761904761906</v>
      </c>
      <c r="BO38" s="9">
        <f>IFERROR(BO28/21,0)</f>
        <v>222.15714285714287</v>
      </c>
      <c r="BP38" s="9">
        <f>IFERROR(BP28/22,0)</f>
        <v>235.9818181818182</v>
      </c>
      <c r="BQ38" s="9">
        <f>IFERROR(BQ28/19,0)</f>
        <v>248.18421052631578</v>
      </c>
      <c r="BR38" s="9">
        <f>IFERROR(BR28/22,0)</f>
        <v>229.74545454545452</v>
      </c>
      <c r="BS38" s="9">
        <f>IFERROR(BS28/254,0)</f>
        <v>239.1992125984252</v>
      </c>
    </row>
    <row r="40">
      <c r="B40" s="20" t="inlineStr">
        <is>
          <t>Net Inventory</t>
        </is>
      </c>
      <c r="C40" s="9" t="n">
        <v>8938.200000000001</v>
      </c>
      <c r="D40" s="9" t="n">
        <v>8677.6</v>
      </c>
      <c r="E40" s="9" t="n">
        <v>9094.9</v>
      </c>
      <c r="F40" s="9" t="n">
        <v>10143</v>
      </c>
      <c r="G40" s="9" t="n">
        <v>8777.799999999999</v>
      </c>
      <c r="H40" s="9" t="n">
        <v>8884.799999999999</v>
      </c>
      <c r="I40" s="9" t="n">
        <v>8549.700000000001</v>
      </c>
      <c r="J40" s="9" t="n">
        <v>8121.8</v>
      </c>
      <c r="K40" s="9" t="n">
        <v>7734</v>
      </c>
      <c r="L40" s="9" t="n">
        <v>8363.200000000001</v>
      </c>
      <c r="M40" s="9" t="n">
        <v>7509.9</v>
      </c>
      <c r="N40" s="9" t="n">
        <v>7719.4</v>
      </c>
      <c r="O40" s="9">
        <f>N40</f>
        <v>7719.4</v>
      </c>
      <c r="Q40" s="9" t="n">
        <v>8938.200000000001</v>
      </c>
      <c r="R40" s="9" t="n">
        <v>8677.6</v>
      </c>
      <c r="S40" s="9" t="n">
        <v>9094.9</v>
      </c>
      <c r="T40" s="9" t="n">
        <v>10143</v>
      </c>
      <c r="U40" s="9" t="n">
        <v>8777.799999999999</v>
      </c>
      <c r="V40" s="9" t="n">
        <v>8884.799999999999</v>
      </c>
      <c r="W40" s="9" t="n">
        <v>8549.700000000001</v>
      </c>
      <c r="X40" s="9" t="n">
        <v>8121.8</v>
      </c>
      <c r="Y40" s="9" t="n">
        <v>7734</v>
      </c>
      <c r="Z40" s="9" t="n">
        <v>8363.200000000001</v>
      </c>
      <c r="AA40" s="9" t="n">
        <v>7509.9</v>
      </c>
      <c r="AB40" s="9" t="n">
        <v>7719.4</v>
      </c>
      <c r="AC40" s="9">
        <f>AB40</f>
        <v>7719.4</v>
      </c>
      <c r="AE40" s="9">
        <f>Q40-C40</f>
        <v>0.0</v>
      </c>
      <c r="AF40" s="9">
        <f>R40-D40</f>
        <v>0.0</v>
      </c>
      <c r="AG40" s="9">
        <f>S40-E40</f>
        <v>0.0</v>
      </c>
      <c r="AH40" s="9">
        <f>T40-F40</f>
        <v>0.0</v>
      </c>
      <c r="AI40" s="9">
        <f>U40-G40</f>
        <v>0.0</v>
      </c>
      <c r="AJ40" s="9">
        <f>V40-H40</f>
        <v>0.0</v>
      </c>
      <c r="AK40" s="9">
        <f>W40-I40</f>
        <v>0.0</v>
      </c>
      <c r="AL40" s="9">
        <f>X40-J40</f>
        <v>0.0</v>
      </c>
      <c r="AM40" s="9">
        <f>Y40-K40</f>
        <v>0.0</v>
      </c>
      <c r="AN40" s="9">
        <f>Z40-L40</f>
        <v>0.0</v>
      </c>
      <c r="AO40" s="9">
        <f>AA40-M40</f>
        <v>0.0</v>
      </c>
      <c r="AP40" s="9">
        <f>AB40-N40</f>
        <v>0.0</v>
      </c>
      <c r="AQ40" s="9">
        <f>AP40</f>
        <v>0.0</v>
      </c>
      <c r="AS40" s="9">
        <f>'Adjustments'!C90</f>
        <v>0.0</v>
      </c>
      <c r="AT40" s="9">
        <f>'Adjustments'!D90</f>
        <v>0.0</v>
      </c>
      <c r="AU40" s="9">
        <f>'Adjustments'!E90</f>
        <v>0.0</v>
      </c>
      <c r="AV40" s="9">
        <f>'Adjustments'!F90</f>
        <v>0.0</v>
      </c>
      <c r="AW40" s="9">
        <f>'Adjustments'!G90</f>
        <v>0.0</v>
      </c>
      <c r="AX40" s="9">
        <f>'Adjustments'!H90</f>
        <v>0.0</v>
      </c>
      <c r="AY40" s="9">
        <f>'Adjustments'!I90</f>
        <v>0.0</v>
      </c>
      <c r="AZ40" s="9">
        <f>'Adjustments'!J90</f>
        <v>0.0</v>
      </c>
      <c r="BA40" s="9">
        <f>'Adjustments'!K90</f>
        <v>400.0</v>
      </c>
      <c r="BB40" s="9">
        <f>'Adjustments'!L90</f>
        <v>600.0</v>
      </c>
      <c r="BC40" s="9">
        <f>'Adjustments'!M90</f>
        <v>300.0</v>
      </c>
      <c r="BD40" s="9">
        <f>'Adjustments'!N90</f>
        <v>0.0</v>
      </c>
      <c r="BE40" s="9">
        <f>BD40</f>
        <v>0.0</v>
      </c>
      <c r="BG40" s="9">
        <f>C40+AE40+AS40</f>
        <v>8938.2</v>
      </c>
      <c r="BH40" s="9">
        <f>D40+AF40+AT40</f>
        <v>8677.6</v>
      </c>
      <c r="BI40" s="9">
        <f>E40+AG40+AU40</f>
        <v>9094.9</v>
      </c>
      <c r="BJ40" s="9">
        <f>F40+AH40+AV40</f>
        <v>10143.0</v>
      </c>
      <c r="BK40" s="9">
        <f>G40+AI40+AW40</f>
        <v>8777.8</v>
      </c>
      <c r="BL40" s="9">
        <f>H40+AJ40+AX40</f>
        <v>8884.8</v>
      </c>
      <c r="BM40" s="9">
        <f>I40+AK40+AY40</f>
        <v>8549.7</v>
      </c>
      <c r="BN40" s="9">
        <f>J40+AL40+AZ40</f>
        <v>8121.8</v>
      </c>
      <c r="BO40" s="9">
        <f>K40+AM40+BA40</f>
        <v>8134.0</v>
      </c>
      <c r="BP40" s="9">
        <f>L40+AN40+BB40</f>
        <v>8963.2</v>
      </c>
      <c r="BQ40" s="9">
        <f>M40+AO40+BC40</f>
        <v>7809.9</v>
      </c>
      <c r="BR40" s="9">
        <f>N40+AP40+BD40</f>
        <v>7719.4</v>
      </c>
      <c r="BS40" s="9">
        <f>BR40</f>
        <v>7719.4</v>
      </c>
    </row>
    <row r="41">
      <c r="B41" s="20" t="inlineStr">
        <is>
          <t>Trade Receivables</t>
        </is>
      </c>
      <c r="C41" s="9" t="n">
        <v>7399.4</v>
      </c>
      <c r="D41" s="9" t="n">
        <v>7302.9</v>
      </c>
      <c r="E41" s="9" t="n">
        <v>7723.8</v>
      </c>
      <c r="F41" s="9" t="n">
        <v>8492.4</v>
      </c>
      <c r="G41" s="9" t="n">
        <v>7610.2</v>
      </c>
      <c r="H41" s="9" t="n">
        <v>8076.6</v>
      </c>
      <c r="I41" s="9" t="n">
        <v>7998.9</v>
      </c>
      <c r="J41" s="9" t="n">
        <v>7776.1</v>
      </c>
      <c r="K41" s="9" t="n">
        <v>7075.7</v>
      </c>
      <c r="L41" s="9" t="n">
        <v>7873.9</v>
      </c>
      <c r="M41" s="9" t="n">
        <v>7151.8</v>
      </c>
      <c r="N41" s="9" t="n">
        <v>7665.8</v>
      </c>
      <c r="O41" s="9">
        <f>N41</f>
        <v>7665.8</v>
      </c>
      <c r="Q41" s="9" t="n">
        <v>7399.4</v>
      </c>
      <c r="R41" s="9" t="n">
        <v>7302.9</v>
      </c>
      <c r="S41" s="9" t="n">
        <v>7723.8</v>
      </c>
      <c r="T41" s="9" t="n">
        <v>8492.4</v>
      </c>
      <c r="U41" s="9" t="n">
        <v>7610.2</v>
      </c>
      <c r="V41" s="9" t="n">
        <v>8076.6</v>
      </c>
      <c r="W41" s="9" t="n">
        <v>7998.9</v>
      </c>
      <c r="X41" s="9" t="n">
        <v>7776.1</v>
      </c>
      <c r="Y41" s="9" t="n">
        <v>7075.7</v>
      </c>
      <c r="Z41" s="9" t="n">
        <v>7873.9</v>
      </c>
      <c r="AA41" s="9" t="n">
        <v>7151.8</v>
      </c>
      <c r="AB41" s="9" t="n">
        <v>7665.8</v>
      </c>
      <c r="AC41" s="9">
        <f>AB41</f>
        <v>7665.8</v>
      </c>
      <c r="AE41" s="9">
        <f>Q41-C41</f>
        <v>0.0</v>
      </c>
      <c r="AF41" s="9">
        <f>R41-D41</f>
        <v>0.0</v>
      </c>
      <c r="AG41" s="9">
        <f>S41-E41</f>
        <v>0.0</v>
      </c>
      <c r="AH41" s="9">
        <f>T41-F41</f>
        <v>0.0</v>
      </c>
      <c r="AI41" s="9">
        <f>U41-G41</f>
        <v>0.0</v>
      </c>
      <c r="AJ41" s="9">
        <f>V41-H41</f>
        <v>0.0</v>
      </c>
      <c r="AK41" s="9">
        <f>W41-I41</f>
        <v>0.0</v>
      </c>
      <c r="AL41" s="9">
        <f>X41-J41</f>
        <v>0.0</v>
      </c>
      <c r="AM41" s="9">
        <f>Y41-K41</f>
        <v>0.0</v>
      </c>
      <c r="AN41" s="9">
        <f>Z41-L41</f>
        <v>0.0</v>
      </c>
      <c r="AO41" s="9">
        <f>AA41-M41</f>
        <v>0.0</v>
      </c>
      <c r="AP41" s="9">
        <f>AB41-N41</f>
        <v>0.0</v>
      </c>
      <c r="AQ41" s="9">
        <f>AP41</f>
        <v>0.0</v>
      </c>
      <c r="AS41" s="9">
        <f>'Adjustments'!C91</f>
        <v>0.0</v>
      </c>
      <c r="AT41" s="9">
        <f>'Adjustments'!D91</f>
        <v>0.0</v>
      </c>
      <c r="AU41" s="9">
        <f>'Adjustments'!E91</f>
        <v>0.0</v>
      </c>
      <c r="AV41" s="9">
        <f>'Adjustments'!F91</f>
        <v>0.0</v>
      </c>
      <c r="AW41" s="9">
        <f>'Adjustments'!G91</f>
        <v>0.0</v>
      </c>
      <c r="AX41" s="9">
        <f>'Adjustments'!H91</f>
        <v>0.0</v>
      </c>
      <c r="AY41" s="9">
        <f>'Adjustments'!I91</f>
        <v>0.0</v>
      </c>
      <c r="AZ41" s="9">
        <f>'Adjustments'!J91</f>
        <v>0.0</v>
      </c>
      <c r="BA41" s="9">
        <f>'Adjustments'!K91</f>
        <v>0.0</v>
      </c>
      <c r="BB41" s="9">
        <f>'Adjustments'!L91</f>
        <v>0.0</v>
      </c>
      <c r="BC41" s="9">
        <f>'Adjustments'!M91</f>
        <v>0.0</v>
      </c>
      <c r="BD41" s="9">
        <f>'Adjustments'!N91</f>
        <v>0.0</v>
      </c>
      <c r="BE41" s="9">
        <f>BD41</f>
        <v>0.0</v>
      </c>
      <c r="BG41" s="9">
        <f>C41+AE41+AS41</f>
        <v>7399.4</v>
      </c>
      <c r="BH41" s="9">
        <f>D41+AF41+AT41</f>
        <v>7302.9</v>
      </c>
      <c r="BI41" s="9">
        <f>E41+AG41+AU41</f>
        <v>7723.8</v>
      </c>
      <c r="BJ41" s="9">
        <f>F41+AH41+AV41</f>
        <v>8492.4</v>
      </c>
      <c r="BK41" s="9">
        <f>G41+AI41+AW41</f>
        <v>7610.2</v>
      </c>
      <c r="BL41" s="9">
        <f>H41+AJ41+AX41</f>
        <v>8076.6</v>
      </c>
      <c r="BM41" s="9">
        <f>I41+AK41+AY41</f>
        <v>7998.9</v>
      </c>
      <c r="BN41" s="9">
        <f>J41+AL41+AZ41</f>
        <v>7776.1</v>
      </c>
      <c r="BO41" s="9">
        <f>K41+AM41+BA41</f>
        <v>7075.7</v>
      </c>
      <c r="BP41" s="9">
        <f>L41+AN41+BB41</f>
        <v>7873.9</v>
      </c>
      <c r="BQ41" s="9">
        <f>M41+AO41+BC41</f>
        <v>7151.8</v>
      </c>
      <c r="BR41" s="9">
        <f>N41+AP41+BD41</f>
        <v>7665.8</v>
      </c>
      <c r="BS41" s="9">
        <f>BR41</f>
        <v>7665.8</v>
      </c>
    </row>
    <row r="42">
      <c r="B42" s="20" t="inlineStr">
        <is>
          <t>Other Receivables</t>
        </is>
      </c>
      <c r="C42" s="9" t="n">
        <v>73.2</v>
      </c>
      <c r="D42" s="9" t="n">
        <v>72.2</v>
      </c>
      <c r="E42" s="9" t="n">
        <v>76.40000000000001</v>
      </c>
      <c r="F42" s="9" t="n">
        <v>84</v>
      </c>
      <c r="G42" s="9" t="n">
        <v>75.3</v>
      </c>
      <c r="H42" s="9" t="n">
        <v>79.90000000000001</v>
      </c>
      <c r="I42" s="9" t="n">
        <v>79.09999999999999</v>
      </c>
      <c r="J42" s="9" t="n">
        <v>76.90000000000001</v>
      </c>
      <c r="K42" s="9" t="n">
        <v>70</v>
      </c>
      <c r="L42" s="9" t="n">
        <v>77.90000000000001</v>
      </c>
      <c r="M42" s="9" t="n">
        <v>70.7</v>
      </c>
      <c r="N42" s="9" t="n">
        <v>75.8</v>
      </c>
      <c r="O42" s="9">
        <f>N42</f>
        <v>75.8</v>
      </c>
      <c r="Q42" s="9" t="n">
        <v>73.2</v>
      </c>
      <c r="R42" s="9" t="n">
        <v>72.2</v>
      </c>
      <c r="S42" s="9" t="n">
        <v>76.40000000000001</v>
      </c>
      <c r="T42" s="9" t="n">
        <v>84</v>
      </c>
      <c r="U42" s="9" t="n">
        <v>75.3</v>
      </c>
      <c r="V42" s="9" t="n">
        <v>79.90000000000001</v>
      </c>
      <c r="W42" s="9" t="n">
        <v>79.09999999999999</v>
      </c>
      <c r="X42" s="9" t="n">
        <v>76.90000000000001</v>
      </c>
      <c r="Y42" s="9" t="n">
        <v>70</v>
      </c>
      <c r="Z42" s="9" t="n">
        <v>77.90000000000001</v>
      </c>
      <c r="AA42" s="9" t="n">
        <v>70.7</v>
      </c>
      <c r="AB42" s="9" t="n">
        <v>75.8</v>
      </c>
      <c r="AC42" s="9">
        <f>AB42</f>
        <v>75.8</v>
      </c>
      <c r="AE42" s="9">
        <f>Q42-C42</f>
        <v>0.0</v>
      </c>
      <c r="AF42" s="9">
        <f>R42-D42</f>
        <v>0.0</v>
      </c>
      <c r="AG42" s="9">
        <f>S42-E42</f>
        <v>0.0</v>
      </c>
      <c r="AH42" s="9">
        <f>T42-F42</f>
        <v>0.0</v>
      </c>
      <c r="AI42" s="9">
        <f>U42-G42</f>
        <v>0.0</v>
      </c>
      <c r="AJ42" s="9">
        <f>V42-H42</f>
        <v>0.0</v>
      </c>
      <c r="AK42" s="9">
        <f>W42-I42</f>
        <v>0.0</v>
      </c>
      <c r="AL42" s="9">
        <f>X42-J42</f>
        <v>0.0</v>
      </c>
      <c r="AM42" s="9">
        <f>Y42-K42</f>
        <v>0.0</v>
      </c>
      <c r="AN42" s="9">
        <f>Z42-L42</f>
        <v>0.0</v>
      </c>
      <c r="AO42" s="9">
        <f>AA42-M42</f>
        <v>0.0</v>
      </c>
      <c r="AP42" s="9">
        <f>AB42-N42</f>
        <v>0.0</v>
      </c>
      <c r="AQ42" s="9">
        <f>AP42</f>
        <v>0.0</v>
      </c>
      <c r="AS42" s="9">
        <f>'Adjustments'!C92</f>
        <v>0.0</v>
      </c>
      <c r="AT42" s="9">
        <f>'Adjustments'!D92</f>
        <v>0.0</v>
      </c>
      <c r="AU42" s="9">
        <f>'Adjustments'!E92</f>
        <v>0.0</v>
      </c>
      <c r="AV42" s="9">
        <f>'Adjustments'!F92</f>
        <v>0.0</v>
      </c>
      <c r="AW42" s="9">
        <f>'Adjustments'!G92</f>
        <v>0.0</v>
      </c>
      <c r="AX42" s="9">
        <f>'Adjustments'!H92</f>
        <v>0.0</v>
      </c>
      <c r="AY42" s="9">
        <f>'Adjustments'!I92</f>
        <v>0.0</v>
      </c>
      <c r="AZ42" s="9">
        <f>'Adjustments'!J92</f>
        <v>0.0</v>
      </c>
      <c r="BA42" s="9">
        <f>'Adjustments'!K92</f>
        <v>0.0</v>
      </c>
      <c r="BB42" s="9">
        <f>'Adjustments'!L92</f>
        <v>0.0</v>
      </c>
      <c r="BC42" s="9">
        <f>'Adjustments'!M92</f>
        <v>0.0</v>
      </c>
      <c r="BD42" s="9">
        <f>'Adjustments'!N92</f>
        <v>0.0</v>
      </c>
      <c r="BE42" s="9">
        <f>BD42</f>
        <v>0.0</v>
      </c>
      <c r="BG42" s="9">
        <f>C42+AE42+AS42</f>
        <v>73.2</v>
      </c>
      <c r="BH42" s="9">
        <f>D42+AF42+AT42</f>
        <v>72.2</v>
      </c>
      <c r="BI42" s="9">
        <f>E42+AG42+AU42</f>
        <v>76.4</v>
      </c>
      <c r="BJ42" s="9">
        <f>F42+AH42+AV42</f>
        <v>84.0</v>
      </c>
      <c r="BK42" s="9">
        <f>G42+AI42+AW42</f>
        <v>75.3</v>
      </c>
      <c r="BL42" s="9">
        <f>H42+AJ42+AX42</f>
        <v>79.9</v>
      </c>
      <c r="BM42" s="9">
        <f>I42+AK42+AY42</f>
        <v>79.1</v>
      </c>
      <c r="BN42" s="9">
        <f>J42+AL42+AZ42</f>
        <v>76.9</v>
      </c>
      <c r="BO42" s="9">
        <f>K42+AM42+BA42</f>
        <v>70.0</v>
      </c>
      <c r="BP42" s="9">
        <f>L42+AN42+BB42</f>
        <v>77.9</v>
      </c>
      <c r="BQ42" s="9">
        <f>M42+AO42+BC42</f>
        <v>70.7</v>
      </c>
      <c r="BR42" s="9">
        <f>N42+AP42+BD42</f>
        <v>75.8</v>
      </c>
      <c r="BS42" s="9">
        <f>BR42</f>
        <v>75.8</v>
      </c>
    </row>
    <row r="43">
      <c r="B43" s="20" t="inlineStr">
        <is>
          <t>Trade Payables</t>
        </is>
      </c>
      <c r="C43" s="9" t="n">
        <v>-4979.7</v>
      </c>
      <c r="D43" s="9" t="n">
        <v>-4924.1</v>
      </c>
      <c r="E43" s="9" t="n">
        <v>-5217.9</v>
      </c>
      <c r="F43" s="9" t="n">
        <v>-5760.9</v>
      </c>
      <c r="G43" s="9" t="n">
        <v>-5122.6</v>
      </c>
      <c r="H43" s="9" t="n">
        <v>-5438.2</v>
      </c>
      <c r="I43" s="9" t="n">
        <v>-5401.8</v>
      </c>
      <c r="J43" s="9" t="n">
        <v>-5273.4</v>
      </c>
      <c r="K43" s="9" t="n">
        <v>-4979.1</v>
      </c>
      <c r="L43" s="9" t="n">
        <v>-5411.1</v>
      </c>
      <c r="M43" s="9" t="n">
        <v>-4879.2</v>
      </c>
      <c r="N43" s="9" t="n">
        <v>-5118.1</v>
      </c>
      <c r="O43" s="9">
        <f>N43</f>
        <v>-5118.1</v>
      </c>
      <c r="Q43" s="9" t="n">
        <v>-4979.7</v>
      </c>
      <c r="R43" s="9" t="n">
        <v>-4924.1</v>
      </c>
      <c r="S43" s="9" t="n">
        <v>-5217.9</v>
      </c>
      <c r="T43" s="9" t="n">
        <v>-5760.9</v>
      </c>
      <c r="U43" s="9" t="n">
        <v>-5122.6</v>
      </c>
      <c r="V43" s="9" t="n">
        <v>-5438.2</v>
      </c>
      <c r="W43" s="9" t="n">
        <v>-5401.8</v>
      </c>
      <c r="X43" s="9" t="n">
        <v>-5273.4</v>
      </c>
      <c r="Y43" s="9" t="n">
        <v>-4979.1</v>
      </c>
      <c r="Z43" s="9" t="n">
        <v>-5411.1</v>
      </c>
      <c r="AA43" s="9" t="n">
        <v>-4879.2</v>
      </c>
      <c r="AB43" s="9" t="n">
        <v>-5118.1</v>
      </c>
      <c r="AC43" s="9">
        <f>AB43</f>
        <v>-5118.1</v>
      </c>
      <c r="AE43" s="9">
        <f>Q43-C43</f>
        <v>0.0</v>
      </c>
      <c r="AF43" s="9">
        <f>R43-D43</f>
        <v>0.0</v>
      </c>
      <c r="AG43" s="9">
        <f>S43-E43</f>
        <v>0.0</v>
      </c>
      <c r="AH43" s="9">
        <f>T43-F43</f>
        <v>0.0</v>
      </c>
      <c r="AI43" s="9">
        <f>U43-G43</f>
        <v>0.0</v>
      </c>
      <c r="AJ43" s="9">
        <f>V43-H43</f>
        <v>0.0</v>
      </c>
      <c r="AK43" s="9">
        <f>W43-I43</f>
        <v>0.0</v>
      </c>
      <c r="AL43" s="9">
        <f>X43-J43</f>
        <v>0.0</v>
      </c>
      <c r="AM43" s="9">
        <f>Y43-K43</f>
        <v>0.0</v>
      </c>
      <c r="AN43" s="9">
        <f>Z43-L43</f>
        <v>0.0</v>
      </c>
      <c r="AO43" s="9">
        <f>AA43-M43</f>
        <v>0.0</v>
      </c>
      <c r="AP43" s="9">
        <f>AB43-N43</f>
        <v>0.0</v>
      </c>
      <c r="AQ43" s="9">
        <f>AP43</f>
        <v>0.0</v>
      </c>
      <c r="AS43" s="9">
        <f>'Adjustments'!C93</f>
        <v>0.0</v>
      </c>
      <c r="AT43" s="9">
        <f>'Adjustments'!D93</f>
        <v>0.0</v>
      </c>
      <c r="AU43" s="9">
        <f>'Adjustments'!E93</f>
        <v>0.0</v>
      </c>
      <c r="AV43" s="9">
        <f>'Adjustments'!F93</f>
        <v>0.0</v>
      </c>
      <c r="AW43" s="9">
        <f>'Adjustments'!G93</f>
        <v>0.0</v>
      </c>
      <c r="AX43" s="9">
        <f>'Adjustments'!H93</f>
        <v>0.0</v>
      </c>
      <c r="AY43" s="9">
        <f>'Adjustments'!I93</f>
        <v>0.0</v>
      </c>
      <c r="AZ43" s="9">
        <f>'Adjustments'!J93</f>
        <v>0.0</v>
      </c>
      <c r="BA43" s="9">
        <f>'Adjustments'!K93</f>
        <v>0.0</v>
      </c>
      <c r="BB43" s="9">
        <f>'Adjustments'!L93</f>
        <v>0.0</v>
      </c>
      <c r="BC43" s="9">
        <f>'Adjustments'!M93</f>
        <v>0.0</v>
      </c>
      <c r="BD43" s="9">
        <f>'Adjustments'!N93</f>
        <v>0.0</v>
      </c>
      <c r="BE43" s="9">
        <f>BD43</f>
        <v>0.0</v>
      </c>
      <c r="BG43" s="9">
        <f>C43+AE43+AS43</f>
        <v>-4979.7</v>
      </c>
      <c r="BH43" s="9">
        <f>D43+AF43+AT43</f>
        <v>-4924.1</v>
      </c>
      <c r="BI43" s="9">
        <f>E43+AG43+AU43</f>
        <v>-5217.9</v>
      </c>
      <c r="BJ43" s="9">
        <f>F43+AH43+AV43</f>
        <v>-5760.9</v>
      </c>
      <c r="BK43" s="9">
        <f>G43+AI43+AW43</f>
        <v>-5122.6</v>
      </c>
      <c r="BL43" s="9">
        <f>H43+AJ43+AX43</f>
        <v>-5438.2</v>
      </c>
      <c r="BM43" s="9">
        <f>I43+AK43+AY43</f>
        <v>-5401.8</v>
      </c>
      <c r="BN43" s="9">
        <f>J43+AL43+AZ43</f>
        <v>-5273.4</v>
      </c>
      <c r="BO43" s="9">
        <f>K43+AM43+BA43</f>
        <v>-4979.1</v>
      </c>
      <c r="BP43" s="9">
        <f>L43+AN43+BB43</f>
        <v>-5411.1</v>
      </c>
      <c r="BQ43" s="9">
        <f>M43+AO43+BC43</f>
        <v>-4879.2</v>
      </c>
      <c r="BR43" s="9">
        <f>N43+AP43+BD43</f>
        <v>-5118.1</v>
      </c>
      <c r="BS43" s="9">
        <f>BR43</f>
        <v>-5118.1</v>
      </c>
    </row>
    <row r="44">
      <c r="B44" s="20" t="inlineStr">
        <is>
          <t>Other Payables</t>
        </is>
      </c>
      <c r="C44" s="9" t="n">
        <v>-146.4</v>
      </c>
      <c r="D44" s="9" t="n">
        <v>-144.5</v>
      </c>
      <c r="E44" s="9" t="n">
        <v>-152.8</v>
      </c>
      <c r="F44" s="9" t="n">
        <v>-168</v>
      </c>
      <c r="G44" s="9" t="n">
        <v>-150.5</v>
      </c>
      <c r="H44" s="9" t="n">
        <v>-159.8</v>
      </c>
      <c r="I44" s="9" t="n">
        <v>-158.2</v>
      </c>
      <c r="J44" s="9" t="n">
        <v>-153.8</v>
      </c>
      <c r="K44" s="9" t="n">
        <v>-140</v>
      </c>
      <c r="L44" s="9" t="n">
        <v>-155.7</v>
      </c>
      <c r="M44" s="9" t="n">
        <v>-141.5</v>
      </c>
      <c r="N44" s="9" t="n">
        <v>-151.6</v>
      </c>
      <c r="O44" s="9">
        <f>N44</f>
        <v>-151.6</v>
      </c>
      <c r="Q44" s="9" t="n">
        <v>-146.4</v>
      </c>
      <c r="R44" s="9" t="n">
        <v>-144.5</v>
      </c>
      <c r="S44" s="9" t="n">
        <v>-152.8</v>
      </c>
      <c r="T44" s="9" t="n">
        <v>-168</v>
      </c>
      <c r="U44" s="9" t="n">
        <v>-150.5</v>
      </c>
      <c r="V44" s="9" t="n">
        <v>-159.8</v>
      </c>
      <c r="W44" s="9" t="n">
        <v>-158.2</v>
      </c>
      <c r="X44" s="9" t="n">
        <v>-153.8</v>
      </c>
      <c r="Y44" s="9" t="n">
        <v>-140</v>
      </c>
      <c r="Z44" s="9" t="n">
        <v>-155.7</v>
      </c>
      <c r="AA44" s="9" t="n">
        <v>-141.5</v>
      </c>
      <c r="AB44" s="9" t="n">
        <v>-151.6</v>
      </c>
      <c r="AC44" s="9">
        <f>AB44</f>
        <v>-151.6</v>
      </c>
      <c r="AE44" s="9">
        <f>Q44-C44</f>
        <v>0.0</v>
      </c>
      <c r="AF44" s="9">
        <f>R44-D44</f>
        <v>0.0</v>
      </c>
      <c r="AG44" s="9">
        <f>S44-E44</f>
        <v>0.0</v>
      </c>
      <c r="AH44" s="9">
        <f>T44-F44</f>
        <v>0.0</v>
      </c>
      <c r="AI44" s="9">
        <f>U44-G44</f>
        <v>0.0</v>
      </c>
      <c r="AJ44" s="9">
        <f>V44-H44</f>
        <v>0.0</v>
      </c>
      <c r="AK44" s="9">
        <f>W44-I44</f>
        <v>0.0</v>
      </c>
      <c r="AL44" s="9">
        <f>X44-J44</f>
        <v>0.0</v>
      </c>
      <c r="AM44" s="9">
        <f>Y44-K44</f>
        <v>0.0</v>
      </c>
      <c r="AN44" s="9">
        <f>Z44-L44</f>
        <v>0.0</v>
      </c>
      <c r="AO44" s="9">
        <f>AA44-M44</f>
        <v>0.0</v>
      </c>
      <c r="AP44" s="9">
        <f>AB44-N44</f>
        <v>0.0</v>
      </c>
      <c r="AQ44" s="9">
        <f>AP44</f>
        <v>0.0</v>
      </c>
      <c r="AS44" s="9">
        <f>'Adjustments'!C94</f>
        <v>0.0</v>
      </c>
      <c r="AT44" s="9">
        <f>'Adjustments'!D94</f>
        <v>0.0</v>
      </c>
      <c r="AU44" s="9">
        <f>'Adjustments'!E94</f>
        <v>0.0</v>
      </c>
      <c r="AV44" s="9">
        <f>'Adjustments'!F94</f>
        <v>0.0</v>
      </c>
      <c r="AW44" s="9">
        <f>'Adjustments'!G94</f>
        <v>0.0</v>
      </c>
      <c r="AX44" s="9">
        <f>'Adjustments'!H94</f>
        <v>0.0</v>
      </c>
      <c r="AY44" s="9">
        <f>'Adjustments'!I94</f>
        <v>0.0</v>
      </c>
      <c r="AZ44" s="9">
        <f>'Adjustments'!J94</f>
        <v>0.0</v>
      </c>
      <c r="BA44" s="9">
        <f>'Adjustments'!K94</f>
        <v>0.0</v>
      </c>
      <c r="BB44" s="9">
        <f>'Adjustments'!L94</f>
        <v>0.0</v>
      </c>
      <c r="BC44" s="9">
        <f>'Adjustments'!M94</f>
        <v>0.0</v>
      </c>
      <c r="BD44" s="9">
        <f>'Adjustments'!N94</f>
        <v>0.0</v>
      </c>
      <c r="BE44" s="9">
        <f>BD44</f>
        <v>0.0</v>
      </c>
      <c r="BG44" s="9">
        <f>C44+AE44+AS44</f>
        <v>-146.4</v>
      </c>
      <c r="BH44" s="9">
        <f>D44+AF44+AT44</f>
        <v>-144.5</v>
      </c>
      <c r="BI44" s="9">
        <f>E44+AG44+AU44</f>
        <v>-152.8</v>
      </c>
      <c r="BJ44" s="9">
        <f>F44+AH44+AV44</f>
        <v>-168.0</v>
      </c>
      <c r="BK44" s="9">
        <f>G44+AI44+AW44</f>
        <v>-150.5</v>
      </c>
      <c r="BL44" s="9">
        <f>H44+AJ44+AX44</f>
        <v>-159.8</v>
      </c>
      <c r="BM44" s="9">
        <f>I44+AK44+AY44</f>
        <v>-158.2</v>
      </c>
      <c r="BN44" s="9">
        <f>J44+AL44+AZ44</f>
        <v>-153.8</v>
      </c>
      <c r="BO44" s="9">
        <f>K44+AM44+BA44</f>
        <v>-140.0</v>
      </c>
      <c r="BP44" s="9">
        <f>L44+AN44+BB44</f>
        <v>-155.7</v>
      </c>
      <c r="BQ44" s="9">
        <f>M44+AO44+BC44</f>
        <v>-141.5</v>
      </c>
      <c r="BR44" s="9">
        <f>N44+AP44+BD44</f>
        <v>-151.6</v>
      </c>
      <c r="BS44" s="9">
        <f>BR44</f>
        <v>-151.6</v>
      </c>
    </row>
    <row r="45">
      <c r="B45" s="2" t="inlineStr">
        <is>
          <t>Total working capital</t>
        </is>
      </c>
      <c r="C45" s="9">
        <f>SUM(C40:C44)</f>
        <v>11284.699999999999</v>
      </c>
      <c r="D45" s="9">
        <f>SUM(D40:D44)</f>
        <v>10984.1</v>
      </c>
      <c r="E45" s="9">
        <f>SUM(E40:E44)</f>
        <v>11524.400000000003</v>
      </c>
      <c r="F45" s="9">
        <f>SUM(F40:F44)</f>
        <v>12790.500000000002</v>
      </c>
      <c r="G45" s="9">
        <f>SUM(G40:G44)</f>
        <v>11190.199999999999</v>
      </c>
      <c r="H45" s="9">
        <f>SUM(H40:H44)</f>
        <v>11443.300000000003</v>
      </c>
      <c r="I45" s="9">
        <f>SUM(I40:I44)</f>
        <v>11067.699999999997</v>
      </c>
      <c r="J45" s="9">
        <f>SUM(J40:J44)</f>
        <v>10547.600000000002</v>
      </c>
      <c r="K45" s="9">
        <f>SUM(K40:K44)</f>
        <v>9760.6</v>
      </c>
      <c r="L45" s="9">
        <f>SUM(L40:L44)</f>
        <v>10748.199999999999</v>
      </c>
      <c r="M45" s="9">
        <f>SUM(M40:M44)</f>
        <v>9711.7</v>
      </c>
      <c r="N45" s="9">
        <f>SUM(N40:N44)</f>
        <v>10191.3</v>
      </c>
      <c r="O45" s="9">
        <f>N45</f>
        <v>10191.3</v>
      </c>
      <c r="Q45" s="9">
        <f>SUM(Q40:Q44)</f>
        <v>11284.699999999999</v>
      </c>
      <c r="R45" s="9">
        <f>SUM(R40:R44)</f>
        <v>10984.1</v>
      </c>
      <c r="S45" s="9">
        <f>SUM(S40:S44)</f>
        <v>11524.400000000003</v>
      </c>
      <c r="T45" s="9">
        <f>SUM(T40:T44)</f>
        <v>12790.500000000002</v>
      </c>
      <c r="U45" s="9">
        <f>SUM(U40:U44)</f>
        <v>11190.199999999999</v>
      </c>
      <c r="V45" s="9">
        <f>SUM(V40:V44)</f>
        <v>11443.300000000003</v>
      </c>
      <c r="W45" s="9">
        <f>SUM(W40:W44)</f>
        <v>11067.699999999997</v>
      </c>
      <c r="X45" s="9">
        <f>SUM(X40:X44)</f>
        <v>10547.600000000002</v>
      </c>
      <c r="Y45" s="9">
        <f>SUM(Y40:Y44)</f>
        <v>9760.6</v>
      </c>
      <c r="Z45" s="9">
        <f>SUM(Z40:Z44)</f>
        <v>10748.199999999999</v>
      </c>
      <c r="AA45" s="9">
        <f>SUM(AA40:AA44)</f>
        <v>9711.7</v>
      </c>
      <c r="AB45" s="9">
        <f>SUM(AB40:AB44)</f>
        <v>10191.3</v>
      </c>
      <c r="AC45" s="9">
        <f>AB45</f>
        <v>10191.3</v>
      </c>
      <c r="AE45" s="9">
        <f>SUM(AE40:AE44)</f>
        <v>0.0</v>
      </c>
      <c r="AF45" s="9">
        <f>SUM(AF40:AF44)</f>
        <v>0.0</v>
      </c>
      <c r="AG45" s="9">
        <f>SUM(AG40:AG44)</f>
        <v>0.0</v>
      </c>
      <c r="AH45" s="9">
        <f>SUM(AH40:AH44)</f>
        <v>0.0</v>
      </c>
      <c r="AI45" s="9">
        <f>SUM(AI40:AI44)</f>
        <v>0.0</v>
      </c>
      <c r="AJ45" s="9">
        <f>SUM(AJ40:AJ44)</f>
        <v>0.0</v>
      </c>
      <c r="AK45" s="9">
        <f>SUM(AK40:AK44)</f>
        <v>0.0</v>
      </c>
      <c r="AL45" s="9">
        <f>SUM(AL40:AL44)</f>
        <v>0.0</v>
      </c>
      <c r="AM45" s="9">
        <f>SUM(AM40:AM44)</f>
        <v>0.0</v>
      </c>
      <c r="AN45" s="9">
        <f>SUM(AN40:AN44)</f>
        <v>0.0</v>
      </c>
      <c r="AO45" s="9">
        <f>SUM(AO40:AO44)</f>
        <v>0.0</v>
      </c>
      <c r="AP45" s="9">
        <f>SUM(AP40:AP44)</f>
        <v>0.0</v>
      </c>
      <c r="AQ45" s="9">
        <f>AP45</f>
        <v>0.0</v>
      </c>
      <c r="AS45" s="9">
        <f>SUM(AS40:AS44)</f>
        <v>0.0</v>
      </c>
      <c r="AT45" s="9">
        <f>SUM(AT40:AT44)</f>
        <v>0.0</v>
      </c>
      <c r="AU45" s="9">
        <f>SUM(AU40:AU44)</f>
        <v>0.0</v>
      </c>
      <c r="AV45" s="9">
        <f>SUM(AV40:AV44)</f>
        <v>0.0</v>
      </c>
      <c r="AW45" s="9">
        <f>SUM(AW40:AW44)</f>
        <v>0.0</v>
      </c>
      <c r="AX45" s="9">
        <f>SUM(AX40:AX44)</f>
        <v>0.0</v>
      </c>
      <c r="AY45" s="9">
        <f>SUM(AY40:AY44)</f>
        <v>0.0</v>
      </c>
      <c r="AZ45" s="9">
        <f>SUM(AZ40:AZ44)</f>
        <v>0.0</v>
      </c>
      <c r="BA45" s="9">
        <f>SUM(BA40:BA44)</f>
        <v>400.0</v>
      </c>
      <c r="BB45" s="9">
        <f>SUM(BB40:BB44)</f>
        <v>600.0</v>
      </c>
      <c r="BC45" s="9">
        <f>SUM(BC40:BC44)</f>
        <v>300.0</v>
      </c>
      <c r="BD45" s="9">
        <f>SUM(BD40:BD44)</f>
        <v>0.0</v>
      </c>
      <c r="BE45" s="9">
        <f>BD45</f>
        <v>0.0</v>
      </c>
      <c r="BG45" s="9">
        <f>SUM(BG40:BG44)</f>
        <v>11284.699999999999</v>
      </c>
      <c r="BH45" s="9">
        <f>SUM(BH40:BH44)</f>
        <v>10984.1</v>
      </c>
      <c r="BI45" s="9">
        <f>SUM(BI40:BI44)</f>
        <v>11524.400000000003</v>
      </c>
      <c r="BJ45" s="9">
        <f>SUM(BJ40:BJ44)</f>
        <v>12790.500000000002</v>
      </c>
      <c r="BK45" s="9">
        <f>SUM(BK40:BK44)</f>
        <v>11190.199999999999</v>
      </c>
      <c r="BL45" s="9">
        <f>SUM(BL40:BL44)</f>
        <v>11443.300000000003</v>
      </c>
      <c r="BM45" s="9">
        <f>SUM(BM40:BM44)</f>
        <v>11067.699999999997</v>
      </c>
      <c r="BN45" s="9">
        <f>SUM(BN40:BN44)</f>
        <v>10547.600000000002</v>
      </c>
      <c r="BO45" s="9">
        <f>SUM(BO40:BO44)</f>
        <v>10160.6</v>
      </c>
      <c r="BP45" s="9">
        <f>SUM(BP40:BP44)</f>
        <v>11348.199999999999</v>
      </c>
      <c r="BQ45" s="9">
        <f>SUM(BQ40:BQ44)</f>
        <v>10011.7</v>
      </c>
      <c r="BR45" s="9">
        <f>SUM(BR40:BR44)</f>
        <v>10191.3</v>
      </c>
      <c r="BS45" s="9">
        <f>BR45</f>
        <v>10191.3</v>
      </c>
    </row>
    <row r="46">
      <c r="B46" s="20" t="inlineStr">
        <is>
          <t>Working capital/sales (monthly)</t>
        </is>
      </c>
      <c r="C46" s="13">
        <f>IFERROR(C45/(C28*12),0)</f>
        <v>0.1927545589330491</v>
      </c>
      <c r="D46" s="13">
        <f>IFERROR(D45/(D28*12),0)</f>
        <v>0.19009816341647456</v>
      </c>
      <c r="E46" s="13">
        <f>IFERROR(E45/(E28*12),0)</f>
        <v>0.18858081660972134</v>
      </c>
      <c r="F46" s="13">
        <f>IFERROR(F45/(F28*12),0)</f>
        <v>0.19035521663035332</v>
      </c>
      <c r="G46" s="13">
        <f>IFERROR(G45/(G28*12),0)</f>
        <v>0.18584544047405518</v>
      </c>
      <c r="H46" s="13">
        <f>IFERROR(H45/(H28*12),0)</f>
        <v>0.17907465134329859</v>
      </c>
      <c r="I46" s="13">
        <f>IFERROR(I45/(I28*12),0)</f>
        <v>0.17487833396536465</v>
      </c>
      <c r="J46" s="13">
        <f>IFERROR(J45/(J28*12),0)</f>
        <v>0.17143544433825492</v>
      </c>
      <c r="K46" s="13">
        <f>IFERROR(K45/(K28*12),0)</f>
        <v>0.15963404182939833</v>
      </c>
      <c r="L46" s="13">
        <f>IFERROR(L45/(L28*12),0)</f>
        <v>0.16459926002156225</v>
      </c>
      <c r="M46" s="13">
        <f>IFERROR(M45/(M28*12),0)</f>
        <v>0.16464415284982878</v>
      </c>
      <c r="N46" s="13">
        <f>IFERROR(N45/(N28*12),0)</f>
        <v>0.15861254295532645</v>
      </c>
      <c r="Q46" s="13">
        <f>IFERROR(Q45/(Q28*12),0)</f>
        <v>0.1927545589330491</v>
      </c>
      <c r="R46" s="13">
        <f>IFERROR(R45/(R28*12),0)</f>
        <v>0.19009816341647456</v>
      </c>
      <c r="S46" s="13">
        <f>IFERROR(S45/(S28*12),0)</f>
        <v>0.18858081660972134</v>
      </c>
      <c r="T46" s="13">
        <f>IFERROR(T45/(T28*12),0)</f>
        <v>0.19035521663035332</v>
      </c>
      <c r="U46" s="13">
        <f>IFERROR(U45/(U28*12),0)</f>
        <v>0.18584544047405518</v>
      </c>
      <c r="V46" s="13">
        <f>IFERROR(V45/(V28*12),0)</f>
        <v>0.17907465134329859</v>
      </c>
      <c r="W46" s="13">
        <f>IFERROR(W45/(W28*12),0)</f>
        <v>0.17487833396536465</v>
      </c>
      <c r="X46" s="13">
        <f>IFERROR(X45/(X28*12),0)</f>
        <v>0.17143544433825492</v>
      </c>
      <c r="Y46" s="13">
        <f>IFERROR(Y45/(Y28*12),0)</f>
        <v>0.15963404182939833</v>
      </c>
      <c r="Z46" s="13">
        <f>IFERROR(Z45/(Z28*12),0)</f>
        <v>0.16459926002156225</v>
      </c>
      <c r="AA46" s="13">
        <f>IFERROR(AA45/(AA28*12),0)</f>
        <v>0.16464415284982878</v>
      </c>
      <c r="AB46" s="13">
        <f>IFERROR(AB45/(AB28*12),0)</f>
        <v>0.15861254295532645</v>
      </c>
      <c r="AE46" s="13">
        <f>IFERROR(AE45/(AE28*12),0)</f>
        <v>0.0</v>
      </c>
      <c r="AF46" s="13">
        <f>IFERROR(AF45/(AF28*12),0)</f>
        <v>0.0</v>
      </c>
      <c r="AG46" s="13">
        <f>IFERROR(AG45/(AG28*12),0)</f>
        <v>0.0</v>
      </c>
      <c r="AH46" s="13">
        <f>IFERROR(AH45/(AH28*12),0)</f>
        <v>0.0</v>
      </c>
      <c r="AI46" s="13">
        <f>IFERROR(AI45/(AI28*12),0)</f>
        <v>0.0</v>
      </c>
      <c r="AJ46" s="13">
        <f>IFERROR(AJ45/(AJ28*12),0)</f>
        <v>0.0</v>
      </c>
      <c r="AK46" s="13">
        <f>IFERROR(AK45/(AK28*12),0)</f>
        <v>0.0</v>
      </c>
      <c r="AL46" s="13">
        <f>IFERROR(AL45/(AL28*12),0)</f>
        <v>0.0</v>
      </c>
      <c r="AM46" s="13">
        <f>IFERROR(AM45/(AM28*12),0)</f>
        <v>0.0</v>
      </c>
      <c r="AN46" s="13">
        <f>IFERROR(AN45/(AN28*12),0)</f>
        <v>0.0</v>
      </c>
      <c r="AO46" s="13">
        <f>IFERROR(AO45/(AO28*12),0)</f>
        <v>0.0</v>
      </c>
      <c r="AP46" s="13">
        <f>IFERROR(AP45/(AP28*12),0)</f>
        <v>0.0</v>
      </c>
      <c r="AS46" s="13">
        <f>IFERROR(AS45/(AS28*12),0)</f>
        <v>0.0</v>
      </c>
      <c r="AT46" s="13">
        <f>IFERROR(AT45/(AT28*12),0)</f>
        <v>0.0</v>
      </c>
      <c r="AU46" s="13">
        <f>IFERROR(AU45/(AU28*12),0)</f>
        <v>0.0</v>
      </c>
      <c r="AV46" s="13">
        <f>IFERROR(AV45/(AV28*12),0)</f>
        <v>0.0</v>
      </c>
      <c r="AW46" s="13">
        <f>IFERROR(AW45/(AW28*12),0)</f>
        <v>0.0</v>
      </c>
      <c r="AX46" s="13">
        <f>IFERROR(AX45/(AX28*12),0)</f>
        <v>0.0</v>
      </c>
      <c r="AY46" s="13">
        <f>IFERROR(AY45/(AY28*12),0)</f>
        <v>0.0</v>
      </c>
      <c r="AZ46" s="13">
        <f>IFERROR(AZ45/(AZ28*12),0)</f>
        <v>0.0</v>
      </c>
      <c r="BA46" s="13">
        <f>IFERROR(BA45/(BA28*12),0)</f>
        <v>-0.07751937984496124</v>
      </c>
      <c r="BB46" s="13">
        <f>IFERROR(BB45/(BB28*12),0)</f>
        <v>-0.2</v>
      </c>
      <c r="BC46" s="13">
        <f>IFERROR(BC45/(BC28*12),0)</f>
        <v>-0.125</v>
      </c>
      <c r="BD46" s="13">
        <f>IFERROR(BD45/(BD28*12),0)</f>
        <v>0.0</v>
      </c>
      <c r="BG46" s="13">
        <f>IFERROR(BG45/(BG28*12),0)</f>
        <v>0.1927545589330491</v>
      </c>
      <c r="BH46" s="13">
        <f>IFERROR(BH45/(BH28*12),0)</f>
        <v>0.19009816341647456</v>
      </c>
      <c r="BI46" s="13">
        <f>IFERROR(BI45/(BI28*12),0)</f>
        <v>0.18858081660972134</v>
      </c>
      <c r="BJ46" s="13">
        <f>IFERROR(BJ45/(BJ28*12),0)</f>
        <v>0.19035521663035332</v>
      </c>
      <c r="BK46" s="13">
        <f>IFERROR(BK45/(BK28*12),0)</f>
        <v>0.18584544047405518</v>
      </c>
      <c r="BL46" s="13">
        <f>IFERROR(BL45/(BL28*12),0)</f>
        <v>0.17907465134329859</v>
      </c>
      <c r="BM46" s="13">
        <f>IFERROR(BM45/(BM28*12),0)</f>
        <v>0.17487833396536465</v>
      </c>
      <c r="BN46" s="13">
        <f>IFERROR(BN45/(BN28*12),0)</f>
        <v>0.17143544433825492</v>
      </c>
      <c r="BO46" s="13">
        <f>IFERROR(BO45/(BO28*12),0)</f>
        <v>0.18149243707085647</v>
      </c>
      <c r="BP46" s="13">
        <f>IFERROR(BP45/(BP28*12),0)</f>
        <v>0.18215643218532498</v>
      </c>
      <c r="BQ46" s="13">
        <f>IFERROR(BQ45/(BQ28*12),0)</f>
        <v>0.17692892234828403</v>
      </c>
      <c r="BR46" s="13">
        <f>IFERROR(BR45/(BR28*12),0)</f>
        <v>0.16802686767964545</v>
      </c>
    </row>
    <row r="49">
      <c r="B49" s="7" t="inlineStr">
        <is>
          <t>Budget 2026</t>
        </is>
      </c>
    </row>
    <row r="50">
      <c r="C50" s="21" t="inlineStr">
        <is>
          <t>January</t>
        </is>
      </c>
      <c r="D50" s="21" t="inlineStr">
        <is>
          <t>February</t>
        </is>
      </c>
      <c r="E50" s="21" t="inlineStr">
        <is>
          <t>March</t>
        </is>
      </c>
      <c r="F50" s="21" t="inlineStr">
        <is>
          <t>April</t>
        </is>
      </c>
      <c r="G50" s="21" t="inlineStr">
        <is>
          <t>May</t>
        </is>
      </c>
      <c r="H50" s="21" t="inlineStr">
        <is>
          <t>June</t>
        </is>
      </c>
      <c r="I50" s="21" t="inlineStr">
        <is>
          <t>July</t>
        </is>
      </c>
      <c r="J50" s="21" t="inlineStr">
        <is>
          <t>August</t>
        </is>
      </c>
      <c r="K50" s="21" t="inlineStr">
        <is>
          <t>September</t>
        </is>
      </c>
      <c r="L50" s="21" t="inlineStr">
        <is>
          <t>October</t>
        </is>
      </c>
      <c r="M50" s="21" t="inlineStr">
        <is>
          <t>November</t>
        </is>
      </c>
      <c r="N50" s="21" t="inlineStr">
        <is>
          <t>December</t>
        </is>
      </c>
      <c r="O50" s="2" t="inlineStr">
        <is>
          <t>Full year</t>
        </is>
      </c>
    </row>
    <row r="51">
      <c r="B51" t="inlineStr">
        <is>
          <t>Sales</t>
        </is>
      </c>
      <c r="C51" s="9" t="n">
        <v>5145.9</v>
      </c>
      <c r="D51" s="9" t="n">
        <v>5037.5</v>
      </c>
      <c r="E51" s="9" t="n">
        <v>5416.6</v>
      </c>
      <c r="F51" s="9" t="n">
        <v>5849.9</v>
      </c>
      <c r="G51" s="9" t="n">
        <v>5308.4</v>
      </c>
      <c r="H51" s="9" t="n">
        <v>5579.2</v>
      </c>
      <c r="I51" s="9" t="n">
        <v>5525</v>
      </c>
      <c r="J51" s="9" t="n">
        <v>5416.7</v>
      </c>
      <c r="K51" s="9" t="n">
        <v>5308.3</v>
      </c>
      <c r="L51" s="9" t="n">
        <v>5687.4</v>
      </c>
      <c r="M51" s="9" t="n">
        <v>5145.8</v>
      </c>
      <c r="N51" s="9" t="n">
        <v>5579.2</v>
      </c>
      <c r="O51" s="9">
        <f>SUM(C51:N51)</f>
        <v>64999.9</v>
      </c>
    </row>
    <row r="52">
      <c r="B52" t="inlineStr">
        <is>
          <t>Gross Margin</t>
        </is>
      </c>
      <c r="C52" s="9" t="n">
        <v>1543.8</v>
      </c>
      <c r="D52" s="9" t="n">
        <v>1511.3</v>
      </c>
      <c r="E52" s="9" t="n">
        <v>1624.9</v>
      </c>
      <c r="F52" s="9" t="n">
        <v>1754.9</v>
      </c>
      <c r="G52" s="9" t="n">
        <v>1592.6</v>
      </c>
      <c r="H52" s="9" t="n">
        <v>1673.7</v>
      </c>
      <c r="I52" s="9" t="n">
        <v>1657.5</v>
      </c>
      <c r="J52" s="9" t="n">
        <v>1625</v>
      </c>
      <c r="K52" s="9" t="n">
        <v>1592.5</v>
      </c>
      <c r="L52" s="9" t="n">
        <v>1706.3</v>
      </c>
      <c r="M52" s="9" t="n">
        <v>1543.7</v>
      </c>
      <c r="N52" s="9" t="n">
        <v>1673.6</v>
      </c>
      <c r="O52" s="9">
        <f>SUM(C52:N52)</f>
        <v>19499.8</v>
      </c>
    </row>
    <row r="53">
      <c r="B53" t="inlineStr">
        <is>
          <t>Op Costs</t>
        </is>
      </c>
      <c r="C53" s="9" t="n">
        <v>-1080.6</v>
      </c>
      <c r="D53" s="9" t="n">
        <v>-1057.9</v>
      </c>
      <c r="E53" s="9" t="n">
        <v>-1137.8</v>
      </c>
      <c r="F53" s="9" t="n">
        <v>-1228.4</v>
      </c>
      <c r="G53" s="9" t="n">
        <v>-1114.5</v>
      </c>
      <c r="H53" s="9" t="n">
        <v>-1172.1</v>
      </c>
      <c r="I53" s="9" t="n">
        <v>-1160.4</v>
      </c>
      <c r="J53" s="9" t="n">
        <v>-1137.8</v>
      </c>
      <c r="K53" s="9" t="n">
        <v>-1114.5</v>
      </c>
      <c r="L53" s="9" t="n">
        <v>-1194.5</v>
      </c>
      <c r="M53" s="9" t="n">
        <v>-1080.6</v>
      </c>
      <c r="N53" s="9" t="n">
        <v>-1172.1</v>
      </c>
      <c r="O53" s="9">
        <f>SUM(C53:N53)</f>
        <v>-13651.2</v>
      </c>
    </row>
    <row r="54">
      <c r="B54" t="inlineStr">
        <is>
          <t>PBITA</t>
        </is>
      </c>
      <c r="C54" s="9">
        <f>C52+C53</f>
        <v>463.20000000000005</v>
      </c>
      <c r="D54" s="9">
        <f>D52+D53</f>
        <v>453.39999999999986</v>
      </c>
      <c r="E54" s="9">
        <f>E52+E53</f>
        <v>487.10000000000014</v>
      </c>
      <c r="F54" s="9">
        <f>F52+F53</f>
        <v>526.5</v>
      </c>
      <c r="G54" s="9">
        <f>G52+G53</f>
        <v>478.0999999999999</v>
      </c>
      <c r="H54" s="9">
        <f>H52+H53</f>
        <v>501.60000000000014</v>
      </c>
      <c r="I54" s="9">
        <f>I52+I53</f>
        <v>497.0999999999999</v>
      </c>
      <c r="J54" s="9">
        <f>J52+J53</f>
        <v>487.20000000000005</v>
      </c>
      <c r="K54" s="9">
        <f>K52+K53</f>
        <v>478.0</v>
      </c>
      <c r="L54" s="9">
        <f>L52+L53</f>
        <v>511.79999999999995</v>
      </c>
      <c r="M54" s="9">
        <f>M52+M53</f>
        <v>463.10000000000014</v>
      </c>
      <c r="N54" s="9">
        <f>N52+N53</f>
        <v>501.5</v>
      </c>
      <c r="O54" s="9">
        <f>SUM(C54:N54)</f>
        <v>5848.600000000001</v>
      </c>
    </row>
    <row r="55">
      <c r="B55" t="inlineStr">
        <is>
          <t>Net Inventory</t>
        </is>
      </c>
      <c r="C55" s="9" t="n">
        <v>9246.9</v>
      </c>
      <c r="D55" s="9" t="n">
        <v>8942</v>
      </c>
      <c r="E55" s="9" t="n">
        <v>9593.299999999999</v>
      </c>
      <c r="F55" s="9" t="n">
        <v>10290.1</v>
      </c>
      <c r="G55" s="9" t="n">
        <v>9442.9</v>
      </c>
      <c r="H55" s="9" t="n">
        <v>9805.700000000001</v>
      </c>
      <c r="I55" s="9" t="n">
        <v>9815.4</v>
      </c>
      <c r="J55" s="9" t="n">
        <v>9657.5</v>
      </c>
      <c r="K55" s="9" t="n">
        <v>9445.4</v>
      </c>
      <c r="L55" s="9" t="n">
        <v>10095.4</v>
      </c>
      <c r="M55" s="9" t="n">
        <v>9027.700000000001</v>
      </c>
      <c r="N55" s="9" t="n">
        <v>9790.9</v>
      </c>
      <c r="O55" s="9">
        <f>N55</f>
        <v>9790.9</v>
      </c>
    </row>
    <row r="56">
      <c r="B56" t="inlineStr">
        <is>
          <t>Trade Receivables</t>
        </is>
      </c>
      <c r="C56" s="9" t="n">
        <v>7718.8</v>
      </c>
      <c r="D56" s="9" t="n">
        <v>7556.2</v>
      </c>
      <c r="E56" s="9" t="n">
        <v>8124.9</v>
      </c>
      <c r="F56" s="9" t="n">
        <v>8774.9</v>
      </c>
      <c r="G56" s="9" t="n">
        <v>7962.6</v>
      </c>
      <c r="H56" s="9" t="n">
        <v>8368.799999999999</v>
      </c>
      <c r="I56" s="9" t="n">
        <v>8287.5</v>
      </c>
      <c r="J56" s="9" t="n">
        <v>8125.1</v>
      </c>
      <c r="K56" s="9" t="n">
        <v>7962.4</v>
      </c>
      <c r="L56" s="9" t="n">
        <v>8531.1</v>
      </c>
      <c r="M56" s="9" t="n">
        <v>7718.7</v>
      </c>
      <c r="N56" s="9" t="n">
        <v>8368.799999999999</v>
      </c>
      <c r="O56" s="9">
        <f>N56</f>
        <v>8368.8</v>
      </c>
    </row>
    <row r="57">
      <c r="B57" t="inlineStr">
        <is>
          <t>Other Receivables</t>
        </is>
      </c>
      <c r="C57" s="9" t="n">
        <v>77.2</v>
      </c>
      <c r="D57" s="9" t="n">
        <v>75.59999999999999</v>
      </c>
      <c r="E57" s="9" t="n">
        <v>81.2</v>
      </c>
      <c r="F57" s="9" t="n">
        <v>87.7</v>
      </c>
      <c r="G57" s="9" t="n">
        <v>79.59999999999999</v>
      </c>
      <c r="H57" s="9" t="n">
        <v>83.7</v>
      </c>
      <c r="I57" s="9" t="n">
        <v>82.90000000000001</v>
      </c>
      <c r="J57" s="9" t="n">
        <v>81.3</v>
      </c>
      <c r="K57" s="9" t="n">
        <v>79.59999999999999</v>
      </c>
      <c r="L57" s="9" t="n">
        <v>85.3</v>
      </c>
      <c r="M57" s="9" t="n">
        <v>77.2</v>
      </c>
      <c r="N57" s="9" t="n">
        <v>83.7</v>
      </c>
      <c r="O57" s="9">
        <f>N57</f>
        <v>83.7</v>
      </c>
    </row>
    <row r="58">
      <c r="B58" t="inlineStr">
        <is>
          <t>Trade Payables</t>
        </is>
      </c>
      <c r="C58" s="9" t="n">
        <v>-5042.9</v>
      </c>
      <c r="D58" s="9" t="n">
        <v>-4936.7</v>
      </c>
      <c r="E58" s="9" t="n">
        <v>-5308.4</v>
      </c>
      <c r="F58" s="9" t="n">
        <v>-5733</v>
      </c>
      <c r="G58" s="9" t="n">
        <v>-5202.1</v>
      </c>
      <c r="H58" s="9" t="n">
        <v>-5467.7</v>
      </c>
      <c r="I58" s="9" t="n">
        <v>-5414.5</v>
      </c>
      <c r="J58" s="9" t="n">
        <v>-5308.4</v>
      </c>
      <c r="K58" s="9" t="n">
        <v>-5202.1</v>
      </c>
      <c r="L58" s="9" t="n">
        <v>-5573.5</v>
      </c>
      <c r="M58" s="9" t="n">
        <v>-5042.9</v>
      </c>
      <c r="N58" s="9" t="n">
        <v>-5467.8</v>
      </c>
      <c r="O58" s="9">
        <f>N58</f>
        <v>-5467.8</v>
      </c>
    </row>
    <row r="59">
      <c r="B59" t="inlineStr">
        <is>
          <t>Other Payables</t>
        </is>
      </c>
      <c r="C59" s="9" t="n">
        <v>-154.4</v>
      </c>
      <c r="D59" s="9" t="n">
        <v>-151.1</v>
      </c>
      <c r="E59" s="9" t="n">
        <v>-162.5</v>
      </c>
      <c r="F59" s="9" t="n">
        <v>-175.5</v>
      </c>
      <c r="G59" s="9" t="n">
        <v>-159.3</v>
      </c>
      <c r="H59" s="9" t="n">
        <v>-167.4</v>
      </c>
      <c r="I59" s="9" t="n">
        <v>-165.8</v>
      </c>
      <c r="J59" s="9" t="n">
        <v>-162.5</v>
      </c>
      <c r="K59" s="9" t="n">
        <v>-159.2</v>
      </c>
      <c r="L59" s="9" t="n">
        <v>-170.6</v>
      </c>
      <c r="M59" s="9" t="n">
        <v>-154.4</v>
      </c>
      <c r="N59" s="9" t="n">
        <v>-167.4</v>
      </c>
      <c r="O59" s="9">
        <f>N59</f>
        <v>-167.4</v>
      </c>
    </row>
    <row r="60">
      <c r="B60" t="inlineStr">
        <is>
          <t>Total working capital</t>
        </is>
      </c>
      <c r="C60" s="9">
        <f>SUM(C55:C59)</f>
        <v>11845.600000000002</v>
      </c>
      <c r="D60" s="9">
        <f>SUM(D55:D59)</f>
        <v>11485.999999999998</v>
      </c>
      <c r="E60" s="9">
        <f>SUM(E55:E59)</f>
        <v>12328.499999999998</v>
      </c>
      <c r="F60" s="9">
        <f>SUM(F55:F59)</f>
        <v>13244.2</v>
      </c>
      <c r="G60" s="9">
        <f>SUM(G55:G59)</f>
        <v>12123.699999999999</v>
      </c>
      <c r="H60" s="9">
        <f>SUM(H55:H59)</f>
        <v>12623.1</v>
      </c>
      <c r="I60" s="9">
        <f>SUM(I55:I59)</f>
        <v>12605.500000000004</v>
      </c>
      <c r="J60" s="9">
        <f>SUM(J55:J59)</f>
        <v>12392.999999999998</v>
      </c>
      <c r="K60" s="9">
        <f>SUM(K55:K59)</f>
        <v>12126.099999999997</v>
      </c>
      <c r="L60" s="9">
        <f>SUM(L55:L59)</f>
        <v>12967.699999999999</v>
      </c>
      <c r="M60" s="9">
        <f>SUM(M55:M59)</f>
        <v>11626.300000000003</v>
      </c>
      <c r="N60" s="9">
        <f>SUM(N55:N59)</f>
        <v>12608.199999999999</v>
      </c>
      <c r="O60" s="9">
        <f>N60</f>
        <v>12608.199999999999</v>
      </c>
    </row>
    <row r="62">
      <c r="B62" s="7" t="inlineStr">
        <is>
          <t>2025 Actual</t>
        </is>
      </c>
    </row>
    <row r="63">
      <c r="C63" s="21" t="inlineStr">
        <is>
          <t>January</t>
        </is>
      </c>
      <c r="D63" s="21" t="inlineStr">
        <is>
          <t>February</t>
        </is>
      </c>
      <c r="E63" s="21" t="inlineStr">
        <is>
          <t>March</t>
        </is>
      </c>
      <c r="F63" s="21" t="inlineStr">
        <is>
          <t>April</t>
        </is>
      </c>
      <c r="G63" s="21" t="inlineStr">
        <is>
          <t>May</t>
        </is>
      </c>
      <c r="H63" s="21" t="inlineStr">
        <is>
          <t>June</t>
        </is>
      </c>
      <c r="I63" s="21" t="inlineStr">
        <is>
          <t>July</t>
        </is>
      </c>
      <c r="J63" s="21" t="inlineStr">
        <is>
          <t>August</t>
        </is>
      </c>
      <c r="K63" s="21" t="inlineStr">
        <is>
          <t>September</t>
        </is>
      </c>
      <c r="L63" s="21" t="inlineStr">
        <is>
          <t>October</t>
        </is>
      </c>
      <c r="M63" s="21" t="inlineStr">
        <is>
          <t>November</t>
        </is>
      </c>
      <c r="N63" s="21" t="inlineStr">
        <is>
          <t>December</t>
        </is>
      </c>
      <c r="O63" s="2" t="inlineStr">
        <is>
          <t>Full year</t>
        </is>
      </c>
    </row>
    <row r="64">
      <c r="B64" t="inlineStr">
        <is>
          <t>Sales</t>
        </is>
      </c>
      <c r="C64" s="9" t="n">
        <v>5026.5</v>
      </c>
      <c r="D64" s="9" t="n">
        <v>4931.5</v>
      </c>
      <c r="E64" s="9" t="n">
        <v>5216</v>
      </c>
      <c r="F64" s="9" t="n">
        <v>5758.2</v>
      </c>
      <c r="G64" s="9" t="n">
        <v>5054.5</v>
      </c>
      <c r="H64" s="9" t="n">
        <v>5461.9</v>
      </c>
      <c r="I64" s="9" t="n">
        <v>5399.4</v>
      </c>
      <c r="J64" s="9" t="n">
        <v>5188.1</v>
      </c>
      <c r="K64" s="9" t="n">
        <v>5223.4</v>
      </c>
      <c r="L64" s="9" t="n">
        <v>5444.6</v>
      </c>
      <c r="M64" s="9" t="n">
        <v>5021.7</v>
      </c>
      <c r="N64" s="9" t="n">
        <v>5506.4</v>
      </c>
      <c r="O64" s="9">
        <f>SUM(C64:N64)</f>
        <v>63232.2</v>
      </c>
    </row>
    <row r="65">
      <c r="B65" t="inlineStr">
        <is>
          <t>Gross Margin</t>
        </is>
      </c>
      <c r="C65" s="9" t="n">
        <v>1544.4</v>
      </c>
      <c r="D65" s="9" t="n">
        <v>1517.7</v>
      </c>
      <c r="E65" s="9" t="n">
        <v>1594.6</v>
      </c>
      <c r="F65" s="9" t="n">
        <v>1761.5</v>
      </c>
      <c r="G65" s="9" t="n">
        <v>1553.8</v>
      </c>
      <c r="H65" s="9" t="n">
        <v>1660.5</v>
      </c>
      <c r="I65" s="9" t="n">
        <v>1640.1</v>
      </c>
      <c r="J65" s="9" t="n">
        <v>1601</v>
      </c>
      <c r="K65" s="9" t="n">
        <v>1580</v>
      </c>
      <c r="L65" s="9" t="n">
        <v>1641.8</v>
      </c>
      <c r="M65" s="9" t="n">
        <v>1545.5</v>
      </c>
      <c r="N65" s="9" t="n">
        <v>1693</v>
      </c>
      <c r="O65" s="9">
        <f>SUM(C65:N65)</f>
        <v>19333.9</v>
      </c>
    </row>
    <row r="66">
      <c r="B66" t="inlineStr">
        <is>
          <t>Op Costs</t>
        </is>
      </c>
      <c r="C66" s="9" t="n">
        <v>-1067.2</v>
      </c>
      <c r="D66" s="9" t="n">
        <v>-1031.7</v>
      </c>
      <c r="E66" s="9" t="n">
        <v>-1121.3</v>
      </c>
      <c r="F66" s="9" t="n">
        <v>-1191.2</v>
      </c>
      <c r="G66" s="9" t="n">
        <v>-1090.8</v>
      </c>
      <c r="H66" s="9" t="n">
        <v>-1149.8</v>
      </c>
      <c r="I66" s="9" t="n">
        <v>-1130.7</v>
      </c>
      <c r="J66" s="9" t="n">
        <v>-1120.6</v>
      </c>
      <c r="K66" s="9" t="n">
        <v>-1094.6</v>
      </c>
      <c r="L66" s="9" t="n">
        <v>-1174.1</v>
      </c>
      <c r="M66" s="9" t="n">
        <v>-1061.9</v>
      </c>
      <c r="N66" s="9" t="n">
        <v>-1152.9</v>
      </c>
      <c r="O66" s="9">
        <f>SUM(C66:N66)</f>
        <v>-13386.8</v>
      </c>
    </row>
    <row r="67">
      <c r="B67" t="inlineStr">
        <is>
          <t>PBITA</t>
        </is>
      </c>
      <c r="C67" s="9">
        <f>C65+C66</f>
        <v>477.20000000000005</v>
      </c>
      <c r="D67" s="9">
        <f>D65+D66</f>
        <v>486.0</v>
      </c>
      <c r="E67" s="9">
        <f>E65+E66</f>
        <v>473.29999999999995</v>
      </c>
      <c r="F67" s="9">
        <f>F65+F66</f>
        <v>570.3</v>
      </c>
      <c r="G67" s="9">
        <f>G65+G66</f>
        <v>463.0</v>
      </c>
      <c r="H67" s="9">
        <f>H65+H66</f>
        <v>510.70000000000005</v>
      </c>
      <c r="I67" s="9">
        <f>I65+I66</f>
        <v>509.39999999999986</v>
      </c>
      <c r="J67" s="9">
        <f>J65+J66</f>
        <v>480.4000000000001</v>
      </c>
      <c r="K67" s="9">
        <f>K65+K66</f>
        <v>485.4000000000001</v>
      </c>
      <c r="L67" s="9">
        <f>L65+L66</f>
        <v>467.70000000000005</v>
      </c>
      <c r="M67" s="9">
        <f>M65+M66</f>
        <v>483.5999999999999</v>
      </c>
      <c r="N67" s="9">
        <f>N65+N66</f>
        <v>540.0999999999999</v>
      </c>
      <c r="O67" s="9">
        <f>SUM(C67:N67)</f>
        <v>5947.1</v>
      </c>
    </row>
    <row r="68">
      <c r="B68" t="inlineStr">
        <is>
          <t>Net Inventory</t>
        </is>
      </c>
      <c r="C68" s="9" t="n">
        <v>9691</v>
      </c>
      <c r="D68" s="9" t="n">
        <v>9555.5</v>
      </c>
      <c r="E68" s="9" t="n">
        <v>10317.3</v>
      </c>
      <c r="F68" s="9" t="n">
        <v>11126.5</v>
      </c>
      <c r="G68" s="9" t="n">
        <v>9699.5</v>
      </c>
      <c r="H68" s="9" t="n">
        <v>10772.5</v>
      </c>
      <c r="I68" s="9" t="n">
        <v>10687.3</v>
      </c>
      <c r="J68" s="9" t="n">
        <v>10108.8</v>
      </c>
      <c r="K68" s="9" t="n">
        <v>10253.9</v>
      </c>
      <c r="L68" s="9" t="n">
        <v>10729.5</v>
      </c>
      <c r="M68" s="9" t="n">
        <v>9904.5</v>
      </c>
      <c r="N68" s="9" t="n">
        <v>10745.7</v>
      </c>
      <c r="O68" s="9">
        <f>N68</f>
        <v>10745.7</v>
      </c>
    </row>
    <row r="69">
      <c r="B69" t="inlineStr">
        <is>
          <t>Trade Receivables</t>
        </is>
      </c>
      <c r="C69" s="9" t="n">
        <v>7707.3</v>
      </c>
      <c r="D69" s="9" t="n">
        <v>7561.6</v>
      </c>
      <c r="E69" s="9" t="n">
        <v>7997.9</v>
      </c>
      <c r="F69" s="9" t="n">
        <v>8829.200000000001</v>
      </c>
      <c r="G69" s="9" t="n">
        <v>7750.2</v>
      </c>
      <c r="H69" s="9" t="n">
        <v>8374.9</v>
      </c>
      <c r="I69" s="9" t="n">
        <v>8279.1</v>
      </c>
      <c r="J69" s="9" t="n">
        <v>7955.1</v>
      </c>
      <c r="K69" s="9" t="n">
        <v>8009.2</v>
      </c>
      <c r="L69" s="9" t="n">
        <v>8348.4</v>
      </c>
      <c r="M69" s="9" t="n">
        <v>7699.9</v>
      </c>
      <c r="N69" s="9" t="n">
        <v>8443.1</v>
      </c>
      <c r="O69" s="9">
        <f>N69</f>
        <v>8443.1</v>
      </c>
    </row>
    <row r="70">
      <c r="B70" t="inlineStr">
        <is>
          <t>Other Receivables</t>
        </is>
      </c>
      <c r="C70" s="9" t="n">
        <v>75.40000000000001</v>
      </c>
      <c r="D70" s="9" t="n">
        <v>74</v>
      </c>
      <c r="E70" s="9" t="n">
        <v>78.2</v>
      </c>
      <c r="F70" s="9" t="n">
        <v>86.40000000000001</v>
      </c>
      <c r="G70" s="9" t="n">
        <v>75.8</v>
      </c>
      <c r="H70" s="9" t="n">
        <v>81.90000000000001</v>
      </c>
      <c r="I70" s="9" t="n">
        <v>81</v>
      </c>
      <c r="J70" s="9" t="n">
        <v>77.8</v>
      </c>
      <c r="K70" s="9" t="n">
        <v>78.40000000000001</v>
      </c>
      <c r="L70" s="9" t="n">
        <v>81.7</v>
      </c>
      <c r="M70" s="9" t="n">
        <v>75.3</v>
      </c>
      <c r="N70" s="9" t="n">
        <v>82.59999999999999</v>
      </c>
      <c r="O70" s="9">
        <f>N70</f>
        <v>82.6</v>
      </c>
    </row>
    <row r="71">
      <c r="B71" t="inlineStr">
        <is>
          <t>Trade Payables</t>
        </is>
      </c>
      <c r="C71" s="9" t="n">
        <v>-4758.9</v>
      </c>
      <c r="D71" s="9" t="n">
        <v>-4665.5</v>
      </c>
      <c r="E71" s="9" t="n">
        <v>-4949.2</v>
      </c>
      <c r="F71" s="9" t="n">
        <v>-5462.2</v>
      </c>
      <c r="G71" s="9" t="n">
        <v>-4784.3</v>
      </c>
      <c r="H71" s="9" t="n">
        <v>-5195.2</v>
      </c>
      <c r="I71" s="9" t="n">
        <v>-5137.7</v>
      </c>
      <c r="J71" s="9" t="n">
        <v>-4902.4</v>
      </c>
      <c r="K71" s="9" t="n">
        <v>-4979.3</v>
      </c>
      <c r="L71" s="9" t="n">
        <v>-5197.2</v>
      </c>
      <c r="M71" s="9" t="n">
        <v>-4750.8</v>
      </c>
      <c r="N71" s="9" t="n">
        <v>-5211.6</v>
      </c>
      <c r="O71" s="9">
        <f>N71</f>
        <v>-5211.6</v>
      </c>
    </row>
    <row r="72">
      <c r="B72" t="inlineStr">
        <is>
          <t>Other Payables</t>
        </is>
      </c>
      <c r="C72" s="9" t="n">
        <v>-150.8</v>
      </c>
      <c r="D72" s="9" t="n">
        <v>-147.9</v>
      </c>
      <c r="E72" s="9" t="n">
        <v>-156.5</v>
      </c>
      <c r="F72" s="9" t="n">
        <v>-172.7</v>
      </c>
      <c r="G72" s="9" t="n">
        <v>-151.6</v>
      </c>
      <c r="H72" s="9" t="n">
        <v>-163.9</v>
      </c>
      <c r="I72" s="9" t="n">
        <v>-162</v>
      </c>
      <c r="J72" s="9" t="n">
        <v>-155.6</v>
      </c>
      <c r="K72" s="9" t="n">
        <v>-156.7</v>
      </c>
      <c r="L72" s="9" t="n">
        <v>-163.3</v>
      </c>
      <c r="M72" s="9" t="n">
        <v>-150.7</v>
      </c>
      <c r="N72" s="9" t="n">
        <v>-165.2</v>
      </c>
      <c r="O72" s="9">
        <f>N72</f>
        <v>-165.2</v>
      </c>
    </row>
    <row r="73">
      <c r="B73" t="inlineStr">
        <is>
          <t>Total working capital</t>
        </is>
      </c>
      <c r="C73" s="9">
        <f>SUM(C68:C72)</f>
        <v>12564.000000000002</v>
      </c>
      <c r="D73" s="9">
        <f>SUM(D68:D72)</f>
        <v>12377.699999999999</v>
      </c>
      <c r="E73" s="9">
        <f>SUM(E68:E72)</f>
        <v>13287.699999999997</v>
      </c>
      <c r="F73" s="9">
        <f>SUM(F68:F72)</f>
        <v>14407.2</v>
      </c>
      <c r="G73" s="9">
        <f>SUM(G68:G72)</f>
        <v>12589.6</v>
      </c>
      <c r="H73" s="9">
        <f>SUM(H68:H72)</f>
        <v>13870.200000000003</v>
      </c>
      <c r="I73" s="9">
        <f>SUM(I68:I72)</f>
        <v>13747.7</v>
      </c>
      <c r="J73" s="9">
        <f>SUM(J68:J72)</f>
        <v>13083.7</v>
      </c>
      <c r="K73" s="9">
        <f>SUM(K68:K72)</f>
        <v>13205.5</v>
      </c>
      <c r="L73" s="9">
        <f>SUM(L68:L72)</f>
        <v>13799.100000000002</v>
      </c>
      <c r="M73" s="9">
        <f>SUM(M68:M72)</f>
        <v>12778.2</v>
      </c>
      <c r="N73" s="9">
        <f>SUM(N68:N72)</f>
        <v>13894.6</v>
      </c>
      <c r="O73" s="9">
        <f>N73</f>
        <v>13894.6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6" t="inlineStr">
        <is>
          <t>Billing Days &amp; Daily Sales</t>
        </is>
      </c>
    </row>
    <row r="2">
      <c r="A2" s="1" t="inlineStr">
        <is>
          <t>TRAINING DATA ONLY - Zava Safety and all business names and numbers are fictitious. Layout mirrors a typical HFM / Cognos reporting pack.</t>
        </is>
      </c>
    </row>
    <row r="4">
      <c r="B4" s="8" t="inlineStr">
        <is>
          <t>January</t>
        </is>
      </c>
      <c r="C4" s="8" t="inlineStr">
        <is>
          <t>February</t>
        </is>
      </c>
      <c r="D4" s="8" t="inlineStr">
        <is>
          <t>March</t>
        </is>
      </c>
      <c r="E4" s="8" t="inlineStr">
        <is>
          <t>April</t>
        </is>
      </c>
      <c r="F4" s="8" t="inlineStr">
        <is>
          <t>May</t>
        </is>
      </c>
      <c r="G4" s="8" t="inlineStr">
        <is>
          <t>June</t>
        </is>
      </c>
      <c r="H4" s="8" t="inlineStr">
        <is>
          <t>July</t>
        </is>
      </c>
      <c r="I4" s="8" t="inlineStr">
        <is>
          <t>August</t>
        </is>
      </c>
      <c r="J4" s="8" t="inlineStr">
        <is>
          <t>September</t>
        </is>
      </c>
      <c r="K4" s="8" t="inlineStr">
        <is>
          <t>October</t>
        </is>
      </c>
      <c r="L4" s="8" t="inlineStr">
        <is>
          <t>November</t>
        </is>
      </c>
      <c r="M4" s="8" t="inlineStr">
        <is>
          <t>December</t>
        </is>
      </c>
      <c r="N4" s="8" t="inlineStr">
        <is>
          <t>Full Year</t>
        </is>
      </c>
    </row>
    <row r="5">
      <c r="A5" s="20" t="inlineStr">
        <is>
          <t>Reported Sales - FCAST10 (Actual Jan-Sep)</t>
        </is>
      </c>
      <c r="B5" s="9" t="n">
        <v>4878.7</v>
      </c>
      <c r="C5" s="9" t="n">
        <v>4815.1</v>
      </c>
      <c r="D5" s="9" t="n">
        <v>5092.6</v>
      </c>
      <c r="E5" s="9" t="n">
        <v>5599.4</v>
      </c>
      <c r="F5" s="9" t="n">
        <v>5017.7</v>
      </c>
      <c r="G5" s="9" t="n">
        <v>5325.2</v>
      </c>
      <c r="H5" s="9" t="n">
        <v>5274</v>
      </c>
      <c r="I5" s="9" t="n">
        <v>5127.1</v>
      </c>
      <c r="J5" s="9" t="n">
        <v>4665.3</v>
      </c>
      <c r="K5" s="9" t="n">
        <v>5191.6</v>
      </c>
      <c r="L5" s="9" t="n">
        <v>4715.5</v>
      </c>
      <c r="M5" s="9" t="n">
        <v>5054.4</v>
      </c>
      <c r="N5" s="9">
        <f>SUM(B5:M5)</f>
        <v>60756.6</v>
      </c>
    </row>
    <row r="6">
      <c r="A6" s="20" t="inlineStr">
        <is>
          <t>Days 2026</t>
        </is>
      </c>
      <c r="B6" s="22" t="n">
        <v>21</v>
      </c>
      <c r="C6" s="22" t="n">
        <v>20</v>
      </c>
      <c r="D6" s="22" t="n">
        <v>22</v>
      </c>
      <c r="E6" s="22" t="n">
        <v>22</v>
      </c>
      <c r="F6" s="22" t="n">
        <v>20</v>
      </c>
      <c r="G6" s="22" t="n">
        <v>22</v>
      </c>
      <c r="H6" s="22" t="n">
        <v>22</v>
      </c>
      <c r="I6" s="22" t="n">
        <v>21</v>
      </c>
      <c r="J6" s="22" t="n">
        <v>21</v>
      </c>
      <c r="K6" s="22" t="n">
        <v>22</v>
      </c>
      <c r="L6" s="22" t="n">
        <v>19</v>
      </c>
      <c r="M6" s="22" t="n">
        <v>22</v>
      </c>
      <c r="N6" s="22">
        <f>SUM(B6:M6)</f>
        <v>254.0</v>
      </c>
    </row>
    <row r="7">
      <c r="A7" s="2" t="inlineStr">
        <is>
          <t>Daily Reported Sales</t>
        </is>
      </c>
      <c r="B7" s="9">
        <f>B5/B6</f>
        <v>232.3190476190476</v>
      </c>
      <c r="C7" s="9">
        <f>C5/C6</f>
        <v>240.75500000000002</v>
      </c>
      <c r="D7" s="9">
        <f>D5/D6</f>
        <v>231.4818181818182</v>
      </c>
      <c r="E7" s="9">
        <f>E5/E6</f>
        <v>254.5181818181818</v>
      </c>
      <c r="F7" s="9">
        <f>F5/F6</f>
        <v>250.885</v>
      </c>
      <c r="G7" s="9">
        <f>G5/G6</f>
        <v>242.05454545454543</v>
      </c>
      <c r="H7" s="9">
        <f>H5/H6</f>
        <v>239.72727272727272</v>
      </c>
      <c r="I7" s="9">
        <f>I5/I6</f>
        <v>244.14761904761906</v>
      </c>
      <c r="J7" s="9">
        <f>J5/J6</f>
        <v>222.15714285714287</v>
      </c>
      <c r="K7" s="9">
        <f>K5/K6</f>
        <v>235.9818181818182</v>
      </c>
      <c r="L7" s="9">
        <f>L5/L6</f>
        <v>248.18421052631578</v>
      </c>
      <c r="M7" s="9">
        <f>M5/M6</f>
        <v>229.74545454545452</v>
      </c>
      <c r="N7" s="9">
        <f>N5/N6</f>
        <v>239.1992125984252</v>
      </c>
    </row>
    <row r="8">
      <c r="A8" s="20" t="inlineStr">
        <is>
          <t>Budget Sales 2026</t>
        </is>
      </c>
      <c r="B8" s="9" t="n">
        <v>5145.9</v>
      </c>
      <c r="C8" s="9" t="n">
        <v>5037.5</v>
      </c>
      <c r="D8" s="9" t="n">
        <v>5416.6</v>
      </c>
      <c r="E8" s="9" t="n">
        <v>5849.9</v>
      </c>
      <c r="F8" s="9" t="n">
        <v>5308.4</v>
      </c>
      <c r="G8" s="9" t="n">
        <v>5579.2</v>
      </c>
      <c r="H8" s="9" t="n">
        <v>5525</v>
      </c>
      <c r="I8" s="9" t="n">
        <v>5416.7</v>
      </c>
      <c r="J8" s="9" t="n">
        <v>5308.3</v>
      </c>
      <c r="K8" s="9" t="n">
        <v>5687.4</v>
      </c>
      <c r="L8" s="9" t="n">
        <v>5145.8</v>
      </c>
      <c r="M8" s="9" t="n">
        <v>5579.2</v>
      </c>
      <c r="N8" s="9">
        <f>SUM(B8:M8)</f>
        <v>64999.9</v>
      </c>
    </row>
    <row r="9">
      <c r="A9" s="2" t="inlineStr">
        <is>
          <t>Daily Budget Sales</t>
        </is>
      </c>
      <c r="B9" s="9">
        <f>B8/B6</f>
        <v>245.04285714285712</v>
      </c>
      <c r="C9" s="9">
        <f>C8/C6</f>
        <v>251.875</v>
      </c>
      <c r="D9" s="9">
        <f>D8/D6</f>
        <v>246.20909090909092</v>
      </c>
      <c r="E9" s="9">
        <f>E8/E6</f>
        <v>265.9045454545454</v>
      </c>
      <c r="F9" s="9">
        <f>F8/F6</f>
        <v>265.41999999999996</v>
      </c>
      <c r="G9" s="9">
        <f>G8/G6</f>
        <v>253.6</v>
      </c>
      <c r="H9" s="9">
        <f>H8/H6</f>
        <v>251.13636363636363</v>
      </c>
      <c r="I9" s="9">
        <f>I8/I6</f>
        <v>257.93809523809523</v>
      </c>
      <c r="J9" s="9">
        <f>J8/J6</f>
        <v>252.7761904761905</v>
      </c>
      <c r="K9" s="9">
        <f>K8/K6</f>
        <v>258.5181818181818</v>
      </c>
      <c r="L9" s="9">
        <f>L8/L6</f>
        <v>270.8315789473684</v>
      </c>
      <c r="M9" s="9">
        <f>M8/M6</f>
        <v>253.6</v>
      </c>
      <c r="N9" s="9">
        <f>N8/N6</f>
        <v>255.90511811023623</v>
      </c>
    </row>
    <row r="10">
      <c r="A10" s="20" t="inlineStr">
        <is>
          <t>Reported Sales 2025</t>
        </is>
      </c>
      <c r="B10" s="9" t="n">
        <v>5026.5</v>
      </c>
      <c r="C10" s="9" t="n">
        <v>4931.5</v>
      </c>
      <c r="D10" s="9" t="n">
        <v>5216</v>
      </c>
      <c r="E10" s="9" t="n">
        <v>5758.2</v>
      </c>
      <c r="F10" s="9" t="n">
        <v>5054.5</v>
      </c>
      <c r="G10" s="9" t="n">
        <v>5461.9</v>
      </c>
      <c r="H10" s="9" t="n">
        <v>5399.4</v>
      </c>
      <c r="I10" s="9" t="n">
        <v>5188.1</v>
      </c>
      <c r="J10" s="9" t="n">
        <v>5223.4</v>
      </c>
      <c r="K10" s="9" t="n">
        <v>5444.6</v>
      </c>
      <c r="L10" s="9" t="n">
        <v>5021.7</v>
      </c>
      <c r="M10" s="9" t="n">
        <v>5506.4</v>
      </c>
      <c r="N10" s="9">
        <f>SUM(B10:M10)</f>
        <v>63232.2</v>
      </c>
    </row>
    <row r="11">
      <c r="A11" s="20" t="inlineStr">
        <is>
          <t>Days 2025</t>
        </is>
      </c>
      <c r="B11" s="22" t="n">
        <v>22</v>
      </c>
      <c r="C11" s="22" t="n">
        <v>20</v>
      </c>
      <c r="D11" s="22" t="n">
        <v>21</v>
      </c>
      <c r="E11" s="22" t="n">
        <v>22</v>
      </c>
      <c r="F11" s="22" t="n">
        <v>21</v>
      </c>
      <c r="G11" s="22" t="n">
        <v>21</v>
      </c>
      <c r="H11" s="22" t="n">
        <v>22</v>
      </c>
      <c r="I11" s="22" t="n">
        <v>21</v>
      </c>
      <c r="J11" s="22" t="n">
        <v>21</v>
      </c>
      <c r="K11" s="22" t="n">
        <v>23</v>
      </c>
      <c r="L11" s="22" t="n">
        <v>18</v>
      </c>
      <c r="M11" s="22" t="n">
        <v>22</v>
      </c>
      <c r="N11" s="22">
        <f>SUM(B11:M11)</f>
        <v>254.0</v>
      </c>
    </row>
    <row r="12">
      <c r="A12" s="2" t="inlineStr">
        <is>
          <t>Daily Reported Sales 2025</t>
        </is>
      </c>
      <c r="B12" s="9">
        <f>B10/B11</f>
        <v>228.47727272727272</v>
      </c>
      <c r="C12" s="9">
        <f>C10/C11</f>
        <v>246.575</v>
      </c>
      <c r="D12" s="9">
        <f>D10/D11</f>
        <v>248.38095238095238</v>
      </c>
      <c r="E12" s="9">
        <f>E10/E11</f>
        <v>261.73636363636365</v>
      </c>
      <c r="F12" s="9">
        <f>F10/F11</f>
        <v>240.6904761904762</v>
      </c>
      <c r="G12" s="9">
        <f>G10/G11</f>
        <v>260.0904761904762</v>
      </c>
      <c r="H12" s="9">
        <f>H10/H11</f>
        <v>245.4272727272727</v>
      </c>
      <c r="I12" s="9">
        <f>I10/I11</f>
        <v>247.05238095238096</v>
      </c>
      <c r="J12" s="9">
        <f>J10/J11</f>
        <v>248.73333333333332</v>
      </c>
      <c r="K12" s="9">
        <f>K10/K11</f>
        <v>236.7217391304348</v>
      </c>
      <c r="L12" s="9">
        <f>L10/L11</f>
        <v>278.98333333333335</v>
      </c>
      <c r="M12" s="9">
        <f>M10/M11</f>
        <v>250.29090909090908</v>
      </c>
      <c r="N12" s="9">
        <f>N10/N11</f>
        <v>248.94566929133856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I13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3" customWidth="1" min="3" max="3"/>
    <col width="60" customWidth="1" min="4" max="4"/>
    <col width="14" customWidth="1" min="5" max="5"/>
    <col width="11" customWidth="1" min="6" max="6"/>
    <col width="11" customWidth="1" min="7" max="7"/>
    <col width="14" customWidth="1" min="8" max="8"/>
    <col width="10" customWidth="1" min="9" max="9"/>
  </cols>
  <sheetData>
    <row r="1">
      <c r="B1" s="6" t="inlineStr">
        <is>
          <t>Risks and Opportunities NOT included in FCAST10</t>
        </is>
      </c>
    </row>
    <row r="2">
      <c r="B2" s="1" t="inlineStr">
        <is>
          <t>TRAINING DATA ONLY - Zava Safety and all business names and numbers are fictitious. Layout mirrors a typical HFM / Cognos reporting pack.</t>
        </is>
      </c>
    </row>
    <row r="4">
      <c r="B4" t="inlineStr">
        <is>
          <t>Likelihood</t>
        </is>
      </c>
      <c r="C4" t="inlineStr">
        <is>
          <t>Probability</t>
        </is>
      </c>
    </row>
    <row r="5">
      <c r="B5" t="inlineStr">
        <is>
          <t>Low</t>
        </is>
      </c>
      <c r="C5" s="23" t="n">
        <v>0.25</v>
      </c>
    </row>
    <row r="6">
      <c r="B6" t="inlineStr">
        <is>
          <t>Medium</t>
        </is>
      </c>
      <c r="C6" s="23" t="n">
        <v>0.5</v>
      </c>
    </row>
    <row r="7">
      <c r="B7" t="inlineStr">
        <is>
          <t>High</t>
        </is>
      </c>
      <c r="C7" s="23" t="n">
        <v>0.75</v>
      </c>
    </row>
    <row r="10">
      <c r="B10" s="8" t="inlineStr">
        <is>
          <t>Business</t>
        </is>
      </c>
      <c r="C10" s="8" t="inlineStr">
        <is>
          <t>Type</t>
        </is>
      </c>
      <c r="D10" s="8" t="inlineStr">
        <is>
          <t>Description</t>
        </is>
      </c>
      <c r="E10" s="8" t="inlineStr">
        <is>
          <t>PBITA impact ($000)</t>
        </is>
      </c>
      <c r="F10" s="8" t="inlineStr">
        <is>
          <t>Likelihood</t>
        </is>
      </c>
      <c r="G10" s="8" t="inlineStr">
        <is>
          <t>Probability</t>
        </is>
      </c>
      <c r="H10" s="8" t="inlineStr">
        <is>
          <t>Weighted impact ($000)</t>
        </is>
      </c>
      <c r="I10" s="8" t="inlineStr">
        <is>
          <t>Timing</t>
        </is>
      </c>
    </row>
    <row r="11">
      <c r="B11" t="inlineStr">
        <is>
          <t>Granite Gloves</t>
        </is>
      </c>
      <c r="C11" t="inlineStr">
        <is>
          <t>Risk</t>
        </is>
      </c>
      <c r="D11" s="24" t="inlineStr">
        <is>
          <t>Container receipts slip again into January</t>
        </is>
      </c>
      <c r="E11" s="9" t="n">
        <v>-110</v>
      </c>
      <c r="F11" t="inlineStr">
        <is>
          <t>Medium</t>
        </is>
      </c>
      <c r="G11" s="23">
        <f>VLOOKUP(F11,$B$5:$C$7,2,FALSE)</f>
        <v>0.5</v>
      </c>
      <c r="H11" s="9">
        <f>E11*G11</f>
        <v>-55.0</v>
      </c>
      <c r="I11" t="inlineStr">
        <is>
          <t>Q4 2026</t>
        </is>
      </c>
    </row>
    <row r="12">
      <c r="B12" t="inlineStr">
        <is>
          <t>Granite Gloves</t>
        </is>
      </c>
      <c r="C12" t="inlineStr">
        <is>
          <t>Opportunity</t>
        </is>
      </c>
      <c r="D12" s="24" t="inlineStr">
        <is>
          <t>Buying group rebate tier achieved</t>
        </is>
      </c>
      <c r="E12" s="9" t="n">
        <v>60</v>
      </c>
      <c r="F12" t="inlineStr">
        <is>
          <t>Low</t>
        </is>
      </c>
      <c r="G12" s="23">
        <f>VLOOKUP(F12,$B$5:$C$7,2,FALSE)</f>
        <v>0.25</v>
      </c>
      <c r="H12" s="9">
        <f>E12*G12</f>
        <v>15.0</v>
      </c>
      <c r="I12" t="inlineStr">
        <is>
          <t>Q4 2026</t>
        </is>
      </c>
    </row>
    <row r="13">
      <c r="D13" s="2" t="inlineStr">
        <is>
          <t>Net risks &amp; opportunities</t>
        </is>
      </c>
      <c r="E13" s="19">
        <f>SUM(E11:E12)</f>
        <v>-50.0</v>
      </c>
      <c r="H13" s="19">
        <f>SUM(H11:H12)</f>
        <v>-40.0</v>
      </c>
    </row>
  </sheetData>
  <dataValidations count="1">
    <dataValidation sqref="F11:F12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2026-10-21T21:41:50Z</dcterms:created>
  <dcterms:modified xmlns:dcterms="http://purl.org/dc/terms/" xmlns:xsi="http://www.w3.org/2001/XMLSchema-instance" xsi:type="dcterms:W3CDTF">2026-10-21T21:41:50Z</dcterms:modified>
</cp:coreProperties>
</file>