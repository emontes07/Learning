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xr:revisionPtr revIDLastSave="1" documentId="11_E1C5B24C1888C4142990D87DA20D3003C4EDE9CE" xr6:coauthVersionLast="47" xr6:coauthVersionMax="47" xr10:uidLastSave="{B4FE78F2-29F7-4E3A-AD09-905BD4D73CBD}"/>
  <bookViews>
    <workbookView xWindow="0" yWindow="0" windowWidth="0" windowHeight="0" xr2:uid="{00000000-000D-0000-FFFF-FFFF00000000}"/>
  </bookViews>
  <sheets>
    <sheet name="Start Here" sheetId="1" r:id="rId1"/>
    <sheet name="Summary" sheetId="2" r:id="rId2"/>
    <sheet name="GL P&amp;L Detail" sheetId="3" r:id="rId3"/>
    <sheet name="PL_Monthly" sheetId="4" r:id="rId4"/>
    <sheet name="OpEx_Detail" sheetId="5" r:id="rId5"/>
    <sheet name="Customer Sales" sheetId="6" r:id="rId6"/>
    <sheet name="Billing Days" sheetId="7" r:id="rId7"/>
    <sheet name="Commentary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3" i="7" l="1"/>
  <c r="L13" i="7"/>
  <c r="K13" i="7"/>
  <c r="J13" i="7"/>
  <c r="I13" i="7"/>
  <c r="H13" i="7"/>
  <c r="G13" i="7"/>
  <c r="F13" i="7"/>
  <c r="E13" i="7"/>
  <c r="D13" i="7"/>
  <c r="C13" i="7"/>
  <c r="B13" i="7"/>
  <c r="N12" i="7"/>
  <c r="N11" i="7"/>
  <c r="N13" i="7" s="1"/>
  <c r="M10" i="7"/>
  <c r="L10" i="7"/>
  <c r="K10" i="7"/>
  <c r="J10" i="7"/>
  <c r="I10" i="7"/>
  <c r="H10" i="7"/>
  <c r="G10" i="7"/>
  <c r="F10" i="7"/>
  <c r="E10" i="7"/>
  <c r="D10" i="7"/>
  <c r="C10" i="7"/>
  <c r="B10" i="7"/>
  <c r="N9" i="7"/>
  <c r="M8" i="7"/>
  <c r="L8" i="7"/>
  <c r="K8" i="7"/>
  <c r="J8" i="7"/>
  <c r="I8" i="7"/>
  <c r="H8" i="7"/>
  <c r="G8" i="7"/>
  <c r="F8" i="7"/>
  <c r="E8" i="7"/>
  <c r="D8" i="7"/>
  <c r="C8" i="7"/>
  <c r="B8" i="7"/>
  <c r="N7" i="7"/>
  <c r="N6" i="7"/>
  <c r="N8" i="7" s="1"/>
  <c r="K22" i="6"/>
  <c r="J22" i="6"/>
  <c r="G22" i="6"/>
  <c r="F22" i="6"/>
  <c r="K21" i="6"/>
  <c r="J21" i="6"/>
  <c r="G21" i="6"/>
  <c r="F21" i="6"/>
  <c r="K20" i="6"/>
  <c r="J20" i="6"/>
  <c r="G20" i="6"/>
  <c r="F20" i="6"/>
  <c r="K19" i="6"/>
  <c r="J19" i="6"/>
  <c r="G19" i="6"/>
  <c r="F19" i="6"/>
  <c r="K18" i="6"/>
  <c r="J18" i="6"/>
  <c r="G18" i="6"/>
  <c r="F18" i="6"/>
  <c r="K17" i="6"/>
  <c r="J17" i="6"/>
  <c r="G17" i="6"/>
  <c r="F17" i="6"/>
  <c r="K16" i="6"/>
  <c r="J16" i="6"/>
  <c r="G16" i="6"/>
  <c r="F16" i="6"/>
  <c r="K15" i="6"/>
  <c r="J15" i="6"/>
  <c r="G15" i="6"/>
  <c r="F15" i="6"/>
  <c r="K14" i="6"/>
  <c r="J14" i="6"/>
  <c r="G14" i="6"/>
  <c r="F14" i="6"/>
  <c r="K13" i="6"/>
  <c r="J13" i="6"/>
  <c r="G13" i="6"/>
  <c r="F13" i="6"/>
  <c r="K12" i="6"/>
  <c r="J12" i="6"/>
  <c r="G12" i="6"/>
  <c r="F12" i="6"/>
  <c r="K11" i="6"/>
  <c r="J11" i="6"/>
  <c r="G11" i="6"/>
  <c r="F11" i="6"/>
  <c r="K10" i="6"/>
  <c r="J10" i="6"/>
  <c r="G10" i="6"/>
  <c r="F10" i="6"/>
  <c r="K9" i="6"/>
  <c r="J9" i="6"/>
  <c r="G9" i="6"/>
  <c r="F9" i="6"/>
  <c r="K8" i="6"/>
  <c r="J8" i="6"/>
  <c r="G8" i="6"/>
  <c r="F8" i="6"/>
  <c r="K7" i="6"/>
  <c r="J7" i="6"/>
  <c r="G7" i="6"/>
  <c r="F7" i="6"/>
  <c r="K6" i="6"/>
  <c r="J6" i="6"/>
  <c r="G6" i="6"/>
  <c r="F6" i="6"/>
  <c r="K5" i="6"/>
  <c r="J5" i="6"/>
  <c r="G5" i="6"/>
  <c r="F5" i="6"/>
  <c r="K4" i="6"/>
  <c r="J4" i="6"/>
  <c r="G4" i="6"/>
  <c r="F4" i="6"/>
  <c r="K3" i="6"/>
  <c r="J3" i="6"/>
  <c r="G3" i="6"/>
  <c r="F3" i="6"/>
  <c r="K2" i="6"/>
  <c r="J2" i="6"/>
  <c r="G2" i="6"/>
  <c r="F2" i="6"/>
  <c r="K505" i="5"/>
  <c r="J505" i="5"/>
  <c r="K504" i="5"/>
  <c r="J504" i="5"/>
  <c r="K503" i="5"/>
  <c r="J503" i="5"/>
  <c r="K502" i="5"/>
  <c r="J502" i="5"/>
  <c r="K501" i="5"/>
  <c r="J501" i="5"/>
  <c r="K500" i="5"/>
  <c r="J500" i="5"/>
  <c r="K499" i="5"/>
  <c r="J499" i="5"/>
  <c r="K498" i="5"/>
  <c r="J498" i="5"/>
  <c r="K497" i="5"/>
  <c r="J497" i="5"/>
  <c r="K496" i="5"/>
  <c r="J496" i="5"/>
  <c r="K495" i="5"/>
  <c r="J495" i="5"/>
  <c r="K494" i="5"/>
  <c r="J494" i="5"/>
  <c r="K493" i="5"/>
  <c r="J493" i="5"/>
  <c r="K492" i="5"/>
  <c r="J492" i="5"/>
  <c r="K491" i="5"/>
  <c r="J491" i="5"/>
  <c r="K490" i="5"/>
  <c r="J490" i="5"/>
  <c r="K489" i="5"/>
  <c r="J489" i="5"/>
  <c r="K488" i="5"/>
  <c r="J488" i="5"/>
  <c r="K487" i="5"/>
  <c r="J487" i="5"/>
  <c r="K486" i="5"/>
  <c r="J486" i="5"/>
  <c r="K485" i="5"/>
  <c r="J485" i="5"/>
  <c r="K484" i="5"/>
  <c r="J484" i="5"/>
  <c r="K483" i="5"/>
  <c r="J483" i="5"/>
  <c r="K482" i="5"/>
  <c r="J482" i="5"/>
  <c r="K481" i="5"/>
  <c r="J481" i="5"/>
  <c r="K480" i="5"/>
  <c r="J480" i="5"/>
  <c r="K479" i="5"/>
  <c r="J479" i="5"/>
  <c r="K478" i="5"/>
  <c r="J478" i="5"/>
  <c r="K477" i="5"/>
  <c r="J477" i="5"/>
  <c r="K476" i="5"/>
  <c r="J476" i="5"/>
  <c r="K475" i="5"/>
  <c r="J475" i="5"/>
  <c r="K474" i="5"/>
  <c r="J474" i="5"/>
  <c r="K473" i="5"/>
  <c r="J473" i="5"/>
  <c r="K472" i="5"/>
  <c r="J472" i="5"/>
  <c r="K471" i="5"/>
  <c r="J471" i="5"/>
  <c r="K470" i="5"/>
  <c r="J470" i="5"/>
  <c r="K469" i="5"/>
  <c r="J469" i="5"/>
  <c r="K468" i="5"/>
  <c r="J468" i="5"/>
  <c r="K467" i="5"/>
  <c r="J467" i="5"/>
  <c r="K466" i="5"/>
  <c r="J466" i="5"/>
  <c r="K465" i="5"/>
  <c r="J465" i="5"/>
  <c r="K464" i="5"/>
  <c r="J464" i="5"/>
  <c r="K463" i="5"/>
  <c r="J463" i="5"/>
  <c r="K462" i="5"/>
  <c r="J462" i="5"/>
  <c r="K461" i="5"/>
  <c r="J461" i="5"/>
  <c r="K460" i="5"/>
  <c r="J460" i="5"/>
  <c r="K459" i="5"/>
  <c r="J459" i="5"/>
  <c r="K458" i="5"/>
  <c r="J458" i="5"/>
  <c r="K457" i="5"/>
  <c r="J457" i="5"/>
  <c r="K456" i="5"/>
  <c r="J456" i="5"/>
  <c r="K455" i="5"/>
  <c r="J455" i="5"/>
  <c r="K454" i="5"/>
  <c r="J454" i="5"/>
  <c r="K453" i="5"/>
  <c r="J453" i="5"/>
  <c r="K452" i="5"/>
  <c r="J452" i="5"/>
  <c r="K451" i="5"/>
  <c r="J451" i="5"/>
  <c r="K450" i="5"/>
  <c r="J450" i="5"/>
  <c r="K449" i="5"/>
  <c r="J449" i="5"/>
  <c r="K448" i="5"/>
  <c r="J448" i="5"/>
  <c r="K447" i="5"/>
  <c r="J447" i="5"/>
  <c r="K446" i="5"/>
  <c r="J446" i="5"/>
  <c r="K445" i="5"/>
  <c r="J445" i="5"/>
  <c r="K444" i="5"/>
  <c r="J444" i="5"/>
  <c r="K443" i="5"/>
  <c r="J443" i="5"/>
  <c r="K442" i="5"/>
  <c r="J442" i="5"/>
  <c r="K441" i="5"/>
  <c r="J441" i="5"/>
  <c r="K440" i="5"/>
  <c r="J440" i="5"/>
  <c r="K439" i="5"/>
  <c r="J439" i="5"/>
  <c r="K438" i="5"/>
  <c r="J438" i="5"/>
  <c r="K437" i="5"/>
  <c r="J437" i="5"/>
  <c r="K436" i="5"/>
  <c r="J436" i="5"/>
  <c r="K435" i="5"/>
  <c r="J435" i="5"/>
  <c r="K434" i="5"/>
  <c r="J434" i="5"/>
  <c r="K433" i="5"/>
  <c r="J433" i="5"/>
  <c r="K432" i="5"/>
  <c r="J432" i="5"/>
  <c r="K431" i="5"/>
  <c r="J431" i="5"/>
  <c r="K430" i="5"/>
  <c r="J430" i="5"/>
  <c r="K429" i="5"/>
  <c r="J429" i="5"/>
  <c r="K428" i="5"/>
  <c r="J428" i="5"/>
  <c r="K427" i="5"/>
  <c r="J427" i="5"/>
  <c r="K426" i="5"/>
  <c r="J426" i="5"/>
  <c r="K425" i="5"/>
  <c r="J425" i="5"/>
  <c r="K424" i="5"/>
  <c r="J424" i="5"/>
  <c r="K423" i="5"/>
  <c r="J423" i="5"/>
  <c r="K422" i="5"/>
  <c r="J422" i="5"/>
  <c r="K421" i="5"/>
  <c r="J421" i="5"/>
  <c r="K420" i="5"/>
  <c r="J420" i="5"/>
  <c r="K419" i="5"/>
  <c r="J419" i="5"/>
  <c r="K418" i="5"/>
  <c r="J418" i="5"/>
  <c r="K417" i="5"/>
  <c r="J417" i="5"/>
  <c r="K416" i="5"/>
  <c r="J416" i="5"/>
  <c r="K415" i="5"/>
  <c r="J415" i="5"/>
  <c r="K414" i="5"/>
  <c r="J414" i="5"/>
  <c r="K413" i="5"/>
  <c r="J413" i="5"/>
  <c r="K412" i="5"/>
  <c r="J412" i="5"/>
  <c r="K411" i="5"/>
  <c r="J411" i="5"/>
  <c r="K410" i="5"/>
  <c r="J410" i="5"/>
  <c r="K409" i="5"/>
  <c r="J409" i="5"/>
  <c r="K408" i="5"/>
  <c r="J408" i="5"/>
  <c r="K407" i="5"/>
  <c r="J407" i="5"/>
  <c r="K406" i="5"/>
  <c r="J406" i="5"/>
  <c r="K405" i="5"/>
  <c r="J405" i="5"/>
  <c r="K404" i="5"/>
  <c r="J404" i="5"/>
  <c r="K403" i="5"/>
  <c r="J403" i="5"/>
  <c r="K402" i="5"/>
  <c r="J402" i="5"/>
  <c r="K401" i="5"/>
  <c r="J401" i="5"/>
  <c r="K400" i="5"/>
  <c r="J400" i="5"/>
  <c r="K399" i="5"/>
  <c r="J399" i="5"/>
  <c r="K398" i="5"/>
  <c r="J398" i="5"/>
  <c r="K397" i="5"/>
  <c r="J397" i="5"/>
  <c r="K396" i="5"/>
  <c r="J396" i="5"/>
  <c r="K395" i="5"/>
  <c r="J395" i="5"/>
  <c r="K394" i="5"/>
  <c r="J394" i="5"/>
  <c r="K393" i="5"/>
  <c r="J393" i="5"/>
  <c r="K392" i="5"/>
  <c r="J392" i="5"/>
  <c r="K391" i="5"/>
  <c r="J391" i="5"/>
  <c r="K390" i="5"/>
  <c r="J390" i="5"/>
  <c r="K389" i="5"/>
  <c r="J389" i="5"/>
  <c r="K388" i="5"/>
  <c r="J388" i="5"/>
  <c r="K387" i="5"/>
  <c r="J387" i="5"/>
  <c r="K386" i="5"/>
  <c r="J386" i="5"/>
  <c r="K385" i="5"/>
  <c r="J385" i="5"/>
  <c r="K384" i="5"/>
  <c r="J384" i="5"/>
  <c r="K383" i="5"/>
  <c r="J383" i="5"/>
  <c r="K382" i="5"/>
  <c r="J382" i="5"/>
  <c r="K381" i="5"/>
  <c r="J381" i="5"/>
  <c r="K380" i="5"/>
  <c r="J380" i="5"/>
  <c r="K379" i="5"/>
  <c r="J379" i="5"/>
  <c r="K378" i="5"/>
  <c r="J378" i="5"/>
  <c r="K377" i="5"/>
  <c r="J377" i="5"/>
  <c r="K376" i="5"/>
  <c r="J376" i="5"/>
  <c r="K375" i="5"/>
  <c r="J375" i="5"/>
  <c r="K374" i="5"/>
  <c r="J374" i="5"/>
  <c r="K373" i="5"/>
  <c r="J373" i="5"/>
  <c r="K372" i="5"/>
  <c r="J372" i="5"/>
  <c r="K371" i="5"/>
  <c r="J371" i="5"/>
  <c r="K370" i="5"/>
  <c r="J370" i="5"/>
  <c r="K369" i="5"/>
  <c r="J369" i="5"/>
  <c r="K368" i="5"/>
  <c r="J368" i="5"/>
  <c r="K367" i="5"/>
  <c r="J367" i="5"/>
  <c r="K366" i="5"/>
  <c r="J366" i="5"/>
  <c r="K365" i="5"/>
  <c r="J365" i="5"/>
  <c r="K364" i="5"/>
  <c r="J364" i="5"/>
  <c r="K363" i="5"/>
  <c r="J363" i="5"/>
  <c r="K362" i="5"/>
  <c r="J362" i="5"/>
  <c r="K361" i="5"/>
  <c r="J361" i="5"/>
  <c r="K360" i="5"/>
  <c r="J360" i="5"/>
  <c r="K359" i="5"/>
  <c r="J359" i="5"/>
  <c r="K358" i="5"/>
  <c r="J358" i="5"/>
  <c r="K357" i="5"/>
  <c r="J357" i="5"/>
  <c r="K356" i="5"/>
  <c r="J356" i="5"/>
  <c r="K355" i="5"/>
  <c r="J355" i="5"/>
  <c r="K354" i="5"/>
  <c r="J354" i="5"/>
  <c r="K353" i="5"/>
  <c r="J353" i="5"/>
  <c r="K352" i="5"/>
  <c r="J352" i="5"/>
  <c r="K351" i="5"/>
  <c r="J351" i="5"/>
  <c r="K350" i="5"/>
  <c r="J350" i="5"/>
  <c r="K349" i="5"/>
  <c r="J349" i="5"/>
  <c r="K348" i="5"/>
  <c r="J348" i="5"/>
  <c r="K347" i="5"/>
  <c r="J347" i="5"/>
  <c r="K346" i="5"/>
  <c r="J346" i="5"/>
  <c r="K345" i="5"/>
  <c r="J345" i="5"/>
  <c r="K344" i="5"/>
  <c r="J344" i="5"/>
  <c r="K343" i="5"/>
  <c r="J343" i="5"/>
  <c r="K342" i="5"/>
  <c r="J342" i="5"/>
  <c r="K341" i="5"/>
  <c r="J341" i="5"/>
  <c r="K340" i="5"/>
  <c r="J340" i="5"/>
  <c r="K339" i="5"/>
  <c r="J339" i="5"/>
  <c r="K338" i="5"/>
  <c r="J338" i="5"/>
  <c r="K337" i="5"/>
  <c r="J337" i="5"/>
  <c r="K336" i="5"/>
  <c r="J336" i="5"/>
  <c r="K335" i="5"/>
  <c r="J335" i="5"/>
  <c r="K334" i="5"/>
  <c r="J334" i="5"/>
  <c r="K333" i="5"/>
  <c r="J333" i="5"/>
  <c r="K332" i="5"/>
  <c r="J332" i="5"/>
  <c r="K331" i="5"/>
  <c r="J331" i="5"/>
  <c r="K330" i="5"/>
  <c r="J330" i="5"/>
  <c r="K329" i="5"/>
  <c r="J329" i="5"/>
  <c r="K328" i="5"/>
  <c r="J328" i="5"/>
  <c r="K327" i="5"/>
  <c r="J327" i="5"/>
  <c r="K326" i="5"/>
  <c r="J326" i="5"/>
  <c r="K325" i="5"/>
  <c r="J325" i="5"/>
  <c r="K324" i="5"/>
  <c r="J324" i="5"/>
  <c r="K323" i="5"/>
  <c r="J323" i="5"/>
  <c r="K322" i="5"/>
  <c r="J322" i="5"/>
  <c r="K321" i="5"/>
  <c r="J321" i="5"/>
  <c r="K320" i="5"/>
  <c r="J320" i="5"/>
  <c r="K319" i="5"/>
  <c r="J319" i="5"/>
  <c r="K318" i="5"/>
  <c r="J318" i="5"/>
  <c r="K317" i="5"/>
  <c r="J317" i="5"/>
  <c r="K316" i="5"/>
  <c r="J316" i="5"/>
  <c r="K315" i="5"/>
  <c r="J315" i="5"/>
  <c r="K314" i="5"/>
  <c r="J314" i="5"/>
  <c r="K313" i="5"/>
  <c r="J313" i="5"/>
  <c r="K312" i="5"/>
  <c r="J312" i="5"/>
  <c r="K311" i="5"/>
  <c r="J311" i="5"/>
  <c r="K310" i="5"/>
  <c r="J310" i="5"/>
  <c r="K309" i="5"/>
  <c r="J309" i="5"/>
  <c r="K308" i="5"/>
  <c r="J308" i="5"/>
  <c r="K307" i="5"/>
  <c r="J307" i="5"/>
  <c r="K306" i="5"/>
  <c r="J306" i="5"/>
  <c r="K305" i="5"/>
  <c r="J305" i="5"/>
  <c r="K304" i="5"/>
  <c r="J304" i="5"/>
  <c r="K303" i="5"/>
  <c r="J303" i="5"/>
  <c r="K302" i="5"/>
  <c r="J302" i="5"/>
  <c r="K301" i="5"/>
  <c r="J301" i="5"/>
  <c r="K300" i="5"/>
  <c r="J300" i="5"/>
  <c r="K299" i="5"/>
  <c r="J299" i="5"/>
  <c r="K298" i="5"/>
  <c r="J298" i="5"/>
  <c r="K297" i="5"/>
  <c r="J297" i="5"/>
  <c r="K296" i="5"/>
  <c r="J296" i="5"/>
  <c r="K295" i="5"/>
  <c r="J295" i="5"/>
  <c r="K294" i="5"/>
  <c r="J294" i="5"/>
  <c r="K293" i="5"/>
  <c r="J293" i="5"/>
  <c r="K292" i="5"/>
  <c r="J292" i="5"/>
  <c r="K291" i="5"/>
  <c r="J291" i="5"/>
  <c r="K290" i="5"/>
  <c r="J290" i="5"/>
  <c r="K289" i="5"/>
  <c r="J289" i="5"/>
  <c r="K288" i="5"/>
  <c r="J288" i="5"/>
  <c r="K287" i="5"/>
  <c r="J287" i="5"/>
  <c r="K286" i="5"/>
  <c r="J286" i="5"/>
  <c r="K285" i="5"/>
  <c r="J285" i="5"/>
  <c r="K284" i="5"/>
  <c r="J284" i="5"/>
  <c r="K283" i="5"/>
  <c r="J283" i="5"/>
  <c r="K282" i="5"/>
  <c r="J282" i="5"/>
  <c r="K281" i="5"/>
  <c r="J281" i="5"/>
  <c r="K280" i="5"/>
  <c r="J280" i="5"/>
  <c r="K279" i="5"/>
  <c r="J279" i="5"/>
  <c r="K278" i="5"/>
  <c r="J278" i="5"/>
  <c r="K277" i="5"/>
  <c r="J277" i="5"/>
  <c r="K276" i="5"/>
  <c r="J276" i="5"/>
  <c r="K275" i="5"/>
  <c r="J275" i="5"/>
  <c r="K274" i="5"/>
  <c r="J274" i="5"/>
  <c r="K273" i="5"/>
  <c r="J273" i="5"/>
  <c r="K272" i="5"/>
  <c r="J272" i="5"/>
  <c r="K271" i="5"/>
  <c r="J271" i="5"/>
  <c r="K270" i="5"/>
  <c r="J270" i="5"/>
  <c r="K269" i="5"/>
  <c r="J269" i="5"/>
  <c r="K268" i="5"/>
  <c r="J268" i="5"/>
  <c r="K267" i="5"/>
  <c r="J267" i="5"/>
  <c r="K266" i="5"/>
  <c r="J266" i="5"/>
  <c r="K265" i="5"/>
  <c r="J265" i="5"/>
  <c r="K264" i="5"/>
  <c r="J264" i="5"/>
  <c r="K263" i="5"/>
  <c r="J263" i="5"/>
  <c r="K262" i="5"/>
  <c r="J262" i="5"/>
  <c r="K261" i="5"/>
  <c r="J261" i="5"/>
  <c r="K260" i="5"/>
  <c r="J260" i="5"/>
  <c r="K259" i="5"/>
  <c r="J259" i="5"/>
  <c r="K258" i="5"/>
  <c r="J258" i="5"/>
  <c r="K257" i="5"/>
  <c r="J257" i="5"/>
  <c r="K256" i="5"/>
  <c r="J256" i="5"/>
  <c r="K255" i="5"/>
  <c r="J255" i="5"/>
  <c r="K254" i="5"/>
  <c r="J254" i="5"/>
  <c r="K253" i="5"/>
  <c r="J253" i="5"/>
  <c r="K252" i="5"/>
  <c r="J252" i="5"/>
  <c r="K251" i="5"/>
  <c r="J251" i="5"/>
  <c r="K250" i="5"/>
  <c r="J250" i="5"/>
  <c r="K249" i="5"/>
  <c r="J249" i="5"/>
  <c r="K248" i="5"/>
  <c r="J248" i="5"/>
  <c r="K247" i="5"/>
  <c r="J247" i="5"/>
  <c r="K246" i="5"/>
  <c r="J246" i="5"/>
  <c r="K245" i="5"/>
  <c r="J245" i="5"/>
  <c r="K244" i="5"/>
  <c r="J244" i="5"/>
  <c r="K243" i="5"/>
  <c r="J243" i="5"/>
  <c r="K242" i="5"/>
  <c r="J242" i="5"/>
  <c r="K241" i="5"/>
  <c r="J241" i="5"/>
  <c r="K240" i="5"/>
  <c r="J240" i="5"/>
  <c r="K239" i="5"/>
  <c r="J239" i="5"/>
  <c r="K238" i="5"/>
  <c r="J238" i="5"/>
  <c r="K237" i="5"/>
  <c r="J237" i="5"/>
  <c r="K236" i="5"/>
  <c r="J236" i="5"/>
  <c r="K235" i="5"/>
  <c r="J235" i="5"/>
  <c r="K234" i="5"/>
  <c r="J234" i="5"/>
  <c r="K233" i="5"/>
  <c r="J233" i="5"/>
  <c r="K232" i="5"/>
  <c r="J232" i="5"/>
  <c r="K231" i="5"/>
  <c r="J231" i="5"/>
  <c r="K230" i="5"/>
  <c r="J230" i="5"/>
  <c r="K229" i="5"/>
  <c r="J229" i="5"/>
  <c r="K228" i="5"/>
  <c r="J228" i="5"/>
  <c r="K227" i="5"/>
  <c r="J227" i="5"/>
  <c r="K226" i="5"/>
  <c r="J226" i="5"/>
  <c r="K225" i="5"/>
  <c r="J225" i="5"/>
  <c r="K224" i="5"/>
  <c r="J224" i="5"/>
  <c r="K223" i="5"/>
  <c r="J223" i="5"/>
  <c r="K222" i="5"/>
  <c r="J222" i="5"/>
  <c r="K221" i="5"/>
  <c r="J221" i="5"/>
  <c r="K220" i="5"/>
  <c r="J220" i="5"/>
  <c r="K219" i="5"/>
  <c r="J219" i="5"/>
  <c r="K218" i="5"/>
  <c r="J218" i="5"/>
  <c r="K217" i="5"/>
  <c r="J217" i="5"/>
  <c r="K216" i="5"/>
  <c r="J216" i="5"/>
  <c r="K215" i="5"/>
  <c r="J215" i="5"/>
  <c r="K214" i="5"/>
  <c r="J214" i="5"/>
  <c r="K213" i="5"/>
  <c r="J213" i="5"/>
  <c r="K212" i="5"/>
  <c r="J212" i="5"/>
  <c r="K211" i="5"/>
  <c r="J211" i="5"/>
  <c r="K210" i="5"/>
  <c r="J210" i="5"/>
  <c r="K209" i="5"/>
  <c r="J209" i="5"/>
  <c r="K208" i="5"/>
  <c r="J208" i="5"/>
  <c r="K207" i="5"/>
  <c r="J207" i="5"/>
  <c r="K206" i="5"/>
  <c r="J206" i="5"/>
  <c r="K205" i="5"/>
  <c r="J205" i="5"/>
  <c r="K204" i="5"/>
  <c r="J204" i="5"/>
  <c r="K203" i="5"/>
  <c r="J203" i="5"/>
  <c r="K202" i="5"/>
  <c r="J202" i="5"/>
  <c r="K201" i="5"/>
  <c r="J201" i="5"/>
  <c r="K200" i="5"/>
  <c r="J200" i="5"/>
  <c r="K199" i="5"/>
  <c r="J199" i="5"/>
  <c r="K198" i="5"/>
  <c r="J198" i="5"/>
  <c r="K197" i="5"/>
  <c r="J197" i="5"/>
  <c r="K196" i="5"/>
  <c r="J196" i="5"/>
  <c r="K195" i="5"/>
  <c r="J195" i="5"/>
  <c r="K194" i="5"/>
  <c r="J194" i="5"/>
  <c r="K193" i="5"/>
  <c r="J193" i="5"/>
  <c r="K192" i="5"/>
  <c r="J192" i="5"/>
  <c r="K191" i="5"/>
  <c r="J191" i="5"/>
  <c r="K190" i="5"/>
  <c r="J190" i="5"/>
  <c r="K189" i="5"/>
  <c r="J189" i="5"/>
  <c r="K188" i="5"/>
  <c r="J188" i="5"/>
  <c r="K187" i="5"/>
  <c r="J187" i="5"/>
  <c r="K186" i="5"/>
  <c r="J186" i="5"/>
  <c r="K185" i="5"/>
  <c r="J185" i="5"/>
  <c r="K184" i="5"/>
  <c r="J184" i="5"/>
  <c r="K183" i="5"/>
  <c r="J183" i="5"/>
  <c r="K182" i="5"/>
  <c r="J182" i="5"/>
  <c r="K181" i="5"/>
  <c r="J181" i="5"/>
  <c r="K180" i="5"/>
  <c r="J180" i="5"/>
  <c r="K179" i="5"/>
  <c r="J179" i="5"/>
  <c r="K178" i="5"/>
  <c r="J178" i="5"/>
  <c r="K177" i="5"/>
  <c r="J177" i="5"/>
  <c r="K176" i="5"/>
  <c r="J176" i="5"/>
  <c r="K175" i="5"/>
  <c r="J175" i="5"/>
  <c r="K174" i="5"/>
  <c r="J174" i="5"/>
  <c r="K173" i="5"/>
  <c r="J173" i="5"/>
  <c r="K172" i="5"/>
  <c r="J172" i="5"/>
  <c r="K171" i="5"/>
  <c r="J171" i="5"/>
  <c r="K170" i="5"/>
  <c r="J170" i="5"/>
  <c r="K169" i="5"/>
  <c r="J169" i="5"/>
  <c r="K168" i="5"/>
  <c r="J168" i="5"/>
  <c r="K167" i="5"/>
  <c r="J167" i="5"/>
  <c r="K166" i="5"/>
  <c r="J166" i="5"/>
  <c r="K165" i="5"/>
  <c r="J165" i="5"/>
  <c r="K164" i="5"/>
  <c r="J164" i="5"/>
  <c r="K163" i="5"/>
  <c r="J163" i="5"/>
  <c r="K162" i="5"/>
  <c r="J162" i="5"/>
  <c r="K161" i="5"/>
  <c r="J161" i="5"/>
  <c r="K160" i="5"/>
  <c r="J160" i="5"/>
  <c r="K159" i="5"/>
  <c r="J159" i="5"/>
  <c r="K158" i="5"/>
  <c r="J158" i="5"/>
  <c r="K157" i="5"/>
  <c r="J157" i="5"/>
  <c r="K156" i="5"/>
  <c r="J156" i="5"/>
  <c r="K155" i="5"/>
  <c r="J155" i="5"/>
  <c r="K154" i="5"/>
  <c r="J154" i="5"/>
  <c r="K153" i="5"/>
  <c r="J153" i="5"/>
  <c r="K152" i="5"/>
  <c r="J152" i="5"/>
  <c r="K151" i="5"/>
  <c r="J151" i="5"/>
  <c r="K150" i="5"/>
  <c r="J150" i="5"/>
  <c r="K149" i="5"/>
  <c r="J149" i="5"/>
  <c r="K148" i="5"/>
  <c r="J148" i="5"/>
  <c r="K147" i="5"/>
  <c r="J147" i="5"/>
  <c r="K146" i="5"/>
  <c r="J146" i="5"/>
  <c r="K145" i="5"/>
  <c r="J145" i="5"/>
  <c r="K144" i="5"/>
  <c r="J144" i="5"/>
  <c r="K143" i="5"/>
  <c r="J143" i="5"/>
  <c r="K142" i="5"/>
  <c r="J142" i="5"/>
  <c r="K141" i="5"/>
  <c r="J141" i="5"/>
  <c r="K140" i="5"/>
  <c r="J140" i="5"/>
  <c r="K139" i="5"/>
  <c r="J139" i="5"/>
  <c r="K138" i="5"/>
  <c r="J138" i="5"/>
  <c r="K137" i="5"/>
  <c r="J137" i="5"/>
  <c r="K136" i="5"/>
  <c r="J136" i="5"/>
  <c r="K135" i="5"/>
  <c r="J135" i="5"/>
  <c r="K134" i="5"/>
  <c r="J134" i="5"/>
  <c r="K133" i="5"/>
  <c r="J133" i="5"/>
  <c r="K132" i="5"/>
  <c r="J132" i="5"/>
  <c r="K131" i="5"/>
  <c r="J131" i="5"/>
  <c r="K130" i="5"/>
  <c r="J130" i="5"/>
  <c r="K129" i="5"/>
  <c r="J129" i="5"/>
  <c r="K128" i="5"/>
  <c r="J128" i="5"/>
  <c r="K127" i="5"/>
  <c r="J127" i="5"/>
  <c r="K126" i="5"/>
  <c r="J126" i="5"/>
  <c r="K125" i="5"/>
  <c r="J125" i="5"/>
  <c r="K124" i="5"/>
  <c r="J124" i="5"/>
  <c r="K123" i="5"/>
  <c r="J123" i="5"/>
  <c r="K122" i="5"/>
  <c r="J122" i="5"/>
  <c r="K121" i="5"/>
  <c r="J121" i="5"/>
  <c r="K120" i="5"/>
  <c r="J120" i="5"/>
  <c r="K119" i="5"/>
  <c r="J119" i="5"/>
  <c r="K118" i="5"/>
  <c r="J118" i="5"/>
  <c r="K117" i="5"/>
  <c r="J117" i="5"/>
  <c r="K116" i="5"/>
  <c r="J116" i="5"/>
  <c r="K115" i="5"/>
  <c r="J115" i="5"/>
  <c r="K114" i="5"/>
  <c r="J114" i="5"/>
  <c r="K113" i="5"/>
  <c r="J113" i="5"/>
  <c r="K112" i="5"/>
  <c r="J112" i="5"/>
  <c r="K111" i="5"/>
  <c r="J111" i="5"/>
  <c r="K110" i="5"/>
  <c r="J110" i="5"/>
  <c r="K109" i="5"/>
  <c r="J109" i="5"/>
  <c r="K108" i="5"/>
  <c r="J108" i="5"/>
  <c r="K107" i="5"/>
  <c r="J107" i="5"/>
  <c r="K106" i="5"/>
  <c r="J106" i="5"/>
  <c r="K105" i="5"/>
  <c r="J105" i="5"/>
  <c r="K104" i="5"/>
  <c r="J104" i="5"/>
  <c r="K103" i="5"/>
  <c r="J103" i="5"/>
  <c r="K102" i="5"/>
  <c r="J102" i="5"/>
  <c r="K101" i="5"/>
  <c r="J101" i="5"/>
  <c r="K100" i="5"/>
  <c r="J100" i="5"/>
  <c r="K99" i="5"/>
  <c r="J99" i="5"/>
  <c r="K98" i="5"/>
  <c r="J98" i="5"/>
  <c r="K97" i="5"/>
  <c r="J97" i="5"/>
  <c r="K96" i="5"/>
  <c r="J96" i="5"/>
  <c r="K95" i="5"/>
  <c r="J95" i="5"/>
  <c r="K94" i="5"/>
  <c r="J94" i="5"/>
  <c r="K93" i="5"/>
  <c r="J93" i="5"/>
  <c r="K92" i="5"/>
  <c r="J92" i="5"/>
  <c r="K91" i="5"/>
  <c r="J91" i="5"/>
  <c r="K90" i="5"/>
  <c r="J90" i="5"/>
  <c r="K89" i="5"/>
  <c r="J89" i="5"/>
  <c r="K88" i="5"/>
  <c r="J88" i="5"/>
  <c r="K87" i="5"/>
  <c r="J87" i="5"/>
  <c r="K86" i="5"/>
  <c r="J86" i="5"/>
  <c r="K85" i="5"/>
  <c r="J85" i="5"/>
  <c r="K84" i="5"/>
  <c r="J84" i="5"/>
  <c r="K83" i="5"/>
  <c r="J83" i="5"/>
  <c r="K82" i="5"/>
  <c r="J82" i="5"/>
  <c r="K81" i="5"/>
  <c r="J81" i="5"/>
  <c r="K80" i="5"/>
  <c r="J80" i="5"/>
  <c r="K79" i="5"/>
  <c r="J79" i="5"/>
  <c r="K78" i="5"/>
  <c r="J78" i="5"/>
  <c r="K77" i="5"/>
  <c r="J77" i="5"/>
  <c r="K76" i="5"/>
  <c r="J76" i="5"/>
  <c r="K75" i="5"/>
  <c r="J75" i="5"/>
  <c r="K74" i="5"/>
  <c r="J74" i="5"/>
  <c r="K73" i="5"/>
  <c r="J73" i="5"/>
  <c r="K72" i="5"/>
  <c r="J72" i="5"/>
  <c r="K71" i="5"/>
  <c r="J71" i="5"/>
  <c r="K70" i="5"/>
  <c r="J70" i="5"/>
  <c r="K69" i="5"/>
  <c r="J69" i="5"/>
  <c r="K68" i="5"/>
  <c r="J68" i="5"/>
  <c r="K67" i="5"/>
  <c r="J67" i="5"/>
  <c r="K66" i="5"/>
  <c r="J66" i="5"/>
  <c r="K65" i="5"/>
  <c r="J65" i="5"/>
  <c r="K64" i="5"/>
  <c r="J64" i="5"/>
  <c r="K63" i="5"/>
  <c r="J63" i="5"/>
  <c r="K62" i="5"/>
  <c r="J62" i="5"/>
  <c r="K61" i="5"/>
  <c r="J61" i="5"/>
  <c r="K60" i="5"/>
  <c r="J60" i="5"/>
  <c r="K59" i="5"/>
  <c r="J59" i="5"/>
  <c r="K58" i="5"/>
  <c r="J58" i="5"/>
  <c r="K57" i="5"/>
  <c r="J57" i="5"/>
  <c r="K56" i="5"/>
  <c r="J56" i="5"/>
  <c r="K55" i="5"/>
  <c r="J55" i="5"/>
  <c r="K54" i="5"/>
  <c r="J54" i="5"/>
  <c r="K53" i="5"/>
  <c r="J53" i="5"/>
  <c r="K52" i="5"/>
  <c r="J52" i="5"/>
  <c r="K51" i="5"/>
  <c r="J51" i="5"/>
  <c r="K50" i="5"/>
  <c r="J50" i="5"/>
  <c r="K49" i="5"/>
  <c r="J49" i="5"/>
  <c r="K48" i="5"/>
  <c r="J48" i="5"/>
  <c r="K47" i="5"/>
  <c r="J47" i="5"/>
  <c r="K46" i="5"/>
  <c r="J46" i="5"/>
  <c r="K45" i="5"/>
  <c r="J45" i="5"/>
  <c r="K44" i="5"/>
  <c r="J44" i="5"/>
  <c r="K43" i="5"/>
  <c r="J43" i="5"/>
  <c r="K42" i="5"/>
  <c r="J42" i="5"/>
  <c r="K41" i="5"/>
  <c r="J41" i="5"/>
  <c r="K40" i="5"/>
  <c r="J40" i="5"/>
  <c r="K39" i="5"/>
  <c r="J39" i="5"/>
  <c r="K38" i="5"/>
  <c r="J38" i="5"/>
  <c r="K37" i="5"/>
  <c r="J37" i="5"/>
  <c r="K36" i="5"/>
  <c r="J36" i="5"/>
  <c r="K35" i="5"/>
  <c r="J35" i="5"/>
  <c r="K34" i="5"/>
  <c r="J34" i="5"/>
  <c r="K33" i="5"/>
  <c r="J33" i="5"/>
  <c r="K32" i="5"/>
  <c r="J32" i="5"/>
  <c r="K31" i="5"/>
  <c r="J31" i="5"/>
  <c r="K30" i="5"/>
  <c r="J30" i="5"/>
  <c r="K29" i="5"/>
  <c r="J29" i="5"/>
  <c r="K28" i="5"/>
  <c r="J28" i="5"/>
  <c r="K27" i="5"/>
  <c r="J27" i="5"/>
  <c r="K26" i="5"/>
  <c r="J26" i="5"/>
  <c r="K25" i="5"/>
  <c r="J25" i="5"/>
  <c r="K24" i="5"/>
  <c r="J24" i="5"/>
  <c r="K23" i="5"/>
  <c r="J23" i="5"/>
  <c r="K22" i="5"/>
  <c r="J22" i="5"/>
  <c r="K21" i="5"/>
  <c r="J21" i="5"/>
  <c r="K20" i="5"/>
  <c r="J20" i="5"/>
  <c r="K19" i="5"/>
  <c r="J19" i="5"/>
  <c r="K18" i="5"/>
  <c r="J18" i="5"/>
  <c r="K17" i="5"/>
  <c r="J17" i="5"/>
  <c r="K16" i="5"/>
  <c r="J16" i="5"/>
  <c r="K15" i="5"/>
  <c r="J15" i="5"/>
  <c r="K14" i="5"/>
  <c r="J14" i="5"/>
  <c r="K13" i="5"/>
  <c r="J13" i="5"/>
  <c r="K12" i="5"/>
  <c r="J12" i="5"/>
  <c r="K11" i="5"/>
  <c r="J11" i="5"/>
  <c r="K10" i="5"/>
  <c r="J10" i="5"/>
  <c r="K9" i="5"/>
  <c r="J9" i="5"/>
  <c r="K8" i="5"/>
  <c r="J8" i="5"/>
  <c r="K7" i="5"/>
  <c r="J7" i="5"/>
  <c r="K6" i="5"/>
  <c r="J6" i="5"/>
  <c r="K5" i="5"/>
  <c r="J5" i="5"/>
  <c r="K4" i="5"/>
  <c r="J4" i="5"/>
  <c r="K3" i="5"/>
  <c r="J3" i="5"/>
  <c r="K2" i="5"/>
  <c r="J2" i="5"/>
  <c r="N43" i="3"/>
  <c r="K43" i="3"/>
  <c r="J43" i="3"/>
  <c r="G43" i="3"/>
  <c r="D43" i="3"/>
  <c r="C43" i="3"/>
  <c r="P42" i="3"/>
  <c r="O42" i="3"/>
  <c r="M42" i="3"/>
  <c r="L42" i="3"/>
  <c r="I42" i="3"/>
  <c r="H42" i="3"/>
  <c r="F42" i="3"/>
  <c r="E42" i="3"/>
  <c r="P41" i="3"/>
  <c r="O41" i="3"/>
  <c r="M41" i="3"/>
  <c r="L41" i="3"/>
  <c r="I41" i="3"/>
  <c r="H41" i="3"/>
  <c r="F41" i="3"/>
  <c r="E41" i="3"/>
  <c r="P40" i="3"/>
  <c r="O40" i="3"/>
  <c r="M40" i="3"/>
  <c r="L40" i="3"/>
  <c r="I40" i="3"/>
  <c r="H40" i="3"/>
  <c r="F40" i="3"/>
  <c r="E40" i="3"/>
  <c r="P39" i="3"/>
  <c r="O39" i="3"/>
  <c r="M39" i="3"/>
  <c r="L39" i="3"/>
  <c r="I39" i="3"/>
  <c r="H39" i="3"/>
  <c r="F39" i="3"/>
  <c r="E39" i="3"/>
  <c r="P38" i="3"/>
  <c r="O38" i="3"/>
  <c r="M38" i="3"/>
  <c r="L38" i="3"/>
  <c r="I38" i="3"/>
  <c r="H38" i="3"/>
  <c r="F38" i="3"/>
  <c r="E38" i="3"/>
  <c r="N36" i="3"/>
  <c r="K36" i="3"/>
  <c r="J36" i="3"/>
  <c r="G36" i="3"/>
  <c r="D36" i="3"/>
  <c r="C36" i="3"/>
  <c r="P35" i="3"/>
  <c r="O35" i="3"/>
  <c r="M35" i="3"/>
  <c r="L35" i="3"/>
  <c r="I35" i="3"/>
  <c r="H35" i="3"/>
  <c r="F35" i="3"/>
  <c r="E35" i="3"/>
  <c r="P34" i="3"/>
  <c r="O34" i="3"/>
  <c r="M34" i="3"/>
  <c r="L34" i="3"/>
  <c r="I34" i="3"/>
  <c r="H34" i="3"/>
  <c r="F34" i="3"/>
  <c r="E34" i="3"/>
  <c r="P33" i="3"/>
  <c r="O33" i="3"/>
  <c r="M33" i="3"/>
  <c r="L33" i="3"/>
  <c r="I33" i="3"/>
  <c r="H33" i="3"/>
  <c r="F33" i="3"/>
  <c r="E33" i="3"/>
  <c r="N31" i="3"/>
  <c r="N44" i="3" s="1"/>
  <c r="K31" i="3"/>
  <c r="K44" i="3" s="1"/>
  <c r="J31" i="3"/>
  <c r="G31" i="3"/>
  <c r="G44" i="3" s="1"/>
  <c r="D31" i="3"/>
  <c r="D44" i="3" s="1"/>
  <c r="C31" i="3"/>
  <c r="P30" i="3"/>
  <c r="O30" i="3"/>
  <c r="M30" i="3"/>
  <c r="L30" i="3"/>
  <c r="I30" i="3"/>
  <c r="H30" i="3"/>
  <c r="F30" i="3"/>
  <c r="E30" i="3"/>
  <c r="P29" i="3"/>
  <c r="O29" i="3"/>
  <c r="M29" i="3"/>
  <c r="L29" i="3"/>
  <c r="I29" i="3"/>
  <c r="H29" i="3"/>
  <c r="F29" i="3"/>
  <c r="E29" i="3"/>
  <c r="P28" i="3"/>
  <c r="O28" i="3"/>
  <c r="M28" i="3"/>
  <c r="L28" i="3"/>
  <c r="I28" i="3"/>
  <c r="H28" i="3"/>
  <c r="F28" i="3"/>
  <c r="E28" i="3"/>
  <c r="P27" i="3"/>
  <c r="O27" i="3"/>
  <c r="M27" i="3"/>
  <c r="L27" i="3"/>
  <c r="I27" i="3"/>
  <c r="H27" i="3"/>
  <c r="F27" i="3"/>
  <c r="E27" i="3"/>
  <c r="P26" i="3"/>
  <c r="O26" i="3"/>
  <c r="M26" i="3"/>
  <c r="L26" i="3"/>
  <c r="I26" i="3"/>
  <c r="H26" i="3"/>
  <c r="F26" i="3"/>
  <c r="E26" i="3"/>
  <c r="P25" i="3"/>
  <c r="O25" i="3"/>
  <c r="M25" i="3"/>
  <c r="L25" i="3"/>
  <c r="I25" i="3"/>
  <c r="H25" i="3"/>
  <c r="F25" i="3"/>
  <c r="E25" i="3"/>
  <c r="N20" i="3"/>
  <c r="K20" i="3"/>
  <c r="J20" i="3"/>
  <c r="G20" i="3"/>
  <c r="D20" i="3"/>
  <c r="C20" i="3"/>
  <c r="P19" i="3"/>
  <c r="O19" i="3"/>
  <c r="M19" i="3"/>
  <c r="L19" i="3"/>
  <c r="I19" i="3"/>
  <c r="H19" i="3"/>
  <c r="F19" i="3"/>
  <c r="E19" i="3"/>
  <c r="P18" i="3"/>
  <c r="O18" i="3"/>
  <c r="M18" i="3"/>
  <c r="L18" i="3"/>
  <c r="I18" i="3"/>
  <c r="H18" i="3"/>
  <c r="F18" i="3"/>
  <c r="E18" i="3"/>
  <c r="P17" i="3"/>
  <c r="O17" i="3"/>
  <c r="M17" i="3"/>
  <c r="L17" i="3"/>
  <c r="I17" i="3"/>
  <c r="H17" i="3"/>
  <c r="F17" i="3"/>
  <c r="E17" i="3"/>
  <c r="P16" i="3"/>
  <c r="O16" i="3"/>
  <c r="M16" i="3"/>
  <c r="L16" i="3"/>
  <c r="I16" i="3"/>
  <c r="H16" i="3"/>
  <c r="F16" i="3"/>
  <c r="E16" i="3"/>
  <c r="P15" i="3"/>
  <c r="O15" i="3"/>
  <c r="M15" i="3"/>
  <c r="L15" i="3"/>
  <c r="I15" i="3"/>
  <c r="H15" i="3"/>
  <c r="F15" i="3"/>
  <c r="E15" i="3"/>
  <c r="N13" i="3"/>
  <c r="N21" i="3" s="1"/>
  <c r="K13" i="3"/>
  <c r="K21" i="3" s="1"/>
  <c r="J13" i="3"/>
  <c r="G13" i="3"/>
  <c r="G21" i="3" s="1"/>
  <c r="D13" i="3"/>
  <c r="D21" i="3" s="1"/>
  <c r="C13" i="3"/>
  <c r="P12" i="3"/>
  <c r="O12" i="3"/>
  <c r="M12" i="3"/>
  <c r="L12" i="3"/>
  <c r="I12" i="3"/>
  <c r="H12" i="3"/>
  <c r="F12" i="3"/>
  <c r="E12" i="3"/>
  <c r="P11" i="3"/>
  <c r="O11" i="3"/>
  <c r="M11" i="3"/>
  <c r="L11" i="3"/>
  <c r="I11" i="3"/>
  <c r="H11" i="3"/>
  <c r="F11" i="3"/>
  <c r="E11" i="3"/>
  <c r="P10" i="3"/>
  <c r="O10" i="3"/>
  <c r="M10" i="3"/>
  <c r="L10" i="3"/>
  <c r="I10" i="3"/>
  <c r="H10" i="3"/>
  <c r="F10" i="3"/>
  <c r="E10" i="3"/>
  <c r="P9" i="3"/>
  <c r="O9" i="3"/>
  <c r="M9" i="3"/>
  <c r="L9" i="3"/>
  <c r="I9" i="3"/>
  <c r="H9" i="3"/>
  <c r="F9" i="3"/>
  <c r="E9" i="3"/>
  <c r="P8" i="3"/>
  <c r="O8" i="3"/>
  <c r="M8" i="3"/>
  <c r="L8" i="3"/>
  <c r="I8" i="3"/>
  <c r="H8" i="3"/>
  <c r="F8" i="3"/>
  <c r="E8" i="3"/>
  <c r="P7" i="3"/>
  <c r="O7" i="3"/>
  <c r="M7" i="3"/>
  <c r="L7" i="3"/>
  <c r="I7" i="3"/>
  <c r="H7" i="3"/>
  <c r="F7" i="3"/>
  <c r="E7" i="3"/>
  <c r="N46" i="2"/>
  <c r="K46" i="2"/>
  <c r="J46" i="2"/>
  <c r="G46" i="2"/>
  <c r="D46" i="2"/>
  <c r="C46" i="2"/>
  <c r="N44" i="2"/>
  <c r="N45" i="2" s="1"/>
  <c r="K44" i="2"/>
  <c r="K45" i="2" s="1"/>
  <c r="J44" i="2"/>
  <c r="G44" i="2"/>
  <c r="G45" i="2" s="1"/>
  <c r="D44" i="2"/>
  <c r="D45" i="2" s="1"/>
  <c r="C44" i="2"/>
  <c r="N43" i="2"/>
  <c r="K43" i="2"/>
  <c r="J43" i="2"/>
  <c r="G43" i="2"/>
  <c r="D43" i="2"/>
  <c r="C43" i="2"/>
  <c r="P42" i="2"/>
  <c r="O42" i="2"/>
  <c r="M42" i="2"/>
  <c r="L42" i="2"/>
  <c r="I42" i="2"/>
  <c r="H42" i="2"/>
  <c r="F42" i="2"/>
  <c r="E42" i="2"/>
  <c r="N41" i="2"/>
  <c r="K41" i="2"/>
  <c r="J41" i="2"/>
  <c r="G41" i="2"/>
  <c r="D41" i="2"/>
  <c r="C41" i="2"/>
  <c r="P40" i="2"/>
  <c r="O40" i="2"/>
  <c r="M40" i="2"/>
  <c r="L40" i="2"/>
  <c r="I40" i="2"/>
  <c r="H40" i="2"/>
  <c r="F40" i="2"/>
  <c r="E40" i="2"/>
  <c r="P39" i="2"/>
  <c r="O39" i="2"/>
  <c r="M39" i="2"/>
  <c r="L39" i="2"/>
  <c r="I39" i="2"/>
  <c r="H39" i="2"/>
  <c r="F39" i="2"/>
  <c r="E39" i="2"/>
  <c r="N38" i="2"/>
  <c r="K38" i="2"/>
  <c r="J38" i="2"/>
  <c r="G38" i="2"/>
  <c r="D38" i="2"/>
  <c r="C38" i="2"/>
  <c r="N36" i="2"/>
  <c r="N37" i="2" s="1"/>
  <c r="K36" i="2"/>
  <c r="K37" i="2" s="1"/>
  <c r="J36" i="2"/>
  <c r="G36" i="2"/>
  <c r="G37" i="2" s="1"/>
  <c r="D36" i="2"/>
  <c r="D37" i="2" s="1"/>
  <c r="C36" i="2"/>
  <c r="N35" i="2"/>
  <c r="K35" i="2"/>
  <c r="J35" i="2"/>
  <c r="G35" i="2"/>
  <c r="D35" i="2"/>
  <c r="C35" i="2"/>
  <c r="P34" i="2"/>
  <c r="O34" i="2"/>
  <c r="M34" i="2"/>
  <c r="L34" i="2"/>
  <c r="I34" i="2"/>
  <c r="H34" i="2"/>
  <c r="F34" i="2"/>
  <c r="E34" i="2"/>
  <c r="N33" i="2"/>
  <c r="K33" i="2"/>
  <c r="J33" i="2"/>
  <c r="G33" i="2"/>
  <c r="D33" i="2"/>
  <c r="C33" i="2"/>
  <c r="P32" i="2"/>
  <c r="O32" i="2"/>
  <c r="M32" i="2"/>
  <c r="L32" i="2"/>
  <c r="I32" i="2"/>
  <c r="H32" i="2"/>
  <c r="F32" i="2"/>
  <c r="E32" i="2"/>
  <c r="P31" i="2"/>
  <c r="O31" i="2"/>
  <c r="M31" i="2"/>
  <c r="L31" i="2"/>
  <c r="I31" i="2"/>
  <c r="H31" i="2"/>
  <c r="F31" i="2"/>
  <c r="E31" i="2"/>
  <c r="N30" i="2"/>
  <c r="K30" i="2"/>
  <c r="J30" i="2"/>
  <c r="G30" i="2"/>
  <c r="D30" i="2"/>
  <c r="C30" i="2"/>
  <c r="N28" i="2"/>
  <c r="N29" i="2" s="1"/>
  <c r="K28" i="2"/>
  <c r="K29" i="2" s="1"/>
  <c r="J28" i="2"/>
  <c r="G28" i="2"/>
  <c r="G29" i="2" s="1"/>
  <c r="D28" i="2"/>
  <c r="D29" i="2" s="1"/>
  <c r="C28" i="2"/>
  <c r="N27" i="2"/>
  <c r="K27" i="2"/>
  <c r="J27" i="2"/>
  <c r="G27" i="2"/>
  <c r="D27" i="2"/>
  <c r="C27" i="2"/>
  <c r="P26" i="2"/>
  <c r="O26" i="2"/>
  <c r="M26" i="2"/>
  <c r="L26" i="2"/>
  <c r="I26" i="2"/>
  <c r="H26" i="2"/>
  <c r="F26" i="2"/>
  <c r="E26" i="2"/>
  <c r="N25" i="2"/>
  <c r="K25" i="2"/>
  <c r="J25" i="2"/>
  <c r="G25" i="2"/>
  <c r="D25" i="2"/>
  <c r="C25" i="2"/>
  <c r="P24" i="2"/>
  <c r="O24" i="2"/>
  <c r="M24" i="2"/>
  <c r="L24" i="2"/>
  <c r="I24" i="2"/>
  <c r="H24" i="2"/>
  <c r="F24" i="2"/>
  <c r="E24" i="2"/>
  <c r="P23" i="2"/>
  <c r="O23" i="2"/>
  <c r="M23" i="2"/>
  <c r="L23" i="2"/>
  <c r="I23" i="2"/>
  <c r="H23" i="2"/>
  <c r="F23" i="2"/>
  <c r="E23" i="2"/>
  <c r="N22" i="2"/>
  <c r="K22" i="2"/>
  <c r="J22" i="2"/>
  <c r="G22" i="2"/>
  <c r="D22" i="2"/>
  <c r="C22" i="2"/>
  <c r="N20" i="2"/>
  <c r="N21" i="2" s="1"/>
  <c r="K20" i="2"/>
  <c r="K21" i="2" s="1"/>
  <c r="J20" i="2"/>
  <c r="G20" i="2"/>
  <c r="G21" i="2" s="1"/>
  <c r="D20" i="2"/>
  <c r="D21" i="2" s="1"/>
  <c r="C20" i="2"/>
  <c r="N19" i="2"/>
  <c r="K19" i="2"/>
  <c r="J19" i="2"/>
  <c r="G19" i="2"/>
  <c r="D19" i="2"/>
  <c r="C19" i="2"/>
  <c r="P18" i="2"/>
  <c r="O18" i="2"/>
  <c r="M18" i="2"/>
  <c r="L18" i="2"/>
  <c r="I18" i="2"/>
  <c r="H18" i="2"/>
  <c r="F18" i="2"/>
  <c r="E18" i="2"/>
  <c r="N17" i="2"/>
  <c r="K17" i="2"/>
  <c r="J17" i="2"/>
  <c r="G17" i="2"/>
  <c r="D17" i="2"/>
  <c r="C17" i="2"/>
  <c r="P16" i="2"/>
  <c r="O16" i="2"/>
  <c r="M16" i="2"/>
  <c r="L16" i="2"/>
  <c r="I16" i="2"/>
  <c r="H16" i="2"/>
  <c r="F16" i="2"/>
  <c r="E16" i="2"/>
  <c r="P15" i="2"/>
  <c r="O15" i="2"/>
  <c r="M15" i="2"/>
  <c r="L15" i="2"/>
  <c r="I15" i="2"/>
  <c r="H15" i="2"/>
  <c r="F15" i="2"/>
  <c r="E15" i="2"/>
  <c r="N10" i="2"/>
  <c r="K10" i="2"/>
  <c r="J10" i="2"/>
  <c r="G10" i="2"/>
  <c r="D10" i="2"/>
  <c r="C10" i="2"/>
  <c r="N8" i="2"/>
  <c r="K8" i="2"/>
  <c r="J8" i="2"/>
  <c r="G8" i="2"/>
  <c r="D8" i="2"/>
  <c r="C8" i="2"/>
  <c r="N7" i="2"/>
  <c r="N14" i="2" s="1"/>
  <c r="K7" i="2"/>
  <c r="K14" i="2" s="1"/>
  <c r="J7" i="2"/>
  <c r="G7" i="2"/>
  <c r="G14" i="2" s="1"/>
  <c r="D7" i="2"/>
  <c r="D14" i="2" s="1"/>
  <c r="C7" i="2"/>
  <c r="C14" i="2" l="1"/>
  <c r="I7" i="2"/>
  <c r="H7" i="2"/>
  <c r="F7" i="2"/>
  <c r="E7" i="2"/>
  <c r="J14" i="2"/>
  <c r="P7" i="2"/>
  <c r="O7" i="2"/>
  <c r="M7" i="2"/>
  <c r="L7" i="2"/>
  <c r="C12" i="2"/>
  <c r="C9" i="2"/>
  <c r="I8" i="2"/>
  <c r="H8" i="2"/>
  <c r="F8" i="2"/>
  <c r="E8" i="2"/>
  <c r="D12" i="2"/>
  <c r="D13" i="2" s="1"/>
  <c r="D9" i="2"/>
  <c r="G12" i="2"/>
  <c r="G13" i="2" s="1"/>
  <c r="G9" i="2"/>
  <c r="J12" i="2"/>
  <c r="J9" i="2"/>
  <c r="P8" i="2"/>
  <c r="O8" i="2"/>
  <c r="M8" i="2"/>
  <c r="L8" i="2"/>
  <c r="K12" i="2"/>
  <c r="K13" i="2" s="1"/>
  <c r="K9" i="2"/>
  <c r="N12" i="2"/>
  <c r="N13" i="2" s="1"/>
  <c r="N9" i="2"/>
  <c r="C11" i="2"/>
  <c r="I10" i="2"/>
  <c r="H10" i="2"/>
  <c r="F10" i="2"/>
  <c r="E10" i="2"/>
  <c r="D11" i="2"/>
  <c r="G11" i="2"/>
  <c r="J11" i="2"/>
  <c r="P10" i="2"/>
  <c r="O10" i="2"/>
  <c r="M10" i="2"/>
  <c r="L10" i="2"/>
  <c r="K11" i="2"/>
  <c r="N11" i="2"/>
  <c r="H17" i="2"/>
  <c r="E17" i="2"/>
  <c r="O17" i="2"/>
  <c r="L17" i="2"/>
  <c r="H19" i="2"/>
  <c r="E19" i="2"/>
  <c r="O19" i="2"/>
  <c r="L19" i="2"/>
  <c r="C21" i="2"/>
  <c r="I20" i="2"/>
  <c r="H20" i="2"/>
  <c r="F20" i="2"/>
  <c r="E20" i="2"/>
  <c r="J21" i="2"/>
  <c r="P20" i="2"/>
  <c r="O20" i="2"/>
  <c r="M20" i="2"/>
  <c r="L20" i="2"/>
  <c r="I22" i="2"/>
  <c r="H22" i="2"/>
  <c r="F22" i="2"/>
  <c r="E22" i="2"/>
  <c r="P22" i="2"/>
  <c r="O22" i="2"/>
  <c r="M22" i="2"/>
  <c r="L22" i="2"/>
  <c r="H25" i="2"/>
  <c r="E25" i="2"/>
  <c r="O25" i="2"/>
  <c r="L25" i="2"/>
  <c r="H27" i="2"/>
  <c r="E27" i="2"/>
  <c r="O27" i="2"/>
  <c r="L27" i="2"/>
  <c r="C29" i="2"/>
  <c r="I28" i="2"/>
  <c r="H28" i="2"/>
  <c r="F28" i="2"/>
  <c r="E28" i="2"/>
  <c r="J29" i="2"/>
  <c r="P28" i="2"/>
  <c r="O28" i="2"/>
  <c r="M28" i="2"/>
  <c r="L28" i="2"/>
  <c r="I30" i="2"/>
  <c r="H30" i="2"/>
  <c r="F30" i="2"/>
  <c r="E30" i="2"/>
  <c r="P30" i="2"/>
  <c r="O30" i="2"/>
  <c r="M30" i="2"/>
  <c r="L30" i="2"/>
  <c r="H33" i="2"/>
  <c r="E33" i="2"/>
  <c r="O33" i="2"/>
  <c r="L33" i="2"/>
  <c r="H35" i="2"/>
  <c r="E35" i="2"/>
  <c r="O35" i="2"/>
  <c r="L35" i="2"/>
  <c r="C37" i="2"/>
  <c r="I36" i="2"/>
  <c r="H36" i="2"/>
  <c r="F36" i="2"/>
  <c r="E36" i="2"/>
  <c r="J37" i="2"/>
  <c r="P36" i="2"/>
  <c r="O36" i="2"/>
  <c r="M36" i="2"/>
  <c r="L36" i="2"/>
  <c r="I38" i="2"/>
  <c r="H38" i="2"/>
  <c r="F38" i="2"/>
  <c r="E38" i="2"/>
  <c r="P38" i="2"/>
  <c r="O38" i="2"/>
  <c r="M38" i="2"/>
  <c r="L38" i="2"/>
  <c r="H41" i="2"/>
  <c r="E41" i="2"/>
  <c r="O41" i="2"/>
  <c r="L41" i="2"/>
  <c r="H43" i="2"/>
  <c r="E43" i="2"/>
  <c r="O43" i="2"/>
  <c r="L43" i="2"/>
  <c r="C45" i="2"/>
  <c r="I44" i="2"/>
  <c r="H44" i="2"/>
  <c r="F44" i="2"/>
  <c r="E44" i="2"/>
  <c r="J45" i="2"/>
  <c r="P44" i="2"/>
  <c r="O44" i="2"/>
  <c r="M44" i="2"/>
  <c r="L44" i="2"/>
  <c r="I46" i="2"/>
  <c r="H46" i="2"/>
  <c r="F46" i="2"/>
  <c r="E46" i="2"/>
  <c r="P46" i="2"/>
  <c r="O46" i="2"/>
  <c r="M46" i="2"/>
  <c r="L46" i="2"/>
  <c r="C21" i="3"/>
  <c r="I13" i="3"/>
  <c r="H13" i="3"/>
  <c r="F13" i="3"/>
  <c r="E13" i="3"/>
  <c r="D45" i="3"/>
  <c r="D46" i="3" s="1"/>
  <c r="D22" i="3"/>
  <c r="G45" i="3"/>
  <c r="G46" i="3" s="1"/>
  <c r="G22" i="3"/>
  <c r="J21" i="3"/>
  <c r="P13" i="3"/>
  <c r="O13" i="3"/>
  <c r="M13" i="3"/>
  <c r="L13" i="3"/>
  <c r="K45" i="3"/>
  <c r="K46" i="3" s="1"/>
  <c r="K22" i="3"/>
  <c r="N45" i="3"/>
  <c r="N46" i="3" s="1"/>
  <c r="N22" i="3"/>
  <c r="I20" i="3"/>
  <c r="H20" i="3"/>
  <c r="F20" i="3"/>
  <c r="E20" i="3"/>
  <c r="P20" i="3"/>
  <c r="O20" i="3"/>
  <c r="M20" i="3"/>
  <c r="L20" i="3"/>
  <c r="C44" i="3"/>
  <c r="I31" i="3"/>
  <c r="H31" i="3"/>
  <c r="F31" i="3"/>
  <c r="E31" i="3"/>
  <c r="J44" i="3"/>
  <c r="P31" i="3"/>
  <c r="O31" i="3"/>
  <c r="M31" i="3"/>
  <c r="L31" i="3"/>
  <c r="I36" i="3"/>
  <c r="H36" i="3"/>
  <c r="F36" i="3"/>
  <c r="E36" i="3"/>
  <c r="P36" i="3"/>
  <c r="O36" i="3"/>
  <c r="M36" i="3"/>
  <c r="L36" i="3"/>
  <c r="I43" i="3"/>
  <c r="H43" i="3"/>
  <c r="F43" i="3"/>
  <c r="E43" i="3"/>
  <c r="P43" i="3"/>
  <c r="O43" i="3"/>
  <c r="M43" i="3"/>
  <c r="L43" i="3"/>
  <c r="N10" i="7"/>
  <c r="P44" i="3" l="1"/>
  <c r="O44" i="3"/>
  <c r="M44" i="3"/>
  <c r="L44" i="3"/>
  <c r="I44" i="3"/>
  <c r="H44" i="3"/>
  <c r="F44" i="3"/>
  <c r="E44" i="3"/>
  <c r="J45" i="3"/>
  <c r="J22" i="3"/>
  <c r="P21" i="3"/>
  <c r="O21" i="3"/>
  <c r="M21" i="3"/>
  <c r="L21" i="3"/>
  <c r="C45" i="3"/>
  <c r="C22" i="3"/>
  <c r="I21" i="3"/>
  <c r="H21" i="3"/>
  <c r="F21" i="3"/>
  <c r="E21" i="3"/>
  <c r="O45" i="2"/>
  <c r="L45" i="2"/>
  <c r="H45" i="2"/>
  <c r="E45" i="2"/>
  <c r="O37" i="2"/>
  <c r="L37" i="2"/>
  <c r="H37" i="2"/>
  <c r="E37" i="2"/>
  <c r="O29" i="2"/>
  <c r="L29" i="2"/>
  <c r="H29" i="2"/>
  <c r="E29" i="2"/>
  <c r="O21" i="2"/>
  <c r="L21" i="2"/>
  <c r="H21" i="2"/>
  <c r="E21" i="2"/>
  <c r="O11" i="2"/>
  <c r="L11" i="2"/>
  <c r="H11" i="2"/>
  <c r="E11" i="2"/>
  <c r="O9" i="2"/>
  <c r="L9" i="2"/>
  <c r="J13" i="2"/>
  <c r="P12" i="2"/>
  <c r="O12" i="2"/>
  <c r="M12" i="2"/>
  <c r="L12" i="2"/>
  <c r="H9" i="2"/>
  <c r="E9" i="2"/>
  <c r="C13" i="2"/>
  <c r="I12" i="2"/>
  <c r="H12" i="2"/>
  <c r="F12" i="2"/>
  <c r="E12" i="2"/>
  <c r="P14" i="2"/>
  <c r="O14" i="2"/>
  <c r="M14" i="2"/>
  <c r="L14" i="2"/>
  <c r="I14" i="2"/>
  <c r="H14" i="2"/>
  <c r="F14" i="2"/>
  <c r="E14" i="2"/>
  <c r="H13" i="2" l="1"/>
  <c r="E13" i="2"/>
  <c r="O13" i="2"/>
  <c r="L13" i="2"/>
  <c r="C46" i="3"/>
  <c r="I45" i="3"/>
  <c r="H45" i="3"/>
  <c r="F45" i="3"/>
  <c r="E45" i="3"/>
  <c r="J46" i="3"/>
  <c r="P45" i="3"/>
  <c r="O45" i="3"/>
  <c r="M45" i="3"/>
  <c r="L45" i="3"/>
</calcChain>
</file>

<file path=xl/sharedStrings.xml><?xml version="1.0" encoding="utf-8"?>
<sst xmlns="http://schemas.openxmlformats.org/spreadsheetml/2006/main" count="3275" uniqueCount="243">
  <si>
    <t>Zava Supply Co. - Monthly Results Pack - September 2026</t>
  </si>
  <si>
    <t>Workshop file for 'Copilot for Finance Controllers'. Use it with Copilot in Excel to find drivers and draft September commentary.</t>
  </si>
  <si>
    <t>TRAINING DATA ONLY - Zava Supply Co. is a fictitious company. All names and numbers are invented for the Copilot Finance Controllers workshop.</t>
  </si>
  <si>
    <t>Sheet</t>
  </si>
  <si>
    <t>What it contains / how you will use it</t>
  </si>
  <si>
    <t>Summary</t>
  </si>
  <si>
    <t>High-level P&amp;L by business unit: Sales, Gross Margin, GM %, Op Costs, Op Cost %, PBITA, PBITA %, Sales/Day - September month and YTD vs Budget and vs Prior Year.</t>
  </si>
  <si>
    <t>GL P&amp;L Detail</t>
  </si>
  <si>
    <t>Consolidated account-level P&amp;L for September 2026 in the familiar GL format (Actual, Budget, Var $, Var %, PY, YTD).</t>
  </si>
  <si>
    <t>PL_Monthly</t>
  </si>
  <si>
    <t>Tidy table of monthly results by business unit: 2025 actuals, 2026 actuals to date, 2026 budget. Great for charts, PivotTables and trend questions.</t>
  </si>
  <si>
    <t>OpEx_Detail</t>
  </si>
  <si>
    <t>Operating cost detail by month, business unit and GL account with Budget and Prior Year. Use it to find unusual expense movements.</t>
  </si>
  <si>
    <t>Customer Sales</t>
  </si>
  <si>
    <t>Top customers by business unit: September and YTD sales vs prior year, plus 'All Other Customers' so totals tie to business-unit sales.</t>
  </si>
  <si>
    <t>Billing Days</t>
  </si>
  <si>
    <t>Billing days and daily reported sales (Sales/Day) by month, 2026 vs budget vs 2025.</t>
  </si>
  <si>
    <t>Commentary</t>
  </si>
  <si>
    <t>Your working template for monthly business review commentary.</t>
  </si>
  <si>
    <t>Data notes</t>
  </si>
  <si>
    <t>•</t>
  </si>
  <si>
    <t>All amounts are in USD thousands ($000s) unless labeled otherwise.</t>
  </si>
  <si>
    <t>Op Costs = Warehouse &amp; Delivery + Selling + G&amp;A. PBITA = Gross Margin - Op Costs.</t>
  </si>
  <si>
    <t>Sign convention: costs are shown as positive numbers. For Sales, Gross Margin and PBITA a positive variance is FAVORABLE; for Cost of Sales and Op Costs a positive variance is UNFAVORABLE. Tell Copilot this when you ask about favorable/unfavorable items.</t>
  </si>
  <si>
    <t>Budget was built as prior year + growth (sales +4%), so 'actual vs prior year' is a reasonable proxy for budget drivers at customer level. There is no customer-level budget.</t>
  </si>
  <si>
    <t>Business units: Foodservice Packaging, Janitorial &amp; Sanitation, Safety &amp; PPE, Retail Supplies. 'Consolidated' = sum of the four.</t>
  </si>
  <si>
    <t>Tip: make a copy of this workbook before you start (File &gt; Save a copy) so you can always return to the original. Ctrl+Z undoes Copilot edits.</t>
  </si>
  <si>
    <t>Zava Supply Co. - Monthly Results Summary - September 2026</t>
  </si>
  <si>
    <t>Month and year-to-date: Actual vs Budget and vs Prior Year | USD $000s | Op Costs = Warehouse &amp; Delivery + Selling + G&amp;A</t>
  </si>
  <si>
    <t>September 2026 (Month)</t>
  </si>
  <si>
    <t>YTD September 2026</t>
  </si>
  <si>
    <t>Business Unit</t>
  </si>
  <si>
    <t>Metric</t>
  </si>
  <si>
    <t>Sep Actual</t>
  </si>
  <si>
    <t>Sep Budget</t>
  </si>
  <si>
    <t>Sep Act vs Bud Var $</t>
  </si>
  <si>
    <t>Sep Act vs Bud Var %</t>
  </si>
  <si>
    <t>Sep PY Actual</t>
  </si>
  <si>
    <t>Sep Act vs PY Var $</t>
  </si>
  <si>
    <t>Sep Act vs PY Var %</t>
  </si>
  <si>
    <t>YTD Actual</t>
  </si>
  <si>
    <t>YTD Budget</t>
  </si>
  <si>
    <t>YTD Act vs Bud Var $</t>
  </si>
  <si>
    <t>YTD Act vs Bud Var %</t>
  </si>
  <si>
    <t>YTD PY Actual</t>
  </si>
  <si>
    <t>YTD Act vs PY Var $</t>
  </si>
  <si>
    <t>YTD Act vs PY Var %</t>
  </si>
  <si>
    <t>Consolidated</t>
  </si>
  <si>
    <t>Sales</t>
  </si>
  <si>
    <t>Gross Margin</t>
  </si>
  <si>
    <t>GM %</t>
  </si>
  <si>
    <t>Op Costs</t>
  </si>
  <si>
    <t>Op Cost %</t>
  </si>
  <si>
    <t>PBITA</t>
  </si>
  <si>
    <t>PBITA %</t>
  </si>
  <si>
    <t>Sales/Day</t>
  </si>
  <si>
    <t>Foodservice Packaging</t>
  </si>
  <si>
    <t>Janitorial &amp; Sanitation</t>
  </si>
  <si>
    <t>Safety &amp; PPE</t>
  </si>
  <si>
    <t>Retail Supplies</t>
  </si>
  <si>
    <t>Variance sign: positive Var $ on Sales, Gross Margin, PBITA = favorable; positive Var $ on Op Costs = unfavorable. Percentage rows show variance in percentage points (pts).</t>
  </si>
  <si>
    <t>Zava Supply Co. - General Ledger P&amp;L - Detailed - September 2026 - Consolidated</t>
  </si>
  <si>
    <t>USD | In Thousands | Account-level Actual vs Budget vs Prior Year, Month and YTD</t>
  </si>
  <si>
    <t>Account</t>
  </si>
  <si>
    <t>Description</t>
  </si>
  <si>
    <t>Sep 2026 Actual</t>
  </si>
  <si>
    <t>Sep 2026 Budget</t>
  </si>
  <si>
    <t>Sep 2025 Actual</t>
  </si>
  <si>
    <t>Sep Act vs PY Act Var $</t>
  </si>
  <si>
    <t>Sep Act vs PY Act Var %</t>
  </si>
  <si>
    <t>YTD Sep 2026 Actual</t>
  </si>
  <si>
    <t>YTD Sep 2026 Budget</t>
  </si>
  <si>
    <t>Act YTD vs Bud Var $</t>
  </si>
  <si>
    <t>Act YTD vs Bud Var %</t>
  </si>
  <si>
    <t>YTD Sep 2025 Actual</t>
  </si>
  <si>
    <t>Act YTD vs PY Var $</t>
  </si>
  <si>
    <t>Act YTD vs PY Var %</t>
  </si>
  <si>
    <t>SALES</t>
  </si>
  <si>
    <t>4000</t>
  </si>
  <si>
    <t>Sales - Warehouse</t>
  </si>
  <si>
    <t>4010</t>
  </si>
  <si>
    <t>Sales - Direct Ship</t>
  </si>
  <si>
    <t>4020</t>
  </si>
  <si>
    <t>Sales - Other</t>
  </si>
  <si>
    <t>4175</t>
  </si>
  <si>
    <t>Fuel Surcharges</t>
  </si>
  <si>
    <t>4100</t>
  </si>
  <si>
    <t>Returns &amp; Allowances</t>
  </si>
  <si>
    <t>4110</t>
  </si>
  <si>
    <t>Customer Terms Discount</t>
  </si>
  <si>
    <t>Total Sales</t>
  </si>
  <si>
    <t>COST OF SALES</t>
  </si>
  <si>
    <t>5000</t>
  </si>
  <si>
    <t>Product Cost - Warehouse</t>
  </si>
  <si>
    <t>5010</t>
  </si>
  <si>
    <t>Product Cost - Direct Ship</t>
  </si>
  <si>
    <t>5100</t>
  </si>
  <si>
    <t>Freight In</t>
  </si>
  <si>
    <t>5300</t>
  </si>
  <si>
    <t>Inventory Adjustments</t>
  </si>
  <si>
    <t>5200</t>
  </si>
  <si>
    <t>Vendor Rebates</t>
  </si>
  <si>
    <t>Total Cost of Sales</t>
  </si>
  <si>
    <t>GROSS MARGIN</t>
  </si>
  <si>
    <t>WAREHOUSE &amp; DELIVERY</t>
  </si>
  <si>
    <t>6100</t>
  </si>
  <si>
    <t>Warehouse Wages - Regular</t>
  </si>
  <si>
    <t>6105</t>
  </si>
  <si>
    <t>Warehouse Wages - Overtime</t>
  </si>
  <si>
    <t>6110</t>
  </si>
  <si>
    <t>Temporary Labor</t>
  </si>
  <si>
    <t>6200</t>
  </si>
  <si>
    <t>Freight Out &amp; Fuel</t>
  </si>
  <si>
    <t>6300</t>
  </si>
  <si>
    <t>Facility Rent</t>
  </si>
  <si>
    <t>6310</t>
  </si>
  <si>
    <t>Utilities</t>
  </si>
  <si>
    <t>Total Warehouse &amp; Delivery</t>
  </si>
  <si>
    <t>SELLING</t>
  </si>
  <si>
    <t>6500</t>
  </si>
  <si>
    <t>Sales Salaries &amp; Commissions</t>
  </si>
  <si>
    <t>6510</t>
  </si>
  <si>
    <t>Travel &amp; Entertainment</t>
  </si>
  <si>
    <t>6520</t>
  </si>
  <si>
    <t>Marketing &amp; Promotions</t>
  </si>
  <si>
    <t>Total Selling</t>
  </si>
  <si>
    <t>G&amp;A</t>
  </si>
  <si>
    <t>7000</t>
  </si>
  <si>
    <t>Admin Salaries</t>
  </si>
  <si>
    <t>7100</t>
  </si>
  <si>
    <t>Professional Fees</t>
  </si>
  <si>
    <t>7200</t>
  </si>
  <si>
    <t>IT &amp; Software</t>
  </si>
  <si>
    <t>7300</t>
  </si>
  <si>
    <t>Bad Debt Expense</t>
  </si>
  <si>
    <t>7400</t>
  </si>
  <si>
    <t>Insurance</t>
  </si>
  <si>
    <t>Total G&amp;A</t>
  </si>
  <si>
    <t>TOTAL OP COSTS</t>
  </si>
  <si>
    <t>Cost lines are positive numbers; a positive Var $ on a cost line is unfavorable. Vendor Rebates and Returns/Discounts are credits (negative).</t>
  </si>
  <si>
    <t>Scenario</t>
  </si>
  <si>
    <t>Year</t>
  </si>
  <si>
    <t>Month</t>
  </si>
  <si>
    <t>Month Num</t>
  </si>
  <si>
    <t>Cost of Sales</t>
  </si>
  <si>
    <t>Warehouse &amp; Delivery</t>
  </si>
  <si>
    <t>Selling</t>
  </si>
  <si>
    <t>Actual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</si>
  <si>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</si>
  <si>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</si>
  <si>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</si>
  <si>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</si>
  <si>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</si>
  <si>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</si>
  <si>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</si>
  <si>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</si>
  <si>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</si>
  <si>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</si>
  <si>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</si>
  <si>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</si>
  <si>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Budget</t>
  </si>
  <si>
    <t>Category</t>
  </si>
  <si>
    <t>Account Description</t>
  </si>
  <si>
    <t>Actual 2026</t>
  </si>
  <si>
    <t>Budget 2026</t>
  </si>
  <si>
    <t>Prior Year 2025</t>
  </si>
  <si>
    <t>Var vs Budget $</t>
  </si>
  <si>
    <t>Var vs PY $</t>
  </si>
  <si>
    <t>Customer</t>
  </si>
  <si>
    <t>Segment</t>
  </si>
  <si>
    <t>Sep 2026</t>
  </si>
  <si>
    <t>Sep 2025</t>
  </si>
  <si>
    <t>Sep Var vs PY $</t>
  </si>
  <si>
    <t>Sep Var vs PY %</t>
  </si>
  <si>
    <t>YTD Sep 2026</t>
  </si>
  <si>
    <t>YTD Sep 2025</t>
  </si>
  <si>
    <t>YTD Var vs PY $</t>
  </si>
  <si>
    <t>YTD Var vs PY %</t>
  </si>
  <si>
    <t>Harbor Grill Group</t>
  </si>
  <si>
    <t>Restaurant Chain</t>
  </si>
  <si>
    <t>Sunrise Cafe Co.</t>
  </si>
  <si>
    <t>Metro Stadium Concessions</t>
  </si>
  <si>
    <t>Venues &amp; Events</t>
  </si>
  <si>
    <t>Greenleaf Bakeries</t>
  </si>
  <si>
    <t>Bakery &amp; Cafe</t>
  </si>
  <si>
    <t>Coastline Seafood Kitchens</t>
  </si>
  <si>
    <t>All Other Customers</t>
  </si>
  <si>
    <t>Various</t>
  </si>
  <si>
    <t>Brightway Hospitals</t>
  </si>
  <si>
    <t>Healthcare</t>
  </si>
  <si>
    <t>Tri-County School District</t>
  </si>
  <si>
    <t>Education</t>
  </si>
  <si>
    <t>Pinnacle Office Parks</t>
  </si>
  <si>
    <t>Commercial Property</t>
  </si>
  <si>
    <t>Northgate Property Management</t>
  </si>
  <si>
    <t>Ridgeline Fabrication</t>
  </si>
  <si>
    <t>Industrial Manufacturing</t>
  </si>
  <si>
    <t>Summit Steelworks</t>
  </si>
  <si>
    <t>Keystone Construction</t>
  </si>
  <si>
    <t>Construction</t>
  </si>
  <si>
    <t>Bluewater Utilities</t>
  </si>
  <si>
    <t>Corner Mart</t>
  </si>
  <si>
    <t>Convenience Retail</t>
  </si>
  <si>
    <t>FreshWay Grocers</t>
  </si>
  <si>
    <t>Grocery</t>
  </si>
  <si>
    <t>Valley Pharmacy Group</t>
  </si>
  <si>
    <t>Pharmacy</t>
  </si>
  <si>
    <t>Hometown Hardware Co-op</t>
  </si>
  <si>
    <t>Hardware</t>
  </si>
  <si>
    <t>No customer-level budget exists. Budget = prior year + growth, so change vs prior year is used to explain budget variances by customer. Harbor Grill Group is a new customer (no prior-year sales).</t>
  </si>
  <si>
    <t>Zava Supply Co. - Billing Days &amp; Daily Reported Sales - Consolidated</t>
  </si>
  <si>
    <t>USD $000s | Billing days = weekdays less company holidays</t>
  </si>
  <si>
    <t>Line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</si>
  <si>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</si>
  <si>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</si>
  <si>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</si>
  <si>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</si>
  <si>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</si>
  <si>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</si>
  <si>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</si>
  <si>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</si>
  <si>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</si>
  <si>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</si>
  <si>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</si>
  <si>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Full Year</t>
  </si>
  <si>
    <t>Reported Sales 2026 (Actual)</t>
  </si>
  <si>
    <t>Days 2026</t>
  </si>
  <si>
    <t>Daily Reported Sales 2026</t>
  </si>
  <si>
    <t>Budget Sales 2026</t>
  </si>
  <si>
    <t>Daily Budget Sales 2026</t>
  </si>
  <si>
    <t>Reported Sales 2025</t>
  </si>
  <si>
    <t>Days 2025</t>
  </si>
  <si>
    <t>Daily Reported Sales 2025</t>
  </si>
  <si>
    <t>2026 Full Year column for actuals covers January-September only (months not yet closed are blank).</t>
  </si>
  <si>
    <t>Monthly Business Review Commentary - September 2026</t>
  </si>
  <si>
    <t>Paste Copilot drafts here, then add your own judgment. You own the final words.</t>
  </si>
  <si>
    <t>Section</t>
  </si>
  <si>
    <t>Copilot draft</t>
  </si>
  <si>
    <t>My edits / color commentary</t>
  </si>
  <si>
    <t>Numbers checked against source? (Y/N)</t>
  </si>
  <si>
    <t>Follow-up item / owner</t>
  </si>
  <si>
    <t>Unusual items / anomalies</t>
  </si>
  <si>
    <t>Executive summary (3 bullets)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</si>
</sst>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;[Red]\(#,##0.0\);&quot;-&quot;"/>
    <numFmt numFmtId="165" formatCode="0.0%;[Red]\-0.0%;&quot;-&quot;"/>
    <numFmt numFmtId="166" formatCode="0.0&quot; pts&quot;;[Red]\-0.0&quot; pts&quot;;&quot;-&quot;"/>
    <numFmt numFmtId="167" formatCode="#,##0.0"/>
  </numFmts>
  <fonts count="13">
    <font>
      <sz val="11"/>
      <color theme="1"/>
      <name val="Calibri"/>
      <family val="2"/>
      <scheme val="minor"/>
    </font>
    <font>
      <b/>
      <sz val="18"/>
      <color rgb="FF183A5D"/>
      <name val="Calibri"/>
    </font>
    <font>
      <i/>
      <sz val="11"/>
      <color rgb="FF5D6B82"/>
      <name val="Calibri"/>
    </font>
    <font>
      <b/>
      <sz val="10"/>
      <color rgb="FF9C2B2B"/>
      <name val="Calibri"/>
    </font>
    <font>
      <b/>
      <sz val="11"/>
      <color rgb="FFFFFFFF"/>
      <name val="Calibri"/>
    </font>
    <font>
      <b/>
      <sz val="11"/>
      <name val="Calibri"/>
    </font>
    <font>
      <b/>
      <sz val="12"/>
      <color rgb="FF183A5D"/>
      <name val="Calibri"/>
    </font>
    <font>
      <b/>
      <sz val="14"/>
      <color rgb="FF183A5D"/>
      <name val="Calibri"/>
    </font>
    <font>
      <sz val="9"/>
      <color rgb="FF9C2B2B"/>
      <name val="Calibri"/>
    </font>
    <font>
      <b/>
      <sz val="11"/>
      <color rgb="FF183A5D"/>
      <name val="Calibri"/>
    </font>
    <font>
      <sz val="11"/>
      <name val="Calibri"/>
    </font>
    <font>
      <i/>
      <sz val="9"/>
      <color rgb="FF5D6B82"/>
      <name val="Calibri"/>
    </font>
    <font>
      <i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83A5D"/>
      </patternFill>
    </fill>
    <fill>
      <patternFill patternType="solid">
        <fgColor rgb="FFEAF1F8"/>
      </patternFill>
    </fill>
    <fill>
      <patternFill patternType="solid">
        <fgColor rgb="FFE7F3DE"/>
      </patternFill>
    </fill>
  </fills>
  <borders count="3">
    <border>
      <left/>
      <right/>
      <top/>
      <bottom/>
      <diagonal/>
    </border>
    <border>
      <left/>
      <right/>
      <top style="thin">
        <color rgb="FF183A5D"/>
      </top>
      <bottom/>
      <diagonal/>
    </border>
    <border>
      <left/>
      <right/>
      <top/>
      <bottom style="thin">
        <color rgb="FFC9D3E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0" borderId="0" xfId="0" applyFont="1"/>
    <xf numFmtId="0" fontId="0" fillId="0" borderId="0" xfId="0" applyAlignment="1">
      <alignment vertical="top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4" fillId="2" borderId="0" xfId="0" applyFont="1" applyFill="1" applyAlignment="1">
      <alignment horizontal="center" vertical="center" wrapText="1"/>
    </xf>
    <xf numFmtId="0" fontId="0" fillId="3" borderId="1" xfId="0" applyFill="1" applyBorder="1"/>
    <xf numFmtId="0" fontId="5" fillId="3" borderId="1" xfId="0" applyFont="1" applyFill="1" applyBorder="1"/>
    <xf numFmtId="164" fontId="0" fillId="3" borderId="1" xfId="0" applyNumberFormat="1" applyFill="1" applyBorder="1"/>
    <xf numFmtId="165" fontId="0" fillId="3" borderId="1" xfId="0" applyNumberFormat="1" applyFill="1" applyBorder="1"/>
    <xf numFmtId="0" fontId="0" fillId="3" borderId="0" xfId="0" applyFill="1"/>
    <xf numFmtId="0" fontId="10" fillId="3" borderId="0" xfId="0" applyFont="1" applyFill="1"/>
    <xf numFmtId="164" fontId="0" fillId="3" borderId="0" xfId="0" applyNumberFormat="1" applyFill="1"/>
    <xf numFmtId="165" fontId="0" fillId="3" borderId="0" xfId="0" applyNumberFormat="1" applyFill="1"/>
    <xf numFmtId="166" fontId="0" fillId="3" borderId="0" xfId="0" applyNumberFormat="1" applyFill="1"/>
    <xf numFmtId="0" fontId="5" fillId="3" borderId="0" xfId="0" applyFont="1" applyFill="1"/>
    <xf numFmtId="0" fontId="0" fillId="0" borderId="1" xfId="0" applyBorder="1"/>
    <xf numFmtId="0" fontId="5" fillId="0" borderId="1" xfId="0" applyFont="1" applyBorder="1"/>
    <xf numFmtId="164" fontId="0" fillId="0" borderId="1" xfId="0" applyNumberFormat="1" applyBorder="1"/>
    <xf numFmtId="165" fontId="0" fillId="0" borderId="1" xfId="0" applyNumberFormat="1" applyBorder="1"/>
    <xf numFmtId="0" fontId="10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1" fillId="0" borderId="0" xfId="0" applyFont="1"/>
    <xf numFmtId="164" fontId="5" fillId="3" borderId="0" xfId="0" applyNumberFormat="1" applyFont="1" applyFill="1"/>
    <xf numFmtId="165" fontId="5" fillId="3" borderId="0" xfId="0" applyNumberFormat="1" applyFont="1" applyFill="1"/>
    <xf numFmtId="0" fontId="5" fillId="4" borderId="0" xfId="0" applyFont="1" applyFill="1"/>
    <xf numFmtId="164" fontId="5" fillId="4" borderId="0" xfId="0" applyNumberFormat="1" applyFont="1" applyFill="1"/>
    <xf numFmtId="165" fontId="5" fillId="4" borderId="0" xfId="0" applyNumberFormat="1" applyFont="1" applyFill="1"/>
    <xf numFmtId="0" fontId="12" fillId="0" borderId="0" xfId="0" applyFont="1"/>
    <xf numFmtId="167" fontId="0" fillId="0" borderId="0" xfId="0" applyNumberFormat="1"/>
    <xf numFmtId="1" fontId="0" fillId="0" borderId="0" xfId="0" applyNumberFormat="1"/>
    <xf numFmtId="0" fontId="5" fillId="0" borderId="2" xfId="0" applyFont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9" fillId="0" borderId="0" xfId="0" applyFon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L_Monthly" displayName="PL_Monthly" ref="A1:N133">
  <autoFilter ref="A1:N133" xr:uid="{00000000-0009-0000-0100-000001000000}"/>
  <tableColumns count="14">
    <tableColumn id="1" xr3:uid="{00000000-0010-0000-0000-000001000000}" name="Scenario"/>
    <tableColumn id="2" xr3:uid="{00000000-0010-0000-0000-000002000000}" name="Year"/>
    <tableColumn id="3" xr3:uid="{00000000-0010-0000-0000-000003000000}" name="Month"/>
    <tableColumn id="4" xr3:uid="{00000000-0010-0000-0000-000004000000}" name="Month Num"/>
    <tableColumn id="5" xr3:uid="{00000000-0010-0000-0000-000005000000}" name="Business Unit"/>
    <tableColumn id="6" xr3:uid="{00000000-0010-0000-0000-000006000000}" name="Sales"/>
    <tableColumn id="7" xr3:uid="{00000000-0010-0000-0000-000007000000}" name="Cost of Sales"/>
    <tableColumn id="8" xr3:uid="{00000000-0010-0000-0000-000008000000}" name="Gross Margin"/>
    <tableColumn id="9" xr3:uid="{00000000-0010-0000-0000-000009000000}" name="Warehouse &amp; Delivery"/>
    <tableColumn id="10" xr3:uid="{00000000-0010-0000-0000-00000A000000}" name="Selling"/>
    <tableColumn id="11" xr3:uid="{00000000-0010-0000-0000-00000B000000}" name="G&amp;A"/>
    <tableColumn id="12" xr3:uid="{00000000-0010-0000-0000-00000C000000}" name="Op Costs"/>
    <tableColumn id="13" xr3:uid="{00000000-0010-0000-0000-00000D000000}" name="PBITA"/>
    <tableColumn id="14" xr3:uid="{00000000-0010-0000-0000-00000E000000}" name="Billing Day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OpEx_Detail" displayName="OpEx_Detail" ref="A1:K505">
  <autoFilter ref="A1:K505" xr:uid="{00000000-0009-0000-0100-000002000000}"/>
  <tableColumns count="11">
    <tableColumn id="1" xr3:uid="{00000000-0010-0000-0100-000001000000}" name="Month"/>
    <tableColumn id="2" xr3:uid="{00000000-0010-0000-0100-000002000000}" name="Month Num"/>
    <tableColumn id="3" xr3:uid="{00000000-0010-0000-0100-000003000000}" name="Business Unit"/>
    <tableColumn id="4" xr3:uid="{00000000-0010-0000-0100-000004000000}" name="Category"/>
    <tableColumn id="5" xr3:uid="{00000000-0010-0000-0100-000005000000}" name="Account"/>
    <tableColumn id="6" xr3:uid="{00000000-0010-0000-0100-000006000000}" name="Account Description"/>
    <tableColumn id="7" xr3:uid="{00000000-0010-0000-0100-000007000000}" name="Actual 2026"/>
    <tableColumn id="8" xr3:uid="{00000000-0010-0000-0100-000008000000}" name="Budget 2026"/>
    <tableColumn id="9" xr3:uid="{00000000-0010-0000-0100-000009000000}" name="Prior Year 2025"/>
    <tableColumn id="10" xr3:uid="{00000000-0010-0000-0100-00000A000000}" name="Var vs Budget $"/>
    <tableColumn id="11" xr3:uid="{00000000-0010-0000-0100-00000B000000}" name="Var vs PY $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ustomer_Sales" displayName="Customer_Sales" ref="A1:K22">
  <autoFilter ref="A1:K22" xr:uid="{00000000-0009-0000-0100-000003000000}"/>
  <tableColumns count="11">
    <tableColumn id="1" xr3:uid="{00000000-0010-0000-0200-000001000000}" name="Business Unit"/>
    <tableColumn id="2" xr3:uid="{00000000-0010-0000-0200-000002000000}" name="Customer"/>
    <tableColumn id="3" xr3:uid="{00000000-0010-0000-0200-000003000000}" name="Segment"/>
    <tableColumn id="4" xr3:uid="{00000000-0010-0000-0200-000004000000}" name="Sep 2026"/>
    <tableColumn id="5" xr3:uid="{00000000-0010-0000-0200-000005000000}" name="Sep 2025"/>
    <tableColumn id="6" xr3:uid="{00000000-0010-0000-0200-000006000000}" name="Sep Var vs PY $"/>
    <tableColumn id="7" xr3:uid="{00000000-0010-0000-0200-000007000000}" name="Sep Var vs PY %"/>
    <tableColumn id="8" xr3:uid="{00000000-0010-0000-0200-000008000000}" name="YTD Sep 2026"/>
    <tableColumn id="9" xr3:uid="{00000000-0010-0000-0200-000009000000}" name="YTD Sep 2025"/>
    <tableColumn id="10" xr3:uid="{00000000-0010-0000-0200-00000A000000}" name="YTD Var vs PY $"/>
    <tableColumn id="11" xr3:uid="{00000000-0010-0000-0200-00000B000000}" name="YTD Var vs PY %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showGridLines="0" tabSelected="1" workbookViewId="0"/>
  </sheetViews>
  <sheetFormatPr defaultRowHeight="15"/>
  <cols>
    <col min="1" max="1" width="26" customWidth="1"/>
    <col min="2" max="2" width="110" customWidth="1"/>
  </cols>
  <sheetData>
    <row r="1" spans="1:2">
      <c r="A1" s="1" t="s">
        <v>0</v>
      </c>
    </row>
    <row r="2" spans="1:2">
      <c r="A2" s="2" t="s">
        <v>1</v>
      </c>
    </row>
    <row r="3" spans="1:2">
      <c r="A3" s="3" t="s">
        <v>2</v>
      </c>
    </row>
    <row r="5" spans="1:2">
      <c r="A5" s="4" t="s">
        <v>3</v>
      </c>
      <c r="B5" s="4" t="s">
        <v>4</v>
      </c>
    </row>
    <row r="6" spans="1:2">
      <c r="A6" s="5" t="s">
        <v>5</v>
      </c>
      <c r="B6" s="6" t="s">
        <v>6</v>
      </c>
    </row>
    <row r="7" spans="1:2">
      <c r="A7" s="5" t="s">
        <v>7</v>
      </c>
      <c r="B7" s="6" t="s">
        <v>8</v>
      </c>
    </row>
    <row r="8" spans="1:2">
      <c r="A8" s="5" t="s">
        <v>9</v>
      </c>
      <c r="B8" s="6" t="s">
        <v>10</v>
      </c>
    </row>
    <row r="9" spans="1:2">
      <c r="A9" s="5" t="s">
        <v>11</v>
      </c>
      <c r="B9" s="6" t="s">
        <v>12</v>
      </c>
    </row>
    <row r="10" spans="1:2">
      <c r="A10" s="5" t="s">
        <v>13</v>
      </c>
      <c r="B10" s="6" t="s">
        <v>14</v>
      </c>
    </row>
    <row r="11" spans="1:2">
      <c r="A11" s="5" t="s">
        <v>15</v>
      </c>
      <c r="B11" s="6" t="s">
        <v>16</v>
      </c>
    </row>
    <row r="12" spans="1:2">
      <c r="A12" s="5" t="s">
        <v>17</v>
      </c>
      <c r="B12" s="6" t="s">
        <v>18</v>
      </c>
    </row>
    <row r="14" spans="1:2">
      <c r="A14" s="7" t="s">
        <v>19</v>
      </c>
    </row>
    <row r="15" spans="1:2">
      <c r="A15" t="s">
        <v>20</v>
      </c>
      <c r="B15" s="6" t="s">
        <v>21</v>
      </c>
    </row>
    <row r="16" spans="1:2">
      <c r="A16" t="s">
        <v>20</v>
      </c>
      <c r="B16" s="6" t="s">
        <v>22</v>
      </c>
    </row>
    <row r="17" spans="1:2">
      <c r="A17" t="s">
        <v>20</v>
      </c>
      <c r="B17" s="6" t="s">
        <v>23</v>
      </c>
    </row>
    <row r="18" spans="1:2">
      <c r="A18" t="s">
        <v>20</v>
      </c>
      <c r="B18" s="6" t="s">
        <v>24</v>
      </c>
    </row>
    <row r="19" spans="1:2">
      <c r="A19" t="s">
        <v>20</v>
      </c>
      <c r="B19" s="6" t="s">
        <v>25</v>
      </c>
    </row>
    <row r="20" spans="1:2">
      <c r="A20" t="s">
        <v>20</v>
      </c>
      <c r="B20" s="6" t="s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8"/>
  <sheetViews>
    <sheetView showGridLines="0" workbookViewId="0">
      <pane xSplit="2" ySplit="6" topLeftCell="C7" activePane="bottomRight" state="frozen"/>
      <selection pane="bottomRight"/>
      <selection pane="bottomLeft"/>
      <selection pane="topRight"/>
    </sheetView>
  </sheetViews>
  <sheetFormatPr defaultRowHeight="15"/>
  <cols>
    <col min="1" max="1" width="24" customWidth="1"/>
    <col min="2" max="2" width="13" customWidth="1"/>
    <col min="3" max="16" width="12.42578125" customWidth="1"/>
  </cols>
  <sheetData>
    <row r="1" spans="1:16">
      <c r="A1" s="8" t="s">
        <v>27</v>
      </c>
    </row>
    <row r="2" spans="1:16">
      <c r="A2" s="2" t="s">
        <v>28</v>
      </c>
    </row>
    <row r="3" spans="1:16">
      <c r="A3" s="9" t="s">
        <v>2</v>
      </c>
    </row>
    <row r="5" spans="1:16">
      <c r="C5" s="41" t="s">
        <v>29</v>
      </c>
      <c r="D5" s="42"/>
      <c r="E5" s="42"/>
      <c r="F5" s="42"/>
      <c r="G5" s="42"/>
      <c r="H5" s="42"/>
      <c r="I5" s="42"/>
      <c r="J5" s="41" t="s">
        <v>30</v>
      </c>
      <c r="K5" s="42"/>
      <c r="L5" s="42"/>
      <c r="M5" s="42"/>
      <c r="N5" s="42"/>
      <c r="O5" s="42"/>
      <c r="P5" s="42"/>
    </row>
    <row r="6" spans="1:16" ht="32.1" customHeight="1">
      <c r="A6" s="11" t="s">
        <v>31</v>
      </c>
      <c r="B6" s="11" t="s">
        <v>32</v>
      </c>
      <c r="C6" s="11" t="s">
        <v>33</v>
      </c>
      <c r="D6" s="11" t="s">
        <v>34</v>
      </c>
      <c r="E6" s="11" t="s">
        <v>35</v>
      </c>
      <c r="F6" s="11" t="s">
        <v>36</v>
      </c>
      <c r="G6" s="11" t="s">
        <v>37</v>
      </c>
      <c r="H6" s="11" t="s">
        <v>38</v>
      </c>
      <c r="I6" s="11" t="s">
        <v>39</v>
      </c>
      <c r="J6" s="11" t="s">
        <v>40</v>
      </c>
      <c r="K6" s="11" t="s">
        <v>41</v>
      </c>
      <c r="L6" s="11" t="s">
        <v>42</v>
      </c>
      <c r="M6" s="11" t="s">
        <v>43</v>
      </c>
      <c r="N6" s="11" t="s">
        <v>44</v>
      </c>
      <c r="O6" s="11" t="s">
        <v>45</v>
      </c>
      <c r="P6" s="11" t="s">
        <v>46</v>
      </c>
    </row>
    <row r="7" spans="1:16">
      <c r="A7" s="12" t="s">
        <v>47</v>
      </c>
      <c r="B7" s="13" t="s">
        <v>48</v>
      </c>
      <c r="C7" s="14">
        <f>C15+C23+C31+C39</f>
        <v>41899.9</v>
      </c>
      <c r="D7" s="14">
        <f>D15+D23+D31+D39</f>
        <v>41279.100000000006</v>
      </c>
      <c r="E7" s="14">
        <f>C7-D7</f>
        <v>620.79999999999563</v>
      </c>
      <c r="F7" s="15">
        <f>IFERROR((C7-D7)/ABS(D7),0)</f>
        <v>1.5039087577006173E-2</v>
      </c>
      <c r="G7" s="14">
        <f>G15+G23+G31+G39</f>
        <v>39691.300000000003</v>
      </c>
      <c r="H7" s="14">
        <f>C7-G7</f>
        <v>2208.5999999999985</v>
      </c>
      <c r="I7" s="15">
        <f>IFERROR((C7-G7)/ABS(G7),0)</f>
        <v>5.5644435934323097E-2</v>
      </c>
      <c r="J7" s="14">
        <f>J15+J23+J31+J39</f>
        <v>361486.69999999995</v>
      </c>
      <c r="K7" s="14">
        <f>K15+K23+K31+K39</f>
        <v>368732.6</v>
      </c>
      <c r="L7" s="14">
        <f>J7-K7</f>
        <v>-7245.9000000000233</v>
      </c>
      <c r="M7" s="15">
        <f>IFERROR((J7-K7)/ABS(K7),0)</f>
        <v>-1.9650825557599255E-2</v>
      </c>
      <c r="N7" s="14">
        <f>N15+N23+N31+N39</f>
        <v>354550.10000000003</v>
      </c>
      <c r="O7" s="14">
        <f>J7-N7</f>
        <v>6936.5999999999185</v>
      </c>
      <c r="P7" s="15">
        <f>IFERROR((J7-N7)/ABS(N7),0)</f>
        <v>1.9564512885484782E-2</v>
      </c>
    </row>
    <row r="8" spans="1:16">
      <c r="A8" s="16" t="s">
        <v>47</v>
      </c>
      <c r="B8" s="17" t="s">
        <v>49</v>
      </c>
      <c r="C8" s="18">
        <f>C16+C24+C32+C40</f>
        <v>11053.199999999999</v>
      </c>
      <c r="D8" s="18">
        <f>D16+D24+D32+D40</f>
        <v>11003.5</v>
      </c>
      <c r="E8" s="18">
        <f>C8-D8</f>
        <v>49.699999999998909</v>
      </c>
      <c r="F8" s="19">
        <f>IFERROR((C8-D8)/ABS(D8),0)</f>
        <v>4.5167446721496715E-3</v>
      </c>
      <c r="G8" s="18">
        <f>G16+G24+G32+G40</f>
        <v>10487</v>
      </c>
      <c r="H8" s="18">
        <f>C8-G8</f>
        <v>566.19999999999891</v>
      </c>
      <c r="I8" s="19">
        <f>IFERROR((C8-G8)/ABS(G8),0)</f>
        <v>5.3990655096786397E-2</v>
      </c>
      <c r="J8" s="18">
        <f>J16+J24+J32+J40</f>
        <v>94968</v>
      </c>
      <c r="K8" s="18">
        <f>K16+K24+K32+K40</f>
        <v>98346.099999999991</v>
      </c>
      <c r="L8" s="18">
        <f>J8-K8</f>
        <v>-3378.0999999999913</v>
      </c>
      <c r="M8" s="19">
        <f>IFERROR((J8-K8)/ABS(K8),0)</f>
        <v>-3.4349099760946203E-2</v>
      </c>
      <c r="N8" s="18">
        <f>N16+N24+N32+N40</f>
        <v>93903.9</v>
      </c>
      <c r="O8" s="18">
        <f>J8-N8</f>
        <v>1064.1000000000058</v>
      </c>
      <c r="P8" s="19">
        <f>IFERROR((J8-N8)/ABS(N8),0)</f>
        <v>1.1331797720861497E-2</v>
      </c>
    </row>
    <row r="9" spans="1:16">
      <c r="A9" s="16" t="s">
        <v>47</v>
      </c>
      <c r="B9" s="17" t="s">
        <v>50</v>
      </c>
      <c r="C9" s="19">
        <f>IFERROR(C8/C7,0)</f>
        <v>0.26380015226766645</v>
      </c>
      <c r="D9" s="19">
        <f>IFERROR(D8/D7,0)</f>
        <v>0.26656346674224968</v>
      </c>
      <c r="E9" s="20">
        <f>(C9-D9)*100</f>
        <v>-0.27633144745832228</v>
      </c>
      <c r="F9" s="16"/>
      <c r="G9" s="19">
        <f>IFERROR(G8/G7,0)</f>
        <v>0.26421407210144288</v>
      </c>
      <c r="H9" s="20">
        <f>(C9-G9)*100</f>
        <v>-4.1391983377642161E-2</v>
      </c>
      <c r="I9" s="16"/>
      <c r="J9" s="19">
        <f>IFERROR(J8/J7,0)</f>
        <v>0.26271505977951615</v>
      </c>
      <c r="K9" s="19">
        <f>IFERROR(K8/K7,0)</f>
        <v>0.26671387341395908</v>
      </c>
      <c r="L9" s="20">
        <f>(J9-K9)*100</f>
        <v>-0.39988136344429326</v>
      </c>
      <c r="M9" s="16"/>
      <c r="N9" s="19">
        <f>IFERROR(N8/N7,0)</f>
        <v>0.26485368358378686</v>
      </c>
      <c r="O9" s="20">
        <f>(J9-N9)*100</f>
        <v>-0.21386238042707117</v>
      </c>
      <c r="P9" s="16"/>
    </row>
    <row r="10" spans="1:16">
      <c r="A10" s="16" t="s">
        <v>47</v>
      </c>
      <c r="B10" s="17" t="s">
        <v>51</v>
      </c>
      <c r="C10" s="18">
        <f>C18+C26+C34+C42</f>
        <v>8948.2000000000007</v>
      </c>
      <c r="D10" s="18">
        <f>D18+D26+D34+D42</f>
        <v>7938.2000000000007</v>
      </c>
      <c r="E10" s="18">
        <f>C10-D10</f>
        <v>1010</v>
      </c>
      <c r="F10" s="19">
        <f>IFERROR((C10-D10)/ABS(D10),0)</f>
        <v>0.12723287395127358</v>
      </c>
      <c r="G10" s="18">
        <f>G18+G26+G34+G42</f>
        <v>7669.9</v>
      </c>
      <c r="H10" s="18">
        <f>C10-G10</f>
        <v>1278.3000000000011</v>
      </c>
      <c r="I10" s="19">
        <f>IFERROR((C10-G10)/ABS(G10),0)</f>
        <v>0.16666449367006103</v>
      </c>
      <c r="J10" s="18">
        <f>J18+J26+J34+J42</f>
        <v>72190.3</v>
      </c>
      <c r="K10" s="18">
        <f>K18+K26+K34+K42</f>
        <v>71100.400000000009</v>
      </c>
      <c r="L10" s="18">
        <f>J10-K10</f>
        <v>1089.8999999999942</v>
      </c>
      <c r="M10" s="19">
        <f>IFERROR((J10-K10)/ABS(K10),0)</f>
        <v>1.5329027684794938E-2</v>
      </c>
      <c r="N10" s="18">
        <f>N18+N26+N34+N42</f>
        <v>68696.099999999991</v>
      </c>
      <c r="O10" s="18">
        <f>J10-N10</f>
        <v>3494.2000000000116</v>
      </c>
      <c r="P10" s="19">
        <f>IFERROR((J10-N10)/ABS(N10),0)</f>
        <v>5.0864605123143995E-2</v>
      </c>
    </row>
    <row r="11" spans="1:16">
      <c r="A11" s="16" t="s">
        <v>47</v>
      </c>
      <c r="B11" s="17" t="s">
        <v>52</v>
      </c>
      <c r="C11" s="19">
        <f>IFERROR(C10/C7,0)</f>
        <v>0.21356136888154864</v>
      </c>
      <c r="D11" s="19">
        <f>IFERROR(D10/D7,0)</f>
        <v>0.19230554929734417</v>
      </c>
      <c r="E11" s="20">
        <f>(C11-D11)*100</f>
        <v>2.1255819584204474</v>
      </c>
      <c r="F11" s="16"/>
      <c r="G11" s="19">
        <f>IFERROR(G10/G7,0)</f>
        <v>0.19323882059796477</v>
      </c>
      <c r="H11" s="20">
        <f>(C11-G11)*100</f>
        <v>2.0322548283583872</v>
      </c>
      <c r="I11" s="16"/>
      <c r="J11" s="19">
        <f>IFERROR(J10/J7,0)</f>
        <v>0.19970388952069332</v>
      </c>
      <c r="K11" s="19">
        <f>IFERROR(K10/K7,0)</f>
        <v>0.19282374273389447</v>
      </c>
      <c r="L11" s="20">
        <f>(J11-K11)*100</f>
        <v>0.68801467867988519</v>
      </c>
      <c r="M11" s="16"/>
      <c r="N11" s="19">
        <f>IFERROR(N10/N7,0)</f>
        <v>0.19375569207285512</v>
      </c>
      <c r="O11" s="20">
        <f>(J11-N11)*100</f>
        <v>0.59481974478381994</v>
      </c>
      <c r="P11" s="16"/>
    </row>
    <row r="12" spans="1:16">
      <c r="A12" s="16" t="s">
        <v>47</v>
      </c>
      <c r="B12" s="21" t="s">
        <v>53</v>
      </c>
      <c r="C12" s="18">
        <f>C8-C10</f>
        <v>2104.9999999999982</v>
      </c>
      <c r="D12" s="18">
        <f>D8-D10</f>
        <v>3065.2999999999993</v>
      </c>
      <c r="E12" s="18">
        <f>C12-D12</f>
        <v>-960.30000000000109</v>
      </c>
      <c r="F12" s="19">
        <f>IFERROR((C12-D12)/ABS(D12),0)</f>
        <v>-0.31328091867027741</v>
      </c>
      <c r="G12" s="18">
        <f>G8-G10</f>
        <v>2817.1000000000004</v>
      </c>
      <c r="H12" s="18">
        <f>C12-G12</f>
        <v>-712.10000000000218</v>
      </c>
      <c r="I12" s="19">
        <f>IFERROR((C12-G12)/ABS(G12),0)</f>
        <v>-0.25277767917361899</v>
      </c>
      <c r="J12" s="18">
        <f>J8-J10</f>
        <v>22777.699999999997</v>
      </c>
      <c r="K12" s="18">
        <f>K8-K10</f>
        <v>27245.699999999983</v>
      </c>
      <c r="L12" s="18">
        <f>J12-K12</f>
        <v>-4467.9999999999854</v>
      </c>
      <c r="M12" s="19">
        <f>IFERROR((J12-K12)/ABS(K12),0)</f>
        <v>-0.16398917994399073</v>
      </c>
      <c r="N12" s="18">
        <f>N8-N10</f>
        <v>25207.800000000003</v>
      </c>
      <c r="O12" s="18">
        <f>J12-N12</f>
        <v>-2430.1000000000058</v>
      </c>
      <c r="P12" s="19">
        <f>IFERROR((J12-N12)/ABS(N12),0)</f>
        <v>-9.6402700751354958E-2</v>
      </c>
    </row>
    <row r="13" spans="1:16">
      <c r="A13" s="16" t="s">
        <v>47</v>
      </c>
      <c r="B13" s="17" t="s">
        <v>54</v>
      </c>
      <c r="C13" s="19">
        <f>IFERROR(C12/C7,0)</f>
        <v>5.023878338611782E-2</v>
      </c>
      <c r="D13" s="19">
        <f>IFERROR(D12/D7,0)</f>
        <v>7.4257917444905508E-2</v>
      </c>
      <c r="E13" s="20">
        <f>(C13-D13)*100</f>
        <v>-2.4019134058787688</v>
      </c>
      <c r="F13" s="16"/>
      <c r="G13" s="19">
        <f>IFERROR(G12/G7,0)</f>
        <v>7.0975251503478096E-2</v>
      </c>
      <c r="H13" s="20">
        <f>(C13-G13)*100</f>
        <v>-2.0736468117360274</v>
      </c>
      <c r="I13" s="16"/>
      <c r="J13" s="19">
        <f>IFERROR(J12/J7,0)</f>
        <v>6.3011170258822802E-2</v>
      </c>
      <c r="K13" s="19">
        <f>IFERROR(K12/K7,0)</f>
        <v>7.3890130680064586E-2</v>
      </c>
      <c r="L13" s="20">
        <f>(J13-K13)*100</f>
        <v>-1.0878960421241786</v>
      </c>
      <c r="M13" s="16"/>
      <c r="N13" s="19">
        <f>IFERROR(N12/N7,0)</f>
        <v>7.1097991510931741E-2</v>
      </c>
      <c r="O13" s="20">
        <f>(J13-N13)*100</f>
        <v>-0.80868212521089389</v>
      </c>
      <c r="P13" s="16"/>
    </row>
    <row r="14" spans="1:16">
      <c r="A14" s="16" t="s">
        <v>47</v>
      </c>
      <c r="B14" s="17" t="s">
        <v>55</v>
      </c>
      <c r="C14" s="18">
        <f>IFERROR(C7/21,0)</f>
        <v>1995.2333333333333</v>
      </c>
      <c r="D14" s="18">
        <f>IFERROR(D7/21,0)</f>
        <v>1965.6714285714288</v>
      </c>
      <c r="E14" s="18">
        <f>C14-D14</f>
        <v>29.561904761904543</v>
      </c>
      <c r="F14" s="19">
        <f>IFERROR((C14-D14)/ABS(D14),0)</f>
        <v>1.5039087577006168E-2</v>
      </c>
      <c r="G14" s="18">
        <f>IFERROR(G7/21,0)</f>
        <v>1890.061904761905</v>
      </c>
      <c r="H14" s="18">
        <f>C14-G14</f>
        <v>105.17142857142835</v>
      </c>
      <c r="I14" s="19">
        <f>IFERROR((C14-G14)/ABS(G14),0)</f>
        <v>5.5644435934323014E-2</v>
      </c>
      <c r="J14" s="18">
        <f>IFERROR(J7/191,0)</f>
        <v>1892.6005235602092</v>
      </c>
      <c r="K14" s="18">
        <f>IFERROR(K7/191,0)</f>
        <v>1930.5371727748691</v>
      </c>
      <c r="L14" s="18">
        <f>J14-K14</f>
        <v>-37.936649214659838</v>
      </c>
      <c r="M14" s="19">
        <f>IFERROR((J14-K14)/ABS(K14),0)</f>
        <v>-1.9650825557599273E-2</v>
      </c>
      <c r="N14" s="18">
        <f>IFERROR(N7/191,0)</f>
        <v>1856.2832460732986</v>
      </c>
      <c r="O14" s="18">
        <f>J14-N14</f>
        <v>36.317277486910598</v>
      </c>
      <c r="P14" s="19">
        <f>IFERROR((J14-N14)/ABS(N14),0)</f>
        <v>1.9564512885484796E-2</v>
      </c>
    </row>
    <row r="15" spans="1:16">
      <c r="A15" s="22" t="s">
        <v>56</v>
      </c>
      <c r="B15" s="23" t="s">
        <v>48</v>
      </c>
      <c r="C15" s="24">
        <v>16662.7</v>
      </c>
      <c r="D15" s="24">
        <v>14771.7</v>
      </c>
      <c r="E15" s="24">
        <f>C15-D15</f>
        <v>1891</v>
      </c>
      <c r="F15" s="25">
        <f>IFERROR((C15-D15)/ABS(D15),0)</f>
        <v>0.12801505581618905</v>
      </c>
      <c r="G15" s="24">
        <v>14203.5</v>
      </c>
      <c r="H15" s="24">
        <f>C15-G15</f>
        <v>2459.2000000000007</v>
      </c>
      <c r="I15" s="25">
        <f>IFERROR((C15-G15)/ABS(G15),0)</f>
        <v>0.1731404231351428</v>
      </c>
      <c r="J15" s="24">
        <v>136734.70000000001</v>
      </c>
      <c r="K15" s="24">
        <v>132641</v>
      </c>
      <c r="L15" s="24">
        <f>J15-K15</f>
        <v>4093.7000000000116</v>
      </c>
      <c r="M15" s="25">
        <f>IFERROR((J15-K15)/ABS(K15),0)</f>
        <v>3.0863006159483203E-2</v>
      </c>
      <c r="N15" s="24">
        <v>127539.3</v>
      </c>
      <c r="O15" s="24">
        <f>J15-N15</f>
        <v>9195.4000000000087</v>
      </c>
      <c r="P15" s="25">
        <f>IFERROR((J15-N15)/ABS(N15),0)</f>
        <v>7.2098560992572558E-2</v>
      </c>
    </row>
    <row r="16" spans="1:16">
      <c r="A16" t="s">
        <v>56</v>
      </c>
      <c r="B16" s="26" t="s">
        <v>49</v>
      </c>
      <c r="C16" s="27">
        <v>4052.9</v>
      </c>
      <c r="D16" s="27">
        <v>3619.1</v>
      </c>
      <c r="E16" s="27">
        <f>C16-D16</f>
        <v>433.80000000000018</v>
      </c>
      <c r="F16" s="28">
        <f>IFERROR((C16-D16)/ABS(D16),0)</f>
        <v>0.1198640545992098</v>
      </c>
      <c r="G16" s="27">
        <v>3463.9</v>
      </c>
      <c r="H16" s="27">
        <f>C16-G16</f>
        <v>589</v>
      </c>
      <c r="I16" s="28">
        <f>IFERROR((C16-G16)/ABS(G16),0)</f>
        <v>0.17003955079534627</v>
      </c>
      <c r="J16" s="27">
        <v>33356</v>
      </c>
      <c r="K16" s="27">
        <v>32497</v>
      </c>
      <c r="L16" s="27">
        <f>J16-K16</f>
        <v>859</v>
      </c>
      <c r="M16" s="28">
        <f>IFERROR((J16-K16)/ABS(K16),0)</f>
        <v>2.6433209219312553E-2</v>
      </c>
      <c r="N16" s="27">
        <v>30987.5</v>
      </c>
      <c r="O16" s="27">
        <f>J16-N16</f>
        <v>2368.5</v>
      </c>
      <c r="P16" s="28">
        <f>IFERROR((J16-N16)/ABS(N16),0)</f>
        <v>7.6434045986284796E-2</v>
      </c>
    </row>
    <row r="17" spans="1:16">
      <c r="A17" t="s">
        <v>56</v>
      </c>
      <c r="B17" s="26" t="s">
        <v>50</v>
      </c>
      <c r="C17" s="28">
        <f>IFERROR(C16/C15,0)</f>
        <v>0.24323188918962713</v>
      </c>
      <c r="D17" s="28">
        <f>IFERROR(D16/D15,0)</f>
        <v>0.24500226785001047</v>
      </c>
      <c r="E17" s="29">
        <f>(C17-D17)*100</f>
        <v>-0.17703786603833482</v>
      </c>
      <c r="G17" s="28">
        <f>IFERROR(G16/G15,0)</f>
        <v>0.24387650931108532</v>
      </c>
      <c r="H17" s="29">
        <f>(C17-G17)*100</f>
        <v>-6.4462012145818925E-2</v>
      </c>
      <c r="J17" s="28">
        <f>IFERROR(J16/J15,0)</f>
        <v>0.24394685474864827</v>
      </c>
      <c r="K17" s="28">
        <f>IFERROR(K16/K15,0)</f>
        <v>0.24499966073838406</v>
      </c>
      <c r="L17" s="29">
        <f>(J17-K17)*100</f>
        <v>-0.10528059897357833</v>
      </c>
      <c r="N17" s="28">
        <f>IFERROR(N16/N15,0)</f>
        <v>0.24296432550594207</v>
      </c>
      <c r="O17" s="29">
        <f>(J17-N17)*100</f>
        <v>9.8252924270619824E-2</v>
      </c>
    </row>
    <row r="18" spans="1:16">
      <c r="A18" t="s">
        <v>56</v>
      </c>
      <c r="B18" s="26" t="s">
        <v>51</v>
      </c>
      <c r="C18" s="27">
        <v>3439.4</v>
      </c>
      <c r="D18" s="27">
        <v>2803.3</v>
      </c>
      <c r="E18" s="27">
        <f>C18-D18</f>
        <v>636.09999999999991</v>
      </c>
      <c r="F18" s="28">
        <f>IFERROR((C18-D18)/ABS(D18),0)</f>
        <v>0.22691114044162233</v>
      </c>
      <c r="G18" s="27">
        <v>2708.5</v>
      </c>
      <c r="H18" s="27">
        <f>C18-G18</f>
        <v>730.90000000000009</v>
      </c>
      <c r="I18" s="28">
        <f>IFERROR((C18-G18)/ABS(G18),0)</f>
        <v>0.26985416282074953</v>
      </c>
      <c r="J18" s="27">
        <v>26777.1</v>
      </c>
      <c r="K18" s="27">
        <v>25186.400000000001</v>
      </c>
      <c r="L18" s="27">
        <f>J18-K18</f>
        <v>1590.6999999999971</v>
      </c>
      <c r="M18" s="28">
        <f>IFERROR((J18-K18)/ABS(K18),0)</f>
        <v>6.3157100657497578E-2</v>
      </c>
      <c r="N18" s="27">
        <v>24334.5</v>
      </c>
      <c r="O18" s="27">
        <f>J18-N18</f>
        <v>2442.5999999999985</v>
      </c>
      <c r="P18" s="28">
        <f>IFERROR((J18-N18)/ABS(N18),0)</f>
        <v>0.10037600936941374</v>
      </c>
    </row>
    <row r="19" spans="1:16">
      <c r="A19" t="s">
        <v>56</v>
      </c>
      <c r="B19" s="26" t="s">
        <v>52</v>
      </c>
      <c r="C19" s="28">
        <f>IFERROR(C18/C15,0)</f>
        <v>0.20641312632406511</v>
      </c>
      <c r="D19" s="28">
        <f>IFERROR(D18/D15,0)</f>
        <v>0.18977504281836213</v>
      </c>
      <c r="E19" s="29">
        <f>(C19-D19)*100</f>
        <v>1.6638083505702976</v>
      </c>
      <c r="G19" s="28">
        <f>IFERROR(G18/G15,0)</f>
        <v>0.19069243496321328</v>
      </c>
      <c r="H19" s="29">
        <f>(C19-G19)*100</f>
        <v>1.5720691360851831</v>
      </c>
      <c r="J19" s="28">
        <f>IFERROR(J18/J15,0)</f>
        <v>0.19583251361943965</v>
      </c>
      <c r="K19" s="28">
        <f>IFERROR(K18/K15,0)</f>
        <v>0.18988397252734826</v>
      </c>
      <c r="L19" s="29">
        <f>(J19-K19)*100</f>
        <v>0.59485410920913917</v>
      </c>
      <c r="N19" s="28">
        <f>IFERROR(N18/N15,0)</f>
        <v>0.19080001223152393</v>
      </c>
      <c r="O19" s="29">
        <f>(J19-N19)*100</f>
        <v>0.50325013879157221</v>
      </c>
    </row>
    <row r="20" spans="1:16">
      <c r="A20" t="s">
        <v>56</v>
      </c>
      <c r="B20" s="5" t="s">
        <v>53</v>
      </c>
      <c r="C20" s="27">
        <f>C16-C18</f>
        <v>613.5</v>
      </c>
      <c r="D20" s="27">
        <f>D16-D18</f>
        <v>815.79999999999973</v>
      </c>
      <c r="E20" s="27">
        <f>C20-D20</f>
        <v>-202.29999999999973</v>
      </c>
      <c r="F20" s="28">
        <f>IFERROR((C20-D20)/ABS(D20),0)</f>
        <v>-0.24797744545231648</v>
      </c>
      <c r="G20" s="27">
        <f>G16-G18</f>
        <v>755.40000000000009</v>
      </c>
      <c r="H20" s="27">
        <f>C20-G20</f>
        <v>-141.90000000000009</v>
      </c>
      <c r="I20" s="28">
        <f>IFERROR((C20-G20)/ABS(G20),0)</f>
        <v>-0.18784749801429715</v>
      </c>
      <c r="J20" s="27">
        <f>J16-J18</f>
        <v>6578.9000000000015</v>
      </c>
      <c r="K20" s="27">
        <f>K16-K18</f>
        <v>7310.5999999999985</v>
      </c>
      <c r="L20" s="27">
        <f>J20-K20</f>
        <v>-731.69999999999709</v>
      </c>
      <c r="M20" s="28">
        <f>IFERROR((J20-K20)/ABS(K20),0)</f>
        <v>-0.10008754411402583</v>
      </c>
      <c r="N20" s="27">
        <f>N16-N18</f>
        <v>6653</v>
      </c>
      <c r="O20" s="27">
        <f>J20-N20</f>
        <v>-74.099999999998545</v>
      </c>
      <c r="P20" s="28">
        <f>IFERROR((J20-N20)/ABS(N20),0)</f>
        <v>-1.1137832556741101E-2</v>
      </c>
    </row>
    <row r="21" spans="1:16">
      <c r="A21" t="s">
        <v>56</v>
      </c>
      <c r="B21" s="26" t="s">
        <v>54</v>
      </c>
      <c r="C21" s="28">
        <f>IFERROR(C20/C15,0)</f>
        <v>3.6818762865562002E-2</v>
      </c>
      <c r="D21" s="28">
        <f>IFERROR(D20/D15,0)</f>
        <v>5.5227225031648335E-2</v>
      </c>
      <c r="E21" s="29">
        <f>(C21-D21)*100</f>
        <v>-1.8408462166086332</v>
      </c>
      <c r="G21" s="28">
        <f>IFERROR(G20/G15,0)</f>
        <v>5.3184074347872007E-2</v>
      </c>
      <c r="H21" s="29">
        <f>(C21-G21)*100</f>
        <v>-1.6365311482310005</v>
      </c>
      <c r="J21" s="28">
        <f>IFERROR(J20/J15,0)</f>
        <v>4.8114341129208614E-2</v>
      </c>
      <c r="K21" s="28">
        <f>IFERROR(K20/K15,0)</f>
        <v>5.5115688211035789E-2</v>
      </c>
      <c r="L21" s="29">
        <f>(J21-K21)*100</f>
        <v>-0.7001347081827175</v>
      </c>
      <c r="N21" s="28">
        <f>IFERROR(N20/N15,0)</f>
        <v>5.2164313274418159E-2</v>
      </c>
      <c r="O21" s="29">
        <f>(J21-N21)*100</f>
        <v>-0.4049972145209545</v>
      </c>
    </row>
    <row r="22" spans="1:16">
      <c r="A22" t="s">
        <v>56</v>
      </c>
      <c r="B22" s="26" t="s">
        <v>55</v>
      </c>
      <c r="C22" s="27">
        <f>IFERROR(C15/21,0)</f>
        <v>793.46190476190475</v>
      </c>
      <c r="D22" s="27">
        <f>IFERROR(D15/21,0)</f>
        <v>703.41428571428571</v>
      </c>
      <c r="E22" s="27">
        <f>C22-D22</f>
        <v>90.047619047619037</v>
      </c>
      <c r="F22" s="28">
        <f>IFERROR((C22-D22)/ABS(D22),0)</f>
        <v>0.12801505581618905</v>
      </c>
      <c r="G22" s="27">
        <f>IFERROR(G15/21,0)</f>
        <v>676.35714285714289</v>
      </c>
      <c r="H22" s="27">
        <f>C22-G22</f>
        <v>117.10476190476186</v>
      </c>
      <c r="I22" s="28">
        <f>IFERROR((C22-G22)/ABS(G22),0)</f>
        <v>0.17314042313514266</v>
      </c>
      <c r="J22" s="27">
        <f>IFERROR(J15/191,0)</f>
        <v>715.88848167539277</v>
      </c>
      <c r="K22" s="27">
        <f>IFERROR(K15/191,0)</f>
        <v>694.45549738219893</v>
      </c>
      <c r="L22" s="27">
        <f>J22-K22</f>
        <v>21.43298429319384</v>
      </c>
      <c r="M22" s="28">
        <f>IFERROR((J22-K22)/ABS(K22),0)</f>
        <v>3.0863006159483293E-2</v>
      </c>
      <c r="N22" s="27">
        <f>IFERROR(N15/191,0)</f>
        <v>667.74502617801045</v>
      </c>
      <c r="O22" s="27">
        <f>J22-N22</f>
        <v>48.14345549738232</v>
      </c>
      <c r="P22" s="28">
        <f>IFERROR((J22-N22)/ABS(N22),0)</f>
        <v>7.2098560992572669E-2</v>
      </c>
    </row>
    <row r="23" spans="1:16">
      <c r="A23" s="22" t="s">
        <v>57</v>
      </c>
      <c r="B23" s="23" t="s">
        <v>48</v>
      </c>
      <c r="C23" s="24">
        <v>10172.1</v>
      </c>
      <c r="D23" s="24">
        <v>10188.700000000001</v>
      </c>
      <c r="E23" s="24">
        <f>C23-D23</f>
        <v>-16.600000000000364</v>
      </c>
      <c r="F23" s="25">
        <f>IFERROR((C23-D23)/ABS(D23),0)</f>
        <v>-1.6292559404046014E-3</v>
      </c>
      <c r="G23" s="24">
        <v>9796.7999999999993</v>
      </c>
      <c r="H23" s="24">
        <f>C23-G23</f>
        <v>375.30000000000109</v>
      </c>
      <c r="I23" s="25">
        <f>IFERROR((C23-G23)/ABS(G23),0)</f>
        <v>3.8308427241548378E-2</v>
      </c>
      <c r="J23" s="24">
        <v>88124.800000000003</v>
      </c>
      <c r="K23" s="24">
        <v>91549.2</v>
      </c>
      <c r="L23" s="24">
        <f>J23-K23</f>
        <v>-3424.3999999999942</v>
      </c>
      <c r="M23" s="25">
        <f>IFERROR((J23-K23)/ABS(K23),0)</f>
        <v>-3.7405023746794011E-2</v>
      </c>
      <c r="N23" s="24">
        <v>88027.9</v>
      </c>
      <c r="O23" s="24">
        <f>J23-N23</f>
        <v>96.900000000008731</v>
      </c>
      <c r="P23" s="25">
        <f>IFERROR((J23-N23)/ABS(N23),0)</f>
        <v>1.1007873640062837E-3</v>
      </c>
    </row>
    <row r="24" spans="1:16">
      <c r="A24" t="s">
        <v>57</v>
      </c>
      <c r="B24" s="26" t="s">
        <v>49</v>
      </c>
      <c r="C24" s="27">
        <v>3150.9</v>
      </c>
      <c r="D24" s="27">
        <v>2893.6</v>
      </c>
      <c r="E24" s="27">
        <f>C24-D24</f>
        <v>257.30000000000018</v>
      </c>
      <c r="F24" s="28">
        <f>IFERROR((C24-D24)/ABS(D24),0)</f>
        <v>8.8920376002211837E-2</v>
      </c>
      <c r="G24" s="27">
        <v>2739.5</v>
      </c>
      <c r="H24" s="27">
        <f>C24-G24</f>
        <v>411.40000000000009</v>
      </c>
      <c r="I24" s="28">
        <f>IFERROR((C24-G24)/ABS(G24),0)</f>
        <v>0.15017338930461765</v>
      </c>
      <c r="J24" s="27">
        <v>25320.5</v>
      </c>
      <c r="K24" s="27">
        <v>26000</v>
      </c>
      <c r="L24" s="27">
        <f>J24-K24</f>
        <v>-679.5</v>
      </c>
      <c r="M24" s="28">
        <f>IFERROR((J24-K24)/ABS(K24),0)</f>
        <v>-2.6134615384615385E-2</v>
      </c>
      <c r="N24" s="27">
        <v>24787.200000000001</v>
      </c>
      <c r="O24" s="27">
        <f>J24-N24</f>
        <v>533.29999999999927</v>
      </c>
      <c r="P24" s="28">
        <f>IFERROR((J24-N24)/ABS(N24),0)</f>
        <v>2.1515136844823105E-2</v>
      </c>
    </row>
    <row r="25" spans="1:16">
      <c r="A25" t="s">
        <v>57</v>
      </c>
      <c r="B25" s="26" t="s">
        <v>50</v>
      </c>
      <c r="C25" s="28">
        <f>IFERROR(C24/C23,0)</f>
        <v>0.30975904680449462</v>
      </c>
      <c r="D25" s="28">
        <f>IFERROR(D24/D23,0)</f>
        <v>0.28400090296112357</v>
      </c>
      <c r="E25" s="29">
        <f>(C25-D25)*100</f>
        <v>2.5758143843371051</v>
      </c>
      <c r="G25" s="28">
        <f>IFERROR(G24/G23,0)</f>
        <v>0.27963212477543692</v>
      </c>
      <c r="H25" s="29">
        <f>(C25-G25)*100</f>
        <v>3.0126922029057699</v>
      </c>
      <c r="J25" s="28">
        <f>IFERROR(J24/J23,0)</f>
        <v>0.28732547478121934</v>
      </c>
      <c r="K25" s="28">
        <f>IFERROR(K24/K23,0)</f>
        <v>0.28400029710800312</v>
      </c>
      <c r="L25" s="29">
        <f>(J25-K25)*100</f>
        <v>0.33251776732162175</v>
      </c>
      <c r="N25" s="28">
        <f>IFERROR(N24/N23,0)</f>
        <v>0.28158345251903094</v>
      </c>
      <c r="O25" s="29">
        <f>(J25-N25)*100</f>
        <v>0.57420222621883954</v>
      </c>
    </row>
    <row r="26" spans="1:16">
      <c r="A26" t="s">
        <v>57</v>
      </c>
      <c r="B26" s="26" t="s">
        <v>51</v>
      </c>
      <c r="C26" s="27">
        <v>1975.6</v>
      </c>
      <c r="D26" s="27">
        <v>1957.4</v>
      </c>
      <c r="E26" s="27">
        <f>C26-D26</f>
        <v>18.199999999999818</v>
      </c>
      <c r="F26" s="28">
        <f>IFERROR((C26-D26)/ABS(D26),0)</f>
        <v>9.2980484315928359E-3</v>
      </c>
      <c r="G26" s="27">
        <v>1891.3</v>
      </c>
      <c r="H26" s="27">
        <f>C26-G26</f>
        <v>84.299999999999955</v>
      </c>
      <c r="I26" s="28">
        <f>IFERROR((C26-G26)/ABS(G26),0)</f>
        <v>4.4572516258658046E-2</v>
      </c>
      <c r="J26" s="27">
        <v>17561</v>
      </c>
      <c r="K26" s="27">
        <v>17663.7</v>
      </c>
      <c r="L26" s="27">
        <f>J26-K26</f>
        <v>-102.70000000000073</v>
      </c>
      <c r="M26" s="28">
        <f>IFERROR((J26-K26)/ABS(K26),0)</f>
        <v>-5.8141838912572517E-3</v>
      </c>
      <c r="N26" s="27">
        <v>17066.400000000001</v>
      </c>
      <c r="O26" s="27">
        <f>J26-N26</f>
        <v>494.59999999999854</v>
      </c>
      <c r="P26" s="28">
        <f>IFERROR((J26-N26)/ABS(N26),0)</f>
        <v>2.8980921576899552E-2</v>
      </c>
    </row>
    <row r="27" spans="1:16">
      <c r="A27" t="s">
        <v>57</v>
      </c>
      <c r="B27" s="26" t="s">
        <v>52</v>
      </c>
      <c r="C27" s="28">
        <f>IFERROR(C26/C23,0)</f>
        <v>0.19421751654034072</v>
      </c>
      <c r="D27" s="28">
        <f>IFERROR(D26/D23,0)</f>
        <v>0.19211479384023478</v>
      </c>
      <c r="E27" s="29">
        <f>(C27-D27)*100</f>
        <v>0.21027227001059468</v>
      </c>
      <c r="G27" s="28">
        <f>IFERROR(G26/G23,0)</f>
        <v>0.19305283357831129</v>
      </c>
      <c r="H27" s="29">
        <f>(C27-G27)*100</f>
        <v>0.11646829620294286</v>
      </c>
      <c r="J27" s="28">
        <f>IFERROR(J26/J23,0)</f>
        <v>0.19927421111877699</v>
      </c>
      <c r="K27" s="28">
        <f>IFERROR(K26/K23,0)</f>
        <v>0.19294215569333212</v>
      </c>
      <c r="L27" s="29">
        <f>(J27-K27)*100</f>
        <v>0.63320554254448769</v>
      </c>
      <c r="N27" s="28">
        <f>IFERROR(N26/N23,0)</f>
        <v>0.19387489648168368</v>
      </c>
      <c r="O27" s="29">
        <f>(J27-N27)*100</f>
        <v>0.53993146370933109</v>
      </c>
    </row>
    <row r="28" spans="1:16">
      <c r="A28" t="s">
        <v>57</v>
      </c>
      <c r="B28" s="5" t="s">
        <v>53</v>
      </c>
      <c r="C28" s="27">
        <f>C24-C26</f>
        <v>1175.3000000000002</v>
      </c>
      <c r="D28" s="27">
        <f>D24-D26</f>
        <v>936.19999999999982</v>
      </c>
      <c r="E28" s="27">
        <f>C28-D28</f>
        <v>239.10000000000036</v>
      </c>
      <c r="F28" s="28">
        <f>IFERROR((C28-D28)/ABS(D28),0)</f>
        <v>0.25539414654988296</v>
      </c>
      <c r="G28" s="27">
        <f>G24-G26</f>
        <v>848.2</v>
      </c>
      <c r="H28" s="27">
        <f>C28-G28</f>
        <v>327.10000000000014</v>
      </c>
      <c r="I28" s="28">
        <f>IFERROR((C28-G28)/ABS(G28),0)</f>
        <v>0.3856401792030183</v>
      </c>
      <c r="J28" s="27">
        <f>J24-J26</f>
        <v>7759.5</v>
      </c>
      <c r="K28" s="27">
        <f>K24-K26</f>
        <v>8336.2999999999993</v>
      </c>
      <c r="L28" s="27">
        <f>J28-K28</f>
        <v>-576.79999999999927</v>
      </c>
      <c r="M28" s="28">
        <f>IFERROR((J28-K28)/ABS(K28),0)</f>
        <v>-6.9191367873037118E-2</v>
      </c>
      <c r="N28" s="27">
        <f>N24-N26</f>
        <v>7720.7999999999993</v>
      </c>
      <c r="O28" s="27">
        <f>J28-N28</f>
        <v>38.700000000000728</v>
      </c>
      <c r="P28" s="28">
        <f>IFERROR((J28-N28)/ABS(N28),0)</f>
        <v>5.0124339446690411E-3</v>
      </c>
    </row>
    <row r="29" spans="1:16">
      <c r="A29" t="s">
        <v>57</v>
      </c>
      <c r="B29" s="26" t="s">
        <v>54</v>
      </c>
      <c r="C29" s="28">
        <f>IFERROR(C28/C23,0)</f>
        <v>0.11554153026415392</v>
      </c>
      <c r="D29" s="28">
        <f>IFERROR(D28/D23,0)</f>
        <v>9.1886109120888806E-2</v>
      </c>
      <c r="E29" s="29">
        <f>(C29-D29)*100</f>
        <v>2.3655421143265118</v>
      </c>
      <c r="G29" s="28">
        <f>IFERROR(G28/G23,0)</f>
        <v>8.6579291197125596E-2</v>
      </c>
      <c r="H29" s="29">
        <f>(C29-G29)*100</f>
        <v>2.8962239067028328</v>
      </c>
      <c r="J29" s="28">
        <f>IFERROR(J28/J23,0)</f>
        <v>8.8051263662442356E-2</v>
      </c>
      <c r="K29" s="28">
        <f>IFERROR(K28/K23,0)</f>
        <v>9.1058141414671015E-2</v>
      </c>
      <c r="L29" s="29">
        <f>(J29-K29)*100</f>
        <v>-0.30068777522286594</v>
      </c>
      <c r="N29" s="28">
        <f>IFERROR(N28/N23,0)</f>
        <v>8.7708556037347243E-2</v>
      </c>
      <c r="O29" s="29">
        <f>(J29-N29)*100</f>
        <v>3.4270762509511221E-2</v>
      </c>
    </row>
    <row r="30" spans="1:16">
      <c r="A30" t="s">
        <v>57</v>
      </c>
      <c r="B30" s="26" t="s">
        <v>55</v>
      </c>
      <c r="C30" s="27">
        <f>IFERROR(C23/21,0)</f>
        <v>484.3857142857143</v>
      </c>
      <c r="D30" s="27">
        <f>IFERROR(D23/21,0)</f>
        <v>485.17619047619053</v>
      </c>
      <c r="E30" s="27">
        <f>C30-D30</f>
        <v>-0.79047619047622675</v>
      </c>
      <c r="F30" s="28">
        <f>IFERROR((C30-D30)/ABS(D30),0)</f>
        <v>-1.6292559404046405E-3</v>
      </c>
      <c r="G30" s="27">
        <f>IFERROR(G23/21,0)</f>
        <v>466.51428571428568</v>
      </c>
      <c r="H30" s="27">
        <f>C30-G30</f>
        <v>17.871428571428623</v>
      </c>
      <c r="I30" s="28">
        <f>IFERROR((C30-G30)/ABS(G30),0)</f>
        <v>3.8308427241548378E-2</v>
      </c>
      <c r="J30" s="27">
        <f>IFERROR(J23/191,0)</f>
        <v>461.38638743455499</v>
      </c>
      <c r="K30" s="27">
        <f>IFERROR(K23/191,0)</f>
        <v>479.31518324607327</v>
      </c>
      <c r="L30" s="27">
        <f>J30-K30</f>
        <v>-17.928795811518285</v>
      </c>
      <c r="M30" s="28">
        <f>IFERROR((J30-K30)/ABS(K30),0)</f>
        <v>-3.740502374679399E-2</v>
      </c>
      <c r="N30" s="27">
        <f>IFERROR(N23/191,0)</f>
        <v>460.879057591623</v>
      </c>
      <c r="O30" s="27">
        <f>J30-N30</f>
        <v>0.50732984293199479</v>
      </c>
      <c r="P30" s="28">
        <f>IFERROR((J30-N30)/ABS(N30),0)</f>
        <v>1.1007873640063095E-3</v>
      </c>
    </row>
    <row r="31" spans="1:16">
      <c r="A31" s="22" t="s">
        <v>58</v>
      </c>
      <c r="B31" s="23" t="s">
        <v>48</v>
      </c>
      <c r="C31" s="24">
        <v>9115.5</v>
      </c>
      <c r="D31" s="24">
        <v>9873.9</v>
      </c>
      <c r="E31" s="24">
        <f>C31-D31</f>
        <v>-758.39999999999964</v>
      </c>
      <c r="F31" s="25">
        <f>IFERROR((C31-D31)/ABS(D31),0)</f>
        <v>-7.6808555889769967E-2</v>
      </c>
      <c r="G31" s="24">
        <v>9494.1</v>
      </c>
      <c r="H31" s="24">
        <f>C31-G31</f>
        <v>-378.60000000000036</v>
      </c>
      <c r="I31" s="25">
        <f>IFERROR((C31-G31)/ABS(G31),0)</f>
        <v>-3.9877397541631159E-2</v>
      </c>
      <c r="J31" s="24">
        <v>81997.100000000006</v>
      </c>
      <c r="K31" s="24">
        <v>88378.3</v>
      </c>
      <c r="L31" s="24">
        <f>J31-K31</f>
        <v>-6381.1999999999971</v>
      </c>
      <c r="M31" s="25">
        <f>IFERROR((J31-K31)/ABS(K31),0)</f>
        <v>-7.2203244461592916E-2</v>
      </c>
      <c r="N31" s="24">
        <v>84979</v>
      </c>
      <c r="O31" s="24">
        <f>J31-N31</f>
        <v>-2981.8999999999942</v>
      </c>
      <c r="P31" s="25">
        <f>IFERROR((J31-N31)/ABS(N31),0)</f>
        <v>-3.5089845726591205E-2</v>
      </c>
    </row>
    <row r="32" spans="1:16">
      <c r="A32" t="s">
        <v>58</v>
      </c>
      <c r="B32" s="26" t="s">
        <v>49</v>
      </c>
      <c r="C32" s="27">
        <v>2530.5</v>
      </c>
      <c r="D32" s="27">
        <v>3021.4</v>
      </c>
      <c r="E32" s="27">
        <f>C32-D32</f>
        <v>-490.90000000000009</v>
      </c>
      <c r="F32" s="28">
        <f>IFERROR((C32-D32)/ABS(D32),0)</f>
        <v>-0.16247434963924012</v>
      </c>
      <c r="G32" s="27">
        <v>2895.8</v>
      </c>
      <c r="H32" s="27">
        <f>C32-G32</f>
        <v>-365.30000000000018</v>
      </c>
      <c r="I32" s="28">
        <f>IFERROR((C32-G32)/ABS(G32),0)</f>
        <v>-0.12614821465570833</v>
      </c>
      <c r="J32" s="27">
        <v>24026</v>
      </c>
      <c r="K32" s="27">
        <v>27043.7</v>
      </c>
      <c r="L32" s="27">
        <f>J32-K32</f>
        <v>-3017.7000000000007</v>
      </c>
      <c r="M32" s="28">
        <f>IFERROR((J32-K32)/ABS(K32),0)</f>
        <v>-0.11158606255800799</v>
      </c>
      <c r="N32" s="27">
        <v>25937.7</v>
      </c>
      <c r="O32" s="27">
        <f>J32-N32</f>
        <v>-1911.7000000000007</v>
      </c>
      <c r="P32" s="28">
        <f>IFERROR((J32-N32)/ABS(N32),0)</f>
        <v>-7.3703528069181179E-2</v>
      </c>
    </row>
    <row r="33" spans="1:16">
      <c r="A33" t="s">
        <v>58</v>
      </c>
      <c r="B33" s="26" t="s">
        <v>50</v>
      </c>
      <c r="C33" s="28">
        <f>IFERROR(C32/C31,0)</f>
        <v>0.27760408096100048</v>
      </c>
      <c r="D33" s="28">
        <f>IFERROR(D32/D31,0)</f>
        <v>0.30599864288680262</v>
      </c>
      <c r="E33" s="29">
        <f>(C33-D33)*100</f>
        <v>-2.8394561925802142</v>
      </c>
      <c r="G33" s="28">
        <f>IFERROR(G32/G31,0)</f>
        <v>0.30501048019296195</v>
      </c>
      <c r="H33" s="29">
        <f>(C33-G33)*100</f>
        <v>-2.7406399231961478</v>
      </c>
      <c r="J33" s="28">
        <f>IFERROR(J32/J31,0)</f>
        <v>0.29301036256160279</v>
      </c>
      <c r="K33" s="28">
        <f>IFERROR(K32/K31,0)</f>
        <v>0.30599932336331431</v>
      </c>
      <c r="L33" s="29">
        <f>(J33-K33)*100</f>
        <v>-1.2988960801711524</v>
      </c>
      <c r="N33" s="28">
        <f>IFERROR(N32/N31,0)</f>
        <v>0.30522482024970876</v>
      </c>
      <c r="O33" s="29">
        <f>(J33-N33)*100</f>
        <v>-1.2214457688105973</v>
      </c>
    </row>
    <row r="34" spans="1:16">
      <c r="A34" t="s">
        <v>58</v>
      </c>
      <c r="B34" s="26" t="s">
        <v>51</v>
      </c>
      <c r="C34" s="27">
        <v>2157.8000000000002</v>
      </c>
      <c r="D34" s="27">
        <v>1869.9</v>
      </c>
      <c r="E34" s="27">
        <f>C34-D34</f>
        <v>287.90000000000009</v>
      </c>
      <c r="F34" s="28">
        <f>IFERROR((C34-D34)/ABS(D34),0)</f>
        <v>0.1539654526980053</v>
      </c>
      <c r="G34" s="27">
        <v>1806.7</v>
      </c>
      <c r="H34" s="27">
        <f>C34-G34</f>
        <v>351.10000000000014</v>
      </c>
      <c r="I34" s="28">
        <f>IFERROR((C34-G34)/ABS(G34),0)</f>
        <v>0.19433220789284339</v>
      </c>
      <c r="J34" s="27">
        <v>16351.1</v>
      </c>
      <c r="K34" s="27">
        <v>16683.900000000001</v>
      </c>
      <c r="L34" s="27">
        <f>J34-K34</f>
        <v>-332.80000000000109</v>
      </c>
      <c r="M34" s="28">
        <f>IFERROR((J34-K34)/ABS(K34),0)</f>
        <v>-1.9947374414855102E-2</v>
      </c>
      <c r="N34" s="27">
        <v>16119.8</v>
      </c>
      <c r="O34" s="27">
        <f>J34-N34</f>
        <v>231.30000000000109</v>
      </c>
      <c r="P34" s="28">
        <f>IFERROR((J34-N34)/ABS(N34),0)</f>
        <v>1.4348813260710499E-2</v>
      </c>
    </row>
    <row r="35" spans="1:16">
      <c r="A35" t="s">
        <v>58</v>
      </c>
      <c r="B35" s="26" t="s">
        <v>52</v>
      </c>
      <c r="C35" s="28">
        <f>IFERROR(C34/C31,0)</f>
        <v>0.23671767867917284</v>
      </c>
      <c r="D35" s="28">
        <f>IFERROR(D34/D31,0)</f>
        <v>0.18937805730258561</v>
      </c>
      <c r="E35" s="29">
        <f>(C35-D35)*100</f>
        <v>4.7339621376587235</v>
      </c>
      <c r="G35" s="28">
        <f>IFERROR(G34/G31,0)</f>
        <v>0.19029713190297132</v>
      </c>
      <c r="H35" s="29">
        <f>(C35-G35)*100</f>
        <v>4.6420546776201528</v>
      </c>
      <c r="J35" s="28">
        <f>IFERROR(J34/J31,0)</f>
        <v>0.19941071086660381</v>
      </c>
      <c r="K35" s="28">
        <f>IFERROR(K34/K31,0)</f>
        <v>0.18877824081250716</v>
      </c>
      <c r="L35" s="29">
        <f>(J35-K35)*100</f>
        <v>1.0632470054096648</v>
      </c>
      <c r="N35" s="28">
        <f>IFERROR(N34/N31,0)</f>
        <v>0.18969157085868271</v>
      </c>
      <c r="O35" s="29">
        <f>(J35-N35)*100</f>
        <v>0.97191400079210954</v>
      </c>
    </row>
    <row r="36" spans="1:16">
      <c r="A36" t="s">
        <v>58</v>
      </c>
      <c r="B36" s="5" t="s">
        <v>53</v>
      </c>
      <c r="C36" s="27">
        <f>C32-C34</f>
        <v>372.69999999999982</v>
      </c>
      <c r="D36" s="27">
        <f>D32-D34</f>
        <v>1151.5</v>
      </c>
      <c r="E36" s="27">
        <f>C36-D36</f>
        <v>-778.80000000000018</v>
      </c>
      <c r="F36" s="28">
        <f>IFERROR((C36-D36)/ABS(D36),0)</f>
        <v>-0.67633521493703885</v>
      </c>
      <c r="G36" s="27">
        <f>G32-G34</f>
        <v>1089.1000000000001</v>
      </c>
      <c r="H36" s="27">
        <f>C36-G36</f>
        <v>-716.40000000000032</v>
      </c>
      <c r="I36" s="28">
        <f>IFERROR((C36-G36)/ABS(G36),0)</f>
        <v>-0.65779083647048042</v>
      </c>
      <c r="J36" s="27">
        <f>J32-J34</f>
        <v>7674.9</v>
      </c>
      <c r="K36" s="27">
        <f>K32-K34</f>
        <v>10359.799999999999</v>
      </c>
      <c r="L36" s="27">
        <f>J36-K36</f>
        <v>-2684.8999999999996</v>
      </c>
      <c r="M36" s="28">
        <f>IFERROR((J36-K36)/ABS(K36),0)</f>
        <v>-0.25916523485009363</v>
      </c>
      <c r="N36" s="27">
        <f>N32-N34</f>
        <v>9817.9000000000015</v>
      </c>
      <c r="O36" s="27">
        <f>J36-N36</f>
        <v>-2143.0000000000018</v>
      </c>
      <c r="P36" s="28">
        <f>IFERROR((J36-N36)/ABS(N36),0)</f>
        <v>-0.21827478381323923</v>
      </c>
    </row>
    <row r="37" spans="1:16">
      <c r="A37" t="s">
        <v>58</v>
      </c>
      <c r="B37" s="26" t="s">
        <v>54</v>
      </c>
      <c r="C37" s="28">
        <f>IFERROR(C36/C31,0)</f>
        <v>4.0886402281827633E-2</v>
      </c>
      <c r="D37" s="28">
        <f>IFERROR(D36/D31,0)</f>
        <v>0.11662058558421698</v>
      </c>
      <c r="E37" s="29">
        <f>(C37-D37)*100</f>
        <v>-7.5734183302389351</v>
      </c>
      <c r="G37" s="28">
        <f>IFERROR(G36/G31,0)</f>
        <v>0.11471334828999064</v>
      </c>
      <c r="H37" s="29">
        <f>(C37-G37)*100</f>
        <v>-7.3826946008163006</v>
      </c>
      <c r="J37" s="28">
        <f>IFERROR(J36/J31,0)</f>
        <v>9.3599651694998953E-2</v>
      </c>
      <c r="K37" s="28">
        <f>IFERROR(K36/K31,0)</f>
        <v>0.11722108255080714</v>
      </c>
      <c r="L37" s="29">
        <f>(J37-K37)*100</f>
        <v>-2.3621430855808185</v>
      </c>
      <c r="N37" s="28">
        <f>IFERROR(N36/N31,0)</f>
        <v>0.11553324939102604</v>
      </c>
      <c r="O37" s="29">
        <f>(J37-N37)*100</f>
        <v>-2.1933597696027083</v>
      </c>
    </row>
    <row r="38" spans="1:16">
      <c r="A38" t="s">
        <v>58</v>
      </c>
      <c r="B38" s="26" t="s">
        <v>55</v>
      </c>
      <c r="C38" s="27">
        <f>IFERROR(C31/21,0)</f>
        <v>434.07142857142856</v>
      </c>
      <c r="D38" s="27">
        <f>IFERROR(D31/21,0)</f>
        <v>470.18571428571425</v>
      </c>
      <c r="E38" s="27">
        <f>C38-D38</f>
        <v>-36.1142857142857</v>
      </c>
      <c r="F38" s="28">
        <f>IFERROR((C38-D38)/ABS(D38),0)</f>
        <v>-7.680855588976998E-2</v>
      </c>
      <c r="G38" s="27">
        <f>IFERROR(G31/21,0)</f>
        <v>452.1</v>
      </c>
      <c r="H38" s="27">
        <f>C38-G38</f>
        <v>-18.028571428571468</v>
      </c>
      <c r="I38" s="28">
        <f>IFERROR((C38-G38)/ABS(G38),0)</f>
        <v>-3.98773975416312E-2</v>
      </c>
      <c r="J38" s="27">
        <f>IFERROR(J31/191,0)</f>
        <v>429.3041884816754</v>
      </c>
      <c r="K38" s="27">
        <f>IFERROR(K31/191,0)</f>
        <v>462.71361256544503</v>
      </c>
      <c r="L38" s="27">
        <f>J38-K38</f>
        <v>-33.409424083769636</v>
      </c>
      <c r="M38" s="28">
        <f>IFERROR((J38-K38)/ABS(K38),0)</f>
        <v>-7.2203244461592958E-2</v>
      </c>
      <c r="N38" s="27">
        <f>IFERROR(N31/191,0)</f>
        <v>444.91623036649213</v>
      </c>
      <c r="O38" s="27">
        <f>J38-N38</f>
        <v>-15.612041884816733</v>
      </c>
      <c r="P38" s="28">
        <f>IFERROR((J38-N38)/ABS(N38),0)</f>
        <v>-3.5089845726591233E-2</v>
      </c>
    </row>
    <row r="39" spans="1:16">
      <c r="A39" s="22" t="s">
        <v>59</v>
      </c>
      <c r="B39" s="23" t="s">
        <v>48</v>
      </c>
      <c r="C39" s="24">
        <v>5949.6</v>
      </c>
      <c r="D39" s="24">
        <v>6444.8</v>
      </c>
      <c r="E39" s="24">
        <f>C39-D39</f>
        <v>-495.19999999999982</v>
      </c>
      <c r="F39" s="25">
        <f>IFERROR((C39-D39)/ABS(D39),0)</f>
        <v>-7.6837140019860944E-2</v>
      </c>
      <c r="G39" s="24">
        <v>6196.9</v>
      </c>
      <c r="H39" s="24">
        <f>C39-G39</f>
        <v>-247.29999999999927</v>
      </c>
      <c r="I39" s="25">
        <f>IFERROR((C39-G39)/ABS(G39),0)</f>
        <v>-3.9907050299343105E-2</v>
      </c>
      <c r="J39" s="24">
        <v>54630.1</v>
      </c>
      <c r="K39" s="24">
        <v>56164.1</v>
      </c>
      <c r="L39" s="24">
        <f>J39-K39</f>
        <v>-1534</v>
      </c>
      <c r="M39" s="25">
        <f>IFERROR((J39-K39)/ABS(K39),0)</f>
        <v>-2.731282082326611E-2</v>
      </c>
      <c r="N39" s="24">
        <v>54003.9</v>
      </c>
      <c r="O39" s="24">
        <f>J39-N39</f>
        <v>626.19999999999709</v>
      </c>
      <c r="P39" s="25">
        <f>IFERROR((J39-N39)/ABS(N39),0)</f>
        <v>1.1595458846490662E-2</v>
      </c>
    </row>
    <row r="40" spans="1:16">
      <c r="A40" t="s">
        <v>59</v>
      </c>
      <c r="B40" s="26" t="s">
        <v>49</v>
      </c>
      <c r="C40" s="27">
        <v>1318.9</v>
      </c>
      <c r="D40" s="27">
        <v>1469.4</v>
      </c>
      <c r="E40" s="27">
        <f>C40-D40</f>
        <v>-150.5</v>
      </c>
      <c r="F40" s="28">
        <f>IFERROR((C40-D40)/ABS(D40),0)</f>
        <v>-0.1024227575881312</v>
      </c>
      <c r="G40" s="27">
        <v>1387.8</v>
      </c>
      <c r="H40" s="27">
        <f>C40-G40</f>
        <v>-68.899999999999864</v>
      </c>
      <c r="I40" s="28">
        <f>IFERROR((C40-G40)/ABS(G40),0)</f>
        <v>-4.9646923187779121E-2</v>
      </c>
      <c r="J40" s="27">
        <v>12265.5</v>
      </c>
      <c r="K40" s="27">
        <v>12805.4</v>
      </c>
      <c r="L40" s="27">
        <f>J40-K40</f>
        <v>-539.89999999999964</v>
      </c>
      <c r="M40" s="28">
        <f>IFERROR((J40-K40)/ABS(K40),0)</f>
        <v>-4.2161900448248371E-2</v>
      </c>
      <c r="N40" s="27">
        <v>12191.5</v>
      </c>
      <c r="O40" s="27">
        <f>J40-N40</f>
        <v>74</v>
      </c>
      <c r="P40" s="28">
        <f>IFERROR((J40-N40)/ABS(N40),0)</f>
        <v>6.0698027314112293E-3</v>
      </c>
    </row>
    <row r="41" spans="1:16">
      <c r="A41" t="s">
        <v>59</v>
      </c>
      <c r="B41" s="26" t="s">
        <v>50</v>
      </c>
      <c r="C41" s="28">
        <f>IFERROR(C40/C39,0)</f>
        <v>0.22167876832055936</v>
      </c>
      <c r="D41" s="28">
        <f>IFERROR(D40/D39,0)</f>
        <v>0.22799776564051638</v>
      </c>
      <c r="E41" s="29">
        <f>(C41-D41)*100</f>
        <v>-0.6318997319957026</v>
      </c>
      <c r="G41" s="28">
        <f>IFERROR(G40/G39,0)</f>
        <v>0.22395068501992932</v>
      </c>
      <c r="H41" s="29">
        <f>(C41-G41)*100</f>
        <v>-0.22719166993699635</v>
      </c>
      <c r="J41" s="28">
        <f>IFERROR(J40/J39,0)</f>
        <v>0.22451908380178692</v>
      </c>
      <c r="K41" s="28">
        <f>IFERROR(K40/K39,0)</f>
        <v>0.22799973648647445</v>
      </c>
      <c r="L41" s="29">
        <f>(J41-K41)*100</f>
        <v>-0.34806526846875296</v>
      </c>
      <c r="N41" s="28">
        <f>IFERROR(N40/N39,0)</f>
        <v>0.22575221419193797</v>
      </c>
      <c r="O41" s="29">
        <f>(J41-N41)*100</f>
        <v>-0.12331303901510493</v>
      </c>
    </row>
    <row r="42" spans="1:16">
      <c r="A42" t="s">
        <v>59</v>
      </c>
      <c r="B42" s="26" t="s">
        <v>51</v>
      </c>
      <c r="C42" s="27">
        <v>1375.4</v>
      </c>
      <c r="D42" s="27">
        <v>1307.5999999999999</v>
      </c>
      <c r="E42" s="27">
        <f>C42-D42</f>
        <v>67.800000000000182</v>
      </c>
      <c r="F42" s="28">
        <f>IFERROR((C42-D42)/ABS(D42),0)</f>
        <v>5.1850718874273623E-2</v>
      </c>
      <c r="G42" s="27">
        <v>1263.4000000000001</v>
      </c>
      <c r="H42" s="27">
        <f>C42-G42</f>
        <v>112</v>
      </c>
      <c r="I42" s="28">
        <f>IFERROR((C42-G42)/ABS(G42),0)</f>
        <v>8.8649675478866541E-2</v>
      </c>
      <c r="J42" s="27">
        <v>11501.1</v>
      </c>
      <c r="K42" s="27">
        <v>11566.4</v>
      </c>
      <c r="L42" s="27">
        <f>J42-K42</f>
        <v>-65.299999999999272</v>
      </c>
      <c r="M42" s="28">
        <f>IFERROR((J42-K42)/ABS(K42),0)</f>
        <v>-5.6456633005947639E-3</v>
      </c>
      <c r="N42" s="27">
        <v>11175.4</v>
      </c>
      <c r="O42" s="27">
        <f>J42-N42</f>
        <v>325.70000000000073</v>
      </c>
      <c r="P42" s="28">
        <f>IFERROR((J42-N42)/ABS(N42),0)</f>
        <v>2.9144370671295949E-2</v>
      </c>
    </row>
    <row r="43" spans="1:16">
      <c r="A43" t="s">
        <v>59</v>
      </c>
      <c r="B43" s="26" t="s">
        <v>52</v>
      </c>
      <c r="C43" s="28">
        <f>IFERROR(C42/C39,0)</f>
        <v>0.23117520505580208</v>
      </c>
      <c r="D43" s="28">
        <f>IFERROR(D42/D39,0)</f>
        <v>0.20289225422045679</v>
      </c>
      <c r="E43" s="29">
        <f>(C43-D43)*100</f>
        <v>2.8282950835345293</v>
      </c>
      <c r="G43" s="28">
        <f>IFERROR(G42/G39,0)</f>
        <v>0.20387613161419421</v>
      </c>
      <c r="H43" s="29">
        <f>(C43-G43)*100</f>
        <v>2.7299073441607868</v>
      </c>
      <c r="J43" s="28">
        <f>IFERROR(J42/J39,0)</f>
        <v>0.21052679749808256</v>
      </c>
      <c r="K43" s="28">
        <f>IFERROR(K42/K39,0)</f>
        <v>0.20593938120614413</v>
      </c>
      <c r="L43" s="29">
        <f>(J43-K43)*100</f>
        <v>0.45874162919384287</v>
      </c>
      <c r="N43" s="28">
        <f>IFERROR(N42/N39,0)</f>
        <v>0.2069369064086112</v>
      </c>
      <c r="O43" s="29">
        <f>(J43-N43)*100</f>
        <v>0.35898910894713587</v>
      </c>
    </row>
    <row r="44" spans="1:16">
      <c r="A44" t="s">
        <v>59</v>
      </c>
      <c r="B44" s="5" t="s">
        <v>53</v>
      </c>
      <c r="C44" s="27">
        <f>C40-C42</f>
        <v>-56.5</v>
      </c>
      <c r="D44" s="27">
        <f>D40-D42</f>
        <v>161.80000000000018</v>
      </c>
      <c r="E44" s="27">
        <f>C44-D44</f>
        <v>-218.30000000000018</v>
      </c>
      <c r="F44" s="28">
        <f>IFERROR((C44-D44)/ABS(D44),0)</f>
        <v>-1.3491965389369589</v>
      </c>
      <c r="G44" s="27">
        <f>G40-G42</f>
        <v>124.39999999999986</v>
      </c>
      <c r="H44" s="27">
        <f>C44-G44</f>
        <v>-180.89999999999986</v>
      </c>
      <c r="I44" s="28">
        <f>IFERROR((C44-G44)/ABS(G44),0)</f>
        <v>-1.4541800643086822</v>
      </c>
      <c r="J44" s="27">
        <f>J40-J42</f>
        <v>764.39999999999964</v>
      </c>
      <c r="K44" s="27">
        <f>K40-K42</f>
        <v>1239</v>
      </c>
      <c r="L44" s="27">
        <f>J44-K44</f>
        <v>-474.60000000000036</v>
      </c>
      <c r="M44" s="28">
        <f>IFERROR((J44-K44)/ABS(K44),0)</f>
        <v>-0.38305084745762741</v>
      </c>
      <c r="N44" s="27">
        <f>N40-N42</f>
        <v>1016.1000000000004</v>
      </c>
      <c r="O44" s="27">
        <f>J44-N44</f>
        <v>-251.70000000000073</v>
      </c>
      <c r="P44" s="28">
        <f>IFERROR((J44-N44)/ABS(N44),0)</f>
        <v>-0.24771183938588784</v>
      </c>
    </row>
    <row r="45" spans="1:16">
      <c r="A45" t="s">
        <v>59</v>
      </c>
      <c r="B45" s="26" t="s">
        <v>54</v>
      </c>
      <c r="C45" s="28">
        <f>IFERROR(C44/C39,0)</f>
        <v>-9.496436735242704E-3</v>
      </c>
      <c r="D45" s="28">
        <f>IFERROR(D44/D39,0)</f>
        <v>2.5105511420059609E-2</v>
      </c>
      <c r="E45" s="29">
        <f>(C45-D45)*100</f>
        <v>-3.4601948155302313</v>
      </c>
      <c r="G45" s="28">
        <f>IFERROR(G44/G39,0)</f>
        <v>2.0074553405735104E-2</v>
      </c>
      <c r="H45" s="29">
        <f>(C45-G45)*100</f>
        <v>-2.9570990140977806</v>
      </c>
      <c r="J45" s="28">
        <f>IFERROR(J44/J39,0)</f>
        <v>1.3992286303704362E-2</v>
      </c>
      <c r="K45" s="28">
        <f>IFERROR(K44/K39,0)</f>
        <v>2.2060355280330318E-2</v>
      </c>
      <c r="L45" s="29">
        <f>(J45-K45)*100</f>
        <v>-0.80680689766259561</v>
      </c>
      <c r="N45" s="28">
        <f>IFERROR(N44/N39,0)</f>
        <v>1.8815307783326764E-2</v>
      </c>
      <c r="O45" s="29">
        <f>(J45-N45)*100</f>
        <v>-0.4823021479622403</v>
      </c>
    </row>
    <row r="46" spans="1:16">
      <c r="A46" t="s">
        <v>59</v>
      </c>
      <c r="B46" s="26" t="s">
        <v>55</v>
      </c>
      <c r="C46" s="27">
        <f>IFERROR(C39/21,0)</f>
        <v>283.31428571428575</v>
      </c>
      <c r="D46" s="27">
        <f>IFERROR(D39/21,0)</f>
        <v>306.89523809523808</v>
      </c>
      <c r="E46" s="27">
        <f>C46-D46</f>
        <v>-23.58095238095234</v>
      </c>
      <c r="F46" s="28">
        <f>IFERROR((C46-D46)/ABS(D46),0)</f>
        <v>-7.6837140019860847E-2</v>
      </c>
      <c r="G46" s="27">
        <f>IFERROR(G39/21,0)</f>
        <v>295.09047619047618</v>
      </c>
      <c r="H46" s="27">
        <f>C46-G46</f>
        <v>-11.776190476190436</v>
      </c>
      <c r="I46" s="28">
        <f>IFERROR((C46-G46)/ABS(G46),0)</f>
        <v>-3.9907050299343085E-2</v>
      </c>
      <c r="J46" s="27">
        <f>IFERROR(J39/191,0)</f>
        <v>286.02146596858637</v>
      </c>
      <c r="K46" s="27">
        <f>IFERROR(K39/191,0)</f>
        <v>294.05287958115184</v>
      </c>
      <c r="L46" s="27">
        <f>J46-K46</f>
        <v>-8.0314136125654727</v>
      </c>
      <c r="M46" s="28">
        <f>IFERROR((J46-K46)/ABS(K46),0)</f>
        <v>-2.73128208232662E-2</v>
      </c>
      <c r="N46" s="27">
        <f>IFERROR(N39/191,0)</f>
        <v>282.74293193717278</v>
      </c>
      <c r="O46" s="27">
        <f>J46-N46</f>
        <v>3.2785340314135851</v>
      </c>
      <c r="P46" s="28">
        <f>IFERROR((J46-N46)/ABS(N46),0)</f>
        <v>1.1595458846490618E-2</v>
      </c>
    </row>
    <row r="48" spans="1:16">
      <c r="A48" s="30" t="s">
        <v>60</v>
      </c>
    </row>
  </sheetData>
  <mergeCells count="2">
    <mergeCell ref="C5:I5"/>
    <mergeCell ref="J5:P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48"/>
  <sheetViews>
    <sheetView showGridLines="0" workbookViewId="0">
      <pane xSplit="2" ySplit="5" topLeftCell="C6" activePane="bottomRight" state="frozen"/>
      <selection pane="bottomRight"/>
      <selection pane="bottomLeft"/>
      <selection pane="topRight"/>
    </sheetView>
  </sheetViews>
  <sheetFormatPr defaultRowHeight="15"/>
  <cols>
    <col min="1" max="1" width="10" customWidth="1"/>
    <col min="2" max="2" width="30" customWidth="1"/>
    <col min="3" max="16" width="12.42578125" customWidth="1"/>
  </cols>
  <sheetData>
    <row r="1" spans="1:16">
      <c r="A1" s="8" t="s">
        <v>61</v>
      </c>
    </row>
    <row r="2" spans="1:16">
      <c r="A2" s="2" t="s">
        <v>62</v>
      </c>
    </row>
    <row r="3" spans="1:16">
      <c r="A3" s="9" t="s">
        <v>2</v>
      </c>
    </row>
    <row r="5" spans="1:16" ht="42" customHeight="1">
      <c r="A5" s="11" t="s">
        <v>63</v>
      </c>
      <c r="B5" s="11" t="s">
        <v>64</v>
      </c>
      <c r="C5" s="11" t="s">
        <v>65</v>
      </c>
      <c r="D5" s="11" t="s">
        <v>66</v>
      </c>
      <c r="E5" s="11" t="s">
        <v>35</v>
      </c>
      <c r="F5" s="11" t="s">
        <v>36</v>
      </c>
      <c r="G5" s="11" t="s">
        <v>67</v>
      </c>
      <c r="H5" s="11" t="s">
        <v>68</v>
      </c>
      <c r="I5" s="11" t="s">
        <v>69</v>
      </c>
      <c r="J5" s="11" t="s">
        <v>70</v>
      </c>
      <c r="K5" s="11" t="s">
        <v>71</v>
      </c>
      <c r="L5" s="11" t="s">
        <v>72</v>
      </c>
      <c r="M5" s="11" t="s">
        <v>73</v>
      </c>
      <c r="N5" s="11" t="s">
        <v>74</v>
      </c>
      <c r="O5" s="11" t="s">
        <v>75</v>
      </c>
      <c r="P5" s="11" t="s">
        <v>76</v>
      </c>
    </row>
    <row r="6" spans="1:16">
      <c r="A6" s="10" t="s">
        <v>77</v>
      </c>
    </row>
    <row r="7" spans="1:16">
      <c r="A7" t="s">
        <v>78</v>
      </c>
      <c r="B7" t="s">
        <v>79</v>
      </c>
      <c r="C7" s="27">
        <v>36002.9</v>
      </c>
      <c r="D7" s="27">
        <v>35483.4</v>
      </c>
      <c r="E7" s="27">
        <f>C7-D7</f>
        <v>519.5</v>
      </c>
      <c r="F7" s="28">
        <f>IFERROR((C7-D7)/ABS(D7),0)</f>
        <v>1.4640648866794049E-2</v>
      </c>
      <c r="G7" s="27">
        <v>34557.9</v>
      </c>
      <c r="H7" s="27">
        <f>C7-G7</f>
        <v>1445</v>
      </c>
      <c r="I7" s="28">
        <f>IFERROR((C7-G7)/ABS(G7),0)</f>
        <v>4.1813883366755504E-2</v>
      </c>
      <c r="J7" s="27">
        <v>310116.5</v>
      </c>
      <c r="K7" s="27">
        <v>316174.59999999998</v>
      </c>
      <c r="L7" s="27">
        <f>J7-K7</f>
        <v>-6058.0999999999767</v>
      </c>
      <c r="M7" s="28">
        <f>IFERROR((J7-K7)/ABS(K7),0)</f>
        <v>-1.9160615685130864E-2</v>
      </c>
      <c r="N7" s="27">
        <v>304736.2</v>
      </c>
      <c r="O7" s="27">
        <f>J7-N7</f>
        <v>5380.2999999999884</v>
      </c>
      <c r="P7" s="28">
        <f>IFERROR((J7-N7)/ABS(N7),0)</f>
        <v>1.7655598514387159E-2</v>
      </c>
    </row>
    <row r="8" spans="1:16">
      <c r="A8" t="s">
        <v>80</v>
      </c>
      <c r="B8" t="s">
        <v>81</v>
      </c>
      <c r="C8" s="27">
        <v>5507.1</v>
      </c>
      <c r="D8" s="27">
        <v>5359.6</v>
      </c>
      <c r="E8" s="27">
        <f>C8-D8</f>
        <v>147.5</v>
      </c>
      <c r="F8" s="28">
        <f>IFERROR((C8-D8)/ABS(D8),0)</f>
        <v>2.7520710500783637E-2</v>
      </c>
      <c r="G8" s="27">
        <v>5257.7</v>
      </c>
      <c r="H8" s="27">
        <f>C8-G8</f>
        <v>249.40000000000055</v>
      </c>
      <c r="I8" s="28">
        <f>IFERROR((C8-G8)/ABS(G8),0)</f>
        <v>4.7435190292333257E-2</v>
      </c>
      <c r="J8" s="27">
        <v>47072.2</v>
      </c>
      <c r="K8" s="27">
        <v>47781.7</v>
      </c>
      <c r="L8" s="27">
        <f>J8-K8</f>
        <v>-709.5</v>
      </c>
      <c r="M8" s="28">
        <f>IFERROR((J8-K8)/ABS(K8),0)</f>
        <v>-1.4848781018674515E-2</v>
      </c>
      <c r="N8" s="27">
        <v>46130.2</v>
      </c>
      <c r="O8" s="27">
        <f>J8-N8</f>
        <v>942</v>
      </c>
      <c r="P8" s="28">
        <f>IFERROR((J8-N8)/ABS(N8),0)</f>
        <v>2.0420462083407399E-2</v>
      </c>
    </row>
    <row r="9" spans="1:16">
      <c r="A9" t="s">
        <v>82</v>
      </c>
      <c r="B9" t="s">
        <v>83</v>
      </c>
      <c r="C9" s="27">
        <v>838.2</v>
      </c>
      <c r="D9" s="27">
        <v>824.9</v>
      </c>
      <c r="E9" s="27">
        <f>C9-D9</f>
        <v>13.300000000000068</v>
      </c>
      <c r="F9" s="28">
        <f>IFERROR((C9-D9)/ABS(D9),0)</f>
        <v>1.6123166444417587E-2</v>
      </c>
      <c r="G9" s="27">
        <v>785.3</v>
      </c>
      <c r="H9" s="27">
        <f>C9-G9</f>
        <v>52.900000000000091</v>
      </c>
      <c r="I9" s="28">
        <f>IFERROR((C9-G9)/ABS(G9),0)</f>
        <v>6.7362791289952997E-2</v>
      </c>
      <c r="J9" s="27">
        <v>7247.9</v>
      </c>
      <c r="K9" s="27">
        <v>7357.3</v>
      </c>
      <c r="L9" s="27">
        <f>J9-K9</f>
        <v>-109.40000000000055</v>
      </c>
      <c r="M9" s="28">
        <f>IFERROR((J9-K9)/ABS(K9),0)</f>
        <v>-1.4869585309828407E-2</v>
      </c>
      <c r="N9" s="27">
        <v>7085.4</v>
      </c>
      <c r="O9" s="27">
        <f>J9-N9</f>
        <v>162.5</v>
      </c>
      <c r="P9" s="28">
        <f>IFERROR((J9-N9)/ABS(N9),0)</f>
        <v>2.2934484997318431E-2</v>
      </c>
    </row>
    <row r="10" spans="1:16">
      <c r="A10" t="s">
        <v>84</v>
      </c>
      <c r="B10" t="s">
        <v>85</v>
      </c>
      <c r="C10" s="27">
        <v>208.5</v>
      </c>
      <c r="D10" s="27">
        <v>205.2</v>
      </c>
      <c r="E10" s="27">
        <f>C10-D10</f>
        <v>3.3000000000000114</v>
      </c>
      <c r="F10" s="28">
        <f>IFERROR((C10-D10)/ABS(D10),0)</f>
        <v>1.6081871345029294E-2</v>
      </c>
      <c r="G10" s="27">
        <v>198.7</v>
      </c>
      <c r="H10" s="27">
        <f>C10-G10</f>
        <v>9.8000000000000114</v>
      </c>
      <c r="I10" s="28">
        <f>IFERROR((C10-G10)/ABS(G10),0)</f>
        <v>4.9320583794665383E-2</v>
      </c>
      <c r="J10" s="27">
        <v>1812.7</v>
      </c>
      <c r="K10" s="27">
        <v>1850.1</v>
      </c>
      <c r="L10" s="27">
        <f>J10-K10</f>
        <v>-37.399999999999864</v>
      </c>
      <c r="M10" s="28">
        <f>IFERROR((J10-K10)/ABS(K10),0)</f>
        <v>-2.0215123506837396E-2</v>
      </c>
      <c r="N10" s="27">
        <v>1778</v>
      </c>
      <c r="O10" s="27">
        <f>J10-N10</f>
        <v>34.700000000000045</v>
      </c>
      <c r="P10" s="28">
        <f>IFERROR((J10-N10)/ABS(N10),0)</f>
        <v>1.9516310461192378E-2</v>
      </c>
    </row>
    <row r="11" spans="1:16">
      <c r="A11" t="s">
        <v>86</v>
      </c>
      <c r="B11" t="s">
        <v>87</v>
      </c>
      <c r="C11" s="27">
        <v>-332.9</v>
      </c>
      <c r="D11" s="27">
        <v>-329.1</v>
      </c>
      <c r="E11" s="27">
        <f>C11-D11</f>
        <v>-3.7999999999999545</v>
      </c>
      <c r="F11" s="28">
        <f>IFERROR((C11-D11)/ABS(D11),0)</f>
        <v>-1.1546642357945775E-2</v>
      </c>
      <c r="G11" s="27">
        <v>-320</v>
      </c>
      <c r="H11" s="27">
        <f>C11-G11</f>
        <v>-12.899999999999977</v>
      </c>
      <c r="I11" s="28">
        <f>IFERROR((C11-G11)/ABS(G11),0)</f>
        <v>-4.0312499999999932E-2</v>
      </c>
      <c r="J11" s="27">
        <v>-2882.5</v>
      </c>
      <c r="K11" s="27">
        <v>-2958.8</v>
      </c>
      <c r="L11" s="27">
        <f>J11-K11</f>
        <v>76.300000000000182</v>
      </c>
      <c r="M11" s="28">
        <f>IFERROR((J11-K11)/ABS(K11),0)</f>
        <v>2.5787481411383054E-2</v>
      </c>
      <c r="N11" s="27">
        <v>-2847.6</v>
      </c>
      <c r="O11" s="27">
        <f>J11-N11</f>
        <v>-34.900000000000091</v>
      </c>
      <c r="P11" s="28">
        <f>IFERROR((J11-N11)/ABS(N11),0)</f>
        <v>-1.2255934822306537E-2</v>
      </c>
    </row>
    <row r="12" spans="1:16">
      <c r="A12" t="s">
        <v>88</v>
      </c>
      <c r="B12" t="s">
        <v>89</v>
      </c>
      <c r="C12" s="27">
        <v>-323.89999999999998</v>
      </c>
      <c r="D12" s="27">
        <v>-264.89999999999998</v>
      </c>
      <c r="E12" s="27">
        <f>C12-D12</f>
        <v>-59</v>
      </c>
      <c r="F12" s="28">
        <f>IFERROR((C12-D12)/ABS(D12),0)</f>
        <v>-0.22272555681389206</v>
      </c>
      <c r="G12" s="27">
        <v>-788.3</v>
      </c>
      <c r="H12" s="27">
        <f>C12-G12</f>
        <v>464.4</v>
      </c>
      <c r="I12" s="28">
        <f>IFERROR((C12-G12)/ABS(G12),0)</f>
        <v>0.58911581885069142</v>
      </c>
      <c r="J12" s="27">
        <v>-1880.1</v>
      </c>
      <c r="K12" s="27">
        <v>-1472.3</v>
      </c>
      <c r="L12" s="27">
        <f>J12-K12</f>
        <v>-407.79999999999995</v>
      </c>
      <c r="M12" s="28">
        <f>IFERROR((J12-K12)/ABS(K12),0)</f>
        <v>-0.27698159342525297</v>
      </c>
      <c r="N12" s="27">
        <v>-2332.1</v>
      </c>
      <c r="O12" s="27">
        <f>J12-N12</f>
        <v>452</v>
      </c>
      <c r="P12" s="28">
        <f>IFERROR((J12-N12)/ABS(N12),0)</f>
        <v>0.19381673170104199</v>
      </c>
    </row>
    <row r="13" spans="1:16">
      <c r="A13" s="21"/>
      <c r="B13" s="21" t="s">
        <v>90</v>
      </c>
      <c r="C13" s="31">
        <f>SUM(C7:C12)</f>
        <v>41899.899999999994</v>
      </c>
      <c r="D13" s="31">
        <f>SUM(D7:D12)</f>
        <v>41279.1</v>
      </c>
      <c r="E13" s="31">
        <f>C13-D13</f>
        <v>620.79999999999563</v>
      </c>
      <c r="F13" s="32">
        <f>IFERROR((C13-D13)/ABS(D13),0)</f>
        <v>1.5039087577006177E-2</v>
      </c>
      <c r="G13" s="31">
        <f>SUM(G7:G12)</f>
        <v>39691.299999999996</v>
      </c>
      <c r="H13" s="31">
        <f>C13-G13</f>
        <v>2208.5999999999985</v>
      </c>
      <c r="I13" s="32">
        <f>IFERROR((C13-G13)/ABS(G13),0)</f>
        <v>5.5644435934323111E-2</v>
      </c>
      <c r="J13" s="31">
        <f>SUM(J7:J12)</f>
        <v>361486.70000000007</v>
      </c>
      <c r="K13" s="31">
        <f>SUM(K7:K12)</f>
        <v>368732.6</v>
      </c>
      <c r="L13" s="31">
        <f>J13-K13</f>
        <v>-7245.8999999999069</v>
      </c>
      <c r="M13" s="32">
        <f>IFERROR((J13-K13)/ABS(K13),0)</f>
        <v>-1.9650825557598939E-2</v>
      </c>
      <c r="N13" s="31">
        <f>SUM(N7:N12)</f>
        <v>354550.10000000009</v>
      </c>
      <c r="O13" s="31">
        <f>J13-N13</f>
        <v>6936.5999999999767</v>
      </c>
      <c r="P13" s="32">
        <f>IFERROR((J13-N13)/ABS(N13),0)</f>
        <v>1.9564512885484941E-2</v>
      </c>
    </row>
    <row r="14" spans="1:16">
      <c r="A14" s="10" t="s">
        <v>91</v>
      </c>
    </row>
    <row r="15" spans="1:16">
      <c r="A15" t="s">
        <v>92</v>
      </c>
      <c r="B15" t="s">
        <v>93</v>
      </c>
      <c r="C15" s="27">
        <v>26046.799999999999</v>
      </c>
      <c r="D15" s="27">
        <v>25691.9</v>
      </c>
      <c r="E15" s="27">
        <f>C15-D15</f>
        <v>354.89999999999782</v>
      </c>
      <c r="F15" s="28">
        <f>IFERROR((C15-D15)/ABS(D15),0)</f>
        <v>1.381369225320034E-2</v>
      </c>
      <c r="G15" s="27">
        <v>24848.400000000001</v>
      </c>
      <c r="H15" s="27">
        <f>C15-G15</f>
        <v>1198.3999999999978</v>
      </c>
      <c r="I15" s="28">
        <f>IFERROR((C15-G15)/ABS(G15),0)</f>
        <v>4.8228457365464085E-2</v>
      </c>
      <c r="J15" s="27">
        <v>225060.8</v>
      </c>
      <c r="K15" s="27">
        <v>228089.8</v>
      </c>
      <c r="L15" s="27">
        <f>J15-K15</f>
        <v>-3029</v>
      </c>
      <c r="M15" s="28">
        <f>IFERROR((J15-K15)/ABS(K15),0)</f>
        <v>-1.3279857319354044E-2</v>
      </c>
      <c r="N15" s="27">
        <v>219795.7</v>
      </c>
      <c r="O15" s="27">
        <f>J15-N15</f>
        <v>5265.0999999999767</v>
      </c>
      <c r="P15" s="28">
        <f>IFERROR((J15-N15)/ABS(N15),0)</f>
        <v>2.3954517763541218E-2</v>
      </c>
    </row>
    <row r="16" spans="1:16">
      <c r="A16" t="s">
        <v>94</v>
      </c>
      <c r="B16" t="s">
        <v>95</v>
      </c>
      <c r="C16" s="27">
        <v>4029.9</v>
      </c>
      <c r="D16" s="27">
        <v>3880.1</v>
      </c>
      <c r="E16" s="27">
        <f>C16-D16</f>
        <v>149.80000000000018</v>
      </c>
      <c r="F16" s="28">
        <f>IFERROR((C16-D16)/ABS(D16),0)</f>
        <v>3.8607252390402358E-2</v>
      </c>
      <c r="G16" s="27">
        <v>3748.6</v>
      </c>
      <c r="H16" s="27">
        <f>C16-G16</f>
        <v>281.30000000000018</v>
      </c>
      <c r="I16" s="28">
        <f>IFERROR((C16-G16)/ABS(G16),0)</f>
        <v>7.50413487702076E-2</v>
      </c>
      <c r="J16" s="27">
        <v>33855.5</v>
      </c>
      <c r="K16" s="27">
        <v>34621.199999999997</v>
      </c>
      <c r="L16" s="27">
        <f>J16-K16</f>
        <v>-765.69999999999709</v>
      </c>
      <c r="M16" s="28">
        <f>IFERROR((J16-K16)/ABS(K16),0)</f>
        <v>-2.211650664910509E-2</v>
      </c>
      <c r="N16" s="27">
        <v>33402.9</v>
      </c>
      <c r="O16" s="27">
        <f>J16-N16</f>
        <v>452.59999999999854</v>
      </c>
      <c r="P16" s="28">
        <f>IFERROR((J16-N16)/ABS(N16),0)</f>
        <v>1.3549721730747885E-2</v>
      </c>
    </row>
    <row r="17" spans="1:16">
      <c r="A17" t="s">
        <v>96</v>
      </c>
      <c r="B17" t="s">
        <v>97</v>
      </c>
      <c r="C17" s="27">
        <v>1384.2</v>
      </c>
      <c r="D17" s="27">
        <v>1373.1</v>
      </c>
      <c r="E17" s="27">
        <f>C17-D17</f>
        <v>11.100000000000136</v>
      </c>
      <c r="F17" s="28">
        <f>IFERROR((C17-D17)/ABS(D17),0)</f>
        <v>8.0838977496177529E-3</v>
      </c>
      <c r="G17" s="27">
        <v>1304.3</v>
      </c>
      <c r="H17" s="27">
        <f>C17-G17</f>
        <v>79.900000000000091</v>
      </c>
      <c r="I17" s="28">
        <f>IFERROR((C17-G17)/ABS(G17),0)</f>
        <v>6.1258912826803721E-2</v>
      </c>
      <c r="J17" s="27">
        <v>11980.4</v>
      </c>
      <c r="K17" s="27">
        <v>12188.3</v>
      </c>
      <c r="L17" s="27">
        <f>J17-K17</f>
        <v>-207.89999999999964</v>
      </c>
      <c r="M17" s="28">
        <f>IFERROR((J17-K17)/ABS(K17),0)</f>
        <v>-1.7057341877045992E-2</v>
      </c>
      <c r="N17" s="27">
        <v>11692.7</v>
      </c>
      <c r="O17" s="27">
        <f>J17-N17</f>
        <v>287.69999999999891</v>
      </c>
      <c r="P17" s="28">
        <f>IFERROR((J17-N17)/ABS(N17),0)</f>
        <v>2.4605095486927648E-2</v>
      </c>
    </row>
    <row r="18" spans="1:16">
      <c r="A18" t="s">
        <v>98</v>
      </c>
      <c r="B18" t="s">
        <v>99</v>
      </c>
      <c r="C18" s="27">
        <v>152.9</v>
      </c>
      <c r="D18" s="27">
        <v>149.4</v>
      </c>
      <c r="E18" s="27">
        <f>C18-D18</f>
        <v>3.5</v>
      </c>
      <c r="F18" s="28">
        <f>IFERROR((C18-D18)/ABS(D18),0)</f>
        <v>2.3427041499330656E-2</v>
      </c>
      <c r="G18" s="27">
        <v>145.80000000000001</v>
      </c>
      <c r="H18" s="27">
        <f>C18-G18</f>
        <v>7.0999999999999943</v>
      </c>
      <c r="I18" s="28">
        <f>IFERROR((C18-G18)/ABS(G18),0)</f>
        <v>4.8696844993141246E-2</v>
      </c>
      <c r="J18" s="27">
        <v>1328.3</v>
      </c>
      <c r="K18" s="27">
        <v>1350.9</v>
      </c>
      <c r="L18" s="27">
        <f>J18-K18</f>
        <v>-22.600000000000136</v>
      </c>
      <c r="M18" s="28">
        <f>IFERROR((J18-K18)/ABS(K18),0)</f>
        <v>-1.6729587682285982E-2</v>
      </c>
      <c r="N18" s="27">
        <v>1308.7</v>
      </c>
      <c r="O18" s="27">
        <f>J18-N18</f>
        <v>19.599999999999909</v>
      </c>
      <c r="P18" s="28">
        <f>IFERROR((J18-N18)/ABS(N18),0)</f>
        <v>1.4976694429586542E-2</v>
      </c>
    </row>
    <row r="19" spans="1:16">
      <c r="A19" t="s">
        <v>100</v>
      </c>
      <c r="B19" t="s">
        <v>101</v>
      </c>
      <c r="C19" s="27">
        <v>-767.1</v>
      </c>
      <c r="D19" s="27">
        <v>-818.9</v>
      </c>
      <c r="E19" s="27">
        <f>C19-D19</f>
        <v>51.799999999999955</v>
      </c>
      <c r="F19" s="28">
        <f>IFERROR((C19-D19)/ABS(D19),0)</f>
        <v>6.3255586762730437E-2</v>
      </c>
      <c r="G19" s="27">
        <v>-842.8</v>
      </c>
      <c r="H19" s="27">
        <f>C19-G19</f>
        <v>75.699999999999932</v>
      </c>
      <c r="I19" s="28">
        <f>IFERROR((C19-G19)/ABS(G19),0)</f>
        <v>8.981964878974838E-2</v>
      </c>
      <c r="J19" s="27">
        <v>-5706.3</v>
      </c>
      <c r="K19" s="27">
        <v>-5863.7</v>
      </c>
      <c r="L19" s="27">
        <f>J19-K19</f>
        <v>157.39999999999964</v>
      </c>
      <c r="M19" s="28">
        <f>IFERROR((J19-K19)/ABS(K19),0)</f>
        <v>2.6843119532036025E-2</v>
      </c>
      <c r="N19" s="27">
        <v>-5553.8</v>
      </c>
      <c r="O19" s="27">
        <f>J19-N19</f>
        <v>-152.5</v>
      </c>
      <c r="P19" s="28">
        <f>IFERROR((J19-N19)/ABS(N19),0)</f>
        <v>-2.7458676941913642E-2</v>
      </c>
    </row>
    <row r="20" spans="1:16">
      <c r="A20" s="21"/>
      <c r="B20" s="21" t="s">
        <v>102</v>
      </c>
      <c r="C20" s="31">
        <f>SUM(C15:C19)</f>
        <v>30846.700000000004</v>
      </c>
      <c r="D20" s="31">
        <f>SUM(D15:D19)</f>
        <v>30275.599999999999</v>
      </c>
      <c r="E20" s="31">
        <f>C20-D20</f>
        <v>571.10000000000582</v>
      </c>
      <c r="F20" s="32">
        <f>IFERROR((C20-D20)/ABS(D20),0)</f>
        <v>1.8863375127165304E-2</v>
      </c>
      <c r="G20" s="31">
        <f>SUM(G15:G19)</f>
        <v>29204.3</v>
      </c>
      <c r="H20" s="31">
        <f>C20-G20</f>
        <v>1642.4000000000051</v>
      </c>
      <c r="I20" s="32">
        <f>IFERROR((C20-G20)/ABS(G20),0)</f>
        <v>5.6238293675931458E-2</v>
      </c>
      <c r="J20" s="31">
        <f>SUM(J15:J19)</f>
        <v>266518.7</v>
      </c>
      <c r="K20" s="31">
        <f>SUM(K15:K19)</f>
        <v>270386.5</v>
      </c>
      <c r="L20" s="31">
        <f>J20-K20</f>
        <v>-3867.7999999999884</v>
      </c>
      <c r="M20" s="32">
        <f>IFERROR((J20-K20)/ABS(K20),0)</f>
        <v>-1.4304708260212653E-2</v>
      </c>
      <c r="N20" s="31">
        <f>SUM(N15:N19)</f>
        <v>260646.2</v>
      </c>
      <c r="O20" s="31">
        <f>J20-N20</f>
        <v>5872.5</v>
      </c>
      <c r="P20" s="32">
        <f>IFERROR((J20-N20)/ABS(N20),0)</f>
        <v>2.2530541400565211E-2</v>
      </c>
    </row>
    <row r="21" spans="1:16">
      <c r="A21" s="33"/>
      <c r="B21" s="33" t="s">
        <v>103</v>
      </c>
      <c r="C21" s="34">
        <f>C13-C20</f>
        <v>11053.19999999999</v>
      </c>
      <c r="D21" s="34">
        <f>D13-D20</f>
        <v>11003.5</v>
      </c>
      <c r="E21" s="34">
        <f>C21-D21</f>
        <v>49.699999999989814</v>
      </c>
      <c r="F21" s="35">
        <f>IFERROR((C21-D21)/ABS(D21),0)</f>
        <v>4.5167446721488449E-3</v>
      </c>
      <c r="G21" s="34">
        <f>G13-G20</f>
        <v>10486.999999999996</v>
      </c>
      <c r="H21" s="34">
        <f>C21-G21</f>
        <v>566.19999999999345</v>
      </c>
      <c r="I21" s="35">
        <f>IFERROR((C21-G21)/ABS(G21),0)</f>
        <v>5.399065509678589E-2</v>
      </c>
      <c r="J21" s="34">
        <f>J13-J20</f>
        <v>94968.000000000058</v>
      </c>
      <c r="K21" s="34">
        <f>K13-K20</f>
        <v>98346.099999999977</v>
      </c>
      <c r="L21" s="34">
        <f>J21-K21</f>
        <v>-3378.0999999999185</v>
      </c>
      <c r="M21" s="35">
        <f>IFERROR((J21-K21)/ABS(K21),0)</f>
        <v>-3.4349099760945467E-2</v>
      </c>
      <c r="N21" s="34">
        <f>N13-N20</f>
        <v>93903.900000000081</v>
      </c>
      <c r="O21" s="34">
        <f>J21-N21</f>
        <v>1064.0999999999767</v>
      </c>
      <c r="P21" s="35">
        <f>IFERROR((J21-N21)/ABS(N21),0)</f>
        <v>1.1331797720861176E-2</v>
      </c>
    </row>
    <row r="22" spans="1:16">
      <c r="B22" s="36" t="s">
        <v>50</v>
      </c>
      <c r="C22" s="28">
        <f>IFERROR(C21/C13,0)</f>
        <v>0.26380015226766629</v>
      </c>
      <c r="D22" s="28">
        <f>IFERROR(D21/D13,0)</f>
        <v>0.26656346674224973</v>
      </c>
      <c r="G22" s="28">
        <f>IFERROR(G21/G13,0)</f>
        <v>0.26421407210144282</v>
      </c>
      <c r="J22" s="28">
        <f>IFERROR(J21/J13,0)</f>
        <v>0.2627150597795162</v>
      </c>
      <c r="K22" s="28">
        <f>IFERROR(K21/K13,0)</f>
        <v>0.26671387341395902</v>
      </c>
      <c r="N22" s="28">
        <f>IFERROR(N21/N13,0)</f>
        <v>0.26485368358378703</v>
      </c>
    </row>
    <row r="24" spans="1:16">
      <c r="A24" s="10" t="s">
        <v>104</v>
      </c>
    </row>
    <row r="25" spans="1:16">
      <c r="A25" t="s">
        <v>105</v>
      </c>
      <c r="B25" t="s">
        <v>106</v>
      </c>
      <c r="C25" s="27">
        <v>1503.4</v>
      </c>
      <c r="D25" s="27">
        <v>1472.8</v>
      </c>
      <c r="E25" s="27">
        <f>C25-D25</f>
        <v>30.600000000000136</v>
      </c>
      <c r="F25" s="28">
        <f>IFERROR((C25-D25)/ABS(D25),0)</f>
        <v>2.0776751765345016E-2</v>
      </c>
      <c r="G25" s="27">
        <v>1422.8</v>
      </c>
      <c r="H25" s="27">
        <f>C25-G25</f>
        <v>80.600000000000136</v>
      </c>
      <c r="I25" s="28">
        <f>IFERROR((C25-G25)/ABS(G25),0)</f>
        <v>5.6648861400056323E-2</v>
      </c>
      <c r="J25" s="27">
        <v>12965.4</v>
      </c>
      <c r="K25" s="27">
        <v>13195.1</v>
      </c>
      <c r="L25" s="27">
        <f>J25-K25</f>
        <v>-229.70000000000073</v>
      </c>
      <c r="M25" s="28">
        <f>IFERROR((J25-K25)/ABS(K25),0)</f>
        <v>-1.7407977203658987E-2</v>
      </c>
      <c r="N25" s="27">
        <v>12748.2</v>
      </c>
      <c r="O25" s="27">
        <f>J25-N25</f>
        <v>217.19999999999891</v>
      </c>
      <c r="P25" s="28">
        <f>IFERROR((J25-N25)/ABS(N25),0)</f>
        <v>1.7037699439920843E-2</v>
      </c>
    </row>
    <row r="26" spans="1:16">
      <c r="A26" t="s">
        <v>107</v>
      </c>
      <c r="B26" t="s">
        <v>108</v>
      </c>
      <c r="C26" s="27">
        <v>386.2</v>
      </c>
      <c r="D26" s="27">
        <v>143.4</v>
      </c>
      <c r="E26" s="27">
        <f>C26-D26</f>
        <v>242.79999999999998</v>
      </c>
      <c r="F26" s="28">
        <f>IFERROR((C26-D26)/ABS(D26),0)</f>
        <v>1.6931659693165968</v>
      </c>
      <c r="G26" s="27">
        <v>138.6</v>
      </c>
      <c r="H26" s="27">
        <f>C26-G26</f>
        <v>247.6</v>
      </c>
      <c r="I26" s="28">
        <f>IFERROR((C26-G26)/ABS(G26),0)</f>
        <v>1.7864357864357865</v>
      </c>
      <c r="J26" s="27">
        <v>1983.6</v>
      </c>
      <c r="K26" s="27">
        <v>1283.8</v>
      </c>
      <c r="L26" s="27">
        <f>J26-K26</f>
        <v>699.8</v>
      </c>
      <c r="M26" s="28">
        <f>IFERROR((J26-K26)/ABS(K26),0)</f>
        <v>0.54510048294126812</v>
      </c>
      <c r="N26" s="27">
        <v>1240.4000000000001</v>
      </c>
      <c r="O26" s="27">
        <f>J26-N26</f>
        <v>743.19999999999982</v>
      </c>
      <c r="P26" s="28">
        <f>IFERROR((J26-N26)/ABS(N26),0)</f>
        <v>0.5991615607868428</v>
      </c>
    </row>
    <row r="27" spans="1:16">
      <c r="A27" t="s">
        <v>109</v>
      </c>
      <c r="B27" t="s">
        <v>110</v>
      </c>
      <c r="C27" s="27">
        <v>268.8</v>
      </c>
      <c r="D27" s="27">
        <v>103.1</v>
      </c>
      <c r="E27" s="27">
        <f>C27-D27</f>
        <v>165.70000000000002</v>
      </c>
      <c r="F27" s="28">
        <f>IFERROR((C27-D27)/ABS(D27),0)</f>
        <v>1.60717749757517</v>
      </c>
      <c r="G27" s="27">
        <v>99.6</v>
      </c>
      <c r="H27" s="27">
        <f>C27-G27</f>
        <v>169.20000000000002</v>
      </c>
      <c r="I27" s="28">
        <f>IFERROR((C27-G27)/ABS(G27),0)</f>
        <v>1.6987951807228918</v>
      </c>
      <c r="J27" s="27">
        <v>1389.4</v>
      </c>
      <c r="K27" s="27">
        <v>916.6</v>
      </c>
      <c r="L27" s="27">
        <f>J27-K27</f>
        <v>472.80000000000007</v>
      </c>
      <c r="M27" s="28">
        <f>IFERROR((J27-K27)/ABS(K27),0)</f>
        <v>0.51581933231507748</v>
      </c>
      <c r="N27" s="27">
        <v>885.6</v>
      </c>
      <c r="O27" s="27">
        <f>J27-N27</f>
        <v>503.80000000000007</v>
      </c>
      <c r="P27" s="28">
        <f>IFERROR((J27-N27)/ABS(N27),0)</f>
        <v>0.56887985546522135</v>
      </c>
    </row>
    <row r="28" spans="1:16">
      <c r="A28" t="s">
        <v>111</v>
      </c>
      <c r="B28" t="s">
        <v>112</v>
      </c>
      <c r="C28" s="27">
        <v>957.3</v>
      </c>
      <c r="D28" s="27">
        <v>988.8</v>
      </c>
      <c r="E28" s="27">
        <f>C28-D28</f>
        <v>-31.5</v>
      </c>
      <c r="F28" s="28">
        <f>IFERROR((C28-D28)/ABS(D28),0)</f>
        <v>-3.1856796116504854E-2</v>
      </c>
      <c r="G28" s="27">
        <v>955.5</v>
      </c>
      <c r="H28" s="27">
        <f>C28-G28</f>
        <v>1.7999999999999545</v>
      </c>
      <c r="I28" s="28">
        <f>IFERROR((C28-G28)/ABS(G28),0)</f>
        <v>1.8838304552589791E-3</v>
      </c>
      <c r="J28" s="27">
        <v>8337.5</v>
      </c>
      <c r="K28" s="27">
        <v>8829.9</v>
      </c>
      <c r="L28" s="27">
        <f>J28-K28</f>
        <v>-492.39999999999964</v>
      </c>
      <c r="M28" s="28">
        <f>IFERROR((J28-K28)/ABS(K28),0)</f>
        <v>-5.5765070952105873E-2</v>
      </c>
      <c r="N28" s="27">
        <v>8531.2000000000007</v>
      </c>
      <c r="O28" s="27">
        <f>J28-N28</f>
        <v>-193.70000000000073</v>
      </c>
      <c r="P28" s="28">
        <f>IFERROR((J28-N28)/ABS(N28),0)</f>
        <v>-2.270489497374352E-2</v>
      </c>
    </row>
    <row r="29" spans="1:16">
      <c r="A29" t="s">
        <v>113</v>
      </c>
      <c r="B29" t="s">
        <v>114</v>
      </c>
      <c r="C29" s="27">
        <v>1493.5</v>
      </c>
      <c r="D29" s="27">
        <v>1500.7</v>
      </c>
      <c r="E29" s="27">
        <f>C29-D29</f>
        <v>-7.2000000000000455</v>
      </c>
      <c r="F29" s="28">
        <f>IFERROR((C29-D29)/ABS(D29),0)</f>
        <v>-4.7977610448457688E-3</v>
      </c>
      <c r="G29" s="27">
        <v>1450</v>
      </c>
      <c r="H29" s="27">
        <f>C29-G29</f>
        <v>43.5</v>
      </c>
      <c r="I29" s="28">
        <f>IFERROR((C29-G29)/ABS(G29),0)</f>
        <v>0.03</v>
      </c>
      <c r="J29" s="27">
        <v>13441.5</v>
      </c>
      <c r="K29" s="27">
        <v>13506.3</v>
      </c>
      <c r="L29" s="27">
        <f>J29-K29</f>
        <v>-64.799999999999272</v>
      </c>
      <c r="M29" s="28">
        <f>IFERROR((J29-K29)/ABS(K29),0)</f>
        <v>-4.7977610448456847E-3</v>
      </c>
      <c r="N29" s="27">
        <v>13050</v>
      </c>
      <c r="O29" s="27">
        <f>J29-N29</f>
        <v>391.5</v>
      </c>
      <c r="P29" s="28">
        <f>IFERROR((J29-N29)/ABS(N29),0)</f>
        <v>0.03</v>
      </c>
    </row>
    <row r="30" spans="1:16">
      <c r="A30" t="s">
        <v>115</v>
      </c>
      <c r="B30" t="s">
        <v>116</v>
      </c>
      <c r="C30" s="27">
        <v>314</v>
      </c>
      <c r="D30" s="27">
        <v>317.8</v>
      </c>
      <c r="E30" s="27">
        <f>C30-D30</f>
        <v>-3.8000000000000114</v>
      </c>
      <c r="F30" s="28">
        <f>IFERROR((C30-D30)/ABS(D30),0)</f>
        <v>-1.1957205789804944E-2</v>
      </c>
      <c r="G30" s="27">
        <v>307</v>
      </c>
      <c r="H30" s="27">
        <f>C30-G30</f>
        <v>7</v>
      </c>
      <c r="I30" s="28">
        <f>IFERROR((C30-G30)/ABS(G30),0)</f>
        <v>2.2801302931596091E-2</v>
      </c>
      <c r="J30" s="27">
        <v>2783.7</v>
      </c>
      <c r="K30" s="27">
        <v>2722.3</v>
      </c>
      <c r="L30" s="27">
        <f>J30-K30</f>
        <v>61.399999999999636</v>
      </c>
      <c r="M30" s="28">
        <f>IFERROR((J30-K30)/ABS(K30),0)</f>
        <v>2.2554457627741113E-2</v>
      </c>
      <c r="N30" s="27">
        <v>2630.1</v>
      </c>
      <c r="O30" s="27">
        <f>J30-N30</f>
        <v>153.59999999999991</v>
      </c>
      <c r="P30" s="28">
        <f>IFERROR((J30-N30)/ABS(N30),0)</f>
        <v>5.8400821261548955E-2</v>
      </c>
    </row>
    <row r="31" spans="1:16">
      <c r="A31" s="21"/>
      <c r="B31" s="21" t="s">
        <v>117</v>
      </c>
      <c r="C31" s="31">
        <f>SUM(C25:C30)</f>
        <v>4923.2</v>
      </c>
      <c r="D31" s="31">
        <f>SUM(D25:D30)</f>
        <v>4526.6000000000004</v>
      </c>
      <c r="E31" s="31">
        <f>C31-D31</f>
        <v>396.59999999999945</v>
      </c>
      <c r="F31" s="32">
        <f>IFERROR((C31-D31)/ABS(D31),0)</f>
        <v>8.7615428798656705E-2</v>
      </c>
      <c r="G31" s="31">
        <f>SUM(G25:G30)</f>
        <v>4373.5</v>
      </c>
      <c r="H31" s="31">
        <f>C31-G31</f>
        <v>549.69999999999982</v>
      </c>
      <c r="I31" s="32">
        <f>IFERROR((C31-G31)/ABS(G31),0)</f>
        <v>0.12568880759117407</v>
      </c>
      <c r="J31" s="31">
        <f>SUM(J25:J30)</f>
        <v>40901.1</v>
      </c>
      <c r="K31" s="31">
        <f>SUM(K25:K30)</f>
        <v>40454</v>
      </c>
      <c r="L31" s="31">
        <f>J31-K31</f>
        <v>447.09999999999854</v>
      </c>
      <c r="M31" s="32">
        <f>IFERROR((J31-K31)/ABS(K31),0)</f>
        <v>1.1052059128887095E-2</v>
      </c>
      <c r="N31" s="31">
        <f>SUM(N25:N30)</f>
        <v>39085.5</v>
      </c>
      <c r="O31" s="31">
        <f>J31-N31</f>
        <v>1815.5999999999985</v>
      </c>
      <c r="P31" s="32">
        <f>IFERROR((J31-N31)/ABS(N31),0)</f>
        <v>4.6452009057067159E-2</v>
      </c>
    </row>
    <row r="32" spans="1:16">
      <c r="A32" s="10" t="s">
        <v>118</v>
      </c>
    </row>
    <row r="33" spans="1:16">
      <c r="A33" t="s">
        <v>119</v>
      </c>
      <c r="B33" t="s">
        <v>120</v>
      </c>
      <c r="C33" s="27">
        <v>1252.3</v>
      </c>
      <c r="D33" s="27">
        <v>1179.0999999999999</v>
      </c>
      <c r="E33" s="27">
        <f>C33-D33</f>
        <v>73.200000000000045</v>
      </c>
      <c r="F33" s="28">
        <f>IFERROR((C33-D33)/ABS(D33),0)</f>
        <v>6.2081248409804134E-2</v>
      </c>
      <c r="G33" s="27">
        <v>1139.2</v>
      </c>
      <c r="H33" s="27">
        <f>C33-G33</f>
        <v>113.09999999999991</v>
      </c>
      <c r="I33" s="28">
        <f>IFERROR((C33-G33)/ABS(G33),0)</f>
        <v>9.9280196629213405E-2</v>
      </c>
      <c r="J33" s="27">
        <v>10572.2</v>
      </c>
      <c r="K33" s="27">
        <v>10616.6</v>
      </c>
      <c r="L33" s="27">
        <f>J33-K33</f>
        <v>-44.399999999999636</v>
      </c>
      <c r="M33" s="28">
        <f>IFERROR((J33-K33)/ABS(K33),0)</f>
        <v>-4.1821298720870741E-3</v>
      </c>
      <c r="N33" s="27">
        <v>10257.700000000001</v>
      </c>
      <c r="O33" s="27">
        <f>J33-N33</f>
        <v>314.5</v>
      </c>
      <c r="P33" s="28">
        <f>IFERROR((J33-N33)/ABS(N33),0)</f>
        <v>3.0659894518264327E-2</v>
      </c>
    </row>
    <row r="34" spans="1:16">
      <c r="A34" t="s">
        <v>121</v>
      </c>
      <c r="B34" t="s">
        <v>122</v>
      </c>
      <c r="C34" s="27">
        <v>194.8</v>
      </c>
      <c r="D34" s="27">
        <v>248</v>
      </c>
      <c r="E34" s="27">
        <f>C34-D34</f>
        <v>-53.199999999999989</v>
      </c>
      <c r="F34" s="28">
        <f>IFERROR((C34-D34)/ABS(D34),0)</f>
        <v>-0.21451612903225803</v>
      </c>
      <c r="G34" s="27">
        <v>239.6</v>
      </c>
      <c r="H34" s="27">
        <f>C34-G34</f>
        <v>-44.799999999999983</v>
      </c>
      <c r="I34" s="28">
        <f>IFERROR((C34-G34)/ABS(G34),0)</f>
        <v>-0.18697829716193651</v>
      </c>
      <c r="J34" s="27">
        <v>1771.2</v>
      </c>
      <c r="K34" s="27">
        <v>2232.8000000000002</v>
      </c>
      <c r="L34" s="27">
        <f>J34-K34</f>
        <v>-461.60000000000014</v>
      </c>
      <c r="M34" s="28">
        <f>IFERROR((J34-K34)/ABS(K34),0)</f>
        <v>-0.20673593694016487</v>
      </c>
      <c r="N34" s="27">
        <v>2157.3000000000002</v>
      </c>
      <c r="O34" s="27">
        <f>J34-N34</f>
        <v>-386.10000000000014</v>
      </c>
      <c r="P34" s="28">
        <f>IFERROR((J34-N34)/ABS(N34),0)</f>
        <v>-0.17897371714643309</v>
      </c>
    </row>
    <row r="35" spans="1:16">
      <c r="A35" t="s">
        <v>123</v>
      </c>
      <c r="B35" t="s">
        <v>124</v>
      </c>
      <c r="C35" s="27">
        <v>291.8</v>
      </c>
      <c r="D35" s="27">
        <v>184.5</v>
      </c>
      <c r="E35" s="27">
        <f>C35-D35</f>
        <v>107.30000000000001</v>
      </c>
      <c r="F35" s="28">
        <f>IFERROR((C35-D35)/ABS(D35),0)</f>
        <v>0.58157181571815719</v>
      </c>
      <c r="G35" s="27">
        <v>178.2</v>
      </c>
      <c r="H35" s="27">
        <f>C35-G35</f>
        <v>113.60000000000002</v>
      </c>
      <c r="I35" s="28">
        <f>IFERROR((C35-G35)/ABS(G35),0)</f>
        <v>0.63748597081930436</v>
      </c>
      <c r="J35" s="27">
        <v>1757.8</v>
      </c>
      <c r="K35" s="27">
        <v>1673.2</v>
      </c>
      <c r="L35" s="27">
        <f>J35-K35</f>
        <v>84.599999999999909</v>
      </c>
      <c r="M35" s="28">
        <f>IFERROR((J35-K35)/ABS(K35),0)</f>
        <v>5.0561797752808932E-2</v>
      </c>
      <c r="N35" s="27">
        <v>1616.3</v>
      </c>
      <c r="O35" s="27">
        <f>J35-N35</f>
        <v>141.5</v>
      </c>
      <c r="P35" s="28">
        <f>IFERROR((J35-N35)/ABS(N35),0)</f>
        <v>8.7545628905524961E-2</v>
      </c>
    </row>
    <row r="36" spans="1:16">
      <c r="A36" s="21"/>
      <c r="B36" s="21" t="s">
        <v>125</v>
      </c>
      <c r="C36" s="31">
        <f>SUM(C33:C35)</f>
        <v>1738.8999999999999</v>
      </c>
      <c r="D36" s="31">
        <f>SUM(D33:D35)</f>
        <v>1611.6</v>
      </c>
      <c r="E36" s="31">
        <f>C36-D36</f>
        <v>127.29999999999995</v>
      </c>
      <c r="F36" s="32">
        <f>IFERROR((C36-D36)/ABS(D36),0)</f>
        <v>7.8989823777612281E-2</v>
      </c>
      <c r="G36" s="31">
        <f>SUM(G33:G35)</f>
        <v>1557</v>
      </c>
      <c r="H36" s="31">
        <f>C36-G36</f>
        <v>181.89999999999986</v>
      </c>
      <c r="I36" s="32">
        <f>IFERROR((C36-G36)/ABS(G36),0)</f>
        <v>0.1168272318561335</v>
      </c>
      <c r="J36" s="31">
        <f>SUM(J33:J35)</f>
        <v>14101.2</v>
      </c>
      <c r="K36" s="31">
        <f>SUM(K33:K35)</f>
        <v>14522.600000000002</v>
      </c>
      <c r="L36" s="31">
        <f>J36-K36</f>
        <v>-421.40000000000146</v>
      </c>
      <c r="M36" s="32">
        <f>IFERROR((J36-K36)/ABS(K36),0)</f>
        <v>-2.9016842714114647E-2</v>
      </c>
      <c r="N36" s="31">
        <f>SUM(N33:N35)</f>
        <v>14031.3</v>
      </c>
      <c r="O36" s="31">
        <f>J36-N36</f>
        <v>69.900000000001455</v>
      </c>
      <c r="P36" s="32">
        <f>IFERROR((J36-N36)/ABS(N36),0)</f>
        <v>4.9817194415343879E-3</v>
      </c>
    </row>
    <row r="37" spans="1:16">
      <c r="A37" s="10" t="s">
        <v>126</v>
      </c>
    </row>
    <row r="38" spans="1:16">
      <c r="A38" t="s">
        <v>127</v>
      </c>
      <c r="B38" t="s">
        <v>128</v>
      </c>
      <c r="C38" s="27">
        <v>1228.0999999999999</v>
      </c>
      <c r="D38" s="27">
        <v>1241.7</v>
      </c>
      <c r="E38" s="27">
        <f>C38-D38</f>
        <v>-13.600000000000136</v>
      </c>
      <c r="F38" s="28">
        <f>IFERROR((C38-D38)/ABS(D38),0)</f>
        <v>-1.0952726101312826E-2</v>
      </c>
      <c r="G38" s="27">
        <v>1200.0999999999999</v>
      </c>
      <c r="H38" s="27">
        <f>C38-G38</f>
        <v>28</v>
      </c>
      <c r="I38" s="28">
        <f>IFERROR((C38-G38)/ABS(G38),0)</f>
        <v>2.3331389050912425E-2</v>
      </c>
      <c r="J38" s="27">
        <v>11098.8</v>
      </c>
      <c r="K38" s="27">
        <v>11109.4</v>
      </c>
      <c r="L38" s="27">
        <f>J38-K38</f>
        <v>-10.600000000000364</v>
      </c>
      <c r="M38" s="28">
        <f>IFERROR((J38-K38)/ABS(K38),0)</f>
        <v>-9.5414693862858155E-4</v>
      </c>
      <c r="N38" s="27">
        <v>10733.6</v>
      </c>
      <c r="O38" s="27">
        <f>J38-N38</f>
        <v>365.19999999999891</v>
      </c>
      <c r="P38" s="28">
        <f>IFERROR((J38-N38)/ABS(N38),0)</f>
        <v>3.4023999403741421E-2</v>
      </c>
    </row>
    <row r="39" spans="1:16">
      <c r="A39" t="s">
        <v>129</v>
      </c>
      <c r="B39" t="s">
        <v>130</v>
      </c>
      <c r="C39" s="27">
        <v>134.69999999999999</v>
      </c>
      <c r="D39" s="27">
        <v>135.4</v>
      </c>
      <c r="E39" s="27">
        <f>C39-D39</f>
        <v>-0.70000000000001705</v>
      </c>
      <c r="F39" s="28">
        <f>IFERROR((C39-D39)/ABS(D39),0)</f>
        <v>-5.1698670605614255E-3</v>
      </c>
      <c r="G39" s="27">
        <v>130.69999999999999</v>
      </c>
      <c r="H39" s="27">
        <f>C39-G39</f>
        <v>4</v>
      </c>
      <c r="I39" s="28">
        <f>IFERROR((C39-G39)/ABS(G39),0)</f>
        <v>3.0604437643458306E-2</v>
      </c>
      <c r="J39" s="27">
        <v>1474.8</v>
      </c>
      <c r="K39" s="27">
        <v>1211.8</v>
      </c>
      <c r="L39" s="27">
        <f>J39-K39</f>
        <v>263</v>
      </c>
      <c r="M39" s="28">
        <f>IFERROR((J39-K39)/ABS(K39),0)</f>
        <v>0.21703251361610829</v>
      </c>
      <c r="N39" s="27">
        <v>1171</v>
      </c>
      <c r="O39" s="27">
        <f>J39-N39</f>
        <v>303.79999999999995</v>
      </c>
      <c r="P39" s="28">
        <f>IFERROR((J39-N39)/ABS(N39),0)</f>
        <v>0.25943637916310841</v>
      </c>
    </row>
    <row r="40" spans="1:16">
      <c r="A40" t="s">
        <v>131</v>
      </c>
      <c r="B40" t="s">
        <v>132</v>
      </c>
      <c r="C40" s="27">
        <v>302.7</v>
      </c>
      <c r="D40" s="27">
        <v>207</v>
      </c>
      <c r="E40" s="27">
        <f>C40-D40</f>
        <v>95.699999999999989</v>
      </c>
      <c r="F40" s="28">
        <f>IFERROR((C40-D40)/ABS(D40),0)</f>
        <v>0.46231884057971007</v>
      </c>
      <c r="G40" s="27">
        <v>200</v>
      </c>
      <c r="H40" s="27">
        <f>C40-G40</f>
        <v>102.69999999999999</v>
      </c>
      <c r="I40" s="28">
        <f>IFERROR((C40-G40)/ABS(G40),0)</f>
        <v>0.51349999999999996</v>
      </c>
      <c r="J40" s="27">
        <v>2246</v>
      </c>
      <c r="K40" s="27">
        <v>1863.1</v>
      </c>
      <c r="L40" s="27">
        <f>J40-K40</f>
        <v>382.90000000000009</v>
      </c>
      <c r="M40" s="28">
        <f>IFERROR((J40-K40)/ABS(K40),0)</f>
        <v>0.20551768557780051</v>
      </c>
      <c r="N40" s="27">
        <v>1800.3</v>
      </c>
      <c r="O40" s="27">
        <f>J40-N40</f>
        <v>445.70000000000005</v>
      </c>
      <c r="P40" s="28">
        <f>IFERROR((J40-N40)/ABS(N40),0)</f>
        <v>0.24756984946953289</v>
      </c>
    </row>
    <row r="41" spans="1:16">
      <c r="A41" t="s">
        <v>133</v>
      </c>
      <c r="B41" t="s">
        <v>134</v>
      </c>
      <c r="C41" s="27">
        <v>449.9</v>
      </c>
      <c r="D41" s="27">
        <v>49.3</v>
      </c>
      <c r="E41" s="27">
        <f>C41-D41</f>
        <v>400.59999999999997</v>
      </c>
      <c r="F41" s="28">
        <f>IFERROR((C41-D41)/ABS(D41),0)</f>
        <v>8.125760649087221</v>
      </c>
      <c r="G41" s="27">
        <v>47.6</v>
      </c>
      <c r="H41" s="27">
        <f>C41-G41</f>
        <v>402.29999999999995</v>
      </c>
      <c r="I41" s="28">
        <f>IFERROR((C41-G41)/ABS(G41),0)</f>
        <v>8.4516806722689068</v>
      </c>
      <c r="J41" s="27">
        <v>832.1</v>
      </c>
      <c r="K41" s="27">
        <v>440.1</v>
      </c>
      <c r="L41" s="27">
        <f>J41-K41</f>
        <v>392</v>
      </c>
      <c r="M41" s="28">
        <f>IFERROR((J41-K41)/ABS(K41),0)</f>
        <v>0.89070665757782319</v>
      </c>
      <c r="N41" s="27">
        <v>425.4</v>
      </c>
      <c r="O41" s="27">
        <f>J41-N41</f>
        <v>406.70000000000005</v>
      </c>
      <c r="P41" s="28">
        <f>IFERROR((J41-N41)/ABS(N41),0)</f>
        <v>0.95604137282557611</v>
      </c>
    </row>
    <row r="42" spans="1:16">
      <c r="A42" t="s">
        <v>135</v>
      </c>
      <c r="B42" t="s">
        <v>136</v>
      </c>
      <c r="C42" s="27">
        <v>170.7</v>
      </c>
      <c r="D42" s="27">
        <v>166.6</v>
      </c>
      <c r="E42" s="27">
        <f>C42-D42</f>
        <v>4.0999999999999943</v>
      </c>
      <c r="F42" s="28">
        <f>IFERROR((C42-D42)/ABS(D42),0)</f>
        <v>2.4609843937574996E-2</v>
      </c>
      <c r="G42" s="27">
        <v>161</v>
      </c>
      <c r="H42" s="27">
        <f>C42-G42</f>
        <v>9.6999999999999886</v>
      </c>
      <c r="I42" s="28">
        <f>IFERROR((C42-G42)/ABS(G42),0)</f>
        <v>6.0248447204968872E-2</v>
      </c>
      <c r="J42" s="27">
        <v>1536.3</v>
      </c>
      <c r="K42" s="27">
        <v>1499.4</v>
      </c>
      <c r="L42" s="27">
        <f>J42-K42</f>
        <v>36.899999999999864</v>
      </c>
      <c r="M42" s="28">
        <f>IFERROR((J42-K42)/ABS(K42),0)</f>
        <v>2.4609843937574937E-2</v>
      </c>
      <c r="N42" s="27">
        <v>1449</v>
      </c>
      <c r="O42" s="27">
        <f>J42-N42</f>
        <v>87.299999999999955</v>
      </c>
      <c r="P42" s="28">
        <f>IFERROR((J42-N42)/ABS(N42),0)</f>
        <v>6.0248447204968913E-2</v>
      </c>
    </row>
    <row r="43" spans="1:16">
      <c r="A43" s="21"/>
      <c r="B43" s="21" t="s">
        <v>137</v>
      </c>
      <c r="C43" s="31">
        <f>SUM(C38:C42)</f>
        <v>2286.1</v>
      </c>
      <c r="D43" s="31">
        <f>SUM(D38:D42)</f>
        <v>1800</v>
      </c>
      <c r="E43" s="31">
        <f>C43-D43</f>
        <v>486.09999999999991</v>
      </c>
      <c r="F43" s="32">
        <f>IFERROR((C43-D43)/ABS(D43),0)</f>
        <v>0.27005555555555549</v>
      </c>
      <c r="G43" s="31">
        <f>SUM(G38:G42)</f>
        <v>1739.3999999999999</v>
      </c>
      <c r="H43" s="31">
        <f>C43-G43</f>
        <v>546.70000000000005</v>
      </c>
      <c r="I43" s="32">
        <f>IFERROR((C43-G43)/ABS(G43),0)</f>
        <v>0.31430378291364841</v>
      </c>
      <c r="J43" s="31">
        <f>SUM(J38:J42)</f>
        <v>17188</v>
      </c>
      <c r="K43" s="31">
        <f>SUM(K38:K42)</f>
        <v>16123.8</v>
      </c>
      <c r="L43" s="31">
        <f>J43-K43</f>
        <v>1064.2000000000007</v>
      </c>
      <c r="M43" s="32">
        <f>IFERROR((J43-K43)/ABS(K43),0)</f>
        <v>6.6001810987484394E-2</v>
      </c>
      <c r="N43" s="31">
        <f>SUM(N38:N42)</f>
        <v>15579.3</v>
      </c>
      <c r="O43" s="31">
        <f>J43-N43</f>
        <v>1608.7000000000007</v>
      </c>
      <c r="P43" s="32">
        <f>IFERROR((J43-N43)/ABS(N43),0)</f>
        <v>0.10325881137149941</v>
      </c>
    </row>
    <row r="44" spans="1:16">
      <c r="A44" s="21"/>
      <c r="B44" s="21" t="s">
        <v>138</v>
      </c>
      <c r="C44" s="31">
        <f>C31+C36+C43</f>
        <v>8948.1999999999989</v>
      </c>
      <c r="D44" s="31">
        <f>D31+D36+D43</f>
        <v>7938.2000000000007</v>
      </c>
      <c r="E44" s="31">
        <f>C44-D44</f>
        <v>1009.9999999999982</v>
      </c>
      <c r="F44" s="32">
        <f>IFERROR((C44-D44)/ABS(D44),0)</f>
        <v>0.12723287395127333</v>
      </c>
      <c r="G44" s="31">
        <f>G31+G36+G43</f>
        <v>7669.9</v>
      </c>
      <c r="H44" s="31">
        <f>C44-G44</f>
        <v>1278.2999999999993</v>
      </c>
      <c r="I44" s="32">
        <f>IFERROR((C44-G44)/ABS(G44),0)</f>
        <v>0.16666449367006081</v>
      </c>
      <c r="J44" s="31">
        <f>J31+J36+J43</f>
        <v>72190.3</v>
      </c>
      <c r="K44" s="31">
        <f>K31+K36+K43</f>
        <v>71100.400000000009</v>
      </c>
      <c r="L44" s="31">
        <f>J44-K44</f>
        <v>1089.8999999999942</v>
      </c>
      <c r="M44" s="32">
        <f>IFERROR((J44-K44)/ABS(K44),0)</f>
        <v>1.5329027684794938E-2</v>
      </c>
      <c r="N44" s="31">
        <f>N31+N36+N43</f>
        <v>68696.100000000006</v>
      </c>
      <c r="O44" s="31">
        <f>J44-N44</f>
        <v>3494.1999999999971</v>
      </c>
      <c r="P44" s="32">
        <f>IFERROR((J44-N44)/ABS(N44),0)</f>
        <v>5.0864605123143773E-2</v>
      </c>
    </row>
    <row r="45" spans="1:16">
      <c r="A45" s="33"/>
      <c r="B45" s="33" t="s">
        <v>53</v>
      </c>
      <c r="C45" s="34">
        <f>C21-C44</f>
        <v>2104.9999999999909</v>
      </c>
      <c r="D45" s="34">
        <f>D21-D44</f>
        <v>3065.2999999999993</v>
      </c>
      <c r="E45" s="34">
        <f>C45-D45</f>
        <v>-960.30000000000837</v>
      </c>
      <c r="F45" s="35">
        <f>IFERROR((C45-D45)/ABS(D45),0)</f>
        <v>-0.3132809186702798</v>
      </c>
      <c r="G45" s="34">
        <f>G21-G44</f>
        <v>2817.0999999999967</v>
      </c>
      <c r="H45" s="34">
        <f>C45-G45</f>
        <v>-712.10000000000582</v>
      </c>
      <c r="I45" s="35">
        <f>IFERROR((C45-G45)/ABS(G45),0)</f>
        <v>-0.2527776791736206</v>
      </c>
      <c r="J45" s="34">
        <f>J21-J44</f>
        <v>22777.700000000055</v>
      </c>
      <c r="K45" s="34">
        <f>K21-K44</f>
        <v>27245.699999999968</v>
      </c>
      <c r="L45" s="34">
        <f>J45-K45</f>
        <v>-4467.9999999999127</v>
      </c>
      <c r="M45" s="35">
        <f>IFERROR((J45-K45)/ABS(K45),0)</f>
        <v>-0.16398917994398815</v>
      </c>
      <c r="N45" s="34">
        <f>N21-N44</f>
        <v>25207.800000000076</v>
      </c>
      <c r="O45" s="34">
        <f>J45-N45</f>
        <v>-2430.1000000000204</v>
      </c>
      <c r="P45" s="35">
        <f>IFERROR((J45-N45)/ABS(N45),0)</f>
        <v>-9.6402700751355264E-2</v>
      </c>
    </row>
    <row r="46" spans="1:16">
      <c r="B46" s="36" t="s">
        <v>54</v>
      </c>
      <c r="C46" s="28">
        <f>IFERROR(C45/C13,0)</f>
        <v>5.0238783386117654E-2</v>
      </c>
      <c r="D46" s="28">
        <f>IFERROR(D45/D13,0)</f>
        <v>7.4257917444905522E-2</v>
      </c>
      <c r="G46" s="28">
        <f>IFERROR(G45/G13,0)</f>
        <v>7.0975251503478012E-2</v>
      </c>
      <c r="J46" s="28">
        <f>IFERROR(J45/J13,0)</f>
        <v>6.3011170258822941E-2</v>
      </c>
      <c r="K46" s="28">
        <f>IFERROR(K45/K13,0)</f>
        <v>7.3890130680064545E-2</v>
      </c>
      <c r="N46" s="28">
        <f>IFERROR(N45/N13,0)</f>
        <v>7.1097991510931935E-2</v>
      </c>
    </row>
    <row r="48" spans="1:16">
      <c r="A48" s="30" t="s">
        <v>139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3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" customWidth="1"/>
    <col min="2" max="3" width="7" customWidth="1"/>
    <col min="4" max="4" width="10" customWidth="1"/>
    <col min="5" max="5" width="24" customWidth="1"/>
    <col min="6" max="6" width="11" customWidth="1"/>
    <col min="7" max="9" width="13" customWidth="1"/>
    <col min="10" max="11" width="10" customWidth="1"/>
    <col min="12" max="14" width="11" customWidth="1"/>
  </cols>
  <sheetData>
    <row r="1" spans="1:14">
      <c r="A1" s="11" t="s">
        <v>140</v>
      </c>
      <c r="B1" s="11" t="s">
        <v>141</v>
      </c>
      <c r="C1" s="11" t="s">
        <v>142</v>
      </c>
      <c r="D1" s="11" t="s">
        <v>143</v>
      </c>
      <c r="E1" s="11" t="s">
        <v>31</v>
      </c>
      <c r="F1" s="11" t="s">
        <v>48</v>
      </c>
      <c r="G1" s="11" t="s">
        <v>144</v>
      </c>
      <c r="H1" s="11" t="s">
        <v>49</v>
      </c>
      <c r="I1" s="11" t="s">
        <v>145</v>
      </c>
      <c r="J1" s="11" t="s">
        <v>146</v>
      </c>
      <c r="K1" s="11" t="s">
        <v>126</v>
      </c>
      <c r="L1" s="11" t="s">
        <v>51</v>
      </c>
      <c r="M1" s="11" t="s">
        <v>53</v>
      </c>
      <c r="N1" s="11" t="s">
        <v>15</v>
      </c>
    </row>
    <row r="2" spans="1:14">
      <c r="A2" t="s">
        <v>147</v>
      </c>
      <c r="B2">
        <v>2025</v>
      </c>
      <c r="C2" t="s">
        <v>148</v>
      </c>
      <c r="D2">
        <v>1</v>
      </c>
      <c r="E2" t="s">
        <v>56</v>
      </c>
      <c r="F2" s="37">
        <v>13336.5</v>
      </c>
      <c r="G2" s="37">
        <v>10102.299999999999</v>
      </c>
      <c r="H2" s="37">
        <v>3234.2</v>
      </c>
      <c r="I2" s="37">
        <v>1504.7</v>
      </c>
      <c r="J2" s="37">
        <v>532.29999999999995</v>
      </c>
      <c r="K2" s="37">
        <v>596.9</v>
      </c>
      <c r="L2" s="37">
        <v>2633.9</v>
      </c>
      <c r="M2" s="37">
        <v>600.29999999999995</v>
      </c>
      <c r="N2">
        <v>22</v>
      </c>
    </row>
    <row r="3" spans="1:14">
      <c r="A3" t="s">
        <v>147</v>
      </c>
      <c r="B3">
        <v>2025</v>
      </c>
      <c r="C3" t="s">
        <v>148</v>
      </c>
      <c r="D3">
        <v>1</v>
      </c>
      <c r="E3" t="s">
        <v>57</v>
      </c>
      <c r="F3" s="37">
        <v>9260.5</v>
      </c>
      <c r="G3" s="37">
        <v>6669.8</v>
      </c>
      <c r="H3" s="37">
        <v>2590.6999999999998</v>
      </c>
      <c r="I3" s="37">
        <v>1040.4000000000001</v>
      </c>
      <c r="J3" s="37">
        <v>364.2</v>
      </c>
      <c r="K3" s="37">
        <v>439</v>
      </c>
      <c r="L3" s="37">
        <v>1843.6</v>
      </c>
      <c r="M3" s="37">
        <v>747.1</v>
      </c>
      <c r="N3">
        <v>22</v>
      </c>
    </row>
    <row r="4" spans="1:14">
      <c r="A4" t="s">
        <v>147</v>
      </c>
      <c r="B4">
        <v>2025</v>
      </c>
      <c r="C4" t="s">
        <v>148</v>
      </c>
      <c r="D4">
        <v>1</v>
      </c>
      <c r="E4" t="s">
        <v>58</v>
      </c>
      <c r="F4" s="37">
        <v>8830</v>
      </c>
      <c r="G4" s="37">
        <v>6129.8</v>
      </c>
      <c r="H4" s="37">
        <v>2700.2</v>
      </c>
      <c r="I4" s="37">
        <v>979.1</v>
      </c>
      <c r="J4" s="37">
        <v>342.1</v>
      </c>
      <c r="K4" s="37">
        <v>407</v>
      </c>
      <c r="L4" s="37">
        <v>1728.2</v>
      </c>
      <c r="M4" s="37">
        <v>972</v>
      </c>
      <c r="N4">
        <v>22</v>
      </c>
    </row>
    <row r="5" spans="1:14">
      <c r="A5" t="s">
        <v>147</v>
      </c>
      <c r="B5">
        <v>2025</v>
      </c>
      <c r="C5" t="s">
        <v>148</v>
      </c>
      <c r="D5">
        <v>1</v>
      </c>
      <c r="E5" t="s">
        <v>59</v>
      </c>
      <c r="F5" s="37">
        <v>5602.5</v>
      </c>
      <c r="G5" s="37">
        <v>4322.2</v>
      </c>
      <c r="H5" s="37">
        <v>1280.3</v>
      </c>
      <c r="I5" s="37">
        <v>663.5</v>
      </c>
      <c r="J5" s="37">
        <v>246.1</v>
      </c>
      <c r="K5" s="37">
        <v>295.39999999999998</v>
      </c>
      <c r="L5" s="37">
        <v>1205</v>
      </c>
      <c r="M5" s="37">
        <v>75.3</v>
      </c>
      <c r="N5">
        <v>22</v>
      </c>
    </row>
    <row r="6" spans="1:14">
      <c r="A6" t="s">
        <v>147</v>
      </c>
      <c r="B6">
        <v>2025</v>
      </c>
      <c r="C6" t="s">
        <v>149</v>
      </c>
      <c r="D6">
        <v>2</v>
      </c>
      <c r="E6" t="s">
        <v>56</v>
      </c>
      <c r="F6" s="37">
        <v>12969.8</v>
      </c>
      <c r="G6" s="37">
        <v>9815.6</v>
      </c>
      <c r="H6" s="37">
        <v>3154.2</v>
      </c>
      <c r="I6" s="37">
        <v>1475.8</v>
      </c>
      <c r="J6" s="37">
        <v>512.79999999999995</v>
      </c>
      <c r="K6" s="37">
        <v>593.9</v>
      </c>
      <c r="L6" s="37">
        <v>2582.5</v>
      </c>
      <c r="M6" s="37">
        <v>571.70000000000005</v>
      </c>
      <c r="N6">
        <v>20</v>
      </c>
    </row>
    <row r="7" spans="1:14">
      <c r="A7" t="s">
        <v>147</v>
      </c>
      <c r="B7">
        <v>2025</v>
      </c>
      <c r="C7" t="s">
        <v>149</v>
      </c>
      <c r="D7">
        <v>2</v>
      </c>
      <c r="E7" t="s">
        <v>57</v>
      </c>
      <c r="F7" s="37">
        <v>9092.5</v>
      </c>
      <c r="G7" s="37">
        <v>6537.4</v>
      </c>
      <c r="H7" s="37">
        <v>2555.1</v>
      </c>
      <c r="I7" s="37">
        <v>1031.4000000000001</v>
      </c>
      <c r="J7" s="37">
        <v>359</v>
      </c>
      <c r="K7" s="37">
        <v>435.7</v>
      </c>
      <c r="L7" s="37">
        <v>1826.1</v>
      </c>
      <c r="M7" s="37">
        <v>729</v>
      </c>
      <c r="N7">
        <v>20</v>
      </c>
    </row>
    <row r="8" spans="1:14">
      <c r="A8" t="s">
        <v>147</v>
      </c>
      <c r="B8">
        <v>2025</v>
      </c>
      <c r="C8" t="s">
        <v>149</v>
      </c>
      <c r="D8">
        <v>2</v>
      </c>
      <c r="E8" t="s">
        <v>58</v>
      </c>
      <c r="F8" s="37">
        <v>8722.4</v>
      </c>
      <c r="G8" s="37">
        <v>6053.7</v>
      </c>
      <c r="H8" s="37">
        <v>2668.7</v>
      </c>
      <c r="I8" s="37">
        <v>974.3</v>
      </c>
      <c r="J8" s="37">
        <v>343.3</v>
      </c>
      <c r="K8" s="37">
        <v>407.4</v>
      </c>
      <c r="L8" s="37">
        <v>1725</v>
      </c>
      <c r="M8" s="37">
        <v>943.7</v>
      </c>
      <c r="N8">
        <v>20</v>
      </c>
    </row>
    <row r="9" spans="1:14">
      <c r="A9" t="s">
        <v>147</v>
      </c>
      <c r="B9">
        <v>2025</v>
      </c>
      <c r="C9" t="s">
        <v>149</v>
      </c>
      <c r="D9">
        <v>2</v>
      </c>
      <c r="E9" t="s">
        <v>59</v>
      </c>
      <c r="F9" s="37">
        <v>5418.1</v>
      </c>
      <c r="G9" s="37">
        <v>4192.1000000000004</v>
      </c>
      <c r="H9" s="37">
        <v>1226</v>
      </c>
      <c r="I9" s="37">
        <v>649.20000000000005</v>
      </c>
      <c r="J9" s="37">
        <v>244.6</v>
      </c>
      <c r="K9" s="37">
        <v>292.60000000000002</v>
      </c>
      <c r="L9" s="37">
        <v>1186.4000000000001</v>
      </c>
      <c r="M9" s="37">
        <v>39.6</v>
      </c>
      <c r="N9">
        <v>20</v>
      </c>
    </row>
    <row r="10" spans="1:14">
      <c r="A10" t="s">
        <v>147</v>
      </c>
      <c r="B10">
        <v>2025</v>
      </c>
      <c r="C10" t="s">
        <v>150</v>
      </c>
      <c r="D10">
        <v>3</v>
      </c>
      <c r="E10" t="s">
        <v>56</v>
      </c>
      <c r="F10" s="37">
        <v>14284.2</v>
      </c>
      <c r="G10" s="37">
        <v>10835.8</v>
      </c>
      <c r="H10" s="37">
        <v>3448.4</v>
      </c>
      <c r="I10" s="37">
        <v>1548.6</v>
      </c>
      <c r="J10" s="37">
        <v>561</v>
      </c>
      <c r="K10" s="37">
        <v>590.9</v>
      </c>
      <c r="L10" s="37">
        <v>2700.5</v>
      </c>
      <c r="M10" s="37">
        <v>747.9</v>
      </c>
      <c r="N10">
        <v>21</v>
      </c>
    </row>
    <row r="11" spans="1:14">
      <c r="A11" t="s">
        <v>147</v>
      </c>
      <c r="B11">
        <v>2025</v>
      </c>
      <c r="C11" t="s">
        <v>150</v>
      </c>
      <c r="D11">
        <v>3</v>
      </c>
      <c r="E11" t="s">
        <v>57</v>
      </c>
      <c r="F11" s="37">
        <v>9816.5</v>
      </c>
      <c r="G11" s="37">
        <v>7026</v>
      </c>
      <c r="H11" s="37">
        <v>2790.5</v>
      </c>
      <c r="I11" s="37">
        <v>1067.4000000000001</v>
      </c>
      <c r="J11" s="37">
        <v>391.6</v>
      </c>
      <c r="K11" s="37">
        <v>436.8</v>
      </c>
      <c r="L11" s="37">
        <v>1895.8</v>
      </c>
      <c r="M11" s="37">
        <v>894.7</v>
      </c>
      <c r="N11">
        <v>21</v>
      </c>
    </row>
    <row r="12" spans="1:14">
      <c r="A12" t="s">
        <v>147</v>
      </c>
      <c r="B12">
        <v>2025</v>
      </c>
      <c r="C12" t="s">
        <v>150</v>
      </c>
      <c r="D12">
        <v>3</v>
      </c>
      <c r="E12" t="s">
        <v>58</v>
      </c>
      <c r="F12" s="37">
        <v>9451.1</v>
      </c>
      <c r="G12" s="37">
        <v>6569.3</v>
      </c>
      <c r="H12" s="37">
        <v>2881.8</v>
      </c>
      <c r="I12" s="37">
        <v>1017</v>
      </c>
      <c r="J12" s="37">
        <v>365.5</v>
      </c>
      <c r="K12" s="37">
        <v>404.6</v>
      </c>
      <c r="L12" s="37">
        <v>1787.1</v>
      </c>
      <c r="M12" s="37">
        <v>1094.7</v>
      </c>
      <c r="N12">
        <v>21</v>
      </c>
    </row>
    <row r="13" spans="1:14">
      <c r="A13" t="s">
        <v>147</v>
      </c>
      <c r="B13">
        <v>2025</v>
      </c>
      <c r="C13" t="s">
        <v>150</v>
      </c>
      <c r="D13">
        <v>3</v>
      </c>
      <c r="E13" t="s">
        <v>59</v>
      </c>
      <c r="F13" s="37">
        <v>5948.8</v>
      </c>
      <c r="G13" s="37">
        <v>4616.3999999999996</v>
      </c>
      <c r="H13" s="37">
        <v>1332.4</v>
      </c>
      <c r="I13" s="37">
        <v>677</v>
      </c>
      <c r="J13" s="37">
        <v>259.10000000000002</v>
      </c>
      <c r="K13" s="37">
        <v>298</v>
      </c>
      <c r="L13" s="37">
        <v>1234.0999999999999</v>
      </c>
      <c r="M13" s="37">
        <v>98.3</v>
      </c>
      <c r="N13">
        <v>21</v>
      </c>
    </row>
    <row r="14" spans="1:14">
      <c r="A14" t="s">
        <v>147</v>
      </c>
      <c r="B14">
        <v>2025</v>
      </c>
      <c r="C14" t="s">
        <v>151</v>
      </c>
      <c r="D14">
        <v>4</v>
      </c>
      <c r="E14" t="s">
        <v>56</v>
      </c>
      <c r="F14" s="37">
        <v>14292.7</v>
      </c>
      <c r="G14" s="37">
        <v>10835.1</v>
      </c>
      <c r="H14" s="37">
        <v>3457.6</v>
      </c>
      <c r="I14" s="37">
        <v>1553.5</v>
      </c>
      <c r="J14" s="37">
        <v>554.70000000000005</v>
      </c>
      <c r="K14" s="37">
        <v>598.6</v>
      </c>
      <c r="L14" s="37">
        <v>2706.8</v>
      </c>
      <c r="M14" s="37">
        <v>750.8</v>
      </c>
      <c r="N14">
        <v>22</v>
      </c>
    </row>
    <row r="15" spans="1:14">
      <c r="A15" t="s">
        <v>147</v>
      </c>
      <c r="B15">
        <v>2025</v>
      </c>
      <c r="C15" t="s">
        <v>151</v>
      </c>
      <c r="D15">
        <v>4</v>
      </c>
      <c r="E15" t="s">
        <v>57</v>
      </c>
      <c r="F15" s="37">
        <v>9770.6</v>
      </c>
      <c r="G15" s="37">
        <v>7027.2</v>
      </c>
      <c r="H15" s="37">
        <v>2743.4</v>
      </c>
      <c r="I15" s="37">
        <v>1061.3</v>
      </c>
      <c r="J15" s="37">
        <v>378.3</v>
      </c>
      <c r="K15" s="37">
        <v>433.9</v>
      </c>
      <c r="L15" s="37">
        <v>1873.5</v>
      </c>
      <c r="M15" s="37">
        <v>869.9</v>
      </c>
      <c r="N15">
        <v>22</v>
      </c>
    </row>
    <row r="16" spans="1:14">
      <c r="A16" t="s">
        <v>147</v>
      </c>
      <c r="B16">
        <v>2025</v>
      </c>
      <c r="C16" t="s">
        <v>151</v>
      </c>
      <c r="D16">
        <v>4</v>
      </c>
      <c r="E16" t="s">
        <v>58</v>
      </c>
      <c r="F16" s="37">
        <v>9484.7000000000007</v>
      </c>
      <c r="G16" s="37">
        <v>6586.2</v>
      </c>
      <c r="H16" s="37">
        <v>2898.5</v>
      </c>
      <c r="I16" s="37">
        <v>1016.7</v>
      </c>
      <c r="J16" s="37">
        <v>361.3</v>
      </c>
      <c r="K16" s="37">
        <v>402.4</v>
      </c>
      <c r="L16" s="37">
        <v>1780.4</v>
      </c>
      <c r="M16" s="37">
        <v>1118.0999999999999</v>
      </c>
      <c r="N16">
        <v>22</v>
      </c>
    </row>
    <row r="17" spans="1:14">
      <c r="A17" t="s">
        <v>147</v>
      </c>
      <c r="B17">
        <v>2025</v>
      </c>
      <c r="C17" t="s">
        <v>151</v>
      </c>
      <c r="D17">
        <v>4</v>
      </c>
      <c r="E17" t="s">
        <v>59</v>
      </c>
      <c r="F17" s="37">
        <v>6075.9</v>
      </c>
      <c r="G17" s="37">
        <v>4703.1000000000004</v>
      </c>
      <c r="H17" s="37">
        <v>1372.8</v>
      </c>
      <c r="I17" s="37">
        <v>684.4</v>
      </c>
      <c r="J17" s="37">
        <v>259.7</v>
      </c>
      <c r="K17" s="37">
        <v>294.8</v>
      </c>
      <c r="L17" s="37">
        <v>1238.9000000000001</v>
      </c>
      <c r="M17" s="37">
        <v>133.9</v>
      </c>
      <c r="N17">
        <v>22</v>
      </c>
    </row>
    <row r="18" spans="1:14">
      <c r="A18" t="s">
        <v>147</v>
      </c>
      <c r="B18">
        <v>2025</v>
      </c>
      <c r="C18" t="s">
        <v>152</v>
      </c>
      <c r="D18">
        <v>5</v>
      </c>
      <c r="E18" t="s">
        <v>56</v>
      </c>
      <c r="F18" s="37">
        <v>14420.5</v>
      </c>
      <c r="G18" s="37">
        <v>10901.7</v>
      </c>
      <c r="H18" s="37">
        <v>3518.8</v>
      </c>
      <c r="I18" s="37">
        <v>1567.1</v>
      </c>
      <c r="J18" s="37">
        <v>568.5</v>
      </c>
      <c r="K18" s="37">
        <v>600</v>
      </c>
      <c r="L18" s="37">
        <v>2735.6</v>
      </c>
      <c r="M18" s="37">
        <v>783.2</v>
      </c>
      <c r="N18">
        <v>21</v>
      </c>
    </row>
    <row r="19" spans="1:14">
      <c r="A19" t="s">
        <v>147</v>
      </c>
      <c r="B19">
        <v>2025</v>
      </c>
      <c r="C19" t="s">
        <v>152</v>
      </c>
      <c r="D19">
        <v>5</v>
      </c>
      <c r="E19" t="s">
        <v>57</v>
      </c>
      <c r="F19" s="37">
        <v>10023.4</v>
      </c>
      <c r="G19" s="37">
        <v>7168.5</v>
      </c>
      <c r="H19" s="37">
        <v>2854.9</v>
      </c>
      <c r="I19" s="37">
        <v>1092.2</v>
      </c>
      <c r="J19" s="37">
        <v>388.9</v>
      </c>
      <c r="K19" s="37">
        <v>442</v>
      </c>
      <c r="L19" s="37">
        <v>1923.1</v>
      </c>
      <c r="M19" s="37">
        <v>931.8</v>
      </c>
      <c r="N19">
        <v>21</v>
      </c>
    </row>
    <row r="20" spans="1:14">
      <c r="A20" t="s">
        <v>147</v>
      </c>
      <c r="B20">
        <v>2025</v>
      </c>
      <c r="C20" t="s">
        <v>152</v>
      </c>
      <c r="D20">
        <v>5</v>
      </c>
      <c r="E20" t="s">
        <v>58</v>
      </c>
      <c r="F20" s="37">
        <v>9823.9</v>
      </c>
      <c r="G20" s="37">
        <v>6826</v>
      </c>
      <c r="H20" s="37">
        <v>2997.9</v>
      </c>
      <c r="I20" s="37">
        <v>1038.3</v>
      </c>
      <c r="J20" s="37">
        <v>378.2</v>
      </c>
      <c r="K20" s="37">
        <v>402.4</v>
      </c>
      <c r="L20" s="37">
        <v>1818.9</v>
      </c>
      <c r="M20" s="37">
        <v>1179</v>
      </c>
      <c r="N20">
        <v>21</v>
      </c>
    </row>
    <row r="21" spans="1:14">
      <c r="A21" t="s">
        <v>147</v>
      </c>
      <c r="B21">
        <v>2025</v>
      </c>
      <c r="C21" t="s">
        <v>152</v>
      </c>
      <c r="D21">
        <v>5</v>
      </c>
      <c r="E21" t="s">
        <v>59</v>
      </c>
      <c r="F21" s="37">
        <v>6254.8</v>
      </c>
      <c r="G21" s="37">
        <v>4849.5</v>
      </c>
      <c r="H21" s="37">
        <v>1405.3</v>
      </c>
      <c r="I21" s="37">
        <v>699.4</v>
      </c>
      <c r="J21" s="37">
        <v>264.10000000000002</v>
      </c>
      <c r="K21" s="37">
        <v>296.89999999999998</v>
      </c>
      <c r="L21" s="37">
        <v>1260.4000000000001</v>
      </c>
      <c r="M21" s="37">
        <v>144.9</v>
      </c>
      <c r="N21">
        <v>21</v>
      </c>
    </row>
    <row r="22" spans="1:14">
      <c r="A22" t="s">
        <v>147</v>
      </c>
      <c r="B22">
        <v>2025</v>
      </c>
      <c r="C22" t="s">
        <v>153</v>
      </c>
      <c r="D22">
        <v>6</v>
      </c>
      <c r="E22" t="s">
        <v>56</v>
      </c>
      <c r="F22" s="37">
        <v>14779.8</v>
      </c>
      <c r="G22" s="37">
        <v>11150.4</v>
      </c>
      <c r="H22" s="37">
        <v>3629.4</v>
      </c>
      <c r="I22" s="37">
        <v>1604.2</v>
      </c>
      <c r="J22" s="37">
        <v>571.79999999999995</v>
      </c>
      <c r="K22" s="37">
        <v>584.1</v>
      </c>
      <c r="L22" s="37">
        <v>2760.1</v>
      </c>
      <c r="M22" s="37">
        <v>869.3</v>
      </c>
      <c r="N22">
        <v>21</v>
      </c>
    </row>
    <row r="23" spans="1:14">
      <c r="A23" t="s">
        <v>147</v>
      </c>
      <c r="B23">
        <v>2025</v>
      </c>
      <c r="C23" t="s">
        <v>153</v>
      </c>
      <c r="D23">
        <v>6</v>
      </c>
      <c r="E23" t="s">
        <v>57</v>
      </c>
      <c r="F23" s="37">
        <v>10290.799999999999</v>
      </c>
      <c r="G23" s="37">
        <v>7412.6</v>
      </c>
      <c r="H23" s="37">
        <v>2878.2</v>
      </c>
      <c r="I23" s="37">
        <v>1113.2</v>
      </c>
      <c r="J23" s="37">
        <v>399.6</v>
      </c>
      <c r="K23" s="37">
        <v>441.3</v>
      </c>
      <c r="L23" s="37">
        <v>1954.1</v>
      </c>
      <c r="M23" s="37">
        <v>924.1</v>
      </c>
      <c r="N23">
        <v>21</v>
      </c>
    </row>
    <row r="24" spans="1:14">
      <c r="A24" t="s">
        <v>147</v>
      </c>
      <c r="B24">
        <v>2025</v>
      </c>
      <c r="C24" t="s">
        <v>153</v>
      </c>
      <c r="D24">
        <v>6</v>
      </c>
      <c r="E24" t="s">
        <v>58</v>
      </c>
      <c r="F24" s="37">
        <v>9732.7000000000007</v>
      </c>
      <c r="G24" s="37">
        <v>6762.3</v>
      </c>
      <c r="H24" s="37">
        <v>2970.4</v>
      </c>
      <c r="I24" s="37">
        <v>1042.8</v>
      </c>
      <c r="J24" s="37">
        <v>372.5</v>
      </c>
      <c r="K24" s="37">
        <v>403.7</v>
      </c>
      <c r="L24" s="37">
        <v>1819</v>
      </c>
      <c r="M24" s="37">
        <v>1151.4000000000001</v>
      </c>
      <c r="N24">
        <v>21</v>
      </c>
    </row>
    <row r="25" spans="1:14">
      <c r="A25" t="s">
        <v>147</v>
      </c>
      <c r="B25">
        <v>2025</v>
      </c>
      <c r="C25" t="s">
        <v>153</v>
      </c>
      <c r="D25">
        <v>6</v>
      </c>
      <c r="E25" t="s">
        <v>59</v>
      </c>
      <c r="F25" s="37">
        <v>6255</v>
      </c>
      <c r="G25" s="37">
        <v>4838</v>
      </c>
      <c r="H25" s="37">
        <v>1417</v>
      </c>
      <c r="I25" s="37">
        <v>712.6</v>
      </c>
      <c r="J25" s="37">
        <v>267.3</v>
      </c>
      <c r="K25" s="37">
        <v>293.39999999999998</v>
      </c>
      <c r="L25" s="37">
        <v>1273.3</v>
      </c>
      <c r="M25" s="37">
        <v>143.69999999999999</v>
      </c>
      <c r="N25">
        <v>21</v>
      </c>
    </row>
    <row r="26" spans="1:14">
      <c r="A26" t="s">
        <v>147</v>
      </c>
      <c r="B26">
        <v>2025</v>
      </c>
      <c r="C26" t="s">
        <v>154</v>
      </c>
      <c r="D26">
        <v>7</v>
      </c>
      <c r="E26" t="s">
        <v>56</v>
      </c>
      <c r="F26" s="37">
        <v>14640.6</v>
      </c>
      <c r="G26" s="37">
        <v>11088.8</v>
      </c>
      <c r="H26" s="37">
        <v>3551.8</v>
      </c>
      <c r="I26" s="37">
        <v>1595.3</v>
      </c>
      <c r="J26" s="37">
        <v>570.20000000000005</v>
      </c>
      <c r="K26" s="37">
        <v>586.20000000000005</v>
      </c>
      <c r="L26" s="37">
        <v>2751.7</v>
      </c>
      <c r="M26" s="37">
        <v>800.1</v>
      </c>
      <c r="N26">
        <v>22</v>
      </c>
    </row>
    <row r="27" spans="1:14">
      <c r="A27" t="s">
        <v>147</v>
      </c>
      <c r="B27">
        <v>2025</v>
      </c>
      <c r="C27" t="s">
        <v>154</v>
      </c>
      <c r="D27">
        <v>7</v>
      </c>
      <c r="E27" t="s">
        <v>57</v>
      </c>
      <c r="F27" s="37">
        <v>9999</v>
      </c>
      <c r="G27" s="37">
        <v>7181.4</v>
      </c>
      <c r="H27" s="37">
        <v>2817.6</v>
      </c>
      <c r="I27" s="37">
        <v>1102.2</v>
      </c>
      <c r="J27" s="37">
        <v>386.5</v>
      </c>
      <c r="K27" s="37">
        <v>439.1</v>
      </c>
      <c r="L27" s="37">
        <v>1927.8</v>
      </c>
      <c r="M27" s="37">
        <v>889.8</v>
      </c>
      <c r="N27">
        <v>22</v>
      </c>
    </row>
    <row r="28" spans="1:14">
      <c r="A28" t="s">
        <v>147</v>
      </c>
      <c r="B28">
        <v>2025</v>
      </c>
      <c r="C28" t="s">
        <v>154</v>
      </c>
      <c r="D28">
        <v>7</v>
      </c>
      <c r="E28" t="s">
        <v>58</v>
      </c>
      <c r="F28" s="37">
        <v>9660.7000000000007</v>
      </c>
      <c r="G28" s="37">
        <v>6720.4</v>
      </c>
      <c r="H28" s="37">
        <v>2940.3</v>
      </c>
      <c r="I28" s="37">
        <v>1038.8</v>
      </c>
      <c r="J28" s="37">
        <v>368.4</v>
      </c>
      <c r="K28" s="37">
        <v>408.2</v>
      </c>
      <c r="L28" s="37">
        <v>1815.4</v>
      </c>
      <c r="M28" s="37">
        <v>1124.9000000000001</v>
      </c>
      <c r="N28">
        <v>22</v>
      </c>
    </row>
    <row r="29" spans="1:14">
      <c r="A29" t="s">
        <v>147</v>
      </c>
      <c r="B29">
        <v>2025</v>
      </c>
      <c r="C29" t="s">
        <v>154</v>
      </c>
      <c r="D29">
        <v>7</v>
      </c>
      <c r="E29" t="s">
        <v>59</v>
      </c>
      <c r="F29" s="37">
        <v>6056.7</v>
      </c>
      <c r="G29" s="37">
        <v>4700.3</v>
      </c>
      <c r="H29" s="37">
        <v>1356.4</v>
      </c>
      <c r="I29" s="37">
        <v>697.5</v>
      </c>
      <c r="J29" s="37">
        <v>260.10000000000002</v>
      </c>
      <c r="K29" s="37">
        <v>293.39999999999998</v>
      </c>
      <c r="L29" s="37">
        <v>1251</v>
      </c>
      <c r="M29" s="37">
        <v>105.4</v>
      </c>
      <c r="N29">
        <v>22</v>
      </c>
    </row>
    <row r="30" spans="1:14">
      <c r="A30" t="s">
        <v>147</v>
      </c>
      <c r="B30">
        <v>2025</v>
      </c>
      <c r="C30" t="s">
        <v>155</v>
      </c>
      <c r="D30">
        <v>8</v>
      </c>
      <c r="E30" t="s">
        <v>56</v>
      </c>
      <c r="F30" s="37">
        <v>14611.7</v>
      </c>
      <c r="G30" s="37">
        <v>11082.5</v>
      </c>
      <c r="H30" s="37">
        <v>3529.2</v>
      </c>
      <c r="I30" s="37">
        <v>1591.6</v>
      </c>
      <c r="J30" s="37">
        <v>577.6</v>
      </c>
      <c r="K30" s="37">
        <v>585.70000000000005</v>
      </c>
      <c r="L30" s="37">
        <v>2754.9</v>
      </c>
      <c r="M30" s="37">
        <v>774.3</v>
      </c>
      <c r="N30">
        <v>21</v>
      </c>
    </row>
    <row r="31" spans="1:14">
      <c r="A31" t="s">
        <v>147</v>
      </c>
      <c r="B31">
        <v>2025</v>
      </c>
      <c r="C31" t="s">
        <v>155</v>
      </c>
      <c r="D31">
        <v>8</v>
      </c>
      <c r="E31" t="s">
        <v>57</v>
      </c>
      <c r="F31" s="37">
        <v>9977.7999999999993</v>
      </c>
      <c r="G31" s="37">
        <v>7160.5</v>
      </c>
      <c r="H31" s="37">
        <v>2817.3</v>
      </c>
      <c r="I31" s="37">
        <v>1103.7</v>
      </c>
      <c r="J31" s="37">
        <v>393.1</v>
      </c>
      <c r="K31" s="37">
        <v>434.3</v>
      </c>
      <c r="L31" s="37">
        <v>1931.1</v>
      </c>
      <c r="M31" s="37">
        <v>886.2</v>
      </c>
      <c r="N31">
        <v>21</v>
      </c>
    </row>
    <row r="32" spans="1:14">
      <c r="A32" t="s">
        <v>147</v>
      </c>
      <c r="B32">
        <v>2025</v>
      </c>
      <c r="C32" t="s">
        <v>155</v>
      </c>
      <c r="D32">
        <v>8</v>
      </c>
      <c r="E32" t="s">
        <v>58</v>
      </c>
      <c r="F32" s="37">
        <v>9779.4</v>
      </c>
      <c r="G32" s="37">
        <v>6795.3</v>
      </c>
      <c r="H32" s="37">
        <v>2984.1</v>
      </c>
      <c r="I32" s="37">
        <v>1061.5</v>
      </c>
      <c r="J32" s="37">
        <v>369.8</v>
      </c>
      <c r="K32" s="37">
        <v>407.8</v>
      </c>
      <c r="L32" s="37">
        <v>1839.1</v>
      </c>
      <c r="M32" s="37">
        <v>1145</v>
      </c>
      <c r="N32">
        <v>21</v>
      </c>
    </row>
    <row r="33" spans="1:14">
      <c r="A33" t="s">
        <v>147</v>
      </c>
      <c r="B33">
        <v>2025</v>
      </c>
      <c r="C33" t="s">
        <v>155</v>
      </c>
      <c r="D33">
        <v>8</v>
      </c>
      <c r="E33" t="s">
        <v>59</v>
      </c>
      <c r="F33" s="37">
        <v>6195.2</v>
      </c>
      <c r="G33" s="37">
        <v>4781.7</v>
      </c>
      <c r="H33" s="37">
        <v>1413.5</v>
      </c>
      <c r="I33" s="37">
        <v>707.3</v>
      </c>
      <c r="J33" s="37">
        <v>262.10000000000002</v>
      </c>
      <c r="K33" s="37">
        <v>293.5</v>
      </c>
      <c r="L33" s="37">
        <v>1262.9000000000001</v>
      </c>
      <c r="M33" s="37">
        <v>150.6</v>
      </c>
      <c r="N33">
        <v>21</v>
      </c>
    </row>
    <row r="34" spans="1:14">
      <c r="A34" t="s">
        <v>147</v>
      </c>
      <c r="B34">
        <v>2025</v>
      </c>
      <c r="C34" t="s">
        <v>156</v>
      </c>
      <c r="D34">
        <v>9</v>
      </c>
      <c r="E34" t="s">
        <v>56</v>
      </c>
      <c r="F34" s="37">
        <v>14203.5</v>
      </c>
      <c r="G34" s="37">
        <v>10739.6</v>
      </c>
      <c r="H34" s="37">
        <v>3463.9</v>
      </c>
      <c r="I34" s="37">
        <v>1555.1</v>
      </c>
      <c r="J34" s="37">
        <v>553.29999999999995</v>
      </c>
      <c r="K34" s="37">
        <v>600.1</v>
      </c>
      <c r="L34" s="37">
        <v>2708.5</v>
      </c>
      <c r="M34" s="37">
        <v>755.4</v>
      </c>
      <c r="N34">
        <v>21</v>
      </c>
    </row>
    <row r="35" spans="1:14">
      <c r="A35" t="s">
        <v>147</v>
      </c>
      <c r="B35">
        <v>2025</v>
      </c>
      <c r="C35" t="s">
        <v>156</v>
      </c>
      <c r="D35">
        <v>9</v>
      </c>
      <c r="E35" t="s">
        <v>57</v>
      </c>
      <c r="F35" s="37">
        <v>9796.7999999999993</v>
      </c>
      <c r="G35" s="37">
        <v>7057.3</v>
      </c>
      <c r="H35" s="37">
        <v>2739.5</v>
      </c>
      <c r="I35" s="37">
        <v>1079.8</v>
      </c>
      <c r="J35" s="37">
        <v>378.5</v>
      </c>
      <c r="K35" s="37">
        <v>433</v>
      </c>
      <c r="L35" s="37">
        <v>1891.3</v>
      </c>
      <c r="M35" s="37">
        <v>848.2</v>
      </c>
      <c r="N35">
        <v>21</v>
      </c>
    </row>
    <row r="36" spans="1:14">
      <c r="A36" t="s">
        <v>147</v>
      </c>
      <c r="B36">
        <v>2025</v>
      </c>
      <c r="C36" t="s">
        <v>156</v>
      </c>
      <c r="D36">
        <v>9</v>
      </c>
      <c r="E36" t="s">
        <v>58</v>
      </c>
      <c r="F36" s="37">
        <v>9494.1</v>
      </c>
      <c r="G36" s="37">
        <v>6598.3</v>
      </c>
      <c r="H36" s="37">
        <v>2895.8</v>
      </c>
      <c r="I36" s="37">
        <v>1035.5</v>
      </c>
      <c r="J36" s="37">
        <v>362.2</v>
      </c>
      <c r="K36" s="37">
        <v>409</v>
      </c>
      <c r="L36" s="37">
        <v>1806.7</v>
      </c>
      <c r="M36" s="37">
        <v>1089.0999999999999</v>
      </c>
      <c r="N36">
        <v>21</v>
      </c>
    </row>
    <row r="37" spans="1:14">
      <c r="A37" t="s">
        <v>147</v>
      </c>
      <c r="B37">
        <v>2025</v>
      </c>
      <c r="C37" t="s">
        <v>156</v>
      </c>
      <c r="D37">
        <v>9</v>
      </c>
      <c r="E37" t="s">
        <v>59</v>
      </c>
      <c r="F37" s="37">
        <v>6196.9</v>
      </c>
      <c r="G37" s="37">
        <v>4809.1000000000004</v>
      </c>
      <c r="H37" s="37">
        <v>1387.8</v>
      </c>
      <c r="I37" s="37">
        <v>703.1</v>
      </c>
      <c r="J37" s="37">
        <v>263</v>
      </c>
      <c r="K37" s="37">
        <v>297.3</v>
      </c>
      <c r="L37" s="37">
        <v>1263.4000000000001</v>
      </c>
      <c r="M37" s="37">
        <v>124.4</v>
      </c>
      <c r="N37">
        <v>21</v>
      </c>
    </row>
    <row r="38" spans="1:14">
      <c r="A38" t="s">
        <v>147</v>
      </c>
      <c r="B38">
        <v>2025</v>
      </c>
      <c r="C38" t="s">
        <v>157</v>
      </c>
      <c r="D38">
        <v>10</v>
      </c>
      <c r="E38" t="s">
        <v>56</v>
      </c>
      <c r="F38" s="37">
        <v>14659.1</v>
      </c>
      <c r="G38" s="37">
        <v>11131.7</v>
      </c>
      <c r="H38" s="37">
        <v>3527.4</v>
      </c>
      <c r="I38" s="37">
        <v>1591.1</v>
      </c>
      <c r="J38" s="37">
        <v>567.9</v>
      </c>
      <c r="K38" s="37">
        <v>587.6</v>
      </c>
      <c r="L38" s="37">
        <v>2746.6</v>
      </c>
      <c r="M38" s="37">
        <v>780.8</v>
      </c>
      <c r="N38">
        <v>23</v>
      </c>
    </row>
    <row r="39" spans="1:14">
      <c r="A39" t="s">
        <v>147</v>
      </c>
      <c r="B39">
        <v>2025</v>
      </c>
      <c r="C39" t="s">
        <v>157</v>
      </c>
      <c r="D39">
        <v>10</v>
      </c>
      <c r="E39" t="s">
        <v>57</v>
      </c>
      <c r="F39" s="37">
        <v>9942.1</v>
      </c>
      <c r="G39" s="37">
        <v>7117</v>
      </c>
      <c r="H39" s="37">
        <v>2825.1</v>
      </c>
      <c r="I39" s="37">
        <v>1085.0999999999999</v>
      </c>
      <c r="J39" s="37">
        <v>394.2</v>
      </c>
      <c r="K39" s="37">
        <v>436.5</v>
      </c>
      <c r="L39" s="37">
        <v>1915.8</v>
      </c>
      <c r="M39" s="37">
        <v>909.3</v>
      </c>
      <c r="N39">
        <v>23</v>
      </c>
    </row>
    <row r="40" spans="1:14">
      <c r="A40" t="s">
        <v>147</v>
      </c>
      <c r="B40">
        <v>2025</v>
      </c>
      <c r="C40" t="s">
        <v>157</v>
      </c>
      <c r="D40">
        <v>10</v>
      </c>
      <c r="E40" t="s">
        <v>58</v>
      </c>
      <c r="F40" s="37">
        <v>9562.7000000000007</v>
      </c>
      <c r="G40" s="37">
        <v>6667.8</v>
      </c>
      <c r="H40" s="37">
        <v>2894.9</v>
      </c>
      <c r="I40" s="37">
        <v>1027.3</v>
      </c>
      <c r="J40" s="37">
        <v>364.7</v>
      </c>
      <c r="K40" s="37">
        <v>407.8</v>
      </c>
      <c r="L40" s="37">
        <v>1799.8</v>
      </c>
      <c r="M40" s="37">
        <v>1095.0999999999999</v>
      </c>
      <c r="N40">
        <v>23</v>
      </c>
    </row>
    <row r="41" spans="1:14">
      <c r="A41" t="s">
        <v>147</v>
      </c>
      <c r="B41">
        <v>2025</v>
      </c>
      <c r="C41" t="s">
        <v>157</v>
      </c>
      <c r="D41">
        <v>10</v>
      </c>
      <c r="E41" t="s">
        <v>59</v>
      </c>
      <c r="F41" s="37">
        <v>6558.4</v>
      </c>
      <c r="G41" s="37">
        <v>5092.2</v>
      </c>
      <c r="H41" s="37">
        <v>1466.2</v>
      </c>
      <c r="I41" s="37">
        <v>728.6</v>
      </c>
      <c r="J41" s="37">
        <v>273.89999999999998</v>
      </c>
      <c r="K41" s="37">
        <v>296.10000000000002</v>
      </c>
      <c r="L41" s="37">
        <v>1298.5999999999999</v>
      </c>
      <c r="M41" s="37">
        <v>167.6</v>
      </c>
      <c r="N41">
        <v>23</v>
      </c>
    </row>
    <row r="42" spans="1:14">
      <c r="A42" t="s">
        <v>147</v>
      </c>
      <c r="B42">
        <v>2025</v>
      </c>
      <c r="C42" t="s">
        <v>158</v>
      </c>
      <c r="D42">
        <v>11</v>
      </c>
      <c r="E42" t="s">
        <v>56</v>
      </c>
      <c r="F42" s="37">
        <v>13788.6</v>
      </c>
      <c r="G42" s="37">
        <v>10453.700000000001</v>
      </c>
      <c r="H42" s="37">
        <v>3334.9</v>
      </c>
      <c r="I42" s="37">
        <v>1516.2</v>
      </c>
      <c r="J42" s="37">
        <v>548.9</v>
      </c>
      <c r="K42" s="37">
        <v>585.9</v>
      </c>
      <c r="L42" s="37">
        <v>2651</v>
      </c>
      <c r="M42" s="37">
        <v>683.9</v>
      </c>
      <c r="N42">
        <v>18</v>
      </c>
    </row>
    <row r="43" spans="1:14">
      <c r="A43" t="s">
        <v>147</v>
      </c>
      <c r="B43">
        <v>2025</v>
      </c>
      <c r="C43" t="s">
        <v>158</v>
      </c>
      <c r="D43">
        <v>11</v>
      </c>
      <c r="E43" t="s">
        <v>57</v>
      </c>
      <c r="F43" s="37">
        <v>9699.5</v>
      </c>
      <c r="G43" s="37">
        <v>6968.8</v>
      </c>
      <c r="H43" s="37">
        <v>2730.7</v>
      </c>
      <c r="I43" s="37">
        <v>1071.3</v>
      </c>
      <c r="J43" s="37">
        <v>376.4</v>
      </c>
      <c r="K43" s="37">
        <v>439.4</v>
      </c>
      <c r="L43" s="37">
        <v>1887.1</v>
      </c>
      <c r="M43" s="37">
        <v>843.6</v>
      </c>
      <c r="N43">
        <v>18</v>
      </c>
    </row>
    <row r="44" spans="1:14">
      <c r="A44" t="s">
        <v>147</v>
      </c>
      <c r="B44">
        <v>2025</v>
      </c>
      <c r="C44" t="s">
        <v>158</v>
      </c>
      <c r="D44">
        <v>11</v>
      </c>
      <c r="E44" t="s">
        <v>58</v>
      </c>
      <c r="F44" s="37">
        <v>9205.5</v>
      </c>
      <c r="G44" s="37">
        <v>6393.6</v>
      </c>
      <c r="H44" s="37">
        <v>2811.9</v>
      </c>
      <c r="I44" s="37">
        <v>1010</v>
      </c>
      <c r="J44" s="37">
        <v>355.9</v>
      </c>
      <c r="K44" s="37">
        <v>404.9</v>
      </c>
      <c r="L44" s="37">
        <v>1770.8</v>
      </c>
      <c r="M44" s="37">
        <v>1041.0999999999999</v>
      </c>
      <c r="N44">
        <v>18</v>
      </c>
    </row>
    <row r="45" spans="1:14">
      <c r="A45" t="s">
        <v>147</v>
      </c>
      <c r="B45">
        <v>2025</v>
      </c>
      <c r="C45" t="s">
        <v>158</v>
      </c>
      <c r="D45">
        <v>11</v>
      </c>
      <c r="E45" t="s">
        <v>59</v>
      </c>
      <c r="F45" s="37">
        <v>6775.5</v>
      </c>
      <c r="G45" s="37">
        <v>5263.8</v>
      </c>
      <c r="H45" s="37">
        <v>1511.7</v>
      </c>
      <c r="I45" s="37">
        <v>736.7</v>
      </c>
      <c r="J45" s="37">
        <v>284.2</v>
      </c>
      <c r="K45" s="37">
        <v>297.7</v>
      </c>
      <c r="L45" s="37">
        <v>1318.6</v>
      </c>
      <c r="M45" s="37">
        <v>193.1</v>
      </c>
      <c r="N45">
        <v>18</v>
      </c>
    </row>
    <row r="46" spans="1:14">
      <c r="A46" t="s">
        <v>147</v>
      </c>
      <c r="B46">
        <v>2025</v>
      </c>
      <c r="C46" t="s">
        <v>159</v>
      </c>
      <c r="D46">
        <v>12</v>
      </c>
      <c r="E46" t="s">
        <v>56</v>
      </c>
      <c r="F46" s="37">
        <v>13773.4</v>
      </c>
      <c r="G46" s="37">
        <v>10446.799999999999</v>
      </c>
      <c r="H46" s="37">
        <v>3326.6</v>
      </c>
      <c r="I46" s="37">
        <v>1534.9</v>
      </c>
      <c r="J46" s="37">
        <v>538.9</v>
      </c>
      <c r="K46" s="37">
        <v>593.70000000000005</v>
      </c>
      <c r="L46" s="37">
        <v>2667.5</v>
      </c>
      <c r="M46" s="37">
        <v>659.1</v>
      </c>
      <c r="N46">
        <v>22</v>
      </c>
    </row>
    <row r="47" spans="1:14">
      <c r="A47" t="s">
        <v>147</v>
      </c>
      <c r="B47">
        <v>2025</v>
      </c>
      <c r="C47" t="s">
        <v>159</v>
      </c>
      <c r="D47">
        <v>12</v>
      </c>
      <c r="E47" t="s">
        <v>57</v>
      </c>
      <c r="F47" s="37">
        <v>9450</v>
      </c>
      <c r="G47" s="37">
        <v>6777.6</v>
      </c>
      <c r="H47" s="37">
        <v>2672.4</v>
      </c>
      <c r="I47" s="37">
        <v>1058.4000000000001</v>
      </c>
      <c r="J47" s="37">
        <v>370.6</v>
      </c>
      <c r="K47" s="37">
        <v>436.1</v>
      </c>
      <c r="L47" s="37">
        <v>1865.1</v>
      </c>
      <c r="M47" s="37">
        <v>807.3</v>
      </c>
      <c r="N47">
        <v>22</v>
      </c>
    </row>
    <row r="48" spans="1:14">
      <c r="A48" t="s">
        <v>147</v>
      </c>
      <c r="B48">
        <v>2025</v>
      </c>
      <c r="C48" t="s">
        <v>159</v>
      </c>
      <c r="D48">
        <v>12</v>
      </c>
      <c r="E48" t="s">
        <v>58</v>
      </c>
      <c r="F48" s="37">
        <v>9213.7000000000007</v>
      </c>
      <c r="G48" s="37">
        <v>6417.6</v>
      </c>
      <c r="H48" s="37">
        <v>2796.1</v>
      </c>
      <c r="I48" s="37">
        <v>1011.4</v>
      </c>
      <c r="J48" s="37">
        <v>353.1</v>
      </c>
      <c r="K48" s="37">
        <v>406</v>
      </c>
      <c r="L48" s="37">
        <v>1770.5</v>
      </c>
      <c r="M48" s="37">
        <v>1025.5999999999999</v>
      </c>
      <c r="N48">
        <v>22</v>
      </c>
    </row>
    <row r="49" spans="1:14">
      <c r="A49" t="s">
        <v>147</v>
      </c>
      <c r="B49">
        <v>2025</v>
      </c>
      <c r="C49" t="s">
        <v>159</v>
      </c>
      <c r="D49">
        <v>12</v>
      </c>
      <c r="E49" t="s">
        <v>59</v>
      </c>
      <c r="F49" s="37">
        <v>7044.5</v>
      </c>
      <c r="G49" s="37">
        <v>5463.6</v>
      </c>
      <c r="H49" s="37">
        <v>1580.9</v>
      </c>
      <c r="I49" s="37">
        <v>759.6</v>
      </c>
      <c r="J49" s="37">
        <v>293.2</v>
      </c>
      <c r="K49" s="37">
        <v>293.8</v>
      </c>
      <c r="L49" s="37">
        <v>1346.6</v>
      </c>
      <c r="M49" s="37">
        <v>234.3</v>
      </c>
      <c r="N49">
        <v>22</v>
      </c>
    </row>
    <row r="50" spans="1:14">
      <c r="A50" t="s">
        <v>147</v>
      </c>
      <c r="B50">
        <v>2026</v>
      </c>
      <c r="C50" t="s">
        <v>148</v>
      </c>
      <c r="D50">
        <v>1</v>
      </c>
      <c r="E50" t="s">
        <v>56</v>
      </c>
      <c r="F50" s="37">
        <v>13664.2</v>
      </c>
      <c r="G50" s="37">
        <v>10322.6</v>
      </c>
      <c r="H50" s="37">
        <v>3341.6</v>
      </c>
      <c r="I50" s="37">
        <v>1516.3</v>
      </c>
      <c r="J50" s="37">
        <v>533.79999999999995</v>
      </c>
      <c r="K50" s="37">
        <v>613.6</v>
      </c>
      <c r="L50" s="37">
        <v>2663.7</v>
      </c>
      <c r="M50" s="37">
        <v>677.9</v>
      </c>
      <c r="N50">
        <v>21</v>
      </c>
    </row>
    <row r="51" spans="1:14">
      <c r="A51" t="s">
        <v>147</v>
      </c>
      <c r="B51">
        <v>2026</v>
      </c>
      <c r="C51" t="s">
        <v>148</v>
      </c>
      <c r="D51">
        <v>1</v>
      </c>
      <c r="E51" t="s">
        <v>57</v>
      </c>
      <c r="F51" s="37">
        <v>9103.1</v>
      </c>
      <c r="G51" s="37">
        <v>6526.3</v>
      </c>
      <c r="H51" s="37">
        <v>2576.8000000000002</v>
      </c>
      <c r="I51" s="37">
        <v>1035.5</v>
      </c>
      <c r="J51" s="37">
        <v>348.4</v>
      </c>
      <c r="K51" s="37">
        <v>446.1</v>
      </c>
      <c r="L51" s="37">
        <v>1830</v>
      </c>
      <c r="M51" s="37">
        <v>746.8</v>
      </c>
      <c r="N51">
        <v>21</v>
      </c>
    </row>
    <row r="52" spans="1:14">
      <c r="A52" t="s">
        <v>147</v>
      </c>
      <c r="B52">
        <v>2026</v>
      </c>
      <c r="C52" t="s">
        <v>148</v>
      </c>
      <c r="D52">
        <v>1</v>
      </c>
      <c r="E52" t="s">
        <v>58</v>
      </c>
      <c r="F52" s="37">
        <v>9040.7000000000007</v>
      </c>
      <c r="G52" s="37">
        <v>6302</v>
      </c>
      <c r="H52" s="37">
        <v>2738.7</v>
      </c>
      <c r="I52" s="37">
        <v>990</v>
      </c>
      <c r="J52" s="37">
        <v>340.5</v>
      </c>
      <c r="K52" s="37">
        <v>414.9</v>
      </c>
      <c r="L52" s="37">
        <v>1745.4</v>
      </c>
      <c r="M52" s="37">
        <v>993.3</v>
      </c>
      <c r="N52">
        <v>21</v>
      </c>
    </row>
    <row r="53" spans="1:14">
      <c r="A53" t="s">
        <v>147</v>
      </c>
      <c r="B53">
        <v>2026</v>
      </c>
      <c r="C53" t="s">
        <v>148</v>
      </c>
      <c r="D53">
        <v>1</v>
      </c>
      <c r="E53" t="s">
        <v>59</v>
      </c>
      <c r="F53" s="37">
        <v>5714.3</v>
      </c>
      <c r="G53" s="37">
        <v>4444.6000000000004</v>
      </c>
      <c r="H53" s="37">
        <v>1269.7</v>
      </c>
      <c r="I53" s="37">
        <v>665.3</v>
      </c>
      <c r="J53" s="37">
        <v>242.8</v>
      </c>
      <c r="K53" s="37">
        <v>308.60000000000002</v>
      </c>
      <c r="L53" s="37">
        <v>1216.7</v>
      </c>
      <c r="M53" s="37">
        <v>53</v>
      </c>
      <c r="N53">
        <v>21</v>
      </c>
    </row>
    <row r="54" spans="1:14">
      <c r="A54" t="s">
        <v>147</v>
      </c>
      <c r="B54">
        <v>2026</v>
      </c>
      <c r="C54" t="s">
        <v>149</v>
      </c>
      <c r="D54">
        <v>2</v>
      </c>
      <c r="E54" t="s">
        <v>56</v>
      </c>
      <c r="F54" s="37">
        <v>13486.1</v>
      </c>
      <c r="G54" s="37">
        <v>10181</v>
      </c>
      <c r="H54" s="37">
        <v>3305.1</v>
      </c>
      <c r="I54" s="37">
        <v>1510.9</v>
      </c>
      <c r="J54" s="37">
        <v>519.1</v>
      </c>
      <c r="K54" s="37">
        <v>608</v>
      </c>
      <c r="L54" s="37">
        <v>2638</v>
      </c>
      <c r="M54" s="37">
        <v>667.1</v>
      </c>
      <c r="N54">
        <v>20</v>
      </c>
    </row>
    <row r="55" spans="1:14">
      <c r="A55" t="s">
        <v>147</v>
      </c>
      <c r="B55">
        <v>2026</v>
      </c>
      <c r="C55" t="s">
        <v>149</v>
      </c>
      <c r="D55">
        <v>2</v>
      </c>
      <c r="E55" t="s">
        <v>57</v>
      </c>
      <c r="F55" s="37">
        <v>8825.7000000000007</v>
      </c>
      <c r="G55" s="37">
        <v>6294.8</v>
      </c>
      <c r="H55" s="37">
        <v>2530.9</v>
      </c>
      <c r="I55" s="37">
        <v>1018.4</v>
      </c>
      <c r="J55" s="37">
        <v>346.5</v>
      </c>
      <c r="K55" s="37">
        <v>457.6</v>
      </c>
      <c r="L55" s="37">
        <v>1822.5</v>
      </c>
      <c r="M55" s="37">
        <v>708.4</v>
      </c>
      <c r="N55">
        <v>20</v>
      </c>
    </row>
    <row r="56" spans="1:14">
      <c r="A56" t="s">
        <v>147</v>
      </c>
      <c r="B56">
        <v>2026</v>
      </c>
      <c r="C56" t="s">
        <v>149</v>
      </c>
      <c r="D56">
        <v>2</v>
      </c>
      <c r="E56" t="s">
        <v>58</v>
      </c>
      <c r="F56" s="37">
        <v>8722</v>
      </c>
      <c r="G56" s="37">
        <v>6055.5</v>
      </c>
      <c r="H56" s="37">
        <v>2666.5</v>
      </c>
      <c r="I56" s="37">
        <v>970.5</v>
      </c>
      <c r="J56" s="37">
        <v>334.2</v>
      </c>
      <c r="K56" s="37">
        <v>415.1</v>
      </c>
      <c r="L56" s="37">
        <v>1719.8</v>
      </c>
      <c r="M56" s="37">
        <v>946.7</v>
      </c>
      <c r="N56">
        <v>20</v>
      </c>
    </row>
    <row r="57" spans="1:14">
      <c r="A57" t="s">
        <v>147</v>
      </c>
      <c r="B57">
        <v>2026</v>
      </c>
      <c r="C57" t="s">
        <v>149</v>
      </c>
      <c r="D57">
        <v>2</v>
      </c>
      <c r="E57" t="s">
        <v>59</v>
      </c>
      <c r="F57" s="37">
        <v>5615.4</v>
      </c>
      <c r="G57" s="37">
        <v>4361.3999999999996</v>
      </c>
      <c r="H57" s="37">
        <v>1254</v>
      </c>
      <c r="I57" s="37">
        <v>660.1</v>
      </c>
      <c r="J57" s="37">
        <v>243.7</v>
      </c>
      <c r="K57" s="37">
        <v>303.89999999999998</v>
      </c>
      <c r="L57" s="37">
        <v>1207.7</v>
      </c>
      <c r="M57" s="37">
        <v>46.3</v>
      </c>
      <c r="N57">
        <v>20</v>
      </c>
    </row>
    <row r="58" spans="1:14">
      <c r="A58" t="s">
        <v>147</v>
      </c>
      <c r="B58">
        <v>2026</v>
      </c>
      <c r="C58" t="s">
        <v>150</v>
      </c>
      <c r="D58">
        <v>3</v>
      </c>
      <c r="E58" t="s">
        <v>56</v>
      </c>
      <c r="F58" s="37">
        <v>14747.3</v>
      </c>
      <c r="G58" s="37">
        <v>11112.3</v>
      </c>
      <c r="H58" s="37">
        <v>3635</v>
      </c>
      <c r="I58" s="37">
        <v>1578.9</v>
      </c>
      <c r="J58" s="37">
        <v>562.4</v>
      </c>
      <c r="K58" s="37">
        <v>620.1</v>
      </c>
      <c r="L58" s="37">
        <v>2761.4</v>
      </c>
      <c r="M58" s="37">
        <v>873.6</v>
      </c>
      <c r="N58">
        <v>22</v>
      </c>
    </row>
    <row r="59" spans="1:14">
      <c r="A59" t="s">
        <v>147</v>
      </c>
      <c r="B59">
        <v>2026</v>
      </c>
      <c r="C59" t="s">
        <v>150</v>
      </c>
      <c r="D59">
        <v>3</v>
      </c>
      <c r="E59" t="s">
        <v>57</v>
      </c>
      <c r="F59" s="37">
        <v>9498.7999999999993</v>
      </c>
      <c r="G59" s="37">
        <v>6799.6</v>
      </c>
      <c r="H59" s="37">
        <v>2699.2</v>
      </c>
      <c r="I59" s="37">
        <v>1061.8</v>
      </c>
      <c r="J59" s="37">
        <v>358.7</v>
      </c>
      <c r="K59" s="37">
        <v>448.8</v>
      </c>
      <c r="L59" s="37">
        <v>1869.3</v>
      </c>
      <c r="M59" s="37">
        <v>829.9</v>
      </c>
      <c r="N59">
        <v>22</v>
      </c>
    </row>
    <row r="60" spans="1:14">
      <c r="A60" t="s">
        <v>147</v>
      </c>
      <c r="B60">
        <v>2026</v>
      </c>
      <c r="C60" t="s">
        <v>150</v>
      </c>
      <c r="D60">
        <v>3</v>
      </c>
      <c r="E60" t="s">
        <v>58</v>
      </c>
      <c r="F60" s="37">
        <v>9736.2000000000007</v>
      </c>
      <c r="G60" s="37">
        <v>6753.4</v>
      </c>
      <c r="H60" s="37">
        <v>2982.8</v>
      </c>
      <c r="I60" s="37">
        <v>1030.5</v>
      </c>
      <c r="J60" s="37">
        <v>360.3</v>
      </c>
      <c r="K60" s="37">
        <v>420.1</v>
      </c>
      <c r="L60" s="37">
        <v>1810.9</v>
      </c>
      <c r="M60" s="37">
        <v>1171.9000000000001</v>
      </c>
      <c r="N60">
        <v>22</v>
      </c>
    </row>
    <row r="61" spans="1:14">
      <c r="A61" t="s">
        <v>147</v>
      </c>
      <c r="B61">
        <v>2026</v>
      </c>
      <c r="C61" t="s">
        <v>150</v>
      </c>
      <c r="D61">
        <v>3</v>
      </c>
      <c r="E61" t="s">
        <v>59</v>
      </c>
      <c r="F61" s="37">
        <v>6137.8</v>
      </c>
      <c r="G61" s="37">
        <v>4753.7</v>
      </c>
      <c r="H61" s="37">
        <v>1384.1</v>
      </c>
      <c r="I61" s="37">
        <v>694</v>
      </c>
      <c r="J61" s="37">
        <v>253.3</v>
      </c>
      <c r="K61" s="37">
        <v>305.5</v>
      </c>
      <c r="L61" s="37">
        <v>1252.8</v>
      </c>
      <c r="M61" s="37">
        <v>131.30000000000001</v>
      </c>
      <c r="N61">
        <v>22</v>
      </c>
    </row>
    <row r="62" spans="1:14">
      <c r="A62" t="s">
        <v>147</v>
      </c>
      <c r="B62">
        <v>2026</v>
      </c>
      <c r="C62" t="s">
        <v>151</v>
      </c>
      <c r="D62">
        <v>4</v>
      </c>
      <c r="E62" t="s">
        <v>56</v>
      </c>
      <c r="F62" s="37">
        <v>14652.1</v>
      </c>
      <c r="G62" s="37">
        <v>11081.9</v>
      </c>
      <c r="H62" s="37">
        <v>3570.2</v>
      </c>
      <c r="I62" s="37">
        <v>1581.3</v>
      </c>
      <c r="J62" s="37">
        <v>552.29999999999995</v>
      </c>
      <c r="K62" s="37">
        <v>617.70000000000005</v>
      </c>
      <c r="L62" s="37">
        <v>2751.3</v>
      </c>
      <c r="M62" s="37">
        <v>818.9</v>
      </c>
      <c r="N62">
        <v>22</v>
      </c>
    </row>
    <row r="63" spans="1:14">
      <c r="A63" t="s">
        <v>147</v>
      </c>
      <c r="B63">
        <v>2026</v>
      </c>
      <c r="C63" t="s">
        <v>151</v>
      </c>
      <c r="D63">
        <v>4</v>
      </c>
      <c r="E63" t="s">
        <v>57</v>
      </c>
      <c r="F63" s="37">
        <v>9707.6</v>
      </c>
      <c r="G63" s="37">
        <v>6937.2</v>
      </c>
      <c r="H63" s="37">
        <v>2770.4</v>
      </c>
      <c r="I63" s="37">
        <v>1063.5</v>
      </c>
      <c r="J63" s="37">
        <v>371.3</v>
      </c>
      <c r="K63" s="37">
        <v>447.8</v>
      </c>
      <c r="L63" s="37">
        <v>1882.6</v>
      </c>
      <c r="M63" s="37">
        <v>887.8</v>
      </c>
      <c r="N63">
        <v>22</v>
      </c>
    </row>
    <row r="64" spans="1:14">
      <c r="A64" t="s">
        <v>147</v>
      </c>
      <c r="B64">
        <v>2026</v>
      </c>
      <c r="C64" t="s">
        <v>151</v>
      </c>
      <c r="D64">
        <v>4</v>
      </c>
      <c r="E64" t="s">
        <v>58</v>
      </c>
      <c r="F64" s="37">
        <v>9677.2999999999993</v>
      </c>
      <c r="G64" s="37">
        <v>6731.7</v>
      </c>
      <c r="H64" s="37">
        <v>2945.6</v>
      </c>
      <c r="I64" s="37">
        <v>1039.0999999999999</v>
      </c>
      <c r="J64" s="37">
        <v>364</v>
      </c>
      <c r="K64" s="37">
        <v>414.9</v>
      </c>
      <c r="L64" s="37">
        <v>1818</v>
      </c>
      <c r="M64" s="37">
        <v>1127.5999999999999</v>
      </c>
      <c r="N64">
        <v>22</v>
      </c>
    </row>
    <row r="65" spans="1:14">
      <c r="A65" t="s">
        <v>147</v>
      </c>
      <c r="B65">
        <v>2026</v>
      </c>
      <c r="C65" t="s">
        <v>151</v>
      </c>
      <c r="D65">
        <v>4</v>
      </c>
      <c r="E65" t="s">
        <v>59</v>
      </c>
      <c r="F65" s="37">
        <v>6227.1</v>
      </c>
      <c r="G65" s="37">
        <v>4829.1000000000004</v>
      </c>
      <c r="H65" s="37">
        <v>1398</v>
      </c>
      <c r="I65" s="37">
        <v>705.3</v>
      </c>
      <c r="J65" s="37">
        <v>262.2</v>
      </c>
      <c r="K65" s="37">
        <v>305.5</v>
      </c>
      <c r="L65" s="37">
        <v>1273</v>
      </c>
      <c r="M65" s="37">
        <v>125</v>
      </c>
      <c r="N65">
        <v>22</v>
      </c>
    </row>
    <row r="66" spans="1:14">
      <c r="A66" t="s">
        <v>147</v>
      </c>
      <c r="B66">
        <v>2026</v>
      </c>
      <c r="C66" t="s">
        <v>152</v>
      </c>
      <c r="D66">
        <v>5</v>
      </c>
      <c r="E66" t="s">
        <v>56</v>
      </c>
      <c r="F66" s="37">
        <v>15277.9</v>
      </c>
      <c r="G66" s="37">
        <v>11578.7</v>
      </c>
      <c r="H66" s="37">
        <v>3699.2</v>
      </c>
      <c r="I66" s="37">
        <v>1617.8</v>
      </c>
      <c r="J66" s="37">
        <v>579.79999999999995</v>
      </c>
      <c r="K66" s="37">
        <v>622.29999999999995</v>
      </c>
      <c r="L66" s="37">
        <v>2819.9</v>
      </c>
      <c r="M66" s="37">
        <v>879.3</v>
      </c>
      <c r="N66">
        <v>20</v>
      </c>
    </row>
    <row r="67" spans="1:14">
      <c r="A67" t="s">
        <v>147</v>
      </c>
      <c r="B67">
        <v>2026</v>
      </c>
      <c r="C67" t="s">
        <v>152</v>
      </c>
      <c r="D67">
        <v>5</v>
      </c>
      <c r="E67" t="s">
        <v>57</v>
      </c>
      <c r="F67" s="37">
        <v>10062.9</v>
      </c>
      <c r="G67" s="37">
        <v>7210.6</v>
      </c>
      <c r="H67" s="37">
        <v>2852.3</v>
      </c>
      <c r="I67" s="37">
        <v>1109.8</v>
      </c>
      <c r="J67" s="37">
        <v>378.4</v>
      </c>
      <c r="K67" s="37">
        <v>453.4</v>
      </c>
      <c r="L67" s="37">
        <v>1941.6</v>
      </c>
      <c r="M67" s="37">
        <v>910.7</v>
      </c>
      <c r="N67">
        <v>20</v>
      </c>
    </row>
    <row r="68" spans="1:14">
      <c r="A68" t="s">
        <v>147</v>
      </c>
      <c r="B68">
        <v>2026</v>
      </c>
      <c r="C68" t="s">
        <v>152</v>
      </c>
      <c r="D68">
        <v>5</v>
      </c>
      <c r="E68" t="s">
        <v>58</v>
      </c>
      <c r="F68" s="37">
        <v>9287.6</v>
      </c>
      <c r="G68" s="37">
        <v>6471.2</v>
      </c>
      <c r="H68" s="37">
        <v>2816.4</v>
      </c>
      <c r="I68" s="37">
        <v>1018.2</v>
      </c>
      <c r="J68" s="37">
        <v>349.1</v>
      </c>
      <c r="K68" s="37">
        <v>416.3</v>
      </c>
      <c r="L68" s="37">
        <v>1783.6</v>
      </c>
      <c r="M68" s="37">
        <v>1032.8</v>
      </c>
      <c r="N68">
        <v>20</v>
      </c>
    </row>
    <row r="69" spans="1:14">
      <c r="A69" t="s">
        <v>147</v>
      </c>
      <c r="B69">
        <v>2026</v>
      </c>
      <c r="C69" t="s">
        <v>152</v>
      </c>
      <c r="D69">
        <v>5</v>
      </c>
      <c r="E69" t="s">
        <v>59</v>
      </c>
      <c r="F69" s="37">
        <v>6427.6</v>
      </c>
      <c r="G69" s="37">
        <v>4985.7</v>
      </c>
      <c r="H69" s="37">
        <v>1441.9</v>
      </c>
      <c r="I69" s="37">
        <v>719.3</v>
      </c>
      <c r="J69" s="37">
        <v>266</v>
      </c>
      <c r="K69" s="37">
        <v>309.2</v>
      </c>
      <c r="L69" s="37">
        <v>1294.5</v>
      </c>
      <c r="M69" s="37">
        <v>147.4</v>
      </c>
      <c r="N69">
        <v>20</v>
      </c>
    </row>
    <row r="70" spans="1:14">
      <c r="A70" t="s">
        <v>147</v>
      </c>
      <c r="B70">
        <v>2026</v>
      </c>
      <c r="C70" t="s">
        <v>153</v>
      </c>
      <c r="D70">
        <v>6</v>
      </c>
      <c r="E70" t="s">
        <v>56</v>
      </c>
      <c r="F70" s="37">
        <v>15250.6</v>
      </c>
      <c r="G70" s="37">
        <v>11483.9</v>
      </c>
      <c r="H70" s="37">
        <v>3766.7</v>
      </c>
      <c r="I70" s="37">
        <v>1647</v>
      </c>
      <c r="J70" s="37">
        <v>563.29999999999995</v>
      </c>
      <c r="K70" s="37">
        <v>646</v>
      </c>
      <c r="L70" s="37">
        <v>2856.3</v>
      </c>
      <c r="M70" s="37">
        <v>910.4</v>
      </c>
      <c r="N70">
        <v>22</v>
      </c>
    </row>
    <row r="71" spans="1:14">
      <c r="A71" t="s">
        <v>147</v>
      </c>
      <c r="B71">
        <v>2026</v>
      </c>
      <c r="C71" t="s">
        <v>153</v>
      </c>
      <c r="D71">
        <v>6</v>
      </c>
      <c r="E71" t="s">
        <v>57</v>
      </c>
      <c r="F71" s="37">
        <v>10372</v>
      </c>
      <c r="G71" s="37">
        <v>7400.5</v>
      </c>
      <c r="H71" s="37">
        <v>2971.5</v>
      </c>
      <c r="I71" s="37">
        <v>1123.2</v>
      </c>
      <c r="J71" s="37">
        <v>395.7</v>
      </c>
      <c r="K71" s="37">
        <v>480.5</v>
      </c>
      <c r="L71" s="37">
        <v>1999.4</v>
      </c>
      <c r="M71" s="37">
        <v>972.1</v>
      </c>
      <c r="N71">
        <v>22</v>
      </c>
    </row>
    <row r="72" spans="1:14">
      <c r="A72" t="s">
        <v>147</v>
      </c>
      <c r="B72">
        <v>2026</v>
      </c>
      <c r="C72" t="s">
        <v>153</v>
      </c>
      <c r="D72">
        <v>6</v>
      </c>
      <c r="E72" t="s">
        <v>58</v>
      </c>
      <c r="F72" s="37">
        <v>9306.6</v>
      </c>
      <c r="G72" s="37">
        <v>6719.7</v>
      </c>
      <c r="H72" s="37">
        <v>2586.9</v>
      </c>
      <c r="I72" s="37">
        <v>1019.8</v>
      </c>
      <c r="J72" s="37">
        <v>348.7</v>
      </c>
      <c r="K72" s="37">
        <v>437.7</v>
      </c>
      <c r="L72" s="37">
        <v>1806.2</v>
      </c>
      <c r="M72" s="37">
        <v>780.7</v>
      </c>
      <c r="N72">
        <v>22</v>
      </c>
    </row>
    <row r="73" spans="1:14">
      <c r="A73" t="s">
        <v>147</v>
      </c>
      <c r="B73">
        <v>2026</v>
      </c>
      <c r="C73" t="s">
        <v>153</v>
      </c>
      <c r="D73">
        <v>6</v>
      </c>
      <c r="E73" t="s">
        <v>59</v>
      </c>
      <c r="F73" s="37">
        <v>6424.3</v>
      </c>
      <c r="G73" s="37">
        <v>4968.6000000000004</v>
      </c>
      <c r="H73" s="37">
        <v>1455.7</v>
      </c>
      <c r="I73" s="37">
        <v>726.3</v>
      </c>
      <c r="J73" s="37">
        <v>263.39999999999998</v>
      </c>
      <c r="K73" s="37">
        <v>325.60000000000002</v>
      </c>
      <c r="L73" s="37">
        <v>1315.3</v>
      </c>
      <c r="M73" s="37">
        <v>140.4</v>
      </c>
      <c r="N73">
        <v>22</v>
      </c>
    </row>
    <row r="74" spans="1:14">
      <c r="A74" t="s">
        <v>147</v>
      </c>
      <c r="B74">
        <v>2026</v>
      </c>
      <c r="C74" t="s">
        <v>154</v>
      </c>
      <c r="D74">
        <v>7</v>
      </c>
      <c r="E74" t="s">
        <v>56</v>
      </c>
      <c r="F74" s="37">
        <v>16380.7</v>
      </c>
      <c r="G74" s="37">
        <v>12421.8</v>
      </c>
      <c r="H74" s="37">
        <v>3958.9</v>
      </c>
      <c r="I74" s="37">
        <v>2101.9</v>
      </c>
      <c r="J74" s="37">
        <v>645.5</v>
      </c>
      <c r="K74" s="37">
        <v>648.5</v>
      </c>
      <c r="L74" s="37">
        <v>3395.9</v>
      </c>
      <c r="M74" s="37">
        <v>563</v>
      </c>
      <c r="N74">
        <v>22</v>
      </c>
    </row>
    <row r="75" spans="1:14">
      <c r="A75" t="s">
        <v>147</v>
      </c>
      <c r="B75">
        <v>2026</v>
      </c>
      <c r="C75" t="s">
        <v>154</v>
      </c>
      <c r="D75">
        <v>7</v>
      </c>
      <c r="E75" t="s">
        <v>57</v>
      </c>
      <c r="F75" s="37">
        <v>10070.9</v>
      </c>
      <c r="G75" s="37">
        <v>7217.8</v>
      </c>
      <c r="H75" s="37">
        <v>2853.1</v>
      </c>
      <c r="I75" s="37">
        <v>1114.5</v>
      </c>
      <c r="J75" s="37">
        <v>377.4</v>
      </c>
      <c r="K75" s="37">
        <v>484.4</v>
      </c>
      <c r="L75" s="37">
        <v>1976.3</v>
      </c>
      <c r="M75" s="37">
        <v>876.8</v>
      </c>
      <c r="N75">
        <v>22</v>
      </c>
    </row>
    <row r="76" spans="1:14">
      <c r="A76" t="s">
        <v>147</v>
      </c>
      <c r="B76">
        <v>2026</v>
      </c>
      <c r="C76" t="s">
        <v>154</v>
      </c>
      <c r="D76">
        <v>7</v>
      </c>
      <c r="E76" t="s">
        <v>58</v>
      </c>
      <c r="F76" s="37">
        <v>8522.9</v>
      </c>
      <c r="G76" s="37">
        <v>6156.7</v>
      </c>
      <c r="H76" s="37">
        <v>2366.1999999999998</v>
      </c>
      <c r="I76" s="37">
        <v>1021.2</v>
      </c>
      <c r="J76" s="37">
        <v>324.3</v>
      </c>
      <c r="K76" s="37">
        <v>444.6</v>
      </c>
      <c r="L76" s="37">
        <v>1790.1</v>
      </c>
      <c r="M76" s="37">
        <v>576.1</v>
      </c>
      <c r="N76">
        <v>22</v>
      </c>
    </row>
    <row r="77" spans="1:14">
      <c r="A77" t="s">
        <v>147</v>
      </c>
      <c r="B77">
        <v>2026</v>
      </c>
      <c r="C77" t="s">
        <v>154</v>
      </c>
      <c r="D77">
        <v>7</v>
      </c>
      <c r="E77" t="s">
        <v>59</v>
      </c>
      <c r="F77" s="37">
        <v>6138.9</v>
      </c>
      <c r="G77" s="37">
        <v>4756</v>
      </c>
      <c r="H77" s="37">
        <v>1382.9</v>
      </c>
      <c r="I77" s="37">
        <v>707.9</v>
      </c>
      <c r="J77" s="37">
        <v>258.60000000000002</v>
      </c>
      <c r="K77" s="37">
        <v>325.7</v>
      </c>
      <c r="L77" s="37">
        <v>1292.2</v>
      </c>
      <c r="M77" s="37">
        <v>90.7</v>
      </c>
      <c r="N77">
        <v>22</v>
      </c>
    </row>
    <row r="78" spans="1:14">
      <c r="A78" t="s">
        <v>147</v>
      </c>
      <c r="B78">
        <v>2026</v>
      </c>
      <c r="C78" t="s">
        <v>155</v>
      </c>
      <c r="D78">
        <v>8</v>
      </c>
      <c r="E78" t="s">
        <v>56</v>
      </c>
      <c r="F78" s="37">
        <v>16613.099999999999</v>
      </c>
      <c r="G78" s="37">
        <v>12586.7</v>
      </c>
      <c r="H78" s="37">
        <v>4026.4</v>
      </c>
      <c r="I78" s="37">
        <v>2155.3000000000002</v>
      </c>
      <c r="J78" s="37">
        <v>649.79999999999995</v>
      </c>
      <c r="K78" s="37">
        <v>646.1</v>
      </c>
      <c r="L78" s="37">
        <v>3451.2</v>
      </c>
      <c r="M78" s="37">
        <v>575.20000000000005</v>
      </c>
      <c r="N78">
        <v>21</v>
      </c>
    </row>
    <row r="79" spans="1:14">
      <c r="A79" t="s">
        <v>147</v>
      </c>
      <c r="B79">
        <v>2026</v>
      </c>
      <c r="C79" t="s">
        <v>155</v>
      </c>
      <c r="D79">
        <v>8</v>
      </c>
      <c r="E79" t="s">
        <v>57</v>
      </c>
      <c r="F79" s="37">
        <v>10311.700000000001</v>
      </c>
      <c r="G79" s="37">
        <v>7396.3</v>
      </c>
      <c r="H79" s="37">
        <v>2915.4</v>
      </c>
      <c r="I79" s="37">
        <v>1124.3</v>
      </c>
      <c r="J79" s="37">
        <v>391.7</v>
      </c>
      <c r="K79" s="37">
        <v>747.7</v>
      </c>
      <c r="L79" s="37">
        <v>2263.6999999999998</v>
      </c>
      <c r="M79" s="37">
        <v>651.70000000000005</v>
      </c>
      <c r="N79">
        <v>21</v>
      </c>
    </row>
    <row r="80" spans="1:14">
      <c r="A80" t="s">
        <v>147</v>
      </c>
      <c r="B80">
        <v>2026</v>
      </c>
      <c r="C80" t="s">
        <v>155</v>
      </c>
      <c r="D80">
        <v>8</v>
      </c>
      <c r="E80" t="s">
        <v>58</v>
      </c>
      <c r="F80" s="37">
        <v>8588.2999999999993</v>
      </c>
      <c r="G80" s="37">
        <v>6195.9</v>
      </c>
      <c r="H80" s="37">
        <v>2392.4</v>
      </c>
      <c r="I80" s="37">
        <v>953.2</v>
      </c>
      <c r="J80" s="37">
        <v>326.60000000000002</v>
      </c>
      <c r="K80" s="37">
        <v>439.5</v>
      </c>
      <c r="L80" s="37">
        <v>1719.3</v>
      </c>
      <c r="M80" s="37">
        <v>673.1</v>
      </c>
      <c r="N80">
        <v>21</v>
      </c>
    </row>
    <row r="81" spans="1:14">
      <c r="A81" t="s">
        <v>147</v>
      </c>
      <c r="B81">
        <v>2026</v>
      </c>
      <c r="C81" t="s">
        <v>155</v>
      </c>
      <c r="D81">
        <v>8</v>
      </c>
      <c r="E81" t="s">
        <v>59</v>
      </c>
      <c r="F81" s="37">
        <v>5995.1</v>
      </c>
      <c r="G81" s="37">
        <v>4634.8</v>
      </c>
      <c r="H81" s="37">
        <v>1360.3</v>
      </c>
      <c r="I81" s="37">
        <v>696.8</v>
      </c>
      <c r="J81" s="37">
        <v>250.5</v>
      </c>
      <c r="K81" s="37">
        <v>326.2</v>
      </c>
      <c r="L81" s="37">
        <v>1273.5</v>
      </c>
      <c r="M81" s="37">
        <v>86.8</v>
      </c>
      <c r="N81">
        <v>21</v>
      </c>
    </row>
    <row r="82" spans="1:14">
      <c r="A82" t="s">
        <v>147</v>
      </c>
      <c r="B82">
        <v>2026</v>
      </c>
      <c r="C82" t="s">
        <v>156</v>
      </c>
      <c r="D82">
        <v>9</v>
      </c>
      <c r="E82" t="s">
        <v>56</v>
      </c>
      <c r="F82" s="37">
        <v>16662.7</v>
      </c>
      <c r="G82" s="37">
        <v>12609.8</v>
      </c>
      <c r="H82" s="37">
        <v>4052.9</v>
      </c>
      <c r="I82" s="37">
        <v>2139.6999999999998</v>
      </c>
      <c r="J82" s="37">
        <v>649</v>
      </c>
      <c r="K82" s="37">
        <v>650.70000000000005</v>
      </c>
      <c r="L82" s="37">
        <v>3439.4</v>
      </c>
      <c r="M82" s="37">
        <v>613.5</v>
      </c>
      <c r="N82">
        <v>21</v>
      </c>
    </row>
    <row r="83" spans="1:14">
      <c r="A83" t="s">
        <v>147</v>
      </c>
      <c r="B83">
        <v>2026</v>
      </c>
      <c r="C83" t="s">
        <v>156</v>
      </c>
      <c r="D83">
        <v>9</v>
      </c>
      <c r="E83" t="s">
        <v>57</v>
      </c>
      <c r="F83" s="37">
        <v>10172.1</v>
      </c>
      <c r="G83" s="37">
        <v>7021.2</v>
      </c>
      <c r="H83" s="37">
        <v>3150.9</v>
      </c>
      <c r="I83" s="37">
        <v>1108.4000000000001</v>
      </c>
      <c r="J83" s="37">
        <v>389.6</v>
      </c>
      <c r="K83" s="37">
        <v>477.6</v>
      </c>
      <c r="L83" s="37">
        <v>1975.6</v>
      </c>
      <c r="M83" s="37">
        <v>1175.3</v>
      </c>
      <c r="N83">
        <v>21</v>
      </c>
    </row>
    <row r="84" spans="1:14">
      <c r="A84" t="s">
        <v>147</v>
      </c>
      <c r="B84">
        <v>2026</v>
      </c>
      <c r="C84" t="s">
        <v>156</v>
      </c>
      <c r="D84">
        <v>9</v>
      </c>
      <c r="E84" t="s">
        <v>58</v>
      </c>
      <c r="F84" s="37">
        <v>9115.5</v>
      </c>
      <c r="G84" s="37">
        <v>6585</v>
      </c>
      <c r="H84" s="37">
        <v>2530.5</v>
      </c>
      <c r="I84" s="37">
        <v>983.8</v>
      </c>
      <c r="J84" s="37">
        <v>340.3</v>
      </c>
      <c r="K84" s="37">
        <v>833.7</v>
      </c>
      <c r="L84" s="37">
        <v>2157.8000000000002</v>
      </c>
      <c r="M84" s="37">
        <v>372.7</v>
      </c>
      <c r="N84">
        <v>21</v>
      </c>
    </row>
    <row r="85" spans="1:14">
      <c r="A85" t="s">
        <v>147</v>
      </c>
      <c r="B85">
        <v>2026</v>
      </c>
      <c r="C85" t="s">
        <v>156</v>
      </c>
      <c r="D85">
        <v>9</v>
      </c>
      <c r="E85" t="s">
        <v>59</v>
      </c>
      <c r="F85" s="37">
        <v>5949.6</v>
      </c>
      <c r="G85" s="37">
        <v>4630.7</v>
      </c>
      <c r="H85" s="37">
        <v>1318.9</v>
      </c>
      <c r="I85" s="37">
        <v>691.3</v>
      </c>
      <c r="J85" s="37">
        <v>360</v>
      </c>
      <c r="K85" s="37">
        <v>324.10000000000002</v>
      </c>
      <c r="L85" s="37">
        <v>1375.4</v>
      </c>
      <c r="M85" s="37">
        <v>-56.5</v>
      </c>
      <c r="N85">
        <v>21</v>
      </c>
    </row>
    <row r="86" spans="1:14">
      <c r="A86" t="s">
        <v>160</v>
      </c>
      <c r="B86">
        <v>2026</v>
      </c>
      <c r="C86" t="s">
        <v>148</v>
      </c>
      <c r="D86">
        <v>1</v>
      </c>
      <c r="E86" t="s">
        <v>56</v>
      </c>
      <c r="F86" s="37">
        <v>13870</v>
      </c>
      <c r="G86" s="37">
        <v>10471.9</v>
      </c>
      <c r="H86" s="37">
        <v>3398.1</v>
      </c>
      <c r="I86" s="37">
        <v>1557.4</v>
      </c>
      <c r="J86" s="37">
        <v>550.9</v>
      </c>
      <c r="K86" s="37">
        <v>617.79999999999995</v>
      </c>
      <c r="L86" s="37">
        <v>2726.1</v>
      </c>
      <c r="M86" s="37">
        <v>672</v>
      </c>
      <c r="N86">
        <v>21</v>
      </c>
    </row>
    <row r="87" spans="1:14">
      <c r="A87" t="s">
        <v>160</v>
      </c>
      <c r="B87">
        <v>2026</v>
      </c>
      <c r="C87" t="s">
        <v>148</v>
      </c>
      <c r="D87">
        <v>1</v>
      </c>
      <c r="E87" t="s">
        <v>57</v>
      </c>
      <c r="F87" s="37">
        <v>9631</v>
      </c>
      <c r="G87" s="37">
        <v>6895.8</v>
      </c>
      <c r="H87" s="37">
        <v>2735.2</v>
      </c>
      <c r="I87" s="37">
        <v>1076.8</v>
      </c>
      <c r="J87" s="37">
        <v>376.9</v>
      </c>
      <c r="K87" s="37">
        <v>454.5</v>
      </c>
      <c r="L87" s="37">
        <v>1908.2</v>
      </c>
      <c r="M87" s="37">
        <v>827</v>
      </c>
      <c r="N87">
        <v>21</v>
      </c>
    </row>
    <row r="88" spans="1:14">
      <c r="A88" t="s">
        <v>160</v>
      </c>
      <c r="B88">
        <v>2026</v>
      </c>
      <c r="C88" t="s">
        <v>148</v>
      </c>
      <c r="D88">
        <v>1</v>
      </c>
      <c r="E88" t="s">
        <v>58</v>
      </c>
      <c r="F88" s="37">
        <v>9183.2000000000007</v>
      </c>
      <c r="G88" s="37">
        <v>6373.1</v>
      </c>
      <c r="H88" s="37">
        <v>2810.1</v>
      </c>
      <c r="I88" s="37">
        <v>1013.4</v>
      </c>
      <c r="J88" s="37">
        <v>354.1</v>
      </c>
      <c r="K88" s="37">
        <v>421.2</v>
      </c>
      <c r="L88" s="37">
        <v>1788.7</v>
      </c>
      <c r="M88" s="37">
        <v>1021.4</v>
      </c>
      <c r="N88">
        <v>21</v>
      </c>
    </row>
    <row r="89" spans="1:14">
      <c r="A89" t="s">
        <v>160</v>
      </c>
      <c r="B89">
        <v>2026</v>
      </c>
      <c r="C89" t="s">
        <v>148</v>
      </c>
      <c r="D89">
        <v>1</v>
      </c>
      <c r="E89" t="s">
        <v>59</v>
      </c>
      <c r="F89" s="37">
        <v>5826.6</v>
      </c>
      <c r="G89" s="37">
        <v>4498.1000000000004</v>
      </c>
      <c r="H89" s="37">
        <v>1328.5</v>
      </c>
      <c r="I89" s="37">
        <v>686.7</v>
      </c>
      <c r="J89" s="37">
        <v>254.7</v>
      </c>
      <c r="K89" s="37">
        <v>305.8</v>
      </c>
      <c r="L89" s="37">
        <v>1247.2</v>
      </c>
      <c r="M89" s="37">
        <v>81.3</v>
      </c>
      <c r="N89">
        <v>21</v>
      </c>
    </row>
    <row r="90" spans="1:14">
      <c r="A90" t="s">
        <v>160</v>
      </c>
      <c r="B90">
        <v>2026</v>
      </c>
      <c r="C90" t="s">
        <v>149</v>
      </c>
      <c r="D90">
        <v>2</v>
      </c>
      <c r="E90" t="s">
        <v>56</v>
      </c>
      <c r="F90" s="37">
        <v>13488.6</v>
      </c>
      <c r="G90" s="37">
        <v>10183.9</v>
      </c>
      <c r="H90" s="37">
        <v>3304.7</v>
      </c>
      <c r="I90" s="37">
        <v>1527.5</v>
      </c>
      <c r="J90" s="37">
        <v>530.70000000000005</v>
      </c>
      <c r="K90" s="37">
        <v>614.70000000000005</v>
      </c>
      <c r="L90" s="37">
        <v>2672.9</v>
      </c>
      <c r="M90" s="37">
        <v>631.79999999999995</v>
      </c>
      <c r="N90">
        <v>20</v>
      </c>
    </row>
    <row r="91" spans="1:14">
      <c r="A91" t="s">
        <v>160</v>
      </c>
      <c r="B91">
        <v>2026</v>
      </c>
      <c r="C91" t="s">
        <v>149</v>
      </c>
      <c r="D91">
        <v>2</v>
      </c>
      <c r="E91" t="s">
        <v>57</v>
      </c>
      <c r="F91" s="37">
        <v>9456.2000000000007</v>
      </c>
      <c r="G91" s="37">
        <v>6770.6</v>
      </c>
      <c r="H91" s="37">
        <v>2685.6</v>
      </c>
      <c r="I91" s="37">
        <v>1067.5</v>
      </c>
      <c r="J91" s="37">
        <v>371.6</v>
      </c>
      <c r="K91" s="37">
        <v>450.9</v>
      </c>
      <c r="L91" s="37">
        <v>1890</v>
      </c>
      <c r="M91" s="37">
        <v>795.6</v>
      </c>
      <c r="N91">
        <v>20</v>
      </c>
    </row>
    <row r="92" spans="1:14">
      <c r="A92" t="s">
        <v>160</v>
      </c>
      <c r="B92">
        <v>2026</v>
      </c>
      <c r="C92" t="s">
        <v>149</v>
      </c>
      <c r="D92">
        <v>2</v>
      </c>
      <c r="E92" t="s">
        <v>58</v>
      </c>
      <c r="F92" s="37">
        <v>9071.2999999999993</v>
      </c>
      <c r="G92" s="37">
        <v>6295.5</v>
      </c>
      <c r="H92" s="37">
        <v>2775.8</v>
      </c>
      <c r="I92" s="37">
        <v>1008.4</v>
      </c>
      <c r="J92" s="37">
        <v>355.3</v>
      </c>
      <c r="K92" s="37">
        <v>421.7</v>
      </c>
      <c r="L92" s="37">
        <v>1785.4</v>
      </c>
      <c r="M92" s="37">
        <v>990.4</v>
      </c>
      <c r="N92">
        <v>20</v>
      </c>
    </row>
    <row r="93" spans="1:14">
      <c r="A93" t="s">
        <v>160</v>
      </c>
      <c r="B93">
        <v>2026</v>
      </c>
      <c r="C93" t="s">
        <v>149</v>
      </c>
      <c r="D93">
        <v>2</v>
      </c>
      <c r="E93" t="s">
        <v>59</v>
      </c>
      <c r="F93" s="37">
        <v>5634.8</v>
      </c>
      <c r="G93" s="37">
        <v>4350.1000000000004</v>
      </c>
      <c r="H93" s="37">
        <v>1284.7</v>
      </c>
      <c r="I93" s="37">
        <v>672</v>
      </c>
      <c r="J93" s="37">
        <v>253.2</v>
      </c>
      <c r="K93" s="37">
        <v>302.7</v>
      </c>
      <c r="L93" s="37">
        <v>1227.9000000000001</v>
      </c>
      <c r="M93" s="37">
        <v>56.8</v>
      </c>
      <c r="N93">
        <v>20</v>
      </c>
    </row>
    <row r="94" spans="1:14">
      <c r="A94" t="s">
        <v>160</v>
      </c>
      <c r="B94">
        <v>2026</v>
      </c>
      <c r="C94" t="s">
        <v>150</v>
      </c>
      <c r="D94">
        <v>3</v>
      </c>
      <c r="E94" t="s">
        <v>56</v>
      </c>
      <c r="F94" s="37">
        <v>14855.6</v>
      </c>
      <c r="G94" s="37">
        <v>11216</v>
      </c>
      <c r="H94" s="37">
        <v>3639.6</v>
      </c>
      <c r="I94" s="37">
        <v>1602.8</v>
      </c>
      <c r="J94" s="37">
        <v>580.70000000000005</v>
      </c>
      <c r="K94" s="37">
        <v>611.6</v>
      </c>
      <c r="L94" s="37">
        <v>2795.1</v>
      </c>
      <c r="M94" s="37">
        <v>844.5</v>
      </c>
      <c r="N94">
        <v>22</v>
      </c>
    </row>
    <row r="95" spans="1:14">
      <c r="A95" t="s">
        <v>160</v>
      </c>
      <c r="B95">
        <v>2026</v>
      </c>
      <c r="C95" t="s">
        <v>150</v>
      </c>
      <c r="D95">
        <v>3</v>
      </c>
      <c r="E95" t="s">
        <v>57</v>
      </c>
      <c r="F95" s="37">
        <v>10209.200000000001</v>
      </c>
      <c r="G95" s="37">
        <v>7309.8</v>
      </c>
      <c r="H95" s="37">
        <v>2899.4</v>
      </c>
      <c r="I95" s="37">
        <v>1104.8</v>
      </c>
      <c r="J95" s="37">
        <v>405.3</v>
      </c>
      <c r="K95" s="37">
        <v>452.1</v>
      </c>
      <c r="L95" s="37">
        <v>1962.2</v>
      </c>
      <c r="M95" s="37">
        <v>937.2</v>
      </c>
      <c r="N95">
        <v>22</v>
      </c>
    </row>
    <row r="96" spans="1:14">
      <c r="A96" t="s">
        <v>160</v>
      </c>
      <c r="B96">
        <v>2026</v>
      </c>
      <c r="C96" t="s">
        <v>150</v>
      </c>
      <c r="D96">
        <v>3</v>
      </c>
      <c r="E96" t="s">
        <v>58</v>
      </c>
      <c r="F96" s="37">
        <v>9829.1</v>
      </c>
      <c r="G96" s="37">
        <v>6821.4</v>
      </c>
      <c r="H96" s="37">
        <v>3007.7</v>
      </c>
      <c r="I96" s="37">
        <v>1052.5999999999999</v>
      </c>
      <c r="J96" s="37">
        <v>378.3</v>
      </c>
      <c r="K96" s="37">
        <v>418.7</v>
      </c>
      <c r="L96" s="37">
        <v>1849.6</v>
      </c>
      <c r="M96" s="37">
        <v>1158.0999999999999</v>
      </c>
      <c r="N96">
        <v>22</v>
      </c>
    </row>
    <row r="97" spans="1:14">
      <c r="A97" t="s">
        <v>160</v>
      </c>
      <c r="B97">
        <v>2026</v>
      </c>
      <c r="C97" t="s">
        <v>150</v>
      </c>
      <c r="D97">
        <v>3</v>
      </c>
      <c r="E97" t="s">
        <v>59</v>
      </c>
      <c r="F97" s="37">
        <v>6186.8</v>
      </c>
      <c r="G97" s="37">
        <v>4776.2</v>
      </c>
      <c r="H97" s="37">
        <v>1410.6</v>
      </c>
      <c r="I97" s="37">
        <v>700.7</v>
      </c>
      <c r="J97" s="37">
        <v>268.2</v>
      </c>
      <c r="K97" s="37">
        <v>308.39999999999998</v>
      </c>
      <c r="L97" s="37">
        <v>1277.3</v>
      </c>
      <c r="M97" s="37">
        <v>133.30000000000001</v>
      </c>
      <c r="N97">
        <v>22</v>
      </c>
    </row>
    <row r="98" spans="1:14">
      <c r="A98" t="s">
        <v>160</v>
      </c>
      <c r="B98">
        <v>2026</v>
      </c>
      <c r="C98" t="s">
        <v>151</v>
      </c>
      <c r="D98">
        <v>4</v>
      </c>
      <c r="E98" t="s">
        <v>56</v>
      </c>
      <c r="F98" s="37">
        <v>14864.4</v>
      </c>
      <c r="G98" s="37">
        <v>11222.6</v>
      </c>
      <c r="H98" s="37">
        <v>3641.8</v>
      </c>
      <c r="I98" s="37">
        <v>1607.9</v>
      </c>
      <c r="J98" s="37">
        <v>574.1</v>
      </c>
      <c r="K98" s="37">
        <v>619.6</v>
      </c>
      <c r="L98" s="37">
        <v>2801.6</v>
      </c>
      <c r="M98" s="37">
        <v>840.2</v>
      </c>
      <c r="N98">
        <v>22</v>
      </c>
    </row>
    <row r="99" spans="1:14">
      <c r="A99" t="s">
        <v>160</v>
      </c>
      <c r="B99">
        <v>2026</v>
      </c>
      <c r="C99" t="s">
        <v>151</v>
      </c>
      <c r="D99">
        <v>4</v>
      </c>
      <c r="E99" t="s">
        <v>57</v>
      </c>
      <c r="F99" s="37">
        <v>10161.4</v>
      </c>
      <c r="G99" s="37">
        <v>7275.6</v>
      </c>
      <c r="H99" s="37">
        <v>2885.8</v>
      </c>
      <c r="I99" s="37">
        <v>1098.5</v>
      </c>
      <c r="J99" s="37">
        <v>391.5</v>
      </c>
      <c r="K99" s="37">
        <v>449.1</v>
      </c>
      <c r="L99" s="37">
        <v>1939.1</v>
      </c>
      <c r="M99" s="37">
        <v>946.7</v>
      </c>
      <c r="N99">
        <v>22</v>
      </c>
    </row>
    <row r="100" spans="1:14">
      <c r="A100" t="s">
        <v>160</v>
      </c>
      <c r="B100">
        <v>2026</v>
      </c>
      <c r="C100" t="s">
        <v>151</v>
      </c>
      <c r="D100">
        <v>4</v>
      </c>
      <c r="E100" t="s">
        <v>58</v>
      </c>
      <c r="F100" s="37">
        <v>9864.1</v>
      </c>
      <c r="G100" s="37">
        <v>6845.7</v>
      </c>
      <c r="H100" s="37">
        <v>3018.4</v>
      </c>
      <c r="I100" s="37">
        <v>1052.3</v>
      </c>
      <c r="J100" s="37">
        <v>373.9</v>
      </c>
      <c r="K100" s="37">
        <v>416.5</v>
      </c>
      <c r="L100" s="37">
        <v>1842.7</v>
      </c>
      <c r="M100" s="37">
        <v>1175.7</v>
      </c>
      <c r="N100">
        <v>22</v>
      </c>
    </row>
    <row r="101" spans="1:14">
      <c r="A101" t="s">
        <v>160</v>
      </c>
      <c r="B101">
        <v>2026</v>
      </c>
      <c r="C101" t="s">
        <v>151</v>
      </c>
      <c r="D101">
        <v>4</v>
      </c>
      <c r="E101" t="s">
        <v>59</v>
      </c>
      <c r="F101" s="37">
        <v>6318.9</v>
      </c>
      <c r="G101" s="37">
        <v>4878.2</v>
      </c>
      <c r="H101" s="37">
        <v>1440.7</v>
      </c>
      <c r="I101" s="37">
        <v>708.4</v>
      </c>
      <c r="J101" s="37">
        <v>268.8</v>
      </c>
      <c r="K101" s="37">
        <v>305</v>
      </c>
      <c r="L101" s="37">
        <v>1282.2</v>
      </c>
      <c r="M101" s="37">
        <v>158.5</v>
      </c>
      <c r="N101">
        <v>22</v>
      </c>
    </row>
    <row r="102" spans="1:14">
      <c r="A102" t="s">
        <v>160</v>
      </c>
      <c r="B102">
        <v>2026</v>
      </c>
      <c r="C102" t="s">
        <v>152</v>
      </c>
      <c r="D102">
        <v>5</v>
      </c>
      <c r="E102" t="s">
        <v>56</v>
      </c>
      <c r="F102" s="37">
        <v>14997.3</v>
      </c>
      <c r="G102" s="37">
        <v>11323</v>
      </c>
      <c r="H102" s="37">
        <v>3674.3</v>
      </c>
      <c r="I102" s="37">
        <v>1622</v>
      </c>
      <c r="J102" s="37">
        <v>588.4</v>
      </c>
      <c r="K102" s="37">
        <v>621</v>
      </c>
      <c r="L102" s="37">
        <v>2831.4</v>
      </c>
      <c r="M102" s="37">
        <v>842.9</v>
      </c>
      <c r="N102">
        <v>20</v>
      </c>
    </row>
    <row r="103" spans="1:14">
      <c r="A103" t="s">
        <v>160</v>
      </c>
      <c r="B103">
        <v>2026</v>
      </c>
      <c r="C103" t="s">
        <v>152</v>
      </c>
      <c r="D103">
        <v>5</v>
      </c>
      <c r="E103" t="s">
        <v>57</v>
      </c>
      <c r="F103" s="37">
        <v>10424.4</v>
      </c>
      <c r="G103" s="37">
        <v>7463.9</v>
      </c>
      <c r="H103" s="37">
        <v>2960.5</v>
      </c>
      <c r="I103" s="37">
        <v>1130.4000000000001</v>
      </c>
      <c r="J103" s="37">
        <v>402.5</v>
      </c>
      <c r="K103" s="37">
        <v>457.5</v>
      </c>
      <c r="L103" s="37">
        <v>1990.4</v>
      </c>
      <c r="M103" s="37">
        <v>970.1</v>
      </c>
      <c r="N103">
        <v>20</v>
      </c>
    </row>
    <row r="104" spans="1:14">
      <c r="A104" t="s">
        <v>160</v>
      </c>
      <c r="B104">
        <v>2026</v>
      </c>
      <c r="C104" t="s">
        <v>152</v>
      </c>
      <c r="D104">
        <v>5</v>
      </c>
      <c r="E104" t="s">
        <v>58</v>
      </c>
      <c r="F104" s="37">
        <v>10216.9</v>
      </c>
      <c r="G104" s="37">
        <v>7090.5</v>
      </c>
      <c r="H104" s="37">
        <v>3126.4</v>
      </c>
      <c r="I104" s="37">
        <v>1074.5999999999999</v>
      </c>
      <c r="J104" s="37">
        <v>391.4</v>
      </c>
      <c r="K104" s="37">
        <v>416.6</v>
      </c>
      <c r="L104" s="37">
        <v>1882.6</v>
      </c>
      <c r="M104" s="37">
        <v>1243.8</v>
      </c>
      <c r="N104">
        <v>20</v>
      </c>
    </row>
    <row r="105" spans="1:14">
      <c r="A105" t="s">
        <v>160</v>
      </c>
      <c r="B105">
        <v>2026</v>
      </c>
      <c r="C105" t="s">
        <v>152</v>
      </c>
      <c r="D105">
        <v>5</v>
      </c>
      <c r="E105" t="s">
        <v>59</v>
      </c>
      <c r="F105" s="37">
        <v>6505</v>
      </c>
      <c r="G105" s="37">
        <v>5021.8999999999996</v>
      </c>
      <c r="H105" s="37">
        <v>1483.1</v>
      </c>
      <c r="I105" s="37">
        <v>723.9</v>
      </c>
      <c r="J105" s="37">
        <v>273.39999999999998</v>
      </c>
      <c r="K105" s="37">
        <v>307.2</v>
      </c>
      <c r="L105" s="37">
        <v>1304.5</v>
      </c>
      <c r="M105" s="37">
        <v>178.6</v>
      </c>
      <c r="N105">
        <v>20</v>
      </c>
    </row>
    <row r="106" spans="1:14">
      <c r="A106" t="s">
        <v>160</v>
      </c>
      <c r="B106">
        <v>2026</v>
      </c>
      <c r="C106" t="s">
        <v>153</v>
      </c>
      <c r="D106">
        <v>6</v>
      </c>
      <c r="E106" t="s">
        <v>56</v>
      </c>
      <c r="F106" s="37">
        <v>15371</v>
      </c>
      <c r="G106" s="37">
        <v>11605.1</v>
      </c>
      <c r="H106" s="37">
        <v>3765.9</v>
      </c>
      <c r="I106" s="37">
        <v>1660.3</v>
      </c>
      <c r="J106" s="37">
        <v>591.9</v>
      </c>
      <c r="K106" s="37">
        <v>604.5</v>
      </c>
      <c r="L106" s="37">
        <v>2856.7</v>
      </c>
      <c r="M106" s="37">
        <v>909.2</v>
      </c>
      <c r="N106">
        <v>22</v>
      </c>
    </row>
    <row r="107" spans="1:14">
      <c r="A107" t="s">
        <v>160</v>
      </c>
      <c r="B107">
        <v>2026</v>
      </c>
      <c r="C107" t="s">
        <v>153</v>
      </c>
      <c r="D107">
        <v>6</v>
      </c>
      <c r="E107" t="s">
        <v>57</v>
      </c>
      <c r="F107" s="37">
        <v>10702.4</v>
      </c>
      <c r="G107" s="37">
        <v>7662.9</v>
      </c>
      <c r="H107" s="37">
        <v>3039.5</v>
      </c>
      <c r="I107" s="37">
        <v>1152.2</v>
      </c>
      <c r="J107" s="37">
        <v>413.6</v>
      </c>
      <c r="K107" s="37">
        <v>456.7</v>
      </c>
      <c r="L107" s="37">
        <v>2022.5</v>
      </c>
      <c r="M107" s="37">
        <v>1017</v>
      </c>
      <c r="N107">
        <v>22</v>
      </c>
    </row>
    <row r="108" spans="1:14">
      <c r="A108" t="s">
        <v>160</v>
      </c>
      <c r="B108">
        <v>2026</v>
      </c>
      <c r="C108" t="s">
        <v>153</v>
      </c>
      <c r="D108">
        <v>6</v>
      </c>
      <c r="E108" t="s">
        <v>58</v>
      </c>
      <c r="F108" s="37">
        <v>10122</v>
      </c>
      <c r="G108" s="37">
        <v>7024.7</v>
      </c>
      <c r="H108" s="37">
        <v>3097.3</v>
      </c>
      <c r="I108" s="37">
        <v>1079.3</v>
      </c>
      <c r="J108" s="37">
        <v>385.5</v>
      </c>
      <c r="K108" s="37">
        <v>417.8</v>
      </c>
      <c r="L108" s="37">
        <v>1882.6</v>
      </c>
      <c r="M108" s="37">
        <v>1214.7</v>
      </c>
      <c r="N108">
        <v>22</v>
      </c>
    </row>
    <row r="109" spans="1:14">
      <c r="A109" t="s">
        <v>160</v>
      </c>
      <c r="B109">
        <v>2026</v>
      </c>
      <c r="C109" t="s">
        <v>153</v>
      </c>
      <c r="D109">
        <v>6</v>
      </c>
      <c r="E109" t="s">
        <v>59</v>
      </c>
      <c r="F109" s="37">
        <v>6505.2</v>
      </c>
      <c r="G109" s="37">
        <v>5022</v>
      </c>
      <c r="H109" s="37">
        <v>1483.2</v>
      </c>
      <c r="I109" s="37">
        <v>737.6</v>
      </c>
      <c r="J109" s="37">
        <v>276.7</v>
      </c>
      <c r="K109" s="37">
        <v>303.5</v>
      </c>
      <c r="L109" s="37">
        <v>1317.8</v>
      </c>
      <c r="M109" s="37">
        <v>165.4</v>
      </c>
      <c r="N109">
        <v>22</v>
      </c>
    </row>
    <row r="110" spans="1:14">
      <c r="A110" t="s">
        <v>160</v>
      </c>
      <c r="B110">
        <v>2026</v>
      </c>
      <c r="C110" t="s">
        <v>154</v>
      </c>
      <c r="D110">
        <v>7</v>
      </c>
      <c r="E110" t="s">
        <v>56</v>
      </c>
      <c r="F110" s="37">
        <v>15226.2</v>
      </c>
      <c r="G110" s="37">
        <v>11495.8</v>
      </c>
      <c r="H110" s="37">
        <v>3730.4</v>
      </c>
      <c r="I110" s="37">
        <v>1651.1</v>
      </c>
      <c r="J110" s="37">
        <v>590.20000000000005</v>
      </c>
      <c r="K110" s="37">
        <v>606.70000000000005</v>
      </c>
      <c r="L110" s="37">
        <v>2848</v>
      </c>
      <c r="M110" s="37">
        <v>882.4</v>
      </c>
      <c r="N110">
        <v>22</v>
      </c>
    </row>
    <row r="111" spans="1:14">
      <c r="A111" t="s">
        <v>160</v>
      </c>
      <c r="B111">
        <v>2026</v>
      </c>
      <c r="C111" t="s">
        <v>154</v>
      </c>
      <c r="D111">
        <v>7</v>
      </c>
      <c r="E111" t="s">
        <v>57</v>
      </c>
      <c r="F111" s="37">
        <v>10398.9</v>
      </c>
      <c r="G111" s="37">
        <v>7445.6</v>
      </c>
      <c r="H111" s="37">
        <v>2953.3</v>
      </c>
      <c r="I111" s="37">
        <v>1140.8</v>
      </c>
      <c r="J111" s="37">
        <v>400</v>
      </c>
      <c r="K111" s="37">
        <v>454.5</v>
      </c>
      <c r="L111" s="37">
        <v>1995.3</v>
      </c>
      <c r="M111" s="37">
        <v>958</v>
      </c>
      <c r="N111">
        <v>22</v>
      </c>
    </row>
    <row r="112" spans="1:14">
      <c r="A112" t="s">
        <v>160</v>
      </c>
      <c r="B112">
        <v>2026</v>
      </c>
      <c r="C112" t="s">
        <v>154</v>
      </c>
      <c r="D112">
        <v>7</v>
      </c>
      <c r="E112" t="s">
        <v>58</v>
      </c>
      <c r="F112" s="37">
        <v>10047.200000000001</v>
      </c>
      <c r="G112" s="37">
        <v>6972.8</v>
      </c>
      <c r="H112" s="37">
        <v>3074.4</v>
      </c>
      <c r="I112" s="37">
        <v>1075.0999999999999</v>
      </c>
      <c r="J112" s="37">
        <v>381.3</v>
      </c>
      <c r="K112" s="37">
        <v>422.5</v>
      </c>
      <c r="L112" s="37">
        <v>1878.9</v>
      </c>
      <c r="M112" s="37">
        <v>1195.5</v>
      </c>
      <c r="N112">
        <v>22</v>
      </c>
    </row>
    <row r="113" spans="1:14">
      <c r="A113" t="s">
        <v>160</v>
      </c>
      <c r="B113">
        <v>2026</v>
      </c>
      <c r="C113" t="s">
        <v>154</v>
      </c>
      <c r="D113">
        <v>7</v>
      </c>
      <c r="E113" t="s">
        <v>59</v>
      </c>
      <c r="F113" s="37">
        <v>6299</v>
      </c>
      <c r="G113" s="37">
        <v>4862.8</v>
      </c>
      <c r="H113" s="37">
        <v>1436.2</v>
      </c>
      <c r="I113" s="37">
        <v>721.9</v>
      </c>
      <c r="J113" s="37">
        <v>269.2</v>
      </c>
      <c r="K113" s="37">
        <v>303.7</v>
      </c>
      <c r="L113" s="37">
        <v>1294.8</v>
      </c>
      <c r="M113" s="37">
        <v>141.4</v>
      </c>
      <c r="N113">
        <v>22</v>
      </c>
    </row>
    <row r="114" spans="1:14">
      <c r="A114" t="s">
        <v>160</v>
      </c>
      <c r="B114">
        <v>2026</v>
      </c>
      <c r="C114" t="s">
        <v>155</v>
      </c>
      <c r="D114">
        <v>8</v>
      </c>
      <c r="E114" t="s">
        <v>56</v>
      </c>
      <c r="F114" s="37">
        <v>15196.2</v>
      </c>
      <c r="G114" s="37">
        <v>11473.1</v>
      </c>
      <c r="H114" s="37">
        <v>3723.1</v>
      </c>
      <c r="I114" s="37">
        <v>1647.3</v>
      </c>
      <c r="J114" s="37">
        <v>597.79999999999995</v>
      </c>
      <c r="K114" s="37">
        <v>606.20000000000005</v>
      </c>
      <c r="L114" s="37">
        <v>2851.3</v>
      </c>
      <c r="M114" s="37">
        <v>871.8</v>
      </c>
      <c r="N114">
        <v>21</v>
      </c>
    </row>
    <row r="115" spans="1:14">
      <c r="A115" t="s">
        <v>160</v>
      </c>
      <c r="B115">
        <v>2026</v>
      </c>
      <c r="C115" t="s">
        <v>155</v>
      </c>
      <c r="D115">
        <v>8</v>
      </c>
      <c r="E115" t="s">
        <v>57</v>
      </c>
      <c r="F115" s="37">
        <v>10377</v>
      </c>
      <c r="G115" s="37">
        <v>7429.9</v>
      </c>
      <c r="H115" s="37">
        <v>2947.1</v>
      </c>
      <c r="I115" s="37">
        <v>1142.4000000000001</v>
      </c>
      <c r="J115" s="37">
        <v>406.9</v>
      </c>
      <c r="K115" s="37">
        <v>449.3</v>
      </c>
      <c r="L115" s="37">
        <v>1998.6</v>
      </c>
      <c r="M115" s="37">
        <v>948.5</v>
      </c>
      <c r="N115">
        <v>21</v>
      </c>
    </row>
    <row r="116" spans="1:14">
      <c r="A116" t="s">
        <v>160</v>
      </c>
      <c r="B116">
        <v>2026</v>
      </c>
      <c r="C116" t="s">
        <v>155</v>
      </c>
      <c r="D116">
        <v>8</v>
      </c>
      <c r="E116" t="s">
        <v>58</v>
      </c>
      <c r="F116" s="37">
        <v>10170.6</v>
      </c>
      <c r="G116" s="37">
        <v>7058.4</v>
      </c>
      <c r="H116" s="37">
        <v>3112.2</v>
      </c>
      <c r="I116" s="37">
        <v>1098.7</v>
      </c>
      <c r="J116" s="37">
        <v>382.7</v>
      </c>
      <c r="K116" s="37">
        <v>422.1</v>
      </c>
      <c r="L116" s="37">
        <v>1903.5</v>
      </c>
      <c r="M116" s="37">
        <v>1208.7</v>
      </c>
      <c r="N116">
        <v>21</v>
      </c>
    </row>
    <row r="117" spans="1:14">
      <c r="A117" t="s">
        <v>160</v>
      </c>
      <c r="B117">
        <v>2026</v>
      </c>
      <c r="C117" t="s">
        <v>155</v>
      </c>
      <c r="D117">
        <v>8</v>
      </c>
      <c r="E117" t="s">
        <v>59</v>
      </c>
      <c r="F117" s="37">
        <v>6443</v>
      </c>
      <c r="G117" s="37">
        <v>4974</v>
      </c>
      <c r="H117" s="37">
        <v>1469</v>
      </c>
      <c r="I117" s="37">
        <v>732.1</v>
      </c>
      <c r="J117" s="37">
        <v>271.3</v>
      </c>
      <c r="K117" s="37">
        <v>303.7</v>
      </c>
      <c r="L117" s="37">
        <v>1307.0999999999999</v>
      </c>
      <c r="M117" s="37">
        <v>161.9</v>
      </c>
      <c r="N117">
        <v>21</v>
      </c>
    </row>
    <row r="118" spans="1:14">
      <c r="A118" t="s">
        <v>160</v>
      </c>
      <c r="B118">
        <v>2026</v>
      </c>
      <c r="C118" t="s">
        <v>156</v>
      </c>
      <c r="D118">
        <v>9</v>
      </c>
      <c r="E118" t="s">
        <v>56</v>
      </c>
      <c r="F118" s="37">
        <v>14771.7</v>
      </c>
      <c r="G118" s="37">
        <v>11152.6</v>
      </c>
      <c r="H118" s="37">
        <v>3619.1</v>
      </c>
      <c r="I118" s="37">
        <v>1609.5</v>
      </c>
      <c r="J118" s="37">
        <v>572.70000000000005</v>
      </c>
      <c r="K118" s="37">
        <v>621.1</v>
      </c>
      <c r="L118" s="37">
        <v>2803.3</v>
      </c>
      <c r="M118" s="37">
        <v>815.8</v>
      </c>
      <c r="N118">
        <v>21</v>
      </c>
    </row>
    <row r="119" spans="1:14">
      <c r="A119" t="s">
        <v>160</v>
      </c>
      <c r="B119">
        <v>2026</v>
      </c>
      <c r="C119" t="s">
        <v>156</v>
      </c>
      <c r="D119">
        <v>9</v>
      </c>
      <c r="E119" t="s">
        <v>57</v>
      </c>
      <c r="F119" s="37">
        <v>10188.700000000001</v>
      </c>
      <c r="G119" s="37">
        <v>7295.1</v>
      </c>
      <c r="H119" s="37">
        <v>2893.6</v>
      </c>
      <c r="I119" s="37">
        <v>1117.5999999999999</v>
      </c>
      <c r="J119" s="37">
        <v>391.8</v>
      </c>
      <c r="K119" s="37">
        <v>448</v>
      </c>
      <c r="L119" s="37">
        <v>1957.4</v>
      </c>
      <c r="M119" s="37">
        <v>936.2</v>
      </c>
      <c r="N119">
        <v>21</v>
      </c>
    </row>
    <row r="120" spans="1:14">
      <c r="A120" t="s">
        <v>160</v>
      </c>
      <c r="B120">
        <v>2026</v>
      </c>
      <c r="C120" t="s">
        <v>156</v>
      </c>
      <c r="D120">
        <v>9</v>
      </c>
      <c r="E120" t="s">
        <v>58</v>
      </c>
      <c r="F120" s="37">
        <v>9873.9</v>
      </c>
      <c r="G120" s="37">
        <v>6852.5</v>
      </c>
      <c r="H120" s="37">
        <v>3021.4</v>
      </c>
      <c r="I120" s="37">
        <v>1071.8</v>
      </c>
      <c r="J120" s="37">
        <v>374.9</v>
      </c>
      <c r="K120" s="37">
        <v>423.2</v>
      </c>
      <c r="L120" s="37">
        <v>1869.9</v>
      </c>
      <c r="M120" s="37">
        <v>1151.5</v>
      </c>
      <c r="N120">
        <v>21</v>
      </c>
    </row>
    <row r="121" spans="1:14">
      <c r="A121" t="s">
        <v>160</v>
      </c>
      <c r="B121">
        <v>2026</v>
      </c>
      <c r="C121" t="s">
        <v>156</v>
      </c>
      <c r="D121">
        <v>9</v>
      </c>
      <c r="E121" t="s">
        <v>59</v>
      </c>
      <c r="F121" s="37">
        <v>6444.8</v>
      </c>
      <c r="G121" s="37">
        <v>4975.3999999999996</v>
      </c>
      <c r="H121" s="37">
        <v>1469.4</v>
      </c>
      <c r="I121" s="37">
        <v>727.7</v>
      </c>
      <c r="J121" s="37">
        <v>272.2</v>
      </c>
      <c r="K121" s="37">
        <v>307.7</v>
      </c>
      <c r="L121" s="37">
        <v>1307.5999999999999</v>
      </c>
      <c r="M121" s="37">
        <v>161.80000000000001</v>
      </c>
      <c r="N121">
        <v>21</v>
      </c>
    </row>
    <row r="122" spans="1:14">
      <c r="A122" t="s">
        <v>160</v>
      </c>
      <c r="B122">
        <v>2026</v>
      </c>
      <c r="C122" t="s">
        <v>157</v>
      </c>
      <c r="D122">
        <v>10</v>
      </c>
      <c r="E122" t="s">
        <v>56</v>
      </c>
      <c r="F122" s="37">
        <v>15245.4</v>
      </c>
      <c r="G122" s="37">
        <v>11510.3</v>
      </c>
      <c r="H122" s="37">
        <v>3735.1</v>
      </c>
      <c r="I122" s="37">
        <v>1646.8</v>
      </c>
      <c r="J122" s="37">
        <v>587.79999999999995</v>
      </c>
      <c r="K122" s="37">
        <v>608.1</v>
      </c>
      <c r="L122" s="37">
        <v>2842.7</v>
      </c>
      <c r="M122" s="37">
        <v>892.4</v>
      </c>
      <c r="N122">
        <v>22</v>
      </c>
    </row>
    <row r="123" spans="1:14">
      <c r="A123" t="s">
        <v>160</v>
      </c>
      <c r="B123">
        <v>2026</v>
      </c>
      <c r="C123" t="s">
        <v>157</v>
      </c>
      <c r="D123">
        <v>10</v>
      </c>
      <c r="E123" t="s">
        <v>57</v>
      </c>
      <c r="F123" s="37">
        <v>10339.799999999999</v>
      </c>
      <c r="G123" s="37">
        <v>7403.3</v>
      </c>
      <c r="H123" s="37">
        <v>2936.5</v>
      </c>
      <c r="I123" s="37">
        <v>1123.0999999999999</v>
      </c>
      <c r="J123" s="37">
        <v>408</v>
      </c>
      <c r="K123" s="37">
        <v>451.7</v>
      </c>
      <c r="L123" s="37">
        <v>1982.8</v>
      </c>
      <c r="M123" s="37">
        <v>953.7</v>
      </c>
      <c r="N123">
        <v>22</v>
      </c>
    </row>
    <row r="124" spans="1:14">
      <c r="A124" t="s">
        <v>160</v>
      </c>
      <c r="B124">
        <v>2026</v>
      </c>
      <c r="C124" t="s">
        <v>157</v>
      </c>
      <c r="D124">
        <v>10</v>
      </c>
      <c r="E124" t="s">
        <v>58</v>
      </c>
      <c r="F124" s="37">
        <v>9945.2999999999993</v>
      </c>
      <c r="G124" s="37">
        <v>6902.1</v>
      </c>
      <c r="H124" s="37">
        <v>3043.2</v>
      </c>
      <c r="I124" s="37">
        <v>1063.2</v>
      </c>
      <c r="J124" s="37">
        <v>377.5</v>
      </c>
      <c r="K124" s="37">
        <v>422.1</v>
      </c>
      <c r="L124" s="37">
        <v>1862.8</v>
      </c>
      <c r="M124" s="37">
        <v>1180.4000000000001</v>
      </c>
      <c r="N124">
        <v>22</v>
      </c>
    </row>
    <row r="125" spans="1:14">
      <c r="A125" t="s">
        <v>160</v>
      </c>
      <c r="B125">
        <v>2026</v>
      </c>
      <c r="C125" t="s">
        <v>157</v>
      </c>
      <c r="D125">
        <v>10</v>
      </c>
      <c r="E125" t="s">
        <v>59</v>
      </c>
      <c r="F125" s="37">
        <v>6820.7</v>
      </c>
      <c r="G125" s="37">
        <v>5265.6</v>
      </c>
      <c r="H125" s="37">
        <v>1555.1</v>
      </c>
      <c r="I125" s="37">
        <v>754.1</v>
      </c>
      <c r="J125" s="37">
        <v>283.5</v>
      </c>
      <c r="K125" s="37">
        <v>306.39999999999998</v>
      </c>
      <c r="L125" s="37">
        <v>1344</v>
      </c>
      <c r="M125" s="37">
        <v>211.1</v>
      </c>
      <c r="N125">
        <v>22</v>
      </c>
    </row>
    <row r="126" spans="1:14">
      <c r="A126" t="s">
        <v>160</v>
      </c>
      <c r="B126">
        <v>2026</v>
      </c>
      <c r="C126" t="s">
        <v>158</v>
      </c>
      <c r="D126">
        <v>11</v>
      </c>
      <c r="E126" t="s">
        <v>56</v>
      </c>
      <c r="F126" s="37">
        <v>14340.1</v>
      </c>
      <c r="G126" s="37">
        <v>10826.8</v>
      </c>
      <c r="H126" s="37">
        <v>3513.3</v>
      </c>
      <c r="I126" s="37">
        <v>1569.3</v>
      </c>
      <c r="J126" s="37">
        <v>568.20000000000005</v>
      </c>
      <c r="K126" s="37">
        <v>606.29999999999995</v>
      </c>
      <c r="L126" s="37">
        <v>2743.8</v>
      </c>
      <c r="M126" s="37">
        <v>769.5</v>
      </c>
      <c r="N126">
        <v>19</v>
      </c>
    </row>
    <row r="127" spans="1:14">
      <c r="A127" t="s">
        <v>160</v>
      </c>
      <c r="B127">
        <v>2026</v>
      </c>
      <c r="C127" t="s">
        <v>158</v>
      </c>
      <c r="D127">
        <v>11</v>
      </c>
      <c r="E127" t="s">
        <v>57</v>
      </c>
      <c r="F127" s="37">
        <v>10087.5</v>
      </c>
      <c r="G127" s="37">
        <v>7222.6</v>
      </c>
      <c r="H127" s="37">
        <v>2864.9</v>
      </c>
      <c r="I127" s="37">
        <v>1108.8</v>
      </c>
      <c r="J127" s="37">
        <v>389.6</v>
      </c>
      <c r="K127" s="37">
        <v>454.7</v>
      </c>
      <c r="L127" s="37">
        <v>1953.1</v>
      </c>
      <c r="M127" s="37">
        <v>911.8</v>
      </c>
      <c r="N127">
        <v>19</v>
      </c>
    </row>
    <row r="128" spans="1:14">
      <c r="A128" t="s">
        <v>160</v>
      </c>
      <c r="B128">
        <v>2026</v>
      </c>
      <c r="C128" t="s">
        <v>158</v>
      </c>
      <c r="D128">
        <v>11</v>
      </c>
      <c r="E128" t="s">
        <v>58</v>
      </c>
      <c r="F128" s="37">
        <v>9573.7000000000007</v>
      </c>
      <c r="G128" s="37">
        <v>6644.1</v>
      </c>
      <c r="H128" s="37">
        <v>2929.6</v>
      </c>
      <c r="I128" s="37">
        <v>1045.3</v>
      </c>
      <c r="J128" s="37">
        <v>368.4</v>
      </c>
      <c r="K128" s="37">
        <v>419.1</v>
      </c>
      <c r="L128" s="37">
        <v>1832.8</v>
      </c>
      <c r="M128" s="37">
        <v>1096.8</v>
      </c>
      <c r="N128">
        <v>19</v>
      </c>
    </row>
    <row r="129" spans="1:14">
      <c r="A129" t="s">
        <v>160</v>
      </c>
      <c r="B129">
        <v>2026</v>
      </c>
      <c r="C129" t="s">
        <v>158</v>
      </c>
      <c r="D129">
        <v>11</v>
      </c>
      <c r="E129" t="s">
        <v>59</v>
      </c>
      <c r="F129" s="37">
        <v>7046.5</v>
      </c>
      <c r="G129" s="37">
        <v>5439.9</v>
      </c>
      <c r="H129" s="37">
        <v>1606.6</v>
      </c>
      <c r="I129" s="37">
        <v>762.5</v>
      </c>
      <c r="J129" s="37">
        <v>294.10000000000002</v>
      </c>
      <c r="K129" s="37">
        <v>308.2</v>
      </c>
      <c r="L129" s="37">
        <v>1364.8</v>
      </c>
      <c r="M129" s="37">
        <v>241.8</v>
      </c>
      <c r="N129">
        <v>19</v>
      </c>
    </row>
    <row r="130" spans="1:14">
      <c r="A130" t="s">
        <v>160</v>
      </c>
      <c r="B130">
        <v>2026</v>
      </c>
      <c r="C130" t="s">
        <v>159</v>
      </c>
      <c r="D130">
        <v>12</v>
      </c>
      <c r="E130" t="s">
        <v>56</v>
      </c>
      <c r="F130" s="37">
        <v>14324.3</v>
      </c>
      <c r="G130" s="37">
        <v>10814.8</v>
      </c>
      <c r="H130" s="37">
        <v>3509.5</v>
      </c>
      <c r="I130" s="37">
        <v>1588.6</v>
      </c>
      <c r="J130" s="37">
        <v>557.79999999999995</v>
      </c>
      <c r="K130" s="37">
        <v>614.4</v>
      </c>
      <c r="L130" s="37">
        <v>2760.8</v>
      </c>
      <c r="M130" s="37">
        <v>748.7</v>
      </c>
      <c r="N130">
        <v>22</v>
      </c>
    </row>
    <row r="131" spans="1:14">
      <c r="A131" t="s">
        <v>160</v>
      </c>
      <c r="B131">
        <v>2026</v>
      </c>
      <c r="C131" t="s">
        <v>159</v>
      </c>
      <c r="D131">
        <v>12</v>
      </c>
      <c r="E131" t="s">
        <v>57</v>
      </c>
      <c r="F131" s="37">
        <v>9827.9</v>
      </c>
      <c r="G131" s="37">
        <v>7036.8</v>
      </c>
      <c r="H131" s="37">
        <v>2791.1</v>
      </c>
      <c r="I131" s="37">
        <v>1095.4000000000001</v>
      </c>
      <c r="J131" s="37">
        <v>383.5</v>
      </c>
      <c r="K131" s="37">
        <v>451.4</v>
      </c>
      <c r="L131" s="37">
        <v>1930.3</v>
      </c>
      <c r="M131" s="37">
        <v>860.8</v>
      </c>
      <c r="N131">
        <v>22</v>
      </c>
    </row>
    <row r="132" spans="1:14">
      <c r="A132" t="s">
        <v>160</v>
      </c>
      <c r="B132">
        <v>2026</v>
      </c>
      <c r="C132" t="s">
        <v>159</v>
      </c>
      <c r="D132">
        <v>12</v>
      </c>
      <c r="E132" t="s">
        <v>58</v>
      </c>
      <c r="F132" s="37">
        <v>9582.2999999999993</v>
      </c>
      <c r="G132" s="37">
        <v>6650.1</v>
      </c>
      <c r="H132" s="37">
        <v>2932.2</v>
      </c>
      <c r="I132" s="37">
        <v>1046.8</v>
      </c>
      <c r="J132" s="37">
        <v>365.4</v>
      </c>
      <c r="K132" s="37">
        <v>420.2</v>
      </c>
      <c r="L132" s="37">
        <v>1832.4</v>
      </c>
      <c r="M132" s="37">
        <v>1099.8</v>
      </c>
      <c r="N132">
        <v>22</v>
      </c>
    </row>
    <row r="133" spans="1:14">
      <c r="A133" t="s">
        <v>160</v>
      </c>
      <c r="B133">
        <v>2026</v>
      </c>
      <c r="C133" t="s">
        <v>159</v>
      </c>
      <c r="D133">
        <v>12</v>
      </c>
      <c r="E133" t="s">
        <v>59</v>
      </c>
      <c r="F133" s="37">
        <v>7326.3</v>
      </c>
      <c r="G133" s="37">
        <v>5655.9</v>
      </c>
      <c r="H133" s="37">
        <v>1670.4</v>
      </c>
      <c r="I133" s="37">
        <v>786.2</v>
      </c>
      <c r="J133" s="37">
        <v>303.5</v>
      </c>
      <c r="K133" s="37">
        <v>304</v>
      </c>
      <c r="L133" s="37">
        <v>1393.7</v>
      </c>
      <c r="M133" s="37">
        <v>276.7</v>
      </c>
      <c r="N133">
        <v>22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50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7" customWidth="1"/>
    <col min="2" max="2" width="10" customWidth="1"/>
    <col min="3" max="3" width="24" customWidth="1"/>
    <col min="4" max="4" width="22" customWidth="1"/>
    <col min="5" max="5" width="9" customWidth="1"/>
    <col min="6" max="6" width="30" customWidth="1"/>
    <col min="7" max="8" width="12" customWidth="1"/>
    <col min="9" max="10" width="14" customWidth="1"/>
    <col min="11" max="11" width="12" customWidth="1"/>
  </cols>
  <sheetData>
    <row r="1" spans="1:11">
      <c r="A1" s="11" t="s">
        <v>142</v>
      </c>
      <c r="B1" s="11" t="s">
        <v>143</v>
      </c>
      <c r="C1" s="11" t="s">
        <v>31</v>
      </c>
      <c r="D1" s="11" t="s">
        <v>161</v>
      </c>
      <c r="E1" s="11" t="s">
        <v>63</v>
      </c>
      <c r="F1" s="11" t="s">
        <v>162</v>
      </c>
      <c r="G1" s="11" t="s">
        <v>163</v>
      </c>
      <c r="H1" s="11" t="s">
        <v>164</v>
      </c>
      <c r="I1" s="11" t="s">
        <v>165</v>
      </c>
      <c r="J1" s="11" t="s">
        <v>166</v>
      </c>
      <c r="K1" s="11" t="s">
        <v>167</v>
      </c>
    </row>
    <row r="2" spans="1:11">
      <c r="A2" t="s">
        <v>148</v>
      </c>
      <c r="B2">
        <v>1</v>
      </c>
      <c r="C2" t="s">
        <v>56</v>
      </c>
      <c r="D2" t="s">
        <v>145</v>
      </c>
      <c r="E2" t="s">
        <v>105</v>
      </c>
      <c r="F2" t="s">
        <v>106</v>
      </c>
      <c r="G2" s="27">
        <v>483.1</v>
      </c>
      <c r="H2" s="27">
        <v>503.5</v>
      </c>
      <c r="I2" s="27">
        <v>486.6</v>
      </c>
      <c r="J2" s="27">
        <f>G2-H2</f>
        <v>-20.399999999999977</v>
      </c>
      <c r="K2" s="27">
        <f>G2-I2</f>
        <v>-3.5</v>
      </c>
    </row>
    <row r="3" spans="1:11">
      <c r="A3" t="s">
        <v>148</v>
      </c>
      <c r="B3">
        <v>1</v>
      </c>
      <c r="C3" t="s">
        <v>56</v>
      </c>
      <c r="D3" t="s">
        <v>145</v>
      </c>
      <c r="E3" t="s">
        <v>107</v>
      </c>
      <c r="F3" t="s">
        <v>108</v>
      </c>
      <c r="G3" s="27">
        <v>48.1</v>
      </c>
      <c r="H3" s="27">
        <v>48</v>
      </c>
      <c r="I3" s="27">
        <v>46.3</v>
      </c>
      <c r="J3" s="27">
        <f>G3-H3</f>
        <v>0.10000000000000142</v>
      </c>
      <c r="K3" s="27">
        <f>G3-I3</f>
        <v>1.8000000000000043</v>
      </c>
    </row>
    <row r="4" spans="1:11">
      <c r="A4" t="s">
        <v>148</v>
      </c>
      <c r="B4">
        <v>1</v>
      </c>
      <c r="C4" t="s">
        <v>56</v>
      </c>
      <c r="D4" t="s">
        <v>145</v>
      </c>
      <c r="E4" t="s">
        <v>109</v>
      </c>
      <c r="F4" t="s">
        <v>110</v>
      </c>
      <c r="G4" s="27">
        <v>34.4</v>
      </c>
      <c r="H4" s="27">
        <v>34.799999999999997</v>
      </c>
      <c r="I4" s="27">
        <v>33.6</v>
      </c>
      <c r="J4" s="27">
        <f>G4-H4</f>
        <v>-0.39999999999999858</v>
      </c>
      <c r="K4" s="27">
        <f>G4-I4</f>
        <v>0.79999999999999716</v>
      </c>
    </row>
    <row r="5" spans="1:11">
      <c r="A5" t="s">
        <v>148</v>
      </c>
      <c r="B5">
        <v>1</v>
      </c>
      <c r="C5" t="s">
        <v>56</v>
      </c>
      <c r="D5" t="s">
        <v>145</v>
      </c>
      <c r="E5" t="s">
        <v>111</v>
      </c>
      <c r="F5" t="s">
        <v>112</v>
      </c>
      <c r="G5" s="27">
        <v>317</v>
      </c>
      <c r="H5" s="27">
        <v>332.8</v>
      </c>
      <c r="I5" s="27">
        <v>321.5</v>
      </c>
      <c r="J5" s="27">
        <f>G5-H5</f>
        <v>-15.800000000000011</v>
      </c>
      <c r="K5" s="27">
        <f>G5-I5</f>
        <v>-4.5</v>
      </c>
    </row>
    <row r="6" spans="1:11">
      <c r="A6" t="s">
        <v>148</v>
      </c>
      <c r="B6">
        <v>1</v>
      </c>
      <c r="C6" t="s">
        <v>56</v>
      </c>
      <c r="D6" t="s">
        <v>145</v>
      </c>
      <c r="E6" t="s">
        <v>113</v>
      </c>
      <c r="F6" t="s">
        <v>114</v>
      </c>
      <c r="G6" s="27">
        <v>535.6</v>
      </c>
      <c r="H6" s="27">
        <v>538.20000000000005</v>
      </c>
      <c r="I6" s="27">
        <v>520</v>
      </c>
      <c r="J6" s="27">
        <f>G6-H6</f>
        <v>-2.6000000000000227</v>
      </c>
      <c r="K6" s="27">
        <f>G6-I6</f>
        <v>15.600000000000023</v>
      </c>
    </row>
    <row r="7" spans="1:11">
      <c r="A7" t="s">
        <v>148</v>
      </c>
      <c r="B7">
        <v>1</v>
      </c>
      <c r="C7" t="s">
        <v>56</v>
      </c>
      <c r="D7" t="s">
        <v>145</v>
      </c>
      <c r="E7" t="s">
        <v>115</v>
      </c>
      <c r="F7" t="s">
        <v>116</v>
      </c>
      <c r="G7" s="27">
        <v>98.1</v>
      </c>
      <c r="H7" s="27">
        <v>100.1</v>
      </c>
      <c r="I7" s="27">
        <v>96.7</v>
      </c>
      <c r="J7" s="27">
        <f>G7-H7</f>
        <v>-2</v>
      </c>
      <c r="K7" s="27">
        <f>G7-I7</f>
        <v>1.3999999999999915</v>
      </c>
    </row>
    <row r="8" spans="1:11">
      <c r="A8" t="s">
        <v>148</v>
      </c>
      <c r="B8">
        <v>1</v>
      </c>
      <c r="C8" t="s">
        <v>56</v>
      </c>
      <c r="D8" t="s">
        <v>146</v>
      </c>
      <c r="E8" t="s">
        <v>119</v>
      </c>
      <c r="F8" t="s">
        <v>120</v>
      </c>
      <c r="G8" s="27">
        <v>401.8</v>
      </c>
      <c r="H8" s="27">
        <v>401.5</v>
      </c>
      <c r="I8" s="27">
        <v>388</v>
      </c>
      <c r="J8" s="27">
        <f>G8-H8</f>
        <v>0.30000000000001137</v>
      </c>
      <c r="K8" s="27">
        <f>G8-I8</f>
        <v>13.800000000000011</v>
      </c>
    </row>
    <row r="9" spans="1:11">
      <c r="A9" t="s">
        <v>148</v>
      </c>
      <c r="B9">
        <v>1</v>
      </c>
      <c r="C9" t="s">
        <v>56</v>
      </c>
      <c r="D9" t="s">
        <v>146</v>
      </c>
      <c r="E9" t="s">
        <v>121</v>
      </c>
      <c r="F9" t="s">
        <v>122</v>
      </c>
      <c r="G9" s="27">
        <v>70.3</v>
      </c>
      <c r="H9" s="27">
        <v>87.2</v>
      </c>
      <c r="I9" s="27">
        <v>84.2</v>
      </c>
      <c r="J9" s="27">
        <f>G9-H9</f>
        <v>-16.900000000000006</v>
      </c>
      <c r="K9" s="27">
        <f>G9-I9</f>
        <v>-13.900000000000006</v>
      </c>
    </row>
    <row r="10" spans="1:11">
      <c r="A10" t="s">
        <v>148</v>
      </c>
      <c r="B10">
        <v>1</v>
      </c>
      <c r="C10" t="s">
        <v>56</v>
      </c>
      <c r="D10" t="s">
        <v>146</v>
      </c>
      <c r="E10" t="s">
        <v>123</v>
      </c>
      <c r="F10" t="s">
        <v>124</v>
      </c>
      <c r="G10" s="27">
        <v>61.7</v>
      </c>
      <c r="H10" s="27">
        <v>62.2</v>
      </c>
      <c r="I10" s="27">
        <v>60.1</v>
      </c>
      <c r="J10" s="27">
        <f>G10-H10</f>
        <v>-0.5</v>
      </c>
      <c r="K10" s="27">
        <f>G10-I10</f>
        <v>1.6000000000000014</v>
      </c>
    </row>
    <row r="11" spans="1:11">
      <c r="A11" t="s">
        <v>148</v>
      </c>
      <c r="B11">
        <v>1</v>
      </c>
      <c r="C11" t="s">
        <v>56</v>
      </c>
      <c r="D11" t="s">
        <v>126</v>
      </c>
      <c r="E11" t="s">
        <v>127</v>
      </c>
      <c r="F11" t="s">
        <v>128</v>
      </c>
      <c r="G11" s="27">
        <v>426.9</v>
      </c>
      <c r="H11" s="27">
        <v>430.8</v>
      </c>
      <c r="I11" s="27">
        <v>416.1</v>
      </c>
      <c r="J11" s="27">
        <f>G11-H11</f>
        <v>-3.9000000000000341</v>
      </c>
      <c r="K11" s="27">
        <f>G11-I11</f>
        <v>10.799999999999955</v>
      </c>
    </row>
    <row r="12" spans="1:11">
      <c r="A12" t="s">
        <v>148</v>
      </c>
      <c r="B12">
        <v>1</v>
      </c>
      <c r="C12" t="s">
        <v>56</v>
      </c>
      <c r="D12" t="s">
        <v>126</v>
      </c>
      <c r="E12" t="s">
        <v>129</v>
      </c>
      <c r="F12" t="s">
        <v>130</v>
      </c>
      <c r="G12" s="27">
        <v>40.799999999999997</v>
      </c>
      <c r="H12" s="27">
        <v>41.9</v>
      </c>
      <c r="I12" s="27">
        <v>40.5</v>
      </c>
      <c r="J12" s="27">
        <f>G12-H12</f>
        <v>-1.1000000000000014</v>
      </c>
      <c r="K12" s="27">
        <f>G12-I12</f>
        <v>0.29999999999999716</v>
      </c>
    </row>
    <row r="13" spans="1:11">
      <c r="A13" t="s">
        <v>148</v>
      </c>
      <c r="B13">
        <v>1</v>
      </c>
      <c r="C13" t="s">
        <v>56</v>
      </c>
      <c r="D13" t="s">
        <v>126</v>
      </c>
      <c r="E13" t="s">
        <v>131</v>
      </c>
      <c r="F13" t="s">
        <v>132</v>
      </c>
      <c r="G13" s="27">
        <v>71.400000000000006</v>
      </c>
      <c r="H13" s="27">
        <v>71.900000000000006</v>
      </c>
      <c r="I13" s="27">
        <v>69.5</v>
      </c>
      <c r="J13" s="27">
        <f>G13-H13</f>
        <v>-0.5</v>
      </c>
      <c r="K13" s="27">
        <f>G13-I13</f>
        <v>1.9000000000000057</v>
      </c>
    </row>
    <row r="14" spans="1:11">
      <c r="A14" t="s">
        <v>148</v>
      </c>
      <c r="B14">
        <v>1</v>
      </c>
      <c r="C14" t="s">
        <v>56</v>
      </c>
      <c r="D14" t="s">
        <v>126</v>
      </c>
      <c r="E14" t="s">
        <v>133</v>
      </c>
      <c r="F14" t="s">
        <v>134</v>
      </c>
      <c r="G14" s="27">
        <v>16.2</v>
      </c>
      <c r="H14" s="27">
        <v>16.3</v>
      </c>
      <c r="I14" s="27">
        <v>15.8</v>
      </c>
      <c r="J14" s="27">
        <f>G14-H14</f>
        <v>-0.10000000000000142</v>
      </c>
      <c r="K14" s="27">
        <f>G14-I14</f>
        <v>0.39999999999999858</v>
      </c>
    </row>
    <row r="15" spans="1:11">
      <c r="A15" t="s">
        <v>148</v>
      </c>
      <c r="B15">
        <v>1</v>
      </c>
      <c r="C15" t="s">
        <v>56</v>
      </c>
      <c r="D15" t="s">
        <v>126</v>
      </c>
      <c r="E15" t="s">
        <v>135</v>
      </c>
      <c r="F15" t="s">
        <v>136</v>
      </c>
      <c r="G15" s="27">
        <v>58.3</v>
      </c>
      <c r="H15" s="27">
        <v>56.9</v>
      </c>
      <c r="I15" s="27">
        <v>55</v>
      </c>
      <c r="J15" s="27">
        <f>G15-H15</f>
        <v>1.3999999999999986</v>
      </c>
      <c r="K15" s="27">
        <f>G15-I15</f>
        <v>3.2999999999999972</v>
      </c>
    </row>
    <row r="16" spans="1:11">
      <c r="A16" t="s">
        <v>148</v>
      </c>
      <c r="B16">
        <v>1</v>
      </c>
      <c r="C16" t="s">
        <v>57</v>
      </c>
      <c r="D16" t="s">
        <v>145</v>
      </c>
      <c r="E16" t="s">
        <v>105</v>
      </c>
      <c r="F16" t="s">
        <v>106</v>
      </c>
      <c r="G16" s="27">
        <v>327.10000000000002</v>
      </c>
      <c r="H16" s="27">
        <v>343.5</v>
      </c>
      <c r="I16" s="27">
        <v>331.9</v>
      </c>
      <c r="J16" s="27">
        <f>G16-H16</f>
        <v>-16.399999999999977</v>
      </c>
      <c r="K16" s="27">
        <f>G16-I16</f>
        <v>-4.7999999999999545</v>
      </c>
    </row>
    <row r="17" spans="1:11">
      <c r="A17" t="s">
        <v>148</v>
      </c>
      <c r="B17">
        <v>1</v>
      </c>
      <c r="C17" t="s">
        <v>57</v>
      </c>
      <c r="D17" t="s">
        <v>145</v>
      </c>
      <c r="E17" t="s">
        <v>107</v>
      </c>
      <c r="F17" t="s">
        <v>108</v>
      </c>
      <c r="G17" s="27">
        <v>31.6</v>
      </c>
      <c r="H17" s="27">
        <v>32.9</v>
      </c>
      <c r="I17" s="27">
        <v>31.8</v>
      </c>
      <c r="J17" s="27">
        <f>G17-H17</f>
        <v>-1.2999999999999972</v>
      </c>
      <c r="K17" s="27">
        <f>G17-I17</f>
        <v>-0.19999999999999929</v>
      </c>
    </row>
    <row r="18" spans="1:11">
      <c r="A18" t="s">
        <v>148</v>
      </c>
      <c r="B18">
        <v>1</v>
      </c>
      <c r="C18" t="s">
        <v>57</v>
      </c>
      <c r="D18" t="s">
        <v>145</v>
      </c>
      <c r="E18" t="s">
        <v>109</v>
      </c>
      <c r="F18" t="s">
        <v>110</v>
      </c>
      <c r="G18" s="27">
        <v>22.6</v>
      </c>
      <c r="H18" s="27">
        <v>23.9</v>
      </c>
      <c r="I18" s="27">
        <v>23.1</v>
      </c>
      <c r="J18" s="27">
        <f>G18-H18</f>
        <v>-1.2999999999999972</v>
      </c>
      <c r="K18" s="27">
        <f>G18-I18</f>
        <v>-0.5</v>
      </c>
    </row>
    <row r="19" spans="1:11">
      <c r="A19" t="s">
        <v>148</v>
      </c>
      <c r="B19">
        <v>1</v>
      </c>
      <c r="C19" t="s">
        <v>57</v>
      </c>
      <c r="D19" t="s">
        <v>145</v>
      </c>
      <c r="E19" t="s">
        <v>111</v>
      </c>
      <c r="F19" t="s">
        <v>112</v>
      </c>
      <c r="G19" s="27">
        <v>211.8</v>
      </c>
      <c r="H19" s="27">
        <v>231.5</v>
      </c>
      <c r="I19" s="27">
        <v>223.7</v>
      </c>
      <c r="J19" s="27">
        <f>G19-H19</f>
        <v>-19.699999999999989</v>
      </c>
      <c r="K19" s="27">
        <f>G19-I19</f>
        <v>-11.899999999999977</v>
      </c>
    </row>
    <row r="20" spans="1:11">
      <c r="A20" t="s">
        <v>148</v>
      </c>
      <c r="B20">
        <v>1</v>
      </c>
      <c r="C20" t="s">
        <v>57</v>
      </c>
      <c r="D20" t="s">
        <v>145</v>
      </c>
      <c r="E20" t="s">
        <v>113</v>
      </c>
      <c r="F20" t="s">
        <v>114</v>
      </c>
      <c r="G20" s="27">
        <v>370.8</v>
      </c>
      <c r="H20" s="27">
        <v>372.6</v>
      </c>
      <c r="I20" s="27">
        <v>360</v>
      </c>
      <c r="J20" s="27">
        <f>G20-H20</f>
        <v>-1.8000000000000114</v>
      </c>
      <c r="K20" s="27">
        <f>G20-I20</f>
        <v>10.800000000000011</v>
      </c>
    </row>
    <row r="21" spans="1:11">
      <c r="A21" t="s">
        <v>148</v>
      </c>
      <c r="B21">
        <v>1</v>
      </c>
      <c r="C21" t="s">
        <v>57</v>
      </c>
      <c r="D21" t="s">
        <v>145</v>
      </c>
      <c r="E21" t="s">
        <v>115</v>
      </c>
      <c r="F21" t="s">
        <v>116</v>
      </c>
      <c r="G21" s="27">
        <v>71.599999999999994</v>
      </c>
      <c r="H21" s="27">
        <v>72.400000000000006</v>
      </c>
      <c r="I21" s="27">
        <v>69.900000000000006</v>
      </c>
      <c r="J21" s="27">
        <f>G21-H21</f>
        <v>-0.80000000000001137</v>
      </c>
      <c r="K21" s="27">
        <f>G21-I21</f>
        <v>1.6999999999999886</v>
      </c>
    </row>
    <row r="22" spans="1:11">
      <c r="A22" t="s">
        <v>148</v>
      </c>
      <c r="B22">
        <v>1</v>
      </c>
      <c r="C22" t="s">
        <v>57</v>
      </c>
      <c r="D22" t="s">
        <v>146</v>
      </c>
      <c r="E22" t="s">
        <v>119</v>
      </c>
      <c r="F22" t="s">
        <v>120</v>
      </c>
      <c r="G22" s="27">
        <v>259</v>
      </c>
      <c r="H22" s="27">
        <v>274.8</v>
      </c>
      <c r="I22" s="27">
        <v>265.5</v>
      </c>
      <c r="J22" s="27">
        <f>G22-H22</f>
        <v>-15.800000000000011</v>
      </c>
      <c r="K22" s="27">
        <f>G22-I22</f>
        <v>-6.5</v>
      </c>
    </row>
    <row r="23" spans="1:11">
      <c r="A23" t="s">
        <v>148</v>
      </c>
      <c r="B23">
        <v>1</v>
      </c>
      <c r="C23" t="s">
        <v>57</v>
      </c>
      <c r="D23" t="s">
        <v>146</v>
      </c>
      <c r="E23" t="s">
        <v>121</v>
      </c>
      <c r="F23" t="s">
        <v>122</v>
      </c>
      <c r="G23" s="27">
        <v>48.3</v>
      </c>
      <c r="H23" s="27">
        <v>61</v>
      </c>
      <c r="I23" s="27">
        <v>59</v>
      </c>
      <c r="J23" s="27">
        <f>G23-H23</f>
        <v>-12.700000000000003</v>
      </c>
      <c r="K23" s="27">
        <f>G23-I23</f>
        <v>-10.700000000000003</v>
      </c>
    </row>
    <row r="24" spans="1:11">
      <c r="A24" t="s">
        <v>148</v>
      </c>
      <c r="B24">
        <v>1</v>
      </c>
      <c r="C24" t="s">
        <v>57</v>
      </c>
      <c r="D24" t="s">
        <v>146</v>
      </c>
      <c r="E24" t="s">
        <v>123</v>
      </c>
      <c r="F24" t="s">
        <v>124</v>
      </c>
      <c r="G24" s="27">
        <v>41.1</v>
      </c>
      <c r="H24" s="27">
        <v>41.1</v>
      </c>
      <c r="I24" s="27">
        <v>39.700000000000003</v>
      </c>
      <c r="J24" s="27">
        <f>G24-H24</f>
        <v>0</v>
      </c>
      <c r="K24" s="27">
        <f>G24-I24</f>
        <v>1.3999999999999986</v>
      </c>
    </row>
    <row r="25" spans="1:11">
      <c r="A25" t="s">
        <v>148</v>
      </c>
      <c r="B25">
        <v>1</v>
      </c>
      <c r="C25" t="s">
        <v>57</v>
      </c>
      <c r="D25" t="s">
        <v>126</v>
      </c>
      <c r="E25" t="s">
        <v>127</v>
      </c>
      <c r="F25" t="s">
        <v>128</v>
      </c>
      <c r="G25" s="27">
        <v>305</v>
      </c>
      <c r="H25" s="27">
        <v>314.8</v>
      </c>
      <c r="I25" s="27">
        <v>304</v>
      </c>
      <c r="J25" s="27">
        <f>G25-H25</f>
        <v>-9.8000000000000114</v>
      </c>
      <c r="K25" s="27">
        <f>G25-I25</f>
        <v>1</v>
      </c>
    </row>
    <row r="26" spans="1:11">
      <c r="A26" t="s">
        <v>148</v>
      </c>
      <c r="B26">
        <v>1</v>
      </c>
      <c r="C26" t="s">
        <v>57</v>
      </c>
      <c r="D26" t="s">
        <v>126</v>
      </c>
      <c r="E26" t="s">
        <v>129</v>
      </c>
      <c r="F26" t="s">
        <v>130</v>
      </c>
      <c r="G26" s="27">
        <v>35.799999999999997</v>
      </c>
      <c r="H26" s="27">
        <v>36</v>
      </c>
      <c r="I26" s="27">
        <v>34.799999999999997</v>
      </c>
      <c r="J26" s="27">
        <f>G26-H26</f>
        <v>-0.20000000000000284</v>
      </c>
      <c r="K26" s="27">
        <f>G26-I26</f>
        <v>1</v>
      </c>
    </row>
    <row r="27" spans="1:11">
      <c r="A27" t="s">
        <v>148</v>
      </c>
      <c r="B27">
        <v>1</v>
      </c>
      <c r="C27" t="s">
        <v>57</v>
      </c>
      <c r="D27" t="s">
        <v>126</v>
      </c>
      <c r="E27" t="s">
        <v>131</v>
      </c>
      <c r="F27" t="s">
        <v>132</v>
      </c>
      <c r="G27" s="27">
        <v>51.9</v>
      </c>
      <c r="H27" s="27">
        <v>50.7</v>
      </c>
      <c r="I27" s="27">
        <v>49</v>
      </c>
      <c r="J27" s="27">
        <f>G27-H27</f>
        <v>1.1999999999999957</v>
      </c>
      <c r="K27" s="27">
        <f>G27-I27</f>
        <v>2.8999999999999986</v>
      </c>
    </row>
    <row r="28" spans="1:11">
      <c r="A28" t="s">
        <v>148</v>
      </c>
      <c r="B28">
        <v>1</v>
      </c>
      <c r="C28" t="s">
        <v>57</v>
      </c>
      <c r="D28" t="s">
        <v>126</v>
      </c>
      <c r="E28" t="s">
        <v>133</v>
      </c>
      <c r="F28" t="s">
        <v>134</v>
      </c>
      <c r="G28" s="27">
        <v>11</v>
      </c>
      <c r="H28" s="27">
        <v>11.6</v>
      </c>
      <c r="I28" s="27">
        <v>11.2</v>
      </c>
      <c r="J28" s="27">
        <f>G28-H28</f>
        <v>-0.59999999999999964</v>
      </c>
      <c r="K28" s="27">
        <f>G28-I28</f>
        <v>-0.19999999999999929</v>
      </c>
    </row>
    <row r="29" spans="1:11">
      <c r="A29" t="s">
        <v>148</v>
      </c>
      <c r="B29">
        <v>1</v>
      </c>
      <c r="C29" t="s">
        <v>57</v>
      </c>
      <c r="D29" t="s">
        <v>126</v>
      </c>
      <c r="E29" t="s">
        <v>135</v>
      </c>
      <c r="F29" t="s">
        <v>136</v>
      </c>
      <c r="G29" s="27">
        <v>42.4</v>
      </c>
      <c r="H29" s="27">
        <v>41.4</v>
      </c>
      <c r="I29" s="27">
        <v>40</v>
      </c>
      <c r="J29" s="27">
        <f>G29-H29</f>
        <v>1</v>
      </c>
      <c r="K29" s="27">
        <f>G29-I29</f>
        <v>2.3999999999999986</v>
      </c>
    </row>
    <row r="30" spans="1:11">
      <c r="A30" t="s">
        <v>148</v>
      </c>
      <c r="B30">
        <v>1</v>
      </c>
      <c r="C30" t="s">
        <v>58</v>
      </c>
      <c r="D30" t="s">
        <v>145</v>
      </c>
      <c r="E30" t="s">
        <v>105</v>
      </c>
      <c r="F30" t="s">
        <v>106</v>
      </c>
      <c r="G30" s="27">
        <v>320.10000000000002</v>
      </c>
      <c r="H30" s="27">
        <v>334.5</v>
      </c>
      <c r="I30" s="27">
        <v>323.2</v>
      </c>
      <c r="J30" s="27">
        <f>G30-H30</f>
        <v>-14.399999999999977</v>
      </c>
      <c r="K30" s="27">
        <f>G30-I30</f>
        <v>-3.0999999999999659</v>
      </c>
    </row>
    <row r="31" spans="1:11">
      <c r="A31" t="s">
        <v>148</v>
      </c>
      <c r="B31">
        <v>1</v>
      </c>
      <c r="C31" t="s">
        <v>58</v>
      </c>
      <c r="D31" t="s">
        <v>145</v>
      </c>
      <c r="E31" t="s">
        <v>107</v>
      </c>
      <c r="F31" t="s">
        <v>108</v>
      </c>
      <c r="G31" s="27">
        <v>31.3</v>
      </c>
      <c r="H31" s="27">
        <v>32.1</v>
      </c>
      <c r="I31" s="27">
        <v>31</v>
      </c>
      <c r="J31" s="27">
        <f>G31-H31</f>
        <v>-0.80000000000000071</v>
      </c>
      <c r="K31" s="27">
        <f>G31-I31</f>
        <v>0.30000000000000071</v>
      </c>
    </row>
    <row r="32" spans="1:11">
      <c r="A32" t="s">
        <v>148</v>
      </c>
      <c r="B32">
        <v>1</v>
      </c>
      <c r="C32" t="s">
        <v>58</v>
      </c>
      <c r="D32" t="s">
        <v>145</v>
      </c>
      <c r="E32" t="s">
        <v>109</v>
      </c>
      <c r="F32" t="s">
        <v>110</v>
      </c>
      <c r="G32" s="27">
        <v>22.3</v>
      </c>
      <c r="H32" s="27">
        <v>23.3</v>
      </c>
      <c r="I32" s="27">
        <v>22.5</v>
      </c>
      <c r="J32" s="27">
        <f>G32-H32</f>
        <v>-1</v>
      </c>
      <c r="K32" s="27">
        <f>G32-I32</f>
        <v>-0.19999999999999929</v>
      </c>
    </row>
    <row r="33" spans="1:11">
      <c r="A33" t="s">
        <v>148</v>
      </c>
      <c r="B33">
        <v>1</v>
      </c>
      <c r="C33" t="s">
        <v>58</v>
      </c>
      <c r="D33" t="s">
        <v>145</v>
      </c>
      <c r="E33" t="s">
        <v>111</v>
      </c>
      <c r="F33" t="s">
        <v>112</v>
      </c>
      <c r="G33" s="27">
        <v>208.5</v>
      </c>
      <c r="H33" s="27">
        <v>215.7</v>
      </c>
      <c r="I33" s="27">
        <v>208.4</v>
      </c>
      <c r="J33" s="27">
        <f>G33-H33</f>
        <v>-7.1999999999999886</v>
      </c>
      <c r="K33" s="27">
        <f>G33-I33</f>
        <v>9.9999999999994316E-2</v>
      </c>
    </row>
    <row r="34" spans="1:11">
      <c r="A34" t="s">
        <v>148</v>
      </c>
      <c r="B34">
        <v>1</v>
      </c>
      <c r="C34" t="s">
        <v>58</v>
      </c>
      <c r="D34" t="s">
        <v>145</v>
      </c>
      <c r="E34" t="s">
        <v>113</v>
      </c>
      <c r="F34" t="s">
        <v>114</v>
      </c>
      <c r="G34" s="27">
        <v>339.9</v>
      </c>
      <c r="H34" s="27">
        <v>341.5</v>
      </c>
      <c r="I34" s="27">
        <v>330</v>
      </c>
      <c r="J34" s="27">
        <f>G34-H34</f>
        <v>-1.6000000000000227</v>
      </c>
      <c r="K34" s="27">
        <f>G34-I34</f>
        <v>9.8999999999999773</v>
      </c>
    </row>
    <row r="35" spans="1:11">
      <c r="A35" t="s">
        <v>148</v>
      </c>
      <c r="B35">
        <v>1</v>
      </c>
      <c r="C35" t="s">
        <v>58</v>
      </c>
      <c r="D35" t="s">
        <v>145</v>
      </c>
      <c r="E35" t="s">
        <v>115</v>
      </c>
      <c r="F35" t="s">
        <v>116</v>
      </c>
      <c r="G35" s="27">
        <v>67.900000000000006</v>
      </c>
      <c r="H35" s="27">
        <v>66.3</v>
      </c>
      <c r="I35" s="27">
        <v>64</v>
      </c>
      <c r="J35" s="27">
        <f>G35-H35</f>
        <v>1.6000000000000085</v>
      </c>
      <c r="K35" s="27">
        <f>G35-I35</f>
        <v>3.9000000000000057</v>
      </c>
    </row>
    <row r="36" spans="1:11">
      <c r="A36" t="s">
        <v>148</v>
      </c>
      <c r="B36">
        <v>1</v>
      </c>
      <c r="C36" t="s">
        <v>58</v>
      </c>
      <c r="D36" t="s">
        <v>146</v>
      </c>
      <c r="E36" t="s">
        <v>119</v>
      </c>
      <c r="F36" t="s">
        <v>120</v>
      </c>
      <c r="G36" s="27">
        <v>258.8</v>
      </c>
      <c r="H36" s="27">
        <v>260.7</v>
      </c>
      <c r="I36" s="27">
        <v>251.8</v>
      </c>
      <c r="J36" s="27">
        <f>G36-H36</f>
        <v>-1.8999999999999773</v>
      </c>
      <c r="K36" s="27">
        <f>G36-I36</f>
        <v>7</v>
      </c>
    </row>
    <row r="37" spans="1:11">
      <c r="A37" t="s">
        <v>148</v>
      </c>
      <c r="B37">
        <v>1</v>
      </c>
      <c r="C37" t="s">
        <v>58</v>
      </c>
      <c r="D37" t="s">
        <v>146</v>
      </c>
      <c r="E37" t="s">
        <v>121</v>
      </c>
      <c r="F37" t="s">
        <v>122</v>
      </c>
      <c r="G37" s="27">
        <v>45.6</v>
      </c>
      <c r="H37" s="27">
        <v>57</v>
      </c>
      <c r="I37" s="27">
        <v>55.1</v>
      </c>
      <c r="J37" s="27">
        <f>G37-H37</f>
        <v>-11.399999999999999</v>
      </c>
      <c r="K37" s="27">
        <f>G37-I37</f>
        <v>-9.5</v>
      </c>
    </row>
    <row r="38" spans="1:11">
      <c r="A38" t="s">
        <v>148</v>
      </c>
      <c r="B38">
        <v>1</v>
      </c>
      <c r="C38" t="s">
        <v>58</v>
      </c>
      <c r="D38" t="s">
        <v>146</v>
      </c>
      <c r="E38" t="s">
        <v>123</v>
      </c>
      <c r="F38" t="s">
        <v>124</v>
      </c>
      <c r="G38" s="27">
        <v>36.1</v>
      </c>
      <c r="H38" s="27">
        <v>36.4</v>
      </c>
      <c r="I38" s="27">
        <v>35.200000000000003</v>
      </c>
      <c r="J38" s="27">
        <f>G38-H38</f>
        <v>-0.29999999999999716</v>
      </c>
      <c r="K38" s="27">
        <f>G38-I38</f>
        <v>0.89999999999999858</v>
      </c>
    </row>
    <row r="39" spans="1:11">
      <c r="A39" t="s">
        <v>148</v>
      </c>
      <c r="B39">
        <v>1</v>
      </c>
      <c r="C39" t="s">
        <v>58</v>
      </c>
      <c r="D39" t="s">
        <v>126</v>
      </c>
      <c r="E39" t="s">
        <v>127</v>
      </c>
      <c r="F39" t="s">
        <v>128</v>
      </c>
      <c r="G39" s="27">
        <v>285.89999999999998</v>
      </c>
      <c r="H39" s="27">
        <v>293.10000000000002</v>
      </c>
      <c r="I39" s="27">
        <v>283.10000000000002</v>
      </c>
      <c r="J39" s="27">
        <f>G39-H39</f>
        <v>-7.2000000000000455</v>
      </c>
      <c r="K39" s="27">
        <f>G39-I39</f>
        <v>2.7999999999999545</v>
      </c>
    </row>
    <row r="40" spans="1:11">
      <c r="A40" t="s">
        <v>148</v>
      </c>
      <c r="B40">
        <v>1</v>
      </c>
      <c r="C40" t="s">
        <v>58</v>
      </c>
      <c r="D40" t="s">
        <v>126</v>
      </c>
      <c r="E40" t="s">
        <v>129</v>
      </c>
      <c r="F40" t="s">
        <v>130</v>
      </c>
      <c r="G40" s="27">
        <v>30.4</v>
      </c>
      <c r="H40" s="27">
        <v>30.7</v>
      </c>
      <c r="I40" s="27">
        <v>29.7</v>
      </c>
      <c r="J40" s="27">
        <f>G40-H40</f>
        <v>-0.30000000000000071</v>
      </c>
      <c r="K40" s="27">
        <f>G40-I40</f>
        <v>0.69999999999999929</v>
      </c>
    </row>
    <row r="41" spans="1:11">
      <c r="A41" t="s">
        <v>148</v>
      </c>
      <c r="B41">
        <v>1</v>
      </c>
      <c r="C41" t="s">
        <v>58</v>
      </c>
      <c r="D41" t="s">
        <v>126</v>
      </c>
      <c r="E41" t="s">
        <v>131</v>
      </c>
      <c r="F41" t="s">
        <v>132</v>
      </c>
      <c r="G41" s="27">
        <v>47.4</v>
      </c>
      <c r="H41" s="27">
        <v>46.9</v>
      </c>
      <c r="I41" s="27">
        <v>45.4</v>
      </c>
      <c r="J41" s="27">
        <f>G41-H41</f>
        <v>0.5</v>
      </c>
      <c r="K41" s="27">
        <f>G41-I41</f>
        <v>2</v>
      </c>
    </row>
    <row r="42" spans="1:11">
      <c r="A42" t="s">
        <v>148</v>
      </c>
      <c r="B42">
        <v>1</v>
      </c>
      <c r="C42" t="s">
        <v>58</v>
      </c>
      <c r="D42" t="s">
        <v>126</v>
      </c>
      <c r="E42" t="s">
        <v>133</v>
      </c>
      <c r="F42" t="s">
        <v>134</v>
      </c>
      <c r="G42" s="27">
        <v>10.9</v>
      </c>
      <c r="H42" s="27">
        <v>11.2</v>
      </c>
      <c r="I42" s="27">
        <v>10.8</v>
      </c>
      <c r="J42" s="27">
        <f>G42-H42</f>
        <v>-0.29999999999999893</v>
      </c>
      <c r="K42" s="27">
        <f>G42-I42</f>
        <v>9.9999999999999645E-2</v>
      </c>
    </row>
    <row r="43" spans="1:11">
      <c r="A43" t="s">
        <v>148</v>
      </c>
      <c r="B43">
        <v>1</v>
      </c>
      <c r="C43" t="s">
        <v>58</v>
      </c>
      <c r="D43" t="s">
        <v>126</v>
      </c>
      <c r="E43" t="s">
        <v>135</v>
      </c>
      <c r="F43" t="s">
        <v>136</v>
      </c>
      <c r="G43" s="27">
        <v>40.299999999999997</v>
      </c>
      <c r="H43" s="27">
        <v>39.299999999999997</v>
      </c>
      <c r="I43" s="27">
        <v>38</v>
      </c>
      <c r="J43" s="27">
        <f>G43-H43</f>
        <v>1</v>
      </c>
      <c r="K43" s="27">
        <f>G43-I43</f>
        <v>2.2999999999999972</v>
      </c>
    </row>
    <row r="44" spans="1:11">
      <c r="A44" t="s">
        <v>148</v>
      </c>
      <c r="B44">
        <v>1</v>
      </c>
      <c r="C44" t="s">
        <v>59</v>
      </c>
      <c r="D44" t="s">
        <v>145</v>
      </c>
      <c r="E44" t="s">
        <v>105</v>
      </c>
      <c r="F44" t="s">
        <v>106</v>
      </c>
      <c r="G44" s="27">
        <v>203.3</v>
      </c>
      <c r="H44" s="27">
        <v>212.8</v>
      </c>
      <c r="I44" s="27">
        <v>205.6</v>
      </c>
      <c r="J44" s="27">
        <f>G44-H44</f>
        <v>-9.5</v>
      </c>
      <c r="K44" s="27">
        <f>G44-I44</f>
        <v>-2.2999999999999829</v>
      </c>
    </row>
    <row r="45" spans="1:11">
      <c r="A45" t="s">
        <v>148</v>
      </c>
      <c r="B45">
        <v>1</v>
      </c>
      <c r="C45" t="s">
        <v>59</v>
      </c>
      <c r="D45" t="s">
        <v>145</v>
      </c>
      <c r="E45" t="s">
        <v>107</v>
      </c>
      <c r="F45" t="s">
        <v>108</v>
      </c>
      <c r="G45" s="27">
        <v>20</v>
      </c>
      <c r="H45" s="27">
        <v>20.6</v>
      </c>
      <c r="I45" s="27">
        <v>19.899999999999999</v>
      </c>
      <c r="J45" s="27">
        <f>G45-H45</f>
        <v>-0.60000000000000142</v>
      </c>
      <c r="K45" s="27">
        <f>G45-I45</f>
        <v>0.10000000000000142</v>
      </c>
    </row>
    <row r="46" spans="1:11">
      <c r="A46" t="s">
        <v>148</v>
      </c>
      <c r="B46">
        <v>1</v>
      </c>
      <c r="C46" t="s">
        <v>59</v>
      </c>
      <c r="D46" t="s">
        <v>145</v>
      </c>
      <c r="E46" t="s">
        <v>109</v>
      </c>
      <c r="F46" t="s">
        <v>110</v>
      </c>
      <c r="G46" s="27">
        <v>14</v>
      </c>
      <c r="H46" s="27">
        <v>14.2</v>
      </c>
      <c r="I46" s="27">
        <v>13.7</v>
      </c>
      <c r="J46" s="27">
        <f>G46-H46</f>
        <v>-0.19999999999999929</v>
      </c>
      <c r="K46" s="27">
        <f>G46-I46</f>
        <v>0.30000000000000071</v>
      </c>
    </row>
    <row r="47" spans="1:11">
      <c r="A47" t="s">
        <v>148</v>
      </c>
      <c r="B47">
        <v>1</v>
      </c>
      <c r="C47" t="s">
        <v>59</v>
      </c>
      <c r="D47" t="s">
        <v>145</v>
      </c>
      <c r="E47" t="s">
        <v>111</v>
      </c>
      <c r="F47" t="s">
        <v>112</v>
      </c>
      <c r="G47" s="27">
        <v>130.9</v>
      </c>
      <c r="H47" s="27">
        <v>140.9</v>
      </c>
      <c r="I47" s="27">
        <v>136.19999999999999</v>
      </c>
      <c r="J47" s="27">
        <f>G47-H47</f>
        <v>-10</v>
      </c>
      <c r="K47" s="27">
        <f>G47-I47</f>
        <v>-5.2999999999999829</v>
      </c>
    </row>
    <row r="48" spans="1:11">
      <c r="A48" t="s">
        <v>148</v>
      </c>
      <c r="B48">
        <v>1</v>
      </c>
      <c r="C48" t="s">
        <v>59</v>
      </c>
      <c r="D48" t="s">
        <v>145</v>
      </c>
      <c r="E48" t="s">
        <v>113</v>
      </c>
      <c r="F48" t="s">
        <v>114</v>
      </c>
      <c r="G48" s="27">
        <v>247.2</v>
      </c>
      <c r="H48" s="27">
        <v>248.4</v>
      </c>
      <c r="I48" s="27">
        <v>240</v>
      </c>
      <c r="J48" s="27">
        <f>G48-H48</f>
        <v>-1.2000000000000171</v>
      </c>
      <c r="K48" s="27">
        <f>G48-I48</f>
        <v>7.1999999999999886</v>
      </c>
    </row>
    <row r="49" spans="1:11">
      <c r="A49" t="s">
        <v>148</v>
      </c>
      <c r="B49">
        <v>1</v>
      </c>
      <c r="C49" t="s">
        <v>59</v>
      </c>
      <c r="D49" t="s">
        <v>145</v>
      </c>
      <c r="E49" t="s">
        <v>115</v>
      </c>
      <c r="F49" t="s">
        <v>116</v>
      </c>
      <c r="G49" s="27">
        <v>49.9</v>
      </c>
      <c r="H49" s="27">
        <v>49.8</v>
      </c>
      <c r="I49" s="27">
        <v>48.1</v>
      </c>
      <c r="J49" s="27">
        <f>G49-H49</f>
        <v>0.10000000000000142</v>
      </c>
      <c r="K49" s="27">
        <f>G49-I49</f>
        <v>1.7999999999999972</v>
      </c>
    </row>
    <row r="50" spans="1:11">
      <c r="A50" t="s">
        <v>148</v>
      </c>
      <c r="B50">
        <v>1</v>
      </c>
      <c r="C50" t="s">
        <v>59</v>
      </c>
      <c r="D50" t="s">
        <v>146</v>
      </c>
      <c r="E50" t="s">
        <v>119</v>
      </c>
      <c r="F50" t="s">
        <v>120</v>
      </c>
      <c r="G50" s="27">
        <v>163.80000000000001</v>
      </c>
      <c r="H50" s="27">
        <v>166.5</v>
      </c>
      <c r="I50" s="27">
        <v>160.9</v>
      </c>
      <c r="J50" s="27">
        <f>G50-H50</f>
        <v>-2.6999999999999886</v>
      </c>
      <c r="K50" s="27">
        <f>G50-I50</f>
        <v>2.9000000000000057</v>
      </c>
    </row>
    <row r="51" spans="1:11">
      <c r="A51" t="s">
        <v>148</v>
      </c>
      <c r="B51">
        <v>1</v>
      </c>
      <c r="C51" t="s">
        <v>59</v>
      </c>
      <c r="D51" t="s">
        <v>146</v>
      </c>
      <c r="E51" t="s">
        <v>121</v>
      </c>
      <c r="F51" t="s">
        <v>122</v>
      </c>
      <c r="G51" s="27">
        <v>32.5</v>
      </c>
      <c r="H51" s="27">
        <v>42.1</v>
      </c>
      <c r="I51" s="27">
        <v>40.700000000000003</v>
      </c>
      <c r="J51" s="27">
        <f>G51-H51</f>
        <v>-9.6000000000000014</v>
      </c>
      <c r="K51" s="27">
        <f>G51-I51</f>
        <v>-8.2000000000000028</v>
      </c>
    </row>
    <row r="52" spans="1:11">
      <c r="A52" t="s">
        <v>148</v>
      </c>
      <c r="B52">
        <v>1</v>
      </c>
      <c r="C52" t="s">
        <v>59</v>
      </c>
      <c r="D52" t="s">
        <v>146</v>
      </c>
      <c r="E52" t="s">
        <v>123</v>
      </c>
      <c r="F52" t="s">
        <v>124</v>
      </c>
      <c r="G52" s="27">
        <v>46.5</v>
      </c>
      <c r="H52" s="27">
        <v>46.1</v>
      </c>
      <c r="I52" s="27">
        <v>44.5</v>
      </c>
      <c r="J52" s="27">
        <f>G52-H52</f>
        <v>0.39999999999999858</v>
      </c>
      <c r="K52" s="27">
        <f>G52-I52</f>
        <v>2</v>
      </c>
    </row>
    <row r="53" spans="1:11">
      <c r="A53" t="s">
        <v>148</v>
      </c>
      <c r="B53">
        <v>1</v>
      </c>
      <c r="C53" t="s">
        <v>59</v>
      </c>
      <c r="D53" t="s">
        <v>126</v>
      </c>
      <c r="E53" t="s">
        <v>127</v>
      </c>
      <c r="F53" t="s">
        <v>128</v>
      </c>
      <c r="G53" s="27">
        <v>210.4</v>
      </c>
      <c r="H53" s="27">
        <v>207.7</v>
      </c>
      <c r="I53" s="27">
        <v>200.6</v>
      </c>
      <c r="J53" s="27">
        <f>G53-H53</f>
        <v>2.7000000000000171</v>
      </c>
      <c r="K53" s="27">
        <f>G53-I53</f>
        <v>9.8000000000000114</v>
      </c>
    </row>
    <row r="54" spans="1:11">
      <c r="A54" t="s">
        <v>148</v>
      </c>
      <c r="B54">
        <v>1</v>
      </c>
      <c r="C54" t="s">
        <v>59</v>
      </c>
      <c r="D54" t="s">
        <v>126</v>
      </c>
      <c r="E54" t="s">
        <v>129</v>
      </c>
      <c r="F54" t="s">
        <v>130</v>
      </c>
      <c r="G54" s="27">
        <v>25.7</v>
      </c>
      <c r="H54" s="27">
        <v>26.2</v>
      </c>
      <c r="I54" s="27">
        <v>25.3</v>
      </c>
      <c r="J54" s="27">
        <f>G54-H54</f>
        <v>-0.5</v>
      </c>
      <c r="K54" s="27">
        <f>G54-I54</f>
        <v>0.39999999999999858</v>
      </c>
    </row>
    <row r="55" spans="1:11">
      <c r="A55" t="s">
        <v>148</v>
      </c>
      <c r="B55">
        <v>1</v>
      </c>
      <c r="C55" t="s">
        <v>59</v>
      </c>
      <c r="D55" t="s">
        <v>126</v>
      </c>
      <c r="E55" t="s">
        <v>131</v>
      </c>
      <c r="F55" t="s">
        <v>132</v>
      </c>
      <c r="G55" s="27">
        <v>35.9</v>
      </c>
      <c r="H55" s="27">
        <v>36</v>
      </c>
      <c r="I55" s="27">
        <v>34.799999999999997</v>
      </c>
      <c r="J55" s="27">
        <f>G55-H55</f>
        <v>-0.10000000000000142</v>
      </c>
      <c r="K55" s="27">
        <f>G55-I55</f>
        <v>1.1000000000000014</v>
      </c>
    </row>
    <row r="56" spans="1:11">
      <c r="A56" t="s">
        <v>148</v>
      </c>
      <c r="B56">
        <v>1</v>
      </c>
      <c r="C56" t="s">
        <v>59</v>
      </c>
      <c r="D56" t="s">
        <v>126</v>
      </c>
      <c r="E56" t="s">
        <v>133</v>
      </c>
      <c r="F56" t="s">
        <v>134</v>
      </c>
      <c r="G56" s="27">
        <v>6.9</v>
      </c>
      <c r="H56" s="27">
        <v>6.9</v>
      </c>
      <c r="I56" s="27">
        <v>6.7</v>
      </c>
      <c r="J56" s="27">
        <f>G56-H56</f>
        <v>0</v>
      </c>
      <c r="K56" s="27">
        <f>G56-I56</f>
        <v>0.20000000000000018</v>
      </c>
    </row>
    <row r="57" spans="1:11">
      <c r="A57" t="s">
        <v>148</v>
      </c>
      <c r="B57">
        <v>1</v>
      </c>
      <c r="C57" t="s">
        <v>59</v>
      </c>
      <c r="D57" t="s">
        <v>126</v>
      </c>
      <c r="E57" t="s">
        <v>135</v>
      </c>
      <c r="F57" t="s">
        <v>136</v>
      </c>
      <c r="G57" s="27">
        <v>29.7</v>
      </c>
      <c r="H57" s="27">
        <v>29</v>
      </c>
      <c r="I57" s="27">
        <v>28</v>
      </c>
      <c r="J57" s="27">
        <f>G57-H57</f>
        <v>0.69999999999999929</v>
      </c>
      <c r="K57" s="27">
        <f>G57-I57</f>
        <v>1.6999999999999993</v>
      </c>
    </row>
    <row r="58" spans="1:11">
      <c r="A58" t="s">
        <v>149</v>
      </c>
      <c r="B58">
        <v>2</v>
      </c>
      <c r="C58" t="s">
        <v>56</v>
      </c>
      <c r="D58" t="s">
        <v>145</v>
      </c>
      <c r="E58" t="s">
        <v>105</v>
      </c>
      <c r="F58" t="s">
        <v>106</v>
      </c>
      <c r="G58" s="27">
        <v>483.6</v>
      </c>
      <c r="H58" s="27">
        <v>487.3</v>
      </c>
      <c r="I58" s="27">
        <v>470.7</v>
      </c>
      <c r="J58" s="27">
        <f>G58-H58</f>
        <v>-3.6999999999999886</v>
      </c>
      <c r="K58" s="27">
        <f>G58-I58</f>
        <v>12.900000000000034</v>
      </c>
    </row>
    <row r="59" spans="1:11">
      <c r="A59" t="s">
        <v>149</v>
      </c>
      <c r="B59">
        <v>2</v>
      </c>
      <c r="C59" t="s">
        <v>56</v>
      </c>
      <c r="D59" t="s">
        <v>145</v>
      </c>
      <c r="E59" t="s">
        <v>107</v>
      </c>
      <c r="F59" t="s">
        <v>108</v>
      </c>
      <c r="G59" s="27">
        <v>47</v>
      </c>
      <c r="H59" s="27">
        <v>46.1</v>
      </c>
      <c r="I59" s="27">
        <v>44.6</v>
      </c>
      <c r="J59" s="27">
        <f>G59-H59</f>
        <v>0.89999999999999858</v>
      </c>
      <c r="K59" s="27">
        <f>G59-I59</f>
        <v>2.3999999999999986</v>
      </c>
    </row>
    <row r="60" spans="1:11">
      <c r="A60" t="s">
        <v>149</v>
      </c>
      <c r="B60">
        <v>2</v>
      </c>
      <c r="C60" t="s">
        <v>56</v>
      </c>
      <c r="D60" t="s">
        <v>145</v>
      </c>
      <c r="E60" t="s">
        <v>109</v>
      </c>
      <c r="F60" t="s">
        <v>110</v>
      </c>
      <c r="G60" s="27">
        <v>33.6</v>
      </c>
      <c r="H60" s="27">
        <v>34.1</v>
      </c>
      <c r="I60" s="27">
        <v>33</v>
      </c>
      <c r="J60" s="27">
        <f>G60-H60</f>
        <v>-0.5</v>
      </c>
      <c r="K60" s="27">
        <f>G60-I60</f>
        <v>0.60000000000000142</v>
      </c>
    </row>
    <row r="61" spans="1:11">
      <c r="A61" t="s">
        <v>149</v>
      </c>
      <c r="B61">
        <v>2</v>
      </c>
      <c r="C61" t="s">
        <v>56</v>
      </c>
      <c r="D61" t="s">
        <v>145</v>
      </c>
      <c r="E61" t="s">
        <v>111</v>
      </c>
      <c r="F61" t="s">
        <v>112</v>
      </c>
      <c r="G61" s="27">
        <v>313.39999999999998</v>
      </c>
      <c r="H61" s="27">
        <v>323</v>
      </c>
      <c r="I61" s="27">
        <v>312.10000000000002</v>
      </c>
      <c r="J61" s="27">
        <f>G61-H61</f>
        <v>-9.6000000000000227</v>
      </c>
      <c r="K61" s="27">
        <f>G61-I61</f>
        <v>1.2999999999999545</v>
      </c>
    </row>
    <row r="62" spans="1:11">
      <c r="A62" t="s">
        <v>149</v>
      </c>
      <c r="B62">
        <v>2</v>
      </c>
      <c r="C62" t="s">
        <v>56</v>
      </c>
      <c r="D62" t="s">
        <v>145</v>
      </c>
      <c r="E62" t="s">
        <v>113</v>
      </c>
      <c r="F62" t="s">
        <v>114</v>
      </c>
      <c r="G62" s="27">
        <v>535.6</v>
      </c>
      <c r="H62" s="27">
        <v>538.20000000000005</v>
      </c>
      <c r="I62" s="27">
        <v>520</v>
      </c>
      <c r="J62" s="27">
        <f>G62-H62</f>
        <v>-2.6000000000000227</v>
      </c>
      <c r="K62" s="27">
        <f>G62-I62</f>
        <v>15.600000000000023</v>
      </c>
    </row>
    <row r="63" spans="1:11">
      <c r="A63" t="s">
        <v>149</v>
      </c>
      <c r="B63">
        <v>2</v>
      </c>
      <c r="C63" t="s">
        <v>56</v>
      </c>
      <c r="D63" t="s">
        <v>145</v>
      </c>
      <c r="E63" t="s">
        <v>115</v>
      </c>
      <c r="F63" t="s">
        <v>116</v>
      </c>
      <c r="G63" s="27">
        <v>97.7</v>
      </c>
      <c r="H63" s="27">
        <v>98.8</v>
      </c>
      <c r="I63" s="27">
        <v>95.4</v>
      </c>
      <c r="J63" s="27">
        <f>G63-H63</f>
        <v>-1.0999999999999943</v>
      </c>
      <c r="K63" s="27">
        <f>G63-I63</f>
        <v>2.2999999999999972</v>
      </c>
    </row>
    <row r="64" spans="1:11">
      <c r="A64" t="s">
        <v>149</v>
      </c>
      <c r="B64">
        <v>2</v>
      </c>
      <c r="C64" t="s">
        <v>56</v>
      </c>
      <c r="D64" t="s">
        <v>146</v>
      </c>
      <c r="E64" t="s">
        <v>119</v>
      </c>
      <c r="F64" t="s">
        <v>120</v>
      </c>
      <c r="G64" s="27">
        <v>388.4</v>
      </c>
      <c r="H64" s="27">
        <v>382.4</v>
      </c>
      <c r="I64" s="27">
        <v>369.6</v>
      </c>
      <c r="J64" s="27">
        <f>G64-H64</f>
        <v>6</v>
      </c>
      <c r="K64" s="27">
        <f>G64-I64</f>
        <v>18.799999999999955</v>
      </c>
    </row>
    <row r="65" spans="1:11">
      <c r="A65" t="s">
        <v>149</v>
      </c>
      <c r="B65">
        <v>2</v>
      </c>
      <c r="C65" t="s">
        <v>56</v>
      </c>
      <c r="D65" t="s">
        <v>146</v>
      </c>
      <c r="E65" t="s">
        <v>121</v>
      </c>
      <c r="F65" t="s">
        <v>122</v>
      </c>
      <c r="G65" s="27">
        <v>69</v>
      </c>
      <c r="H65" s="27">
        <v>87</v>
      </c>
      <c r="I65" s="27">
        <v>84</v>
      </c>
      <c r="J65" s="27">
        <f>G65-H65</f>
        <v>-18</v>
      </c>
      <c r="K65" s="27">
        <f>G65-I65</f>
        <v>-15</v>
      </c>
    </row>
    <row r="66" spans="1:11">
      <c r="A66" t="s">
        <v>149</v>
      </c>
      <c r="B66">
        <v>2</v>
      </c>
      <c r="C66" t="s">
        <v>56</v>
      </c>
      <c r="D66" t="s">
        <v>146</v>
      </c>
      <c r="E66" t="s">
        <v>123</v>
      </c>
      <c r="F66" t="s">
        <v>124</v>
      </c>
      <c r="G66" s="27">
        <v>61.7</v>
      </c>
      <c r="H66" s="27">
        <v>61.3</v>
      </c>
      <c r="I66" s="27">
        <v>59.2</v>
      </c>
      <c r="J66" s="27">
        <f>G66-H66</f>
        <v>0.40000000000000568</v>
      </c>
      <c r="K66" s="27">
        <f>G66-I66</f>
        <v>2.5</v>
      </c>
    </row>
    <row r="67" spans="1:11">
      <c r="A67" t="s">
        <v>149</v>
      </c>
      <c r="B67">
        <v>2</v>
      </c>
      <c r="C67" t="s">
        <v>56</v>
      </c>
      <c r="D67" t="s">
        <v>126</v>
      </c>
      <c r="E67" t="s">
        <v>127</v>
      </c>
      <c r="F67" t="s">
        <v>128</v>
      </c>
      <c r="G67" s="27">
        <v>419.4</v>
      </c>
      <c r="H67" s="27">
        <v>427.2</v>
      </c>
      <c r="I67" s="27">
        <v>412.8</v>
      </c>
      <c r="J67" s="27">
        <f>G67-H67</f>
        <v>-7.8000000000000114</v>
      </c>
      <c r="K67" s="27">
        <f>G67-I67</f>
        <v>6.5999999999999659</v>
      </c>
    </row>
    <row r="68" spans="1:11">
      <c r="A68" t="s">
        <v>149</v>
      </c>
      <c r="B68">
        <v>2</v>
      </c>
      <c r="C68" t="s">
        <v>56</v>
      </c>
      <c r="D68" t="s">
        <v>126</v>
      </c>
      <c r="E68" t="s">
        <v>129</v>
      </c>
      <c r="F68" t="s">
        <v>130</v>
      </c>
      <c r="G68" s="27">
        <v>41.1</v>
      </c>
      <c r="H68" s="27">
        <v>41.5</v>
      </c>
      <c r="I68" s="27">
        <v>40.1</v>
      </c>
      <c r="J68" s="27">
        <f>G68-H68</f>
        <v>-0.39999999999999858</v>
      </c>
      <c r="K68" s="27">
        <f>G68-I68</f>
        <v>1</v>
      </c>
    </row>
    <row r="69" spans="1:11">
      <c r="A69" t="s">
        <v>149</v>
      </c>
      <c r="B69">
        <v>2</v>
      </c>
      <c r="C69" t="s">
        <v>56</v>
      </c>
      <c r="D69" t="s">
        <v>126</v>
      </c>
      <c r="E69" t="s">
        <v>131</v>
      </c>
      <c r="F69" t="s">
        <v>132</v>
      </c>
      <c r="G69" s="27">
        <v>73.099999999999994</v>
      </c>
      <c r="H69" s="27">
        <v>72.7</v>
      </c>
      <c r="I69" s="27">
        <v>70.2</v>
      </c>
      <c r="J69" s="27">
        <f>G69-H69</f>
        <v>0.39999999999999147</v>
      </c>
      <c r="K69" s="27">
        <f>G69-I69</f>
        <v>2.8999999999999915</v>
      </c>
    </row>
    <row r="70" spans="1:11">
      <c r="A70" t="s">
        <v>149</v>
      </c>
      <c r="B70">
        <v>2</v>
      </c>
      <c r="C70" t="s">
        <v>56</v>
      </c>
      <c r="D70" t="s">
        <v>126</v>
      </c>
      <c r="E70" t="s">
        <v>133</v>
      </c>
      <c r="F70" t="s">
        <v>134</v>
      </c>
      <c r="G70" s="27">
        <v>16.100000000000001</v>
      </c>
      <c r="H70" s="27">
        <v>16.399999999999999</v>
      </c>
      <c r="I70" s="27">
        <v>15.8</v>
      </c>
      <c r="J70" s="27">
        <f>G70-H70</f>
        <v>-0.29999999999999716</v>
      </c>
      <c r="K70" s="27">
        <f>G70-I70</f>
        <v>0.30000000000000071</v>
      </c>
    </row>
    <row r="71" spans="1:11">
      <c r="A71" t="s">
        <v>149</v>
      </c>
      <c r="B71">
        <v>2</v>
      </c>
      <c r="C71" t="s">
        <v>56</v>
      </c>
      <c r="D71" t="s">
        <v>126</v>
      </c>
      <c r="E71" t="s">
        <v>135</v>
      </c>
      <c r="F71" t="s">
        <v>136</v>
      </c>
      <c r="G71" s="27">
        <v>58.3</v>
      </c>
      <c r="H71" s="27">
        <v>56.9</v>
      </c>
      <c r="I71" s="27">
        <v>55</v>
      </c>
      <c r="J71" s="27">
        <f>G71-H71</f>
        <v>1.3999999999999986</v>
      </c>
      <c r="K71" s="27">
        <f>G71-I71</f>
        <v>3.2999999999999972</v>
      </c>
    </row>
    <row r="72" spans="1:11">
      <c r="A72" t="s">
        <v>149</v>
      </c>
      <c r="B72">
        <v>2</v>
      </c>
      <c r="C72" t="s">
        <v>57</v>
      </c>
      <c r="D72" t="s">
        <v>145</v>
      </c>
      <c r="E72" t="s">
        <v>105</v>
      </c>
      <c r="F72" t="s">
        <v>106</v>
      </c>
      <c r="G72" s="27">
        <v>314.2</v>
      </c>
      <c r="H72" s="27">
        <v>341.6</v>
      </c>
      <c r="I72" s="27">
        <v>330.1</v>
      </c>
      <c r="J72" s="27">
        <f>G72-H72</f>
        <v>-27.400000000000034</v>
      </c>
      <c r="K72" s="27">
        <f>G72-I72</f>
        <v>-15.900000000000034</v>
      </c>
    </row>
    <row r="73" spans="1:11">
      <c r="A73" t="s">
        <v>149</v>
      </c>
      <c r="B73">
        <v>2</v>
      </c>
      <c r="C73" t="s">
        <v>57</v>
      </c>
      <c r="D73" t="s">
        <v>145</v>
      </c>
      <c r="E73" t="s">
        <v>107</v>
      </c>
      <c r="F73" t="s">
        <v>108</v>
      </c>
      <c r="G73" s="27">
        <v>30.8</v>
      </c>
      <c r="H73" s="27">
        <v>32.5</v>
      </c>
      <c r="I73" s="27">
        <v>31.4</v>
      </c>
      <c r="J73" s="27">
        <f>G73-H73</f>
        <v>-1.6999999999999993</v>
      </c>
      <c r="K73" s="27">
        <f>G73-I73</f>
        <v>-0.59999999999999787</v>
      </c>
    </row>
    <row r="74" spans="1:11">
      <c r="A74" t="s">
        <v>149</v>
      </c>
      <c r="B74">
        <v>2</v>
      </c>
      <c r="C74" t="s">
        <v>57</v>
      </c>
      <c r="D74" t="s">
        <v>145</v>
      </c>
      <c r="E74" t="s">
        <v>109</v>
      </c>
      <c r="F74" t="s">
        <v>110</v>
      </c>
      <c r="G74" s="27">
        <v>22.2</v>
      </c>
      <c r="H74" s="27">
        <v>23.1</v>
      </c>
      <c r="I74" s="27">
        <v>22.3</v>
      </c>
      <c r="J74" s="27">
        <f>G74-H74</f>
        <v>-0.90000000000000213</v>
      </c>
      <c r="K74" s="27">
        <f>G74-I74</f>
        <v>-0.10000000000000142</v>
      </c>
    </row>
    <row r="75" spans="1:11">
      <c r="A75" t="s">
        <v>149</v>
      </c>
      <c r="B75">
        <v>2</v>
      </c>
      <c r="C75" t="s">
        <v>57</v>
      </c>
      <c r="D75" t="s">
        <v>145</v>
      </c>
      <c r="E75" t="s">
        <v>111</v>
      </c>
      <c r="F75" t="s">
        <v>112</v>
      </c>
      <c r="G75" s="27">
        <v>207.1</v>
      </c>
      <c r="H75" s="27">
        <v>225.8</v>
      </c>
      <c r="I75" s="27">
        <v>218.1</v>
      </c>
      <c r="J75" s="27">
        <f>G75-H75</f>
        <v>-18.700000000000017</v>
      </c>
      <c r="K75" s="27">
        <f>G75-I75</f>
        <v>-11</v>
      </c>
    </row>
    <row r="76" spans="1:11">
      <c r="A76" t="s">
        <v>149</v>
      </c>
      <c r="B76">
        <v>2</v>
      </c>
      <c r="C76" t="s">
        <v>57</v>
      </c>
      <c r="D76" t="s">
        <v>145</v>
      </c>
      <c r="E76" t="s">
        <v>113</v>
      </c>
      <c r="F76" t="s">
        <v>114</v>
      </c>
      <c r="G76" s="27">
        <v>370.8</v>
      </c>
      <c r="H76" s="27">
        <v>372.6</v>
      </c>
      <c r="I76" s="27">
        <v>360</v>
      </c>
      <c r="J76" s="27">
        <f>G76-H76</f>
        <v>-1.8000000000000114</v>
      </c>
      <c r="K76" s="27">
        <f>G76-I76</f>
        <v>10.800000000000011</v>
      </c>
    </row>
    <row r="77" spans="1:11">
      <c r="A77" t="s">
        <v>149</v>
      </c>
      <c r="B77">
        <v>2</v>
      </c>
      <c r="C77" t="s">
        <v>57</v>
      </c>
      <c r="D77" t="s">
        <v>145</v>
      </c>
      <c r="E77" t="s">
        <v>115</v>
      </c>
      <c r="F77" t="s">
        <v>116</v>
      </c>
      <c r="G77" s="27">
        <v>73.3</v>
      </c>
      <c r="H77" s="27">
        <v>71.900000000000006</v>
      </c>
      <c r="I77" s="27">
        <v>69.5</v>
      </c>
      <c r="J77" s="27">
        <f>G77-H77</f>
        <v>1.3999999999999915</v>
      </c>
      <c r="K77" s="27">
        <f>G77-I77</f>
        <v>3.7999999999999972</v>
      </c>
    </row>
    <row r="78" spans="1:11">
      <c r="A78" t="s">
        <v>149</v>
      </c>
      <c r="B78">
        <v>2</v>
      </c>
      <c r="C78" t="s">
        <v>57</v>
      </c>
      <c r="D78" t="s">
        <v>146</v>
      </c>
      <c r="E78" t="s">
        <v>119</v>
      </c>
      <c r="F78" t="s">
        <v>120</v>
      </c>
      <c r="G78" s="27">
        <v>256</v>
      </c>
      <c r="H78" s="27">
        <v>267.89999999999998</v>
      </c>
      <c r="I78" s="27">
        <v>258.8</v>
      </c>
      <c r="J78" s="27">
        <f>G78-H78</f>
        <v>-11.899999999999977</v>
      </c>
      <c r="K78" s="27">
        <f>G78-I78</f>
        <v>-2.8000000000000114</v>
      </c>
    </row>
    <row r="79" spans="1:11">
      <c r="A79" t="s">
        <v>149</v>
      </c>
      <c r="B79">
        <v>2</v>
      </c>
      <c r="C79" t="s">
        <v>57</v>
      </c>
      <c r="D79" t="s">
        <v>146</v>
      </c>
      <c r="E79" t="s">
        <v>121</v>
      </c>
      <c r="F79" t="s">
        <v>122</v>
      </c>
      <c r="G79" s="27">
        <v>49</v>
      </c>
      <c r="H79" s="27">
        <v>63.1</v>
      </c>
      <c r="I79" s="27">
        <v>61</v>
      </c>
      <c r="J79" s="27">
        <f>G79-H79</f>
        <v>-14.100000000000001</v>
      </c>
      <c r="K79" s="27">
        <f>G79-I79</f>
        <v>-12</v>
      </c>
    </row>
    <row r="80" spans="1:11">
      <c r="A80" t="s">
        <v>149</v>
      </c>
      <c r="B80">
        <v>2</v>
      </c>
      <c r="C80" t="s">
        <v>57</v>
      </c>
      <c r="D80" t="s">
        <v>146</v>
      </c>
      <c r="E80" t="s">
        <v>123</v>
      </c>
      <c r="F80" t="s">
        <v>124</v>
      </c>
      <c r="G80" s="27">
        <v>41.5</v>
      </c>
      <c r="H80" s="27">
        <v>40.6</v>
      </c>
      <c r="I80" s="27">
        <v>39.200000000000003</v>
      </c>
      <c r="J80" s="27">
        <f>G80-H80</f>
        <v>0.89999999999999858</v>
      </c>
      <c r="K80" s="27">
        <f>G80-I80</f>
        <v>2.2999999999999972</v>
      </c>
    </row>
    <row r="81" spans="1:11">
      <c r="A81" t="s">
        <v>149</v>
      </c>
      <c r="B81">
        <v>2</v>
      </c>
      <c r="C81" t="s">
        <v>57</v>
      </c>
      <c r="D81" t="s">
        <v>126</v>
      </c>
      <c r="E81" t="s">
        <v>127</v>
      </c>
      <c r="F81" t="s">
        <v>128</v>
      </c>
      <c r="G81" s="27">
        <v>315.7</v>
      </c>
      <c r="H81" s="27">
        <v>309.7</v>
      </c>
      <c r="I81" s="27">
        <v>299.2</v>
      </c>
      <c r="J81" s="27">
        <f>G81-H81</f>
        <v>6</v>
      </c>
      <c r="K81" s="27">
        <f>G81-I81</f>
        <v>16.5</v>
      </c>
    </row>
    <row r="82" spans="1:11">
      <c r="A82" t="s">
        <v>149</v>
      </c>
      <c r="B82">
        <v>2</v>
      </c>
      <c r="C82" t="s">
        <v>57</v>
      </c>
      <c r="D82" t="s">
        <v>126</v>
      </c>
      <c r="E82" t="s">
        <v>129</v>
      </c>
      <c r="F82" t="s">
        <v>130</v>
      </c>
      <c r="G82" s="27">
        <v>36.700000000000003</v>
      </c>
      <c r="H82" s="27">
        <v>36.299999999999997</v>
      </c>
      <c r="I82" s="27">
        <v>35.1</v>
      </c>
      <c r="J82" s="27">
        <f>G82-H82</f>
        <v>0.40000000000000568</v>
      </c>
      <c r="K82" s="27">
        <f>G82-I82</f>
        <v>1.6000000000000014</v>
      </c>
    </row>
    <row r="83" spans="1:11">
      <c r="A83" t="s">
        <v>149</v>
      </c>
      <c r="B83">
        <v>2</v>
      </c>
      <c r="C83" t="s">
        <v>57</v>
      </c>
      <c r="D83" t="s">
        <v>126</v>
      </c>
      <c r="E83" t="s">
        <v>131</v>
      </c>
      <c r="F83" t="s">
        <v>132</v>
      </c>
      <c r="G83" s="27">
        <v>52</v>
      </c>
      <c r="H83" s="27">
        <v>52</v>
      </c>
      <c r="I83" s="27">
        <v>50.3</v>
      </c>
      <c r="J83" s="27">
        <f>G83-H83</f>
        <v>0</v>
      </c>
      <c r="K83" s="27">
        <f>G83-I83</f>
        <v>1.7000000000000028</v>
      </c>
    </row>
    <row r="84" spans="1:11">
      <c r="A84" t="s">
        <v>149</v>
      </c>
      <c r="B84">
        <v>2</v>
      </c>
      <c r="C84" t="s">
        <v>57</v>
      </c>
      <c r="D84" t="s">
        <v>126</v>
      </c>
      <c r="E84" t="s">
        <v>133</v>
      </c>
      <c r="F84" t="s">
        <v>134</v>
      </c>
      <c r="G84" s="27">
        <v>10.8</v>
      </c>
      <c r="H84" s="27">
        <v>11.5</v>
      </c>
      <c r="I84" s="27">
        <v>11.1</v>
      </c>
      <c r="J84" s="27">
        <f>G84-H84</f>
        <v>-0.69999999999999929</v>
      </c>
      <c r="K84" s="27">
        <f>G84-I84</f>
        <v>-0.29999999999999893</v>
      </c>
    </row>
    <row r="85" spans="1:11">
      <c r="A85" t="s">
        <v>149</v>
      </c>
      <c r="B85">
        <v>2</v>
      </c>
      <c r="C85" t="s">
        <v>57</v>
      </c>
      <c r="D85" t="s">
        <v>126</v>
      </c>
      <c r="E85" t="s">
        <v>135</v>
      </c>
      <c r="F85" t="s">
        <v>136</v>
      </c>
      <c r="G85" s="27">
        <v>42.4</v>
      </c>
      <c r="H85" s="27">
        <v>41.4</v>
      </c>
      <c r="I85" s="27">
        <v>40</v>
      </c>
      <c r="J85" s="27">
        <f>G85-H85</f>
        <v>1</v>
      </c>
      <c r="K85" s="27">
        <f>G85-I85</f>
        <v>2.3999999999999986</v>
      </c>
    </row>
    <row r="86" spans="1:11">
      <c r="A86" t="s">
        <v>149</v>
      </c>
      <c r="B86">
        <v>2</v>
      </c>
      <c r="C86" t="s">
        <v>58</v>
      </c>
      <c r="D86" t="s">
        <v>145</v>
      </c>
      <c r="E86" t="s">
        <v>105</v>
      </c>
      <c r="F86" t="s">
        <v>106</v>
      </c>
      <c r="G86" s="27">
        <v>311.7</v>
      </c>
      <c r="H86" s="27">
        <v>330</v>
      </c>
      <c r="I86" s="27">
        <v>318.89999999999998</v>
      </c>
      <c r="J86" s="27">
        <f>G86-H86</f>
        <v>-18.300000000000011</v>
      </c>
      <c r="K86" s="27">
        <f>G86-I86</f>
        <v>-7.1999999999999886</v>
      </c>
    </row>
    <row r="87" spans="1:11">
      <c r="A87" t="s">
        <v>149</v>
      </c>
      <c r="B87">
        <v>2</v>
      </c>
      <c r="C87" t="s">
        <v>58</v>
      </c>
      <c r="D87" t="s">
        <v>145</v>
      </c>
      <c r="E87" t="s">
        <v>107</v>
      </c>
      <c r="F87" t="s">
        <v>108</v>
      </c>
      <c r="G87" s="27">
        <v>30</v>
      </c>
      <c r="H87" s="27">
        <v>31.4</v>
      </c>
      <c r="I87" s="27">
        <v>30.4</v>
      </c>
      <c r="J87" s="27">
        <f>G87-H87</f>
        <v>-1.3999999999999986</v>
      </c>
      <c r="K87" s="27">
        <f>G87-I87</f>
        <v>-0.39999999999999858</v>
      </c>
    </row>
    <row r="88" spans="1:11">
      <c r="A88" t="s">
        <v>149</v>
      </c>
      <c r="B88">
        <v>2</v>
      </c>
      <c r="C88" t="s">
        <v>58</v>
      </c>
      <c r="D88" t="s">
        <v>145</v>
      </c>
      <c r="E88" t="s">
        <v>109</v>
      </c>
      <c r="F88" t="s">
        <v>110</v>
      </c>
      <c r="G88" s="27">
        <v>21.5</v>
      </c>
      <c r="H88" s="27">
        <v>22.6</v>
      </c>
      <c r="I88" s="27">
        <v>21.8</v>
      </c>
      <c r="J88" s="27">
        <f>G88-H88</f>
        <v>-1.1000000000000014</v>
      </c>
      <c r="K88" s="27">
        <f>G88-I88</f>
        <v>-0.30000000000000071</v>
      </c>
    </row>
    <row r="89" spans="1:11">
      <c r="A89" t="s">
        <v>149</v>
      </c>
      <c r="B89">
        <v>2</v>
      </c>
      <c r="C89" t="s">
        <v>58</v>
      </c>
      <c r="D89" t="s">
        <v>145</v>
      </c>
      <c r="E89" t="s">
        <v>111</v>
      </c>
      <c r="F89" t="s">
        <v>112</v>
      </c>
      <c r="G89" s="27">
        <v>201.7</v>
      </c>
      <c r="H89" s="27">
        <v>214.6</v>
      </c>
      <c r="I89" s="27">
        <v>207.3</v>
      </c>
      <c r="J89" s="27">
        <f>G89-H89</f>
        <v>-12.900000000000006</v>
      </c>
      <c r="K89" s="27">
        <f>G89-I89</f>
        <v>-5.6000000000000227</v>
      </c>
    </row>
    <row r="90" spans="1:11">
      <c r="A90" t="s">
        <v>149</v>
      </c>
      <c r="B90">
        <v>2</v>
      </c>
      <c r="C90" t="s">
        <v>58</v>
      </c>
      <c r="D90" t="s">
        <v>145</v>
      </c>
      <c r="E90" t="s">
        <v>113</v>
      </c>
      <c r="F90" t="s">
        <v>114</v>
      </c>
      <c r="G90" s="27">
        <v>339.9</v>
      </c>
      <c r="H90" s="27">
        <v>341.5</v>
      </c>
      <c r="I90" s="27">
        <v>330</v>
      </c>
      <c r="J90" s="27">
        <f>G90-H90</f>
        <v>-1.6000000000000227</v>
      </c>
      <c r="K90" s="27">
        <f>G90-I90</f>
        <v>9.8999999999999773</v>
      </c>
    </row>
    <row r="91" spans="1:11">
      <c r="A91" t="s">
        <v>149</v>
      </c>
      <c r="B91">
        <v>2</v>
      </c>
      <c r="C91" t="s">
        <v>58</v>
      </c>
      <c r="D91" t="s">
        <v>145</v>
      </c>
      <c r="E91" t="s">
        <v>115</v>
      </c>
      <c r="F91" t="s">
        <v>116</v>
      </c>
      <c r="G91" s="27">
        <v>65.7</v>
      </c>
      <c r="H91" s="27">
        <v>68.3</v>
      </c>
      <c r="I91" s="27">
        <v>65.900000000000006</v>
      </c>
      <c r="J91" s="27">
        <f>G91-H91</f>
        <v>-2.5999999999999943</v>
      </c>
      <c r="K91" s="27">
        <f>G91-I91</f>
        <v>-0.20000000000000284</v>
      </c>
    </row>
    <row r="92" spans="1:11">
      <c r="A92" t="s">
        <v>149</v>
      </c>
      <c r="B92">
        <v>2</v>
      </c>
      <c r="C92" t="s">
        <v>58</v>
      </c>
      <c r="D92" t="s">
        <v>146</v>
      </c>
      <c r="E92" t="s">
        <v>119</v>
      </c>
      <c r="F92" t="s">
        <v>120</v>
      </c>
      <c r="G92" s="27">
        <v>254.2</v>
      </c>
      <c r="H92" s="27">
        <v>262.7</v>
      </c>
      <c r="I92" s="27">
        <v>253.9</v>
      </c>
      <c r="J92" s="27">
        <f>G92-H92</f>
        <v>-8.5</v>
      </c>
      <c r="K92" s="27">
        <f>G92-I92</f>
        <v>0.29999999999998295</v>
      </c>
    </row>
    <row r="93" spans="1:11">
      <c r="A93" t="s">
        <v>149</v>
      </c>
      <c r="B93">
        <v>2</v>
      </c>
      <c r="C93" t="s">
        <v>58</v>
      </c>
      <c r="D93" t="s">
        <v>146</v>
      </c>
      <c r="E93" t="s">
        <v>121</v>
      </c>
      <c r="F93" t="s">
        <v>122</v>
      </c>
      <c r="G93" s="27">
        <v>44.9</v>
      </c>
      <c r="H93" s="27">
        <v>56.2</v>
      </c>
      <c r="I93" s="27">
        <v>54.3</v>
      </c>
      <c r="J93" s="27">
        <f>G93-H93</f>
        <v>-11.300000000000004</v>
      </c>
      <c r="K93" s="27">
        <f>G93-I93</f>
        <v>-9.3999999999999986</v>
      </c>
    </row>
    <row r="94" spans="1:11">
      <c r="A94" t="s">
        <v>149</v>
      </c>
      <c r="B94">
        <v>2</v>
      </c>
      <c r="C94" t="s">
        <v>58</v>
      </c>
      <c r="D94" t="s">
        <v>146</v>
      </c>
      <c r="E94" t="s">
        <v>123</v>
      </c>
      <c r="F94" t="s">
        <v>124</v>
      </c>
      <c r="G94" s="27">
        <v>35.1</v>
      </c>
      <c r="H94" s="27">
        <v>36.4</v>
      </c>
      <c r="I94" s="27">
        <v>35.1</v>
      </c>
      <c r="J94" s="27">
        <f>G94-H94</f>
        <v>-1.2999999999999972</v>
      </c>
      <c r="K94" s="27">
        <f>G94-I94</f>
        <v>0</v>
      </c>
    </row>
    <row r="95" spans="1:11">
      <c r="A95" t="s">
        <v>149</v>
      </c>
      <c r="B95">
        <v>2</v>
      </c>
      <c r="C95" t="s">
        <v>58</v>
      </c>
      <c r="D95" t="s">
        <v>126</v>
      </c>
      <c r="E95" t="s">
        <v>127</v>
      </c>
      <c r="F95" t="s">
        <v>128</v>
      </c>
      <c r="G95" s="27">
        <v>286.8</v>
      </c>
      <c r="H95" s="27">
        <v>294.39999999999998</v>
      </c>
      <c r="I95" s="27">
        <v>284.39999999999998</v>
      </c>
      <c r="J95" s="27">
        <f>G95-H95</f>
        <v>-7.5999999999999659</v>
      </c>
      <c r="K95" s="27">
        <f>G95-I95</f>
        <v>2.4000000000000341</v>
      </c>
    </row>
    <row r="96" spans="1:11">
      <c r="A96" t="s">
        <v>149</v>
      </c>
      <c r="B96">
        <v>2</v>
      </c>
      <c r="C96" t="s">
        <v>58</v>
      </c>
      <c r="D96" t="s">
        <v>126</v>
      </c>
      <c r="E96" t="s">
        <v>129</v>
      </c>
      <c r="F96" t="s">
        <v>130</v>
      </c>
      <c r="G96" s="27">
        <v>31.3</v>
      </c>
      <c r="H96" s="27">
        <v>31.2</v>
      </c>
      <c r="I96" s="27">
        <v>30.2</v>
      </c>
      <c r="J96" s="27">
        <f>G96-H96</f>
        <v>0.10000000000000142</v>
      </c>
      <c r="K96" s="27">
        <f>G96-I96</f>
        <v>1.1000000000000014</v>
      </c>
    </row>
    <row r="97" spans="1:11">
      <c r="A97" t="s">
        <v>149</v>
      </c>
      <c r="B97">
        <v>2</v>
      </c>
      <c r="C97" t="s">
        <v>58</v>
      </c>
      <c r="D97" t="s">
        <v>126</v>
      </c>
      <c r="E97" t="s">
        <v>131</v>
      </c>
      <c r="F97" t="s">
        <v>132</v>
      </c>
      <c r="G97" s="27">
        <v>46.4</v>
      </c>
      <c r="H97" s="27">
        <v>45.8</v>
      </c>
      <c r="I97" s="27">
        <v>44.2</v>
      </c>
      <c r="J97" s="27">
        <f>G97-H97</f>
        <v>0.60000000000000142</v>
      </c>
      <c r="K97" s="27">
        <f>G97-I97</f>
        <v>2.1999999999999957</v>
      </c>
    </row>
    <row r="98" spans="1:11">
      <c r="A98" t="s">
        <v>149</v>
      </c>
      <c r="B98">
        <v>2</v>
      </c>
      <c r="C98" t="s">
        <v>58</v>
      </c>
      <c r="D98" t="s">
        <v>126</v>
      </c>
      <c r="E98" t="s">
        <v>133</v>
      </c>
      <c r="F98" t="s">
        <v>134</v>
      </c>
      <c r="G98" s="27">
        <v>10.3</v>
      </c>
      <c r="H98" s="27">
        <v>11</v>
      </c>
      <c r="I98" s="27">
        <v>10.6</v>
      </c>
      <c r="J98" s="27">
        <f>G98-H98</f>
        <v>-0.69999999999999929</v>
      </c>
      <c r="K98" s="27">
        <f>G98-I98</f>
        <v>-0.29999999999999893</v>
      </c>
    </row>
    <row r="99" spans="1:11">
      <c r="A99" t="s">
        <v>149</v>
      </c>
      <c r="B99">
        <v>2</v>
      </c>
      <c r="C99" t="s">
        <v>58</v>
      </c>
      <c r="D99" t="s">
        <v>126</v>
      </c>
      <c r="E99" t="s">
        <v>135</v>
      </c>
      <c r="F99" t="s">
        <v>136</v>
      </c>
      <c r="G99" s="27">
        <v>40.299999999999997</v>
      </c>
      <c r="H99" s="27">
        <v>39.299999999999997</v>
      </c>
      <c r="I99" s="27">
        <v>38</v>
      </c>
      <c r="J99" s="27">
        <f>G99-H99</f>
        <v>1</v>
      </c>
      <c r="K99" s="27">
        <f>G99-I99</f>
        <v>2.2999999999999972</v>
      </c>
    </row>
    <row r="100" spans="1:11">
      <c r="A100" t="s">
        <v>149</v>
      </c>
      <c r="B100">
        <v>2</v>
      </c>
      <c r="C100" t="s">
        <v>59</v>
      </c>
      <c r="D100" t="s">
        <v>145</v>
      </c>
      <c r="E100" t="s">
        <v>105</v>
      </c>
      <c r="F100" t="s">
        <v>106</v>
      </c>
      <c r="G100" s="27">
        <v>199.1</v>
      </c>
      <c r="H100" s="27">
        <v>205.9</v>
      </c>
      <c r="I100" s="27">
        <v>198.8</v>
      </c>
      <c r="J100" s="27">
        <f>G100-H100</f>
        <v>-6.8000000000000114</v>
      </c>
      <c r="K100" s="27">
        <f>G100-I100</f>
        <v>0.29999999999998295</v>
      </c>
    </row>
    <row r="101" spans="1:11">
      <c r="A101" t="s">
        <v>149</v>
      </c>
      <c r="B101">
        <v>2</v>
      </c>
      <c r="C101" t="s">
        <v>59</v>
      </c>
      <c r="D101" t="s">
        <v>145</v>
      </c>
      <c r="E101" t="s">
        <v>107</v>
      </c>
      <c r="F101" t="s">
        <v>108</v>
      </c>
      <c r="G101" s="27">
        <v>19.3</v>
      </c>
      <c r="H101" s="27">
        <v>19.3</v>
      </c>
      <c r="I101" s="27">
        <v>18.600000000000001</v>
      </c>
      <c r="J101" s="27">
        <f>G101-H101</f>
        <v>0</v>
      </c>
      <c r="K101" s="27">
        <f>G101-I101</f>
        <v>0.69999999999999929</v>
      </c>
    </row>
    <row r="102" spans="1:11">
      <c r="A102" t="s">
        <v>149</v>
      </c>
      <c r="B102">
        <v>2</v>
      </c>
      <c r="C102" t="s">
        <v>59</v>
      </c>
      <c r="D102" t="s">
        <v>145</v>
      </c>
      <c r="E102" t="s">
        <v>109</v>
      </c>
      <c r="F102" t="s">
        <v>110</v>
      </c>
      <c r="G102" s="27">
        <v>14</v>
      </c>
      <c r="H102" s="27">
        <v>13.7</v>
      </c>
      <c r="I102" s="27">
        <v>13.3</v>
      </c>
      <c r="J102" s="27">
        <f>G102-H102</f>
        <v>0.30000000000000071</v>
      </c>
      <c r="K102" s="27">
        <f>G102-I102</f>
        <v>0.69999999999999929</v>
      </c>
    </row>
    <row r="103" spans="1:11">
      <c r="A103" t="s">
        <v>149</v>
      </c>
      <c r="B103">
        <v>2</v>
      </c>
      <c r="C103" t="s">
        <v>59</v>
      </c>
      <c r="D103" t="s">
        <v>145</v>
      </c>
      <c r="E103" t="s">
        <v>111</v>
      </c>
      <c r="F103" t="s">
        <v>112</v>
      </c>
      <c r="G103" s="27">
        <v>130.80000000000001</v>
      </c>
      <c r="H103" s="27">
        <v>134.4</v>
      </c>
      <c r="I103" s="27">
        <v>129.9</v>
      </c>
      <c r="J103" s="27">
        <f>G103-H103</f>
        <v>-3.5999999999999943</v>
      </c>
      <c r="K103" s="27">
        <f>G103-I103</f>
        <v>0.90000000000000568</v>
      </c>
    </row>
    <row r="104" spans="1:11">
      <c r="A104" t="s">
        <v>149</v>
      </c>
      <c r="B104">
        <v>2</v>
      </c>
      <c r="C104" t="s">
        <v>59</v>
      </c>
      <c r="D104" t="s">
        <v>145</v>
      </c>
      <c r="E104" t="s">
        <v>113</v>
      </c>
      <c r="F104" t="s">
        <v>114</v>
      </c>
      <c r="G104" s="27">
        <v>247.2</v>
      </c>
      <c r="H104" s="27">
        <v>248.4</v>
      </c>
      <c r="I104" s="27">
        <v>240</v>
      </c>
      <c r="J104" s="27">
        <f>G104-H104</f>
        <v>-1.2000000000000171</v>
      </c>
      <c r="K104" s="27">
        <f>G104-I104</f>
        <v>7.1999999999999886</v>
      </c>
    </row>
    <row r="105" spans="1:11">
      <c r="A105" t="s">
        <v>149</v>
      </c>
      <c r="B105">
        <v>2</v>
      </c>
      <c r="C105" t="s">
        <v>59</v>
      </c>
      <c r="D105" t="s">
        <v>145</v>
      </c>
      <c r="E105" t="s">
        <v>115</v>
      </c>
      <c r="F105" t="s">
        <v>116</v>
      </c>
      <c r="G105" s="27">
        <v>49.7</v>
      </c>
      <c r="H105" s="27">
        <v>50.3</v>
      </c>
      <c r="I105" s="27">
        <v>48.6</v>
      </c>
      <c r="J105" s="27">
        <f>G105-H105</f>
        <v>-0.59999999999999432</v>
      </c>
      <c r="K105" s="27">
        <f>G105-I105</f>
        <v>1.1000000000000014</v>
      </c>
    </row>
    <row r="106" spans="1:11">
      <c r="A106" t="s">
        <v>149</v>
      </c>
      <c r="B106">
        <v>2</v>
      </c>
      <c r="C106" t="s">
        <v>59</v>
      </c>
      <c r="D106" t="s">
        <v>146</v>
      </c>
      <c r="E106" t="s">
        <v>119</v>
      </c>
      <c r="F106" t="s">
        <v>120</v>
      </c>
      <c r="G106" s="27">
        <v>165.6</v>
      </c>
      <c r="H106" s="27">
        <v>164</v>
      </c>
      <c r="I106" s="27">
        <v>158.5</v>
      </c>
      <c r="J106" s="27">
        <f>G106-H106</f>
        <v>1.5999999999999943</v>
      </c>
      <c r="K106" s="27">
        <f>G106-I106</f>
        <v>7.0999999999999943</v>
      </c>
    </row>
    <row r="107" spans="1:11">
      <c r="A107" t="s">
        <v>149</v>
      </c>
      <c r="B107">
        <v>2</v>
      </c>
      <c r="C107" t="s">
        <v>59</v>
      </c>
      <c r="D107" t="s">
        <v>146</v>
      </c>
      <c r="E107" t="s">
        <v>121</v>
      </c>
      <c r="F107" t="s">
        <v>122</v>
      </c>
      <c r="G107" s="27">
        <v>33</v>
      </c>
      <c r="H107" s="27">
        <v>41.9</v>
      </c>
      <c r="I107" s="27">
        <v>40.4</v>
      </c>
      <c r="J107" s="27">
        <f>G107-H107</f>
        <v>-8.8999999999999986</v>
      </c>
      <c r="K107" s="27">
        <f>G107-I107</f>
        <v>-7.3999999999999986</v>
      </c>
    </row>
    <row r="108" spans="1:11">
      <c r="A108" t="s">
        <v>149</v>
      </c>
      <c r="B108">
        <v>2</v>
      </c>
      <c r="C108" t="s">
        <v>59</v>
      </c>
      <c r="D108" t="s">
        <v>146</v>
      </c>
      <c r="E108" t="s">
        <v>123</v>
      </c>
      <c r="F108" t="s">
        <v>124</v>
      </c>
      <c r="G108" s="27">
        <v>45.1</v>
      </c>
      <c r="H108" s="27">
        <v>47.3</v>
      </c>
      <c r="I108" s="27">
        <v>45.7</v>
      </c>
      <c r="J108" s="27">
        <f>G108-H108</f>
        <v>-2.1999999999999957</v>
      </c>
      <c r="K108" s="27">
        <f>G108-I108</f>
        <v>-0.60000000000000142</v>
      </c>
    </row>
    <row r="109" spans="1:11">
      <c r="A109" t="s">
        <v>149</v>
      </c>
      <c r="B109">
        <v>2</v>
      </c>
      <c r="C109" t="s">
        <v>59</v>
      </c>
      <c r="D109" t="s">
        <v>126</v>
      </c>
      <c r="E109" t="s">
        <v>127</v>
      </c>
      <c r="F109" t="s">
        <v>128</v>
      </c>
      <c r="G109" s="27">
        <v>205.3</v>
      </c>
      <c r="H109" s="27">
        <v>204.9</v>
      </c>
      <c r="I109" s="27">
        <v>198.1</v>
      </c>
      <c r="J109" s="27">
        <f>G109-H109</f>
        <v>0.40000000000000568</v>
      </c>
      <c r="K109" s="27">
        <f>G109-I109</f>
        <v>7.2000000000000171</v>
      </c>
    </row>
    <row r="110" spans="1:11">
      <c r="A110" t="s">
        <v>149</v>
      </c>
      <c r="B110">
        <v>2</v>
      </c>
      <c r="C110" t="s">
        <v>59</v>
      </c>
      <c r="D110" t="s">
        <v>126</v>
      </c>
      <c r="E110" t="s">
        <v>129</v>
      </c>
      <c r="F110" t="s">
        <v>130</v>
      </c>
      <c r="G110" s="27">
        <v>26.2</v>
      </c>
      <c r="H110" s="27">
        <v>25.5</v>
      </c>
      <c r="I110" s="27">
        <v>24.6</v>
      </c>
      <c r="J110" s="27">
        <f>G110-H110</f>
        <v>0.69999999999999929</v>
      </c>
      <c r="K110" s="27">
        <f>G110-I110</f>
        <v>1.5999999999999979</v>
      </c>
    </row>
    <row r="111" spans="1:11">
      <c r="A111" t="s">
        <v>149</v>
      </c>
      <c r="B111">
        <v>2</v>
      </c>
      <c r="C111" t="s">
        <v>59</v>
      </c>
      <c r="D111" t="s">
        <v>126</v>
      </c>
      <c r="E111" t="s">
        <v>131</v>
      </c>
      <c r="F111" t="s">
        <v>132</v>
      </c>
      <c r="G111" s="27">
        <v>36.1</v>
      </c>
      <c r="H111" s="27">
        <v>36.6</v>
      </c>
      <c r="I111" s="27">
        <v>35.4</v>
      </c>
      <c r="J111" s="27">
        <f>G111-H111</f>
        <v>-0.5</v>
      </c>
      <c r="K111" s="27">
        <f>G111-I111</f>
        <v>0.70000000000000284</v>
      </c>
    </row>
    <row r="112" spans="1:11">
      <c r="A112" t="s">
        <v>149</v>
      </c>
      <c r="B112">
        <v>2</v>
      </c>
      <c r="C112" t="s">
        <v>59</v>
      </c>
      <c r="D112" t="s">
        <v>126</v>
      </c>
      <c r="E112" t="s">
        <v>133</v>
      </c>
      <c r="F112" t="s">
        <v>134</v>
      </c>
      <c r="G112" s="27">
        <v>6.6</v>
      </c>
      <c r="H112" s="27">
        <v>6.7</v>
      </c>
      <c r="I112" s="27">
        <v>6.5</v>
      </c>
      <c r="J112" s="27">
        <f>G112-H112</f>
        <v>-0.10000000000000053</v>
      </c>
      <c r="K112" s="27">
        <f>G112-I112</f>
        <v>9.9999999999999645E-2</v>
      </c>
    </row>
    <row r="113" spans="1:11">
      <c r="A113" t="s">
        <v>149</v>
      </c>
      <c r="B113">
        <v>2</v>
      </c>
      <c r="C113" t="s">
        <v>59</v>
      </c>
      <c r="D113" t="s">
        <v>126</v>
      </c>
      <c r="E113" t="s">
        <v>135</v>
      </c>
      <c r="F113" t="s">
        <v>136</v>
      </c>
      <c r="G113" s="27">
        <v>29.7</v>
      </c>
      <c r="H113" s="27">
        <v>29</v>
      </c>
      <c r="I113" s="27">
        <v>28</v>
      </c>
      <c r="J113" s="27">
        <f>G113-H113</f>
        <v>0.69999999999999929</v>
      </c>
      <c r="K113" s="27">
        <f>G113-I113</f>
        <v>1.6999999999999993</v>
      </c>
    </row>
    <row r="114" spans="1:11">
      <c r="A114" t="s">
        <v>150</v>
      </c>
      <c r="B114">
        <v>3</v>
      </c>
      <c r="C114" t="s">
        <v>56</v>
      </c>
      <c r="D114" t="s">
        <v>145</v>
      </c>
      <c r="E114" t="s">
        <v>105</v>
      </c>
      <c r="F114" t="s">
        <v>106</v>
      </c>
      <c r="G114" s="27">
        <v>522.20000000000005</v>
      </c>
      <c r="H114" s="27">
        <v>523.1</v>
      </c>
      <c r="I114" s="27">
        <v>505.4</v>
      </c>
      <c r="J114" s="27">
        <f>G114-H114</f>
        <v>-0.89999999999997726</v>
      </c>
      <c r="K114" s="27">
        <f>G114-I114</f>
        <v>16.800000000000068</v>
      </c>
    </row>
    <row r="115" spans="1:11">
      <c r="A115" t="s">
        <v>150</v>
      </c>
      <c r="B115">
        <v>3</v>
      </c>
      <c r="C115" t="s">
        <v>56</v>
      </c>
      <c r="D115" t="s">
        <v>145</v>
      </c>
      <c r="E115" t="s">
        <v>107</v>
      </c>
      <c r="F115" t="s">
        <v>108</v>
      </c>
      <c r="G115" s="27">
        <v>51.5</v>
      </c>
      <c r="H115" s="27">
        <v>51.6</v>
      </c>
      <c r="I115" s="27">
        <v>49.9</v>
      </c>
      <c r="J115" s="27">
        <f>G115-H115</f>
        <v>-0.10000000000000142</v>
      </c>
      <c r="K115" s="27">
        <f>G115-I115</f>
        <v>1.6000000000000014</v>
      </c>
    </row>
    <row r="116" spans="1:11">
      <c r="A116" t="s">
        <v>150</v>
      </c>
      <c r="B116">
        <v>3</v>
      </c>
      <c r="C116" t="s">
        <v>56</v>
      </c>
      <c r="D116" t="s">
        <v>145</v>
      </c>
      <c r="E116" t="s">
        <v>109</v>
      </c>
      <c r="F116" t="s">
        <v>110</v>
      </c>
      <c r="G116" s="27">
        <v>36.5</v>
      </c>
      <c r="H116" s="27">
        <v>36.9</v>
      </c>
      <c r="I116" s="27">
        <v>35.6</v>
      </c>
      <c r="J116" s="27">
        <f>G116-H116</f>
        <v>-0.39999999999999858</v>
      </c>
      <c r="K116" s="27">
        <f>G116-I116</f>
        <v>0.89999999999999858</v>
      </c>
    </row>
    <row r="117" spans="1:11">
      <c r="A117" t="s">
        <v>150</v>
      </c>
      <c r="B117">
        <v>3</v>
      </c>
      <c r="C117" t="s">
        <v>56</v>
      </c>
      <c r="D117" t="s">
        <v>145</v>
      </c>
      <c r="E117" t="s">
        <v>111</v>
      </c>
      <c r="F117" t="s">
        <v>112</v>
      </c>
      <c r="G117" s="27">
        <v>339.6</v>
      </c>
      <c r="H117" s="27">
        <v>359.3</v>
      </c>
      <c r="I117" s="27">
        <v>347.1</v>
      </c>
      <c r="J117" s="27">
        <f>G117-H117</f>
        <v>-19.699999999999989</v>
      </c>
      <c r="K117" s="27">
        <f>G117-I117</f>
        <v>-7.5</v>
      </c>
    </row>
    <row r="118" spans="1:11">
      <c r="A118" t="s">
        <v>150</v>
      </c>
      <c r="B118">
        <v>3</v>
      </c>
      <c r="C118" t="s">
        <v>56</v>
      </c>
      <c r="D118" t="s">
        <v>145</v>
      </c>
      <c r="E118" t="s">
        <v>113</v>
      </c>
      <c r="F118" t="s">
        <v>114</v>
      </c>
      <c r="G118" s="27">
        <v>535.6</v>
      </c>
      <c r="H118" s="27">
        <v>538.20000000000005</v>
      </c>
      <c r="I118" s="27">
        <v>520</v>
      </c>
      <c r="J118" s="27">
        <f>G118-H118</f>
        <v>-2.6000000000000227</v>
      </c>
      <c r="K118" s="27">
        <f>G118-I118</f>
        <v>15.600000000000023</v>
      </c>
    </row>
    <row r="119" spans="1:11">
      <c r="A119" t="s">
        <v>150</v>
      </c>
      <c r="B119">
        <v>3</v>
      </c>
      <c r="C119" t="s">
        <v>56</v>
      </c>
      <c r="D119" t="s">
        <v>145</v>
      </c>
      <c r="E119" t="s">
        <v>115</v>
      </c>
      <c r="F119" t="s">
        <v>116</v>
      </c>
      <c r="G119" s="27">
        <v>93.5</v>
      </c>
      <c r="H119" s="27">
        <v>93.7</v>
      </c>
      <c r="I119" s="27">
        <v>90.6</v>
      </c>
      <c r="J119" s="27">
        <f>G119-H119</f>
        <v>-0.20000000000000284</v>
      </c>
      <c r="K119" s="27">
        <f>G119-I119</f>
        <v>2.9000000000000057</v>
      </c>
    </row>
    <row r="120" spans="1:11">
      <c r="A120" t="s">
        <v>150</v>
      </c>
      <c r="B120">
        <v>3</v>
      </c>
      <c r="C120" t="s">
        <v>56</v>
      </c>
      <c r="D120" t="s">
        <v>146</v>
      </c>
      <c r="E120" t="s">
        <v>119</v>
      </c>
      <c r="F120" t="s">
        <v>120</v>
      </c>
      <c r="G120" s="27">
        <v>430.9</v>
      </c>
      <c r="H120" s="27">
        <v>431.4</v>
      </c>
      <c r="I120" s="27">
        <v>416.7</v>
      </c>
      <c r="J120" s="27">
        <f>G120-H120</f>
        <v>-0.5</v>
      </c>
      <c r="K120" s="27">
        <f>G120-I120</f>
        <v>14.199999999999989</v>
      </c>
    </row>
    <row r="121" spans="1:11">
      <c r="A121" t="s">
        <v>150</v>
      </c>
      <c r="B121">
        <v>3</v>
      </c>
      <c r="C121" t="s">
        <v>56</v>
      </c>
      <c r="D121" t="s">
        <v>146</v>
      </c>
      <c r="E121" t="s">
        <v>121</v>
      </c>
      <c r="F121" t="s">
        <v>122</v>
      </c>
      <c r="G121" s="27">
        <v>69.7</v>
      </c>
      <c r="H121" s="27">
        <v>87.6</v>
      </c>
      <c r="I121" s="27">
        <v>84.7</v>
      </c>
      <c r="J121" s="27">
        <f>G121-H121</f>
        <v>-17.899999999999991</v>
      </c>
      <c r="K121" s="27">
        <f>G121-I121</f>
        <v>-15</v>
      </c>
    </row>
    <row r="122" spans="1:11">
      <c r="A122" t="s">
        <v>150</v>
      </c>
      <c r="B122">
        <v>3</v>
      </c>
      <c r="C122" t="s">
        <v>56</v>
      </c>
      <c r="D122" t="s">
        <v>146</v>
      </c>
      <c r="E122" t="s">
        <v>123</v>
      </c>
      <c r="F122" t="s">
        <v>124</v>
      </c>
      <c r="G122" s="27">
        <v>61.8</v>
      </c>
      <c r="H122" s="27">
        <v>61.7</v>
      </c>
      <c r="I122" s="27">
        <v>59.6</v>
      </c>
      <c r="J122" s="27">
        <f>G122-H122</f>
        <v>9.9999999999994316E-2</v>
      </c>
      <c r="K122" s="27">
        <f>G122-I122</f>
        <v>2.1999999999999957</v>
      </c>
    </row>
    <row r="123" spans="1:11">
      <c r="A123" t="s">
        <v>150</v>
      </c>
      <c r="B123">
        <v>3</v>
      </c>
      <c r="C123" t="s">
        <v>56</v>
      </c>
      <c r="D123" t="s">
        <v>126</v>
      </c>
      <c r="E123" t="s">
        <v>127</v>
      </c>
      <c r="F123" t="s">
        <v>128</v>
      </c>
      <c r="G123" s="27">
        <v>428.5</v>
      </c>
      <c r="H123" s="27">
        <v>422.1</v>
      </c>
      <c r="I123" s="27">
        <v>407.8</v>
      </c>
      <c r="J123" s="27">
        <f>G123-H123</f>
        <v>6.3999999999999773</v>
      </c>
      <c r="K123" s="27">
        <f>G123-I123</f>
        <v>20.699999999999989</v>
      </c>
    </row>
    <row r="124" spans="1:11">
      <c r="A124" t="s">
        <v>150</v>
      </c>
      <c r="B124">
        <v>3</v>
      </c>
      <c r="C124" t="s">
        <v>56</v>
      </c>
      <c r="D124" t="s">
        <v>126</v>
      </c>
      <c r="E124" t="s">
        <v>129</v>
      </c>
      <c r="F124" t="s">
        <v>130</v>
      </c>
      <c r="G124" s="27">
        <v>41.7</v>
      </c>
      <c r="H124" s="27">
        <v>41.3</v>
      </c>
      <c r="I124" s="27">
        <v>39.9</v>
      </c>
      <c r="J124" s="27">
        <f>G124-H124</f>
        <v>0.40000000000000568</v>
      </c>
      <c r="K124" s="27">
        <f>G124-I124</f>
        <v>1.8000000000000043</v>
      </c>
    </row>
    <row r="125" spans="1:11">
      <c r="A125" t="s">
        <v>150</v>
      </c>
      <c r="B125">
        <v>3</v>
      </c>
      <c r="C125" t="s">
        <v>56</v>
      </c>
      <c r="D125" t="s">
        <v>126</v>
      </c>
      <c r="E125" t="s">
        <v>131</v>
      </c>
      <c r="F125" t="s">
        <v>132</v>
      </c>
      <c r="G125" s="27">
        <v>73.599999999999994</v>
      </c>
      <c r="H125" s="27">
        <v>73.5</v>
      </c>
      <c r="I125" s="27">
        <v>71</v>
      </c>
      <c r="J125" s="27">
        <f>G125-H125</f>
        <v>9.9999999999994316E-2</v>
      </c>
      <c r="K125" s="27">
        <f>G125-I125</f>
        <v>2.5999999999999943</v>
      </c>
    </row>
    <row r="126" spans="1:11">
      <c r="A126" t="s">
        <v>150</v>
      </c>
      <c r="B126">
        <v>3</v>
      </c>
      <c r="C126" t="s">
        <v>56</v>
      </c>
      <c r="D126" t="s">
        <v>126</v>
      </c>
      <c r="E126" t="s">
        <v>133</v>
      </c>
      <c r="F126" t="s">
        <v>134</v>
      </c>
      <c r="G126" s="27">
        <v>18</v>
      </c>
      <c r="H126" s="27">
        <v>17.8</v>
      </c>
      <c r="I126" s="27">
        <v>17.2</v>
      </c>
      <c r="J126" s="27">
        <f>G126-H126</f>
        <v>0.19999999999999929</v>
      </c>
      <c r="K126" s="27">
        <f>G126-I126</f>
        <v>0.80000000000000071</v>
      </c>
    </row>
    <row r="127" spans="1:11">
      <c r="A127" t="s">
        <v>150</v>
      </c>
      <c r="B127">
        <v>3</v>
      </c>
      <c r="C127" t="s">
        <v>56</v>
      </c>
      <c r="D127" t="s">
        <v>126</v>
      </c>
      <c r="E127" t="s">
        <v>135</v>
      </c>
      <c r="F127" t="s">
        <v>136</v>
      </c>
      <c r="G127" s="27">
        <v>58.3</v>
      </c>
      <c r="H127" s="27">
        <v>56.9</v>
      </c>
      <c r="I127" s="27">
        <v>55</v>
      </c>
      <c r="J127" s="27">
        <f>G127-H127</f>
        <v>1.3999999999999986</v>
      </c>
      <c r="K127" s="27">
        <f>G127-I127</f>
        <v>3.2999999999999972</v>
      </c>
    </row>
    <row r="128" spans="1:11">
      <c r="A128" t="s">
        <v>150</v>
      </c>
      <c r="B128">
        <v>3</v>
      </c>
      <c r="C128" t="s">
        <v>57</v>
      </c>
      <c r="D128" t="s">
        <v>145</v>
      </c>
      <c r="E128" t="s">
        <v>105</v>
      </c>
      <c r="F128" t="s">
        <v>106</v>
      </c>
      <c r="G128" s="27">
        <v>346.8</v>
      </c>
      <c r="H128" s="27">
        <v>359.4</v>
      </c>
      <c r="I128" s="27">
        <v>347.1</v>
      </c>
      <c r="J128" s="27">
        <f>G128-H128</f>
        <v>-12.599999999999966</v>
      </c>
      <c r="K128" s="27">
        <f>G128-I128</f>
        <v>-0.30000000000001137</v>
      </c>
    </row>
    <row r="129" spans="1:11">
      <c r="A129" t="s">
        <v>150</v>
      </c>
      <c r="B129">
        <v>3</v>
      </c>
      <c r="C129" t="s">
        <v>57</v>
      </c>
      <c r="D129" t="s">
        <v>145</v>
      </c>
      <c r="E129" t="s">
        <v>107</v>
      </c>
      <c r="F129" t="s">
        <v>108</v>
      </c>
      <c r="G129" s="27">
        <v>33.200000000000003</v>
      </c>
      <c r="H129" s="27">
        <v>35.200000000000003</v>
      </c>
      <c r="I129" s="27">
        <v>34</v>
      </c>
      <c r="J129" s="27">
        <f>G129-H129</f>
        <v>-2</v>
      </c>
      <c r="K129" s="27">
        <f>G129-I129</f>
        <v>-0.79999999999999716</v>
      </c>
    </row>
    <row r="130" spans="1:11">
      <c r="A130" t="s">
        <v>150</v>
      </c>
      <c r="B130">
        <v>3</v>
      </c>
      <c r="C130" t="s">
        <v>57</v>
      </c>
      <c r="D130" t="s">
        <v>145</v>
      </c>
      <c r="E130" t="s">
        <v>109</v>
      </c>
      <c r="F130" t="s">
        <v>110</v>
      </c>
      <c r="G130" s="27">
        <v>23.4</v>
      </c>
      <c r="H130" s="27">
        <v>25.2</v>
      </c>
      <c r="I130" s="27">
        <v>24.4</v>
      </c>
      <c r="J130" s="27">
        <f>G130-H130</f>
        <v>-1.8000000000000007</v>
      </c>
      <c r="K130" s="27">
        <f>G130-I130</f>
        <v>-1</v>
      </c>
    </row>
    <row r="131" spans="1:11">
      <c r="A131" t="s">
        <v>150</v>
      </c>
      <c r="B131">
        <v>3</v>
      </c>
      <c r="C131" t="s">
        <v>57</v>
      </c>
      <c r="D131" t="s">
        <v>145</v>
      </c>
      <c r="E131" t="s">
        <v>111</v>
      </c>
      <c r="F131" t="s">
        <v>112</v>
      </c>
      <c r="G131" s="27">
        <v>219.8</v>
      </c>
      <c r="H131" s="27">
        <v>243.3</v>
      </c>
      <c r="I131" s="27">
        <v>235.1</v>
      </c>
      <c r="J131" s="27">
        <f>G131-H131</f>
        <v>-23.5</v>
      </c>
      <c r="K131" s="27">
        <f>G131-I131</f>
        <v>-15.299999999999983</v>
      </c>
    </row>
    <row r="132" spans="1:11">
      <c r="A132" t="s">
        <v>150</v>
      </c>
      <c r="B132">
        <v>3</v>
      </c>
      <c r="C132" t="s">
        <v>57</v>
      </c>
      <c r="D132" t="s">
        <v>145</v>
      </c>
      <c r="E132" t="s">
        <v>113</v>
      </c>
      <c r="F132" t="s">
        <v>114</v>
      </c>
      <c r="G132" s="27">
        <v>370.8</v>
      </c>
      <c r="H132" s="27">
        <v>372.6</v>
      </c>
      <c r="I132" s="27">
        <v>360</v>
      </c>
      <c r="J132" s="27">
        <f>G132-H132</f>
        <v>-1.8000000000000114</v>
      </c>
      <c r="K132" s="27">
        <f>G132-I132</f>
        <v>10.800000000000011</v>
      </c>
    </row>
    <row r="133" spans="1:11">
      <c r="A133" t="s">
        <v>150</v>
      </c>
      <c r="B133">
        <v>3</v>
      </c>
      <c r="C133" t="s">
        <v>57</v>
      </c>
      <c r="D133" t="s">
        <v>145</v>
      </c>
      <c r="E133" t="s">
        <v>115</v>
      </c>
      <c r="F133" t="s">
        <v>116</v>
      </c>
      <c r="G133" s="27">
        <v>67.8</v>
      </c>
      <c r="H133" s="27">
        <v>69.099999999999994</v>
      </c>
      <c r="I133" s="27">
        <v>66.8</v>
      </c>
      <c r="J133" s="27">
        <f>G133-H133</f>
        <v>-1.2999999999999972</v>
      </c>
      <c r="K133" s="27">
        <f>G133-I133</f>
        <v>1</v>
      </c>
    </row>
    <row r="134" spans="1:11">
      <c r="A134" t="s">
        <v>150</v>
      </c>
      <c r="B134">
        <v>3</v>
      </c>
      <c r="C134" t="s">
        <v>57</v>
      </c>
      <c r="D134" t="s">
        <v>146</v>
      </c>
      <c r="E134" t="s">
        <v>119</v>
      </c>
      <c r="F134" t="s">
        <v>120</v>
      </c>
      <c r="G134" s="27">
        <v>270</v>
      </c>
      <c r="H134" s="27">
        <v>300.3</v>
      </c>
      <c r="I134" s="27">
        <v>290.10000000000002</v>
      </c>
      <c r="J134" s="27">
        <f>G134-H134</f>
        <v>-30.300000000000011</v>
      </c>
      <c r="K134" s="27">
        <f>G134-I134</f>
        <v>-20.100000000000023</v>
      </c>
    </row>
    <row r="135" spans="1:11">
      <c r="A135" t="s">
        <v>150</v>
      </c>
      <c r="B135">
        <v>3</v>
      </c>
      <c r="C135" t="s">
        <v>57</v>
      </c>
      <c r="D135" t="s">
        <v>146</v>
      </c>
      <c r="E135" t="s">
        <v>121</v>
      </c>
      <c r="F135" t="s">
        <v>122</v>
      </c>
      <c r="G135" s="27">
        <v>48.6</v>
      </c>
      <c r="H135" s="27">
        <v>62.8</v>
      </c>
      <c r="I135" s="27">
        <v>60.7</v>
      </c>
      <c r="J135" s="27">
        <f>G135-H135</f>
        <v>-14.199999999999996</v>
      </c>
      <c r="K135" s="27">
        <f>G135-I135</f>
        <v>-12.100000000000001</v>
      </c>
    </row>
    <row r="136" spans="1:11">
      <c r="A136" t="s">
        <v>150</v>
      </c>
      <c r="B136">
        <v>3</v>
      </c>
      <c r="C136" t="s">
        <v>57</v>
      </c>
      <c r="D136" t="s">
        <v>146</v>
      </c>
      <c r="E136" t="s">
        <v>123</v>
      </c>
      <c r="F136" t="s">
        <v>124</v>
      </c>
      <c r="G136" s="27">
        <v>40.1</v>
      </c>
      <c r="H136" s="27">
        <v>42.2</v>
      </c>
      <c r="I136" s="27">
        <v>40.799999999999997</v>
      </c>
      <c r="J136" s="27">
        <f>G136-H136</f>
        <v>-2.1000000000000014</v>
      </c>
      <c r="K136" s="27">
        <f>G136-I136</f>
        <v>-0.69999999999999574</v>
      </c>
    </row>
    <row r="137" spans="1:11">
      <c r="A137" t="s">
        <v>150</v>
      </c>
      <c r="B137">
        <v>3</v>
      </c>
      <c r="C137" t="s">
        <v>57</v>
      </c>
      <c r="D137" t="s">
        <v>126</v>
      </c>
      <c r="E137" t="s">
        <v>127</v>
      </c>
      <c r="F137" t="s">
        <v>128</v>
      </c>
      <c r="G137" s="27">
        <v>307</v>
      </c>
      <c r="H137" s="27">
        <v>310.5</v>
      </c>
      <c r="I137" s="27">
        <v>299.89999999999998</v>
      </c>
      <c r="J137" s="27">
        <f>G137-H137</f>
        <v>-3.5</v>
      </c>
      <c r="K137" s="27">
        <f>G137-I137</f>
        <v>7.1000000000000227</v>
      </c>
    </row>
    <row r="138" spans="1:11">
      <c r="A138" t="s">
        <v>150</v>
      </c>
      <c r="B138">
        <v>3</v>
      </c>
      <c r="C138" t="s">
        <v>57</v>
      </c>
      <c r="D138" t="s">
        <v>126</v>
      </c>
      <c r="E138" t="s">
        <v>129</v>
      </c>
      <c r="F138" t="s">
        <v>130</v>
      </c>
      <c r="G138" s="27">
        <v>35.5</v>
      </c>
      <c r="H138" s="27">
        <v>36.1</v>
      </c>
      <c r="I138" s="27">
        <v>34.9</v>
      </c>
      <c r="J138" s="27">
        <f>G138-H138</f>
        <v>-0.60000000000000142</v>
      </c>
      <c r="K138" s="27">
        <f>G138-I138</f>
        <v>0.60000000000000142</v>
      </c>
    </row>
    <row r="139" spans="1:11">
      <c r="A139" t="s">
        <v>150</v>
      </c>
      <c r="B139">
        <v>3</v>
      </c>
      <c r="C139" t="s">
        <v>57</v>
      </c>
      <c r="D139" t="s">
        <v>126</v>
      </c>
      <c r="E139" t="s">
        <v>131</v>
      </c>
      <c r="F139" t="s">
        <v>132</v>
      </c>
      <c r="G139" s="27">
        <v>52.6</v>
      </c>
      <c r="H139" s="27">
        <v>52.1</v>
      </c>
      <c r="I139" s="27">
        <v>50.4</v>
      </c>
      <c r="J139" s="27">
        <f>G139-H139</f>
        <v>0.5</v>
      </c>
      <c r="K139" s="27">
        <f>G139-I139</f>
        <v>2.2000000000000028</v>
      </c>
    </row>
    <row r="140" spans="1:11">
      <c r="A140" t="s">
        <v>150</v>
      </c>
      <c r="B140">
        <v>3</v>
      </c>
      <c r="C140" t="s">
        <v>57</v>
      </c>
      <c r="D140" t="s">
        <v>126</v>
      </c>
      <c r="E140" t="s">
        <v>133</v>
      </c>
      <c r="F140" t="s">
        <v>134</v>
      </c>
      <c r="G140" s="27">
        <v>11.3</v>
      </c>
      <c r="H140" s="27">
        <v>12</v>
      </c>
      <c r="I140" s="27">
        <v>11.6</v>
      </c>
      <c r="J140" s="27">
        <f>G140-H140</f>
        <v>-0.69999999999999929</v>
      </c>
      <c r="K140" s="27">
        <f>G140-I140</f>
        <v>-0.29999999999999893</v>
      </c>
    </row>
    <row r="141" spans="1:11">
      <c r="A141" t="s">
        <v>150</v>
      </c>
      <c r="B141">
        <v>3</v>
      </c>
      <c r="C141" t="s">
        <v>57</v>
      </c>
      <c r="D141" t="s">
        <v>126</v>
      </c>
      <c r="E141" t="s">
        <v>135</v>
      </c>
      <c r="F141" t="s">
        <v>136</v>
      </c>
      <c r="G141" s="27">
        <v>42.4</v>
      </c>
      <c r="H141" s="27">
        <v>41.4</v>
      </c>
      <c r="I141" s="27">
        <v>40</v>
      </c>
      <c r="J141" s="27">
        <f>G141-H141</f>
        <v>1</v>
      </c>
      <c r="K141" s="27">
        <f>G141-I141</f>
        <v>2.3999999999999986</v>
      </c>
    </row>
    <row r="142" spans="1:11">
      <c r="A142" t="s">
        <v>150</v>
      </c>
      <c r="B142">
        <v>3</v>
      </c>
      <c r="C142" t="s">
        <v>58</v>
      </c>
      <c r="D142" t="s">
        <v>145</v>
      </c>
      <c r="E142" t="s">
        <v>105</v>
      </c>
      <c r="F142" t="s">
        <v>106</v>
      </c>
      <c r="G142" s="27">
        <v>344.4</v>
      </c>
      <c r="H142" s="27">
        <v>354</v>
      </c>
      <c r="I142" s="27">
        <v>342.1</v>
      </c>
      <c r="J142" s="27">
        <f>G142-H142</f>
        <v>-9.6000000000000227</v>
      </c>
      <c r="K142" s="27">
        <f>G142-I142</f>
        <v>2.2999999999999545</v>
      </c>
    </row>
    <row r="143" spans="1:11">
      <c r="A143" t="s">
        <v>150</v>
      </c>
      <c r="B143">
        <v>3</v>
      </c>
      <c r="C143" t="s">
        <v>58</v>
      </c>
      <c r="D143" t="s">
        <v>145</v>
      </c>
      <c r="E143" t="s">
        <v>107</v>
      </c>
      <c r="F143" t="s">
        <v>108</v>
      </c>
      <c r="G143" s="27">
        <v>34.200000000000003</v>
      </c>
      <c r="H143" s="27">
        <v>33.799999999999997</v>
      </c>
      <c r="I143" s="27">
        <v>32.6</v>
      </c>
      <c r="J143" s="27">
        <f>G143-H143</f>
        <v>0.40000000000000568</v>
      </c>
      <c r="K143" s="27">
        <f>G143-I143</f>
        <v>1.6000000000000014</v>
      </c>
    </row>
    <row r="144" spans="1:11">
      <c r="A144" t="s">
        <v>150</v>
      </c>
      <c r="B144">
        <v>3</v>
      </c>
      <c r="C144" t="s">
        <v>58</v>
      </c>
      <c r="D144" t="s">
        <v>145</v>
      </c>
      <c r="E144" t="s">
        <v>109</v>
      </c>
      <c r="F144" t="s">
        <v>110</v>
      </c>
      <c r="G144" s="27">
        <v>24.4</v>
      </c>
      <c r="H144" s="27">
        <v>24.1</v>
      </c>
      <c r="I144" s="27">
        <v>23.3</v>
      </c>
      <c r="J144" s="27">
        <f>G144-H144</f>
        <v>0.29999999999999716</v>
      </c>
      <c r="K144" s="27">
        <f>G144-I144</f>
        <v>1.0999999999999979</v>
      </c>
    </row>
    <row r="145" spans="1:11">
      <c r="A145" t="s">
        <v>150</v>
      </c>
      <c r="B145">
        <v>3</v>
      </c>
      <c r="C145" t="s">
        <v>58</v>
      </c>
      <c r="D145" t="s">
        <v>145</v>
      </c>
      <c r="E145" t="s">
        <v>111</v>
      </c>
      <c r="F145" t="s">
        <v>112</v>
      </c>
      <c r="G145" s="27">
        <v>224.4</v>
      </c>
      <c r="H145" s="27">
        <v>235.8</v>
      </c>
      <c r="I145" s="27">
        <v>227.8</v>
      </c>
      <c r="J145" s="27">
        <f>G145-H145</f>
        <v>-11.400000000000006</v>
      </c>
      <c r="K145" s="27">
        <f>G145-I145</f>
        <v>-3.4000000000000057</v>
      </c>
    </row>
    <row r="146" spans="1:11">
      <c r="A146" t="s">
        <v>150</v>
      </c>
      <c r="B146">
        <v>3</v>
      </c>
      <c r="C146" t="s">
        <v>58</v>
      </c>
      <c r="D146" t="s">
        <v>145</v>
      </c>
      <c r="E146" t="s">
        <v>113</v>
      </c>
      <c r="F146" t="s">
        <v>114</v>
      </c>
      <c r="G146" s="27">
        <v>339.9</v>
      </c>
      <c r="H146" s="27">
        <v>341.5</v>
      </c>
      <c r="I146" s="27">
        <v>330</v>
      </c>
      <c r="J146" s="27">
        <f>G146-H146</f>
        <v>-1.6000000000000227</v>
      </c>
      <c r="K146" s="27">
        <f>G146-I146</f>
        <v>9.8999999999999773</v>
      </c>
    </row>
    <row r="147" spans="1:11">
      <c r="A147" t="s">
        <v>150</v>
      </c>
      <c r="B147">
        <v>3</v>
      </c>
      <c r="C147" t="s">
        <v>58</v>
      </c>
      <c r="D147" t="s">
        <v>145</v>
      </c>
      <c r="E147" t="s">
        <v>115</v>
      </c>
      <c r="F147" t="s">
        <v>116</v>
      </c>
      <c r="G147" s="27">
        <v>63.2</v>
      </c>
      <c r="H147" s="27">
        <v>63.4</v>
      </c>
      <c r="I147" s="27">
        <v>61.2</v>
      </c>
      <c r="J147" s="27">
        <f>G147-H147</f>
        <v>-0.19999999999999574</v>
      </c>
      <c r="K147" s="27">
        <f>G147-I147</f>
        <v>2</v>
      </c>
    </row>
    <row r="148" spans="1:11">
      <c r="A148" t="s">
        <v>150</v>
      </c>
      <c r="B148">
        <v>3</v>
      </c>
      <c r="C148" t="s">
        <v>58</v>
      </c>
      <c r="D148" t="s">
        <v>146</v>
      </c>
      <c r="E148" t="s">
        <v>119</v>
      </c>
      <c r="F148" t="s">
        <v>120</v>
      </c>
      <c r="G148" s="27">
        <v>279</v>
      </c>
      <c r="H148" s="27">
        <v>283.89999999999998</v>
      </c>
      <c r="I148" s="27">
        <v>274.39999999999998</v>
      </c>
      <c r="J148" s="27">
        <f>G148-H148</f>
        <v>-4.8999999999999773</v>
      </c>
      <c r="K148" s="27">
        <f>G148-I148</f>
        <v>4.6000000000000227</v>
      </c>
    </row>
    <row r="149" spans="1:11">
      <c r="A149" t="s">
        <v>150</v>
      </c>
      <c r="B149">
        <v>3</v>
      </c>
      <c r="C149" t="s">
        <v>58</v>
      </c>
      <c r="D149" t="s">
        <v>146</v>
      </c>
      <c r="E149" t="s">
        <v>121</v>
      </c>
      <c r="F149" t="s">
        <v>122</v>
      </c>
      <c r="G149" s="27">
        <v>45.4</v>
      </c>
      <c r="H149" s="27">
        <v>57.5</v>
      </c>
      <c r="I149" s="27">
        <v>55.5</v>
      </c>
      <c r="J149" s="27">
        <f>G149-H149</f>
        <v>-12.100000000000001</v>
      </c>
      <c r="K149" s="27">
        <f>G149-I149</f>
        <v>-10.100000000000001</v>
      </c>
    </row>
    <row r="150" spans="1:11">
      <c r="A150" t="s">
        <v>150</v>
      </c>
      <c r="B150">
        <v>3</v>
      </c>
      <c r="C150" t="s">
        <v>58</v>
      </c>
      <c r="D150" t="s">
        <v>146</v>
      </c>
      <c r="E150" t="s">
        <v>123</v>
      </c>
      <c r="F150" t="s">
        <v>124</v>
      </c>
      <c r="G150" s="27">
        <v>35.9</v>
      </c>
      <c r="H150" s="27">
        <v>36.9</v>
      </c>
      <c r="I150" s="27">
        <v>35.6</v>
      </c>
      <c r="J150" s="27">
        <f>G150-H150</f>
        <v>-1</v>
      </c>
      <c r="K150" s="27">
        <f>G150-I150</f>
        <v>0.29999999999999716</v>
      </c>
    </row>
    <row r="151" spans="1:11">
      <c r="A151" t="s">
        <v>150</v>
      </c>
      <c r="B151">
        <v>3</v>
      </c>
      <c r="C151" t="s">
        <v>58</v>
      </c>
      <c r="D151" t="s">
        <v>126</v>
      </c>
      <c r="E151" t="s">
        <v>127</v>
      </c>
      <c r="F151" t="s">
        <v>128</v>
      </c>
      <c r="G151" s="27">
        <v>289.39999999999998</v>
      </c>
      <c r="H151" s="27">
        <v>288.7</v>
      </c>
      <c r="I151" s="27">
        <v>279.10000000000002</v>
      </c>
      <c r="J151" s="27">
        <f>G151-H151</f>
        <v>0.69999999999998863</v>
      </c>
      <c r="K151" s="27">
        <f>G151-I151</f>
        <v>10.299999999999955</v>
      </c>
    </row>
    <row r="152" spans="1:11">
      <c r="A152" t="s">
        <v>150</v>
      </c>
      <c r="B152">
        <v>3</v>
      </c>
      <c r="C152" t="s">
        <v>58</v>
      </c>
      <c r="D152" t="s">
        <v>126</v>
      </c>
      <c r="E152" t="s">
        <v>129</v>
      </c>
      <c r="F152" t="s">
        <v>130</v>
      </c>
      <c r="G152" s="27">
        <v>31.5</v>
      </c>
      <c r="H152" s="27">
        <v>31.3</v>
      </c>
      <c r="I152" s="27">
        <v>30.2</v>
      </c>
      <c r="J152" s="27">
        <f>G152-H152</f>
        <v>0.19999999999999929</v>
      </c>
      <c r="K152" s="27">
        <f>G152-I152</f>
        <v>1.3000000000000007</v>
      </c>
    </row>
    <row r="153" spans="1:11">
      <c r="A153" t="s">
        <v>150</v>
      </c>
      <c r="B153">
        <v>3</v>
      </c>
      <c r="C153" t="s">
        <v>58</v>
      </c>
      <c r="D153" t="s">
        <v>126</v>
      </c>
      <c r="E153" t="s">
        <v>131</v>
      </c>
      <c r="F153" t="s">
        <v>132</v>
      </c>
      <c r="G153" s="27">
        <v>47.2</v>
      </c>
      <c r="H153" s="27">
        <v>47.4</v>
      </c>
      <c r="I153" s="27">
        <v>45.8</v>
      </c>
      <c r="J153" s="27">
        <f>G153-H153</f>
        <v>-0.19999999999999574</v>
      </c>
      <c r="K153" s="27">
        <f>G153-I153</f>
        <v>1.4000000000000057</v>
      </c>
    </row>
    <row r="154" spans="1:11">
      <c r="A154" t="s">
        <v>150</v>
      </c>
      <c r="B154">
        <v>3</v>
      </c>
      <c r="C154" t="s">
        <v>58</v>
      </c>
      <c r="D154" t="s">
        <v>126</v>
      </c>
      <c r="E154" t="s">
        <v>133</v>
      </c>
      <c r="F154" t="s">
        <v>134</v>
      </c>
      <c r="G154" s="27">
        <v>11.7</v>
      </c>
      <c r="H154" s="27">
        <v>12</v>
      </c>
      <c r="I154" s="27">
        <v>11.5</v>
      </c>
      <c r="J154" s="27">
        <f>G154-H154</f>
        <v>-0.30000000000000071</v>
      </c>
      <c r="K154" s="27">
        <f>G154-I154</f>
        <v>0.19999999999999929</v>
      </c>
    </row>
    <row r="155" spans="1:11">
      <c r="A155" t="s">
        <v>150</v>
      </c>
      <c r="B155">
        <v>3</v>
      </c>
      <c r="C155" t="s">
        <v>58</v>
      </c>
      <c r="D155" t="s">
        <v>126</v>
      </c>
      <c r="E155" t="s">
        <v>135</v>
      </c>
      <c r="F155" t="s">
        <v>136</v>
      </c>
      <c r="G155" s="27">
        <v>40.299999999999997</v>
      </c>
      <c r="H155" s="27">
        <v>39.299999999999997</v>
      </c>
      <c r="I155" s="27">
        <v>38</v>
      </c>
      <c r="J155" s="27">
        <f>G155-H155</f>
        <v>1</v>
      </c>
      <c r="K155" s="27">
        <f>G155-I155</f>
        <v>2.2999999999999972</v>
      </c>
    </row>
    <row r="156" spans="1:11">
      <c r="A156" t="s">
        <v>150</v>
      </c>
      <c r="B156">
        <v>3</v>
      </c>
      <c r="C156" t="s">
        <v>59</v>
      </c>
      <c r="D156" t="s">
        <v>145</v>
      </c>
      <c r="E156" t="s">
        <v>105</v>
      </c>
      <c r="F156" t="s">
        <v>106</v>
      </c>
      <c r="G156" s="27">
        <v>221</v>
      </c>
      <c r="H156" s="27">
        <v>219.5</v>
      </c>
      <c r="I156" s="27">
        <v>212</v>
      </c>
      <c r="J156" s="27">
        <f>G156-H156</f>
        <v>1.5</v>
      </c>
      <c r="K156" s="27">
        <f>G156-I156</f>
        <v>9</v>
      </c>
    </row>
    <row r="157" spans="1:11">
      <c r="A157" t="s">
        <v>150</v>
      </c>
      <c r="B157">
        <v>3</v>
      </c>
      <c r="C157" t="s">
        <v>59</v>
      </c>
      <c r="D157" t="s">
        <v>145</v>
      </c>
      <c r="E157" t="s">
        <v>107</v>
      </c>
      <c r="F157" t="s">
        <v>108</v>
      </c>
      <c r="G157" s="27">
        <v>21.6</v>
      </c>
      <c r="H157" s="27">
        <v>21.3</v>
      </c>
      <c r="I157" s="27">
        <v>20.6</v>
      </c>
      <c r="J157" s="27">
        <f>G157-H157</f>
        <v>0.30000000000000071</v>
      </c>
      <c r="K157" s="27">
        <f>G157-I157</f>
        <v>1</v>
      </c>
    </row>
    <row r="158" spans="1:11">
      <c r="A158" t="s">
        <v>150</v>
      </c>
      <c r="B158">
        <v>3</v>
      </c>
      <c r="C158" t="s">
        <v>59</v>
      </c>
      <c r="D158" t="s">
        <v>145</v>
      </c>
      <c r="E158" t="s">
        <v>109</v>
      </c>
      <c r="F158" t="s">
        <v>110</v>
      </c>
      <c r="G158" s="27">
        <v>15.2</v>
      </c>
      <c r="H158" s="27">
        <v>15.3</v>
      </c>
      <c r="I158" s="27">
        <v>14.8</v>
      </c>
      <c r="J158" s="27">
        <f>G158-H158</f>
        <v>-0.10000000000000142</v>
      </c>
      <c r="K158" s="27">
        <f>G158-I158</f>
        <v>0.39999999999999858</v>
      </c>
    </row>
    <row r="159" spans="1:11">
      <c r="A159" t="s">
        <v>150</v>
      </c>
      <c r="B159">
        <v>3</v>
      </c>
      <c r="C159" t="s">
        <v>59</v>
      </c>
      <c r="D159" t="s">
        <v>145</v>
      </c>
      <c r="E159" t="s">
        <v>111</v>
      </c>
      <c r="F159" t="s">
        <v>112</v>
      </c>
      <c r="G159" s="27">
        <v>141.4</v>
      </c>
      <c r="H159" s="27">
        <v>148.69999999999999</v>
      </c>
      <c r="I159" s="27">
        <v>143.69999999999999</v>
      </c>
      <c r="J159" s="27">
        <f>G159-H159</f>
        <v>-7.2999999999999829</v>
      </c>
      <c r="K159" s="27">
        <f>G159-I159</f>
        <v>-2.2999999999999829</v>
      </c>
    </row>
    <row r="160" spans="1:11">
      <c r="A160" t="s">
        <v>150</v>
      </c>
      <c r="B160">
        <v>3</v>
      </c>
      <c r="C160" t="s">
        <v>59</v>
      </c>
      <c r="D160" t="s">
        <v>145</v>
      </c>
      <c r="E160" t="s">
        <v>113</v>
      </c>
      <c r="F160" t="s">
        <v>114</v>
      </c>
      <c r="G160" s="27">
        <v>247.2</v>
      </c>
      <c r="H160" s="27">
        <v>248.4</v>
      </c>
      <c r="I160" s="27">
        <v>240</v>
      </c>
      <c r="J160" s="27">
        <f>G160-H160</f>
        <v>-1.2000000000000171</v>
      </c>
      <c r="K160" s="27">
        <f>G160-I160</f>
        <v>7.1999999999999886</v>
      </c>
    </row>
    <row r="161" spans="1:11">
      <c r="A161" t="s">
        <v>150</v>
      </c>
      <c r="B161">
        <v>3</v>
      </c>
      <c r="C161" t="s">
        <v>59</v>
      </c>
      <c r="D161" t="s">
        <v>145</v>
      </c>
      <c r="E161" t="s">
        <v>115</v>
      </c>
      <c r="F161" t="s">
        <v>116</v>
      </c>
      <c r="G161" s="27">
        <v>47.6</v>
      </c>
      <c r="H161" s="27">
        <v>47.5</v>
      </c>
      <c r="I161" s="27">
        <v>45.9</v>
      </c>
      <c r="J161" s="27">
        <f>G161-H161</f>
        <v>0.10000000000000142</v>
      </c>
      <c r="K161" s="27">
        <f>G161-I161</f>
        <v>1.7000000000000028</v>
      </c>
    </row>
    <row r="162" spans="1:11">
      <c r="A162" t="s">
        <v>150</v>
      </c>
      <c r="B162">
        <v>3</v>
      </c>
      <c r="C162" t="s">
        <v>59</v>
      </c>
      <c r="D162" t="s">
        <v>146</v>
      </c>
      <c r="E162" t="s">
        <v>119</v>
      </c>
      <c r="F162" t="s">
        <v>120</v>
      </c>
      <c r="G162" s="27">
        <v>175.1</v>
      </c>
      <c r="H162" s="27">
        <v>180.9</v>
      </c>
      <c r="I162" s="27">
        <v>174.7</v>
      </c>
      <c r="J162" s="27">
        <f>G162-H162</f>
        <v>-5.8000000000000114</v>
      </c>
      <c r="K162" s="27">
        <f>G162-I162</f>
        <v>0.40000000000000568</v>
      </c>
    </row>
    <row r="163" spans="1:11">
      <c r="A163" t="s">
        <v>150</v>
      </c>
      <c r="B163">
        <v>3</v>
      </c>
      <c r="C163" t="s">
        <v>59</v>
      </c>
      <c r="D163" t="s">
        <v>146</v>
      </c>
      <c r="E163" t="s">
        <v>121</v>
      </c>
      <c r="F163" t="s">
        <v>122</v>
      </c>
      <c r="G163" s="27">
        <v>33.1</v>
      </c>
      <c r="H163" s="27">
        <v>41.3</v>
      </c>
      <c r="I163" s="27">
        <v>39.9</v>
      </c>
      <c r="J163" s="27">
        <f>G163-H163</f>
        <v>-8.1999999999999957</v>
      </c>
      <c r="K163" s="27">
        <f>G163-I163</f>
        <v>-6.7999999999999972</v>
      </c>
    </row>
    <row r="164" spans="1:11">
      <c r="A164" t="s">
        <v>150</v>
      </c>
      <c r="B164">
        <v>3</v>
      </c>
      <c r="C164" t="s">
        <v>59</v>
      </c>
      <c r="D164" t="s">
        <v>146</v>
      </c>
      <c r="E164" t="s">
        <v>123</v>
      </c>
      <c r="F164" t="s">
        <v>124</v>
      </c>
      <c r="G164" s="27">
        <v>45.1</v>
      </c>
      <c r="H164" s="27">
        <v>46</v>
      </c>
      <c r="I164" s="27">
        <v>44.5</v>
      </c>
      <c r="J164" s="27">
        <f>G164-H164</f>
        <v>-0.89999999999999858</v>
      </c>
      <c r="K164" s="27">
        <f>G164-I164</f>
        <v>0.60000000000000142</v>
      </c>
    </row>
    <row r="165" spans="1:11">
      <c r="A165" t="s">
        <v>150</v>
      </c>
      <c r="B165">
        <v>3</v>
      </c>
      <c r="C165" t="s">
        <v>59</v>
      </c>
      <c r="D165" t="s">
        <v>126</v>
      </c>
      <c r="E165" t="s">
        <v>127</v>
      </c>
      <c r="F165" t="s">
        <v>128</v>
      </c>
      <c r="G165" s="27">
        <v>206.5</v>
      </c>
      <c r="H165" s="27">
        <v>209.5</v>
      </c>
      <c r="I165" s="27">
        <v>202.3</v>
      </c>
      <c r="J165" s="27">
        <f>G165-H165</f>
        <v>-3</v>
      </c>
      <c r="K165" s="27">
        <f>G165-I165</f>
        <v>4.1999999999999886</v>
      </c>
    </row>
    <row r="166" spans="1:11">
      <c r="A166" t="s">
        <v>150</v>
      </c>
      <c r="B166">
        <v>3</v>
      </c>
      <c r="C166" t="s">
        <v>59</v>
      </c>
      <c r="D166" t="s">
        <v>126</v>
      </c>
      <c r="E166" t="s">
        <v>129</v>
      </c>
      <c r="F166" t="s">
        <v>130</v>
      </c>
      <c r="G166" s="27">
        <v>26.2</v>
      </c>
      <c r="H166" s="27">
        <v>26.3</v>
      </c>
      <c r="I166" s="27">
        <v>25.5</v>
      </c>
      <c r="J166" s="27">
        <f>G166-H166</f>
        <v>-0.10000000000000142</v>
      </c>
      <c r="K166" s="27">
        <f>G166-I166</f>
        <v>0.69999999999999929</v>
      </c>
    </row>
    <row r="167" spans="1:11">
      <c r="A167" t="s">
        <v>150</v>
      </c>
      <c r="B167">
        <v>3</v>
      </c>
      <c r="C167" t="s">
        <v>59</v>
      </c>
      <c r="D167" t="s">
        <v>126</v>
      </c>
      <c r="E167" t="s">
        <v>131</v>
      </c>
      <c r="F167" t="s">
        <v>132</v>
      </c>
      <c r="G167" s="27">
        <v>35.9</v>
      </c>
      <c r="H167" s="27">
        <v>36.1</v>
      </c>
      <c r="I167" s="27">
        <v>34.9</v>
      </c>
      <c r="J167" s="27">
        <f>G167-H167</f>
        <v>-0.20000000000000284</v>
      </c>
      <c r="K167" s="27">
        <f>G167-I167</f>
        <v>1</v>
      </c>
    </row>
    <row r="168" spans="1:11">
      <c r="A168" t="s">
        <v>150</v>
      </c>
      <c r="B168">
        <v>3</v>
      </c>
      <c r="C168" t="s">
        <v>59</v>
      </c>
      <c r="D168" t="s">
        <v>126</v>
      </c>
      <c r="E168" t="s">
        <v>133</v>
      </c>
      <c r="F168" t="s">
        <v>134</v>
      </c>
      <c r="G168" s="27">
        <v>7.2</v>
      </c>
      <c r="H168" s="27">
        <v>7.5</v>
      </c>
      <c r="I168" s="27">
        <v>7.3</v>
      </c>
      <c r="J168" s="27">
        <f>G168-H168</f>
        <v>-0.29999999999999982</v>
      </c>
      <c r="K168" s="27">
        <f>G168-I168</f>
        <v>-9.9999999999999645E-2</v>
      </c>
    </row>
    <row r="169" spans="1:11">
      <c r="A169" t="s">
        <v>150</v>
      </c>
      <c r="B169">
        <v>3</v>
      </c>
      <c r="C169" t="s">
        <v>59</v>
      </c>
      <c r="D169" t="s">
        <v>126</v>
      </c>
      <c r="E169" t="s">
        <v>135</v>
      </c>
      <c r="F169" t="s">
        <v>136</v>
      </c>
      <c r="G169" s="27">
        <v>29.7</v>
      </c>
      <c r="H169" s="27">
        <v>29</v>
      </c>
      <c r="I169" s="27">
        <v>28</v>
      </c>
      <c r="J169" s="27">
        <f>G169-H169</f>
        <v>0.69999999999999929</v>
      </c>
      <c r="K169" s="27">
        <f>G169-I169</f>
        <v>1.6999999999999993</v>
      </c>
    </row>
    <row r="170" spans="1:11">
      <c r="A170" t="s">
        <v>151</v>
      </c>
      <c r="B170">
        <v>4</v>
      </c>
      <c r="C170" t="s">
        <v>56</v>
      </c>
      <c r="D170" t="s">
        <v>145</v>
      </c>
      <c r="E170" t="s">
        <v>105</v>
      </c>
      <c r="F170" t="s">
        <v>106</v>
      </c>
      <c r="G170" s="27">
        <v>529.70000000000005</v>
      </c>
      <c r="H170" s="27">
        <v>529.4</v>
      </c>
      <c r="I170" s="27">
        <v>511.5</v>
      </c>
      <c r="J170" s="27">
        <f>G170-H170</f>
        <v>0.30000000000006821</v>
      </c>
      <c r="K170" s="27">
        <f>G170-I170</f>
        <v>18.200000000000045</v>
      </c>
    </row>
    <row r="171" spans="1:11">
      <c r="A171" t="s">
        <v>151</v>
      </c>
      <c r="B171">
        <v>4</v>
      </c>
      <c r="C171" t="s">
        <v>56</v>
      </c>
      <c r="D171" t="s">
        <v>145</v>
      </c>
      <c r="E171" t="s">
        <v>107</v>
      </c>
      <c r="F171" t="s">
        <v>108</v>
      </c>
      <c r="G171" s="27">
        <v>51.5</v>
      </c>
      <c r="H171" s="27">
        <v>52.5</v>
      </c>
      <c r="I171" s="27">
        <v>50.7</v>
      </c>
      <c r="J171" s="27">
        <f>G171-H171</f>
        <v>-1</v>
      </c>
      <c r="K171" s="27">
        <f>G171-I171</f>
        <v>0.79999999999999716</v>
      </c>
    </row>
    <row r="172" spans="1:11">
      <c r="A172" t="s">
        <v>151</v>
      </c>
      <c r="B172">
        <v>4</v>
      </c>
      <c r="C172" t="s">
        <v>56</v>
      </c>
      <c r="D172" t="s">
        <v>145</v>
      </c>
      <c r="E172" t="s">
        <v>109</v>
      </c>
      <c r="F172" t="s">
        <v>110</v>
      </c>
      <c r="G172" s="27">
        <v>37</v>
      </c>
      <c r="H172" s="27">
        <v>37.700000000000003</v>
      </c>
      <c r="I172" s="27">
        <v>36.4</v>
      </c>
      <c r="J172" s="27">
        <f>G172-H172</f>
        <v>-0.70000000000000284</v>
      </c>
      <c r="K172" s="27">
        <f>G172-I172</f>
        <v>0.60000000000000142</v>
      </c>
    </row>
    <row r="173" spans="1:11">
      <c r="A173" t="s">
        <v>151</v>
      </c>
      <c r="B173">
        <v>4</v>
      </c>
      <c r="C173" t="s">
        <v>56</v>
      </c>
      <c r="D173" t="s">
        <v>145</v>
      </c>
      <c r="E173" t="s">
        <v>111</v>
      </c>
      <c r="F173" t="s">
        <v>112</v>
      </c>
      <c r="G173" s="27">
        <v>334.4</v>
      </c>
      <c r="H173" s="27">
        <v>358</v>
      </c>
      <c r="I173" s="27">
        <v>345.9</v>
      </c>
      <c r="J173" s="27">
        <f>G173-H173</f>
        <v>-23.600000000000023</v>
      </c>
      <c r="K173" s="27">
        <f>G173-I173</f>
        <v>-11.5</v>
      </c>
    </row>
    <row r="174" spans="1:11">
      <c r="A174" t="s">
        <v>151</v>
      </c>
      <c r="B174">
        <v>4</v>
      </c>
      <c r="C174" t="s">
        <v>56</v>
      </c>
      <c r="D174" t="s">
        <v>145</v>
      </c>
      <c r="E174" t="s">
        <v>113</v>
      </c>
      <c r="F174" t="s">
        <v>114</v>
      </c>
      <c r="G174" s="27">
        <v>535.6</v>
      </c>
      <c r="H174" s="27">
        <v>538.20000000000005</v>
      </c>
      <c r="I174" s="27">
        <v>520</v>
      </c>
      <c r="J174" s="27">
        <f>G174-H174</f>
        <v>-2.6000000000000227</v>
      </c>
      <c r="K174" s="27">
        <f>G174-I174</f>
        <v>15.600000000000023</v>
      </c>
    </row>
    <row r="175" spans="1:11">
      <c r="A175" t="s">
        <v>151</v>
      </c>
      <c r="B175">
        <v>4</v>
      </c>
      <c r="C175" t="s">
        <v>56</v>
      </c>
      <c r="D175" t="s">
        <v>145</v>
      </c>
      <c r="E175" t="s">
        <v>115</v>
      </c>
      <c r="F175" t="s">
        <v>116</v>
      </c>
      <c r="G175" s="27">
        <v>93.1</v>
      </c>
      <c r="H175" s="27">
        <v>92.1</v>
      </c>
      <c r="I175" s="27">
        <v>89</v>
      </c>
      <c r="J175" s="27">
        <f>G175-H175</f>
        <v>1</v>
      </c>
      <c r="K175" s="27">
        <f>G175-I175</f>
        <v>4.0999999999999943</v>
      </c>
    </row>
    <row r="176" spans="1:11">
      <c r="A176" t="s">
        <v>151</v>
      </c>
      <c r="B176">
        <v>4</v>
      </c>
      <c r="C176" t="s">
        <v>56</v>
      </c>
      <c r="D176" t="s">
        <v>146</v>
      </c>
      <c r="E176" t="s">
        <v>119</v>
      </c>
      <c r="F176" t="s">
        <v>120</v>
      </c>
      <c r="G176" s="27">
        <v>420</v>
      </c>
      <c r="H176" s="27">
        <v>424.7</v>
      </c>
      <c r="I176" s="27">
        <v>410.3</v>
      </c>
      <c r="J176" s="27">
        <f>G176-H176</f>
        <v>-4.6999999999999886</v>
      </c>
      <c r="K176" s="27">
        <f>G176-I176</f>
        <v>9.6999999999999886</v>
      </c>
    </row>
    <row r="177" spans="1:11">
      <c r="A177" t="s">
        <v>151</v>
      </c>
      <c r="B177">
        <v>4</v>
      </c>
      <c r="C177" t="s">
        <v>56</v>
      </c>
      <c r="D177" t="s">
        <v>146</v>
      </c>
      <c r="E177" t="s">
        <v>121</v>
      </c>
      <c r="F177" t="s">
        <v>122</v>
      </c>
      <c r="G177" s="27">
        <v>70.5</v>
      </c>
      <c r="H177" s="27">
        <v>86.5</v>
      </c>
      <c r="I177" s="27">
        <v>83.6</v>
      </c>
      <c r="J177" s="27">
        <f>G177-H177</f>
        <v>-16</v>
      </c>
      <c r="K177" s="27">
        <f>G177-I177</f>
        <v>-13.099999999999994</v>
      </c>
    </row>
    <row r="178" spans="1:11">
      <c r="A178" t="s">
        <v>151</v>
      </c>
      <c r="B178">
        <v>4</v>
      </c>
      <c r="C178" t="s">
        <v>56</v>
      </c>
      <c r="D178" t="s">
        <v>146</v>
      </c>
      <c r="E178" t="s">
        <v>123</v>
      </c>
      <c r="F178" t="s">
        <v>124</v>
      </c>
      <c r="G178" s="27">
        <v>61.8</v>
      </c>
      <c r="H178" s="27">
        <v>62.9</v>
      </c>
      <c r="I178" s="27">
        <v>60.8</v>
      </c>
      <c r="J178" s="27">
        <f>G178-H178</f>
        <v>-1.1000000000000014</v>
      </c>
      <c r="K178" s="27">
        <f>G178-I178</f>
        <v>1</v>
      </c>
    </row>
    <row r="179" spans="1:11">
      <c r="A179" t="s">
        <v>151</v>
      </c>
      <c r="B179">
        <v>4</v>
      </c>
      <c r="C179" t="s">
        <v>56</v>
      </c>
      <c r="D179" t="s">
        <v>126</v>
      </c>
      <c r="E179" t="s">
        <v>127</v>
      </c>
      <c r="F179" t="s">
        <v>128</v>
      </c>
      <c r="G179" s="27">
        <v>428.1</v>
      </c>
      <c r="H179" s="27">
        <v>430.8</v>
      </c>
      <c r="I179" s="27">
        <v>416.2</v>
      </c>
      <c r="J179" s="27">
        <f>G179-H179</f>
        <v>-2.6999999999999886</v>
      </c>
      <c r="K179" s="27">
        <f>G179-I179</f>
        <v>11.900000000000034</v>
      </c>
    </row>
    <row r="180" spans="1:11">
      <c r="A180" t="s">
        <v>151</v>
      </c>
      <c r="B180">
        <v>4</v>
      </c>
      <c r="C180" t="s">
        <v>56</v>
      </c>
      <c r="D180" t="s">
        <v>126</v>
      </c>
      <c r="E180" t="s">
        <v>129</v>
      </c>
      <c r="F180" t="s">
        <v>130</v>
      </c>
      <c r="G180" s="27">
        <v>41.5</v>
      </c>
      <c r="H180" s="27">
        <v>41.1</v>
      </c>
      <c r="I180" s="27">
        <v>39.700000000000003</v>
      </c>
      <c r="J180" s="27">
        <f>G180-H180</f>
        <v>0.39999999999999858</v>
      </c>
      <c r="K180" s="27">
        <f>G180-I180</f>
        <v>1.7999999999999972</v>
      </c>
    </row>
    <row r="181" spans="1:11">
      <c r="A181" t="s">
        <v>151</v>
      </c>
      <c r="B181">
        <v>4</v>
      </c>
      <c r="C181" t="s">
        <v>56</v>
      </c>
      <c r="D181" t="s">
        <v>126</v>
      </c>
      <c r="E181" t="s">
        <v>131</v>
      </c>
      <c r="F181" t="s">
        <v>132</v>
      </c>
      <c r="G181" s="27">
        <v>72.3</v>
      </c>
      <c r="H181" s="27">
        <v>73</v>
      </c>
      <c r="I181" s="27">
        <v>70.5</v>
      </c>
      <c r="J181" s="27">
        <f>G181-H181</f>
        <v>-0.70000000000000284</v>
      </c>
      <c r="K181" s="27">
        <f>G181-I181</f>
        <v>1.7999999999999972</v>
      </c>
    </row>
    <row r="182" spans="1:11">
      <c r="A182" t="s">
        <v>151</v>
      </c>
      <c r="B182">
        <v>4</v>
      </c>
      <c r="C182" t="s">
        <v>56</v>
      </c>
      <c r="D182" t="s">
        <v>126</v>
      </c>
      <c r="E182" t="s">
        <v>133</v>
      </c>
      <c r="F182" t="s">
        <v>134</v>
      </c>
      <c r="G182" s="27">
        <v>17.5</v>
      </c>
      <c r="H182" s="27">
        <v>17.8</v>
      </c>
      <c r="I182" s="27">
        <v>17.2</v>
      </c>
      <c r="J182" s="27">
        <f>G182-H182</f>
        <v>-0.30000000000000071</v>
      </c>
      <c r="K182" s="27">
        <f>G182-I182</f>
        <v>0.30000000000000071</v>
      </c>
    </row>
    <row r="183" spans="1:11">
      <c r="A183" t="s">
        <v>151</v>
      </c>
      <c r="B183">
        <v>4</v>
      </c>
      <c r="C183" t="s">
        <v>56</v>
      </c>
      <c r="D183" t="s">
        <v>126</v>
      </c>
      <c r="E183" t="s">
        <v>135</v>
      </c>
      <c r="F183" t="s">
        <v>136</v>
      </c>
      <c r="G183" s="27">
        <v>58.3</v>
      </c>
      <c r="H183" s="27">
        <v>56.9</v>
      </c>
      <c r="I183" s="27">
        <v>55</v>
      </c>
      <c r="J183" s="27">
        <f>G183-H183</f>
        <v>1.3999999999999986</v>
      </c>
      <c r="K183" s="27">
        <f>G183-I183</f>
        <v>3.2999999999999972</v>
      </c>
    </row>
    <row r="184" spans="1:11">
      <c r="A184" t="s">
        <v>151</v>
      </c>
      <c r="B184">
        <v>4</v>
      </c>
      <c r="C184" t="s">
        <v>57</v>
      </c>
      <c r="D184" t="s">
        <v>145</v>
      </c>
      <c r="E184" t="s">
        <v>105</v>
      </c>
      <c r="F184" t="s">
        <v>106</v>
      </c>
      <c r="G184" s="27">
        <v>344.4</v>
      </c>
      <c r="H184" s="27">
        <v>357.1</v>
      </c>
      <c r="I184" s="27">
        <v>345</v>
      </c>
      <c r="J184" s="27">
        <f>G184-H184</f>
        <v>-12.700000000000045</v>
      </c>
      <c r="K184" s="27">
        <f>G184-I184</f>
        <v>-0.60000000000002274</v>
      </c>
    </row>
    <row r="185" spans="1:11">
      <c r="A185" t="s">
        <v>151</v>
      </c>
      <c r="B185">
        <v>4</v>
      </c>
      <c r="C185" t="s">
        <v>57</v>
      </c>
      <c r="D185" t="s">
        <v>145</v>
      </c>
      <c r="E185" t="s">
        <v>107</v>
      </c>
      <c r="F185" t="s">
        <v>108</v>
      </c>
      <c r="G185" s="27">
        <v>33.6</v>
      </c>
      <c r="H185" s="27">
        <v>36</v>
      </c>
      <c r="I185" s="27">
        <v>34.799999999999997</v>
      </c>
      <c r="J185" s="27">
        <f>G185-H185</f>
        <v>-2.3999999999999986</v>
      </c>
      <c r="K185" s="27">
        <f>G185-I185</f>
        <v>-1.1999999999999957</v>
      </c>
    </row>
    <row r="186" spans="1:11">
      <c r="A186" t="s">
        <v>151</v>
      </c>
      <c r="B186">
        <v>4</v>
      </c>
      <c r="C186" t="s">
        <v>57</v>
      </c>
      <c r="D186" t="s">
        <v>145</v>
      </c>
      <c r="E186" t="s">
        <v>109</v>
      </c>
      <c r="F186" t="s">
        <v>110</v>
      </c>
      <c r="G186" s="27">
        <v>24</v>
      </c>
      <c r="H186" s="27">
        <v>25.7</v>
      </c>
      <c r="I186" s="27">
        <v>24.8</v>
      </c>
      <c r="J186" s="27">
        <f>G186-H186</f>
        <v>-1.6999999999999993</v>
      </c>
      <c r="K186" s="27">
        <f>G186-I186</f>
        <v>-0.80000000000000071</v>
      </c>
    </row>
    <row r="187" spans="1:11">
      <c r="A187" t="s">
        <v>151</v>
      </c>
      <c r="B187">
        <v>4</v>
      </c>
      <c r="C187" t="s">
        <v>57</v>
      </c>
      <c r="D187" t="s">
        <v>145</v>
      </c>
      <c r="E187" t="s">
        <v>111</v>
      </c>
      <c r="F187" t="s">
        <v>112</v>
      </c>
      <c r="G187" s="27">
        <v>221.7</v>
      </c>
      <c r="H187" s="27">
        <v>239.3</v>
      </c>
      <c r="I187" s="27">
        <v>231.2</v>
      </c>
      <c r="J187" s="27">
        <f>G187-H187</f>
        <v>-17.600000000000023</v>
      </c>
      <c r="K187" s="27">
        <f>G187-I187</f>
        <v>-9.5</v>
      </c>
    </row>
    <row r="188" spans="1:11">
      <c r="A188" t="s">
        <v>151</v>
      </c>
      <c r="B188">
        <v>4</v>
      </c>
      <c r="C188" t="s">
        <v>57</v>
      </c>
      <c r="D188" t="s">
        <v>145</v>
      </c>
      <c r="E188" t="s">
        <v>113</v>
      </c>
      <c r="F188" t="s">
        <v>114</v>
      </c>
      <c r="G188" s="27">
        <v>370.8</v>
      </c>
      <c r="H188" s="27">
        <v>372.6</v>
      </c>
      <c r="I188" s="27">
        <v>360</v>
      </c>
      <c r="J188" s="27">
        <f>G188-H188</f>
        <v>-1.8000000000000114</v>
      </c>
      <c r="K188" s="27">
        <f>G188-I188</f>
        <v>10.800000000000011</v>
      </c>
    </row>
    <row r="189" spans="1:11">
      <c r="A189" t="s">
        <v>151</v>
      </c>
      <c r="B189">
        <v>4</v>
      </c>
      <c r="C189" t="s">
        <v>57</v>
      </c>
      <c r="D189" t="s">
        <v>145</v>
      </c>
      <c r="E189" t="s">
        <v>115</v>
      </c>
      <c r="F189" t="s">
        <v>116</v>
      </c>
      <c r="G189" s="27">
        <v>69</v>
      </c>
      <c r="H189" s="27">
        <v>67.8</v>
      </c>
      <c r="I189" s="27">
        <v>65.5</v>
      </c>
      <c r="J189" s="27">
        <f>G189-H189</f>
        <v>1.2000000000000028</v>
      </c>
      <c r="K189" s="27">
        <f>G189-I189</f>
        <v>3.5</v>
      </c>
    </row>
    <row r="190" spans="1:11">
      <c r="A190" t="s">
        <v>151</v>
      </c>
      <c r="B190">
        <v>4</v>
      </c>
      <c r="C190" t="s">
        <v>57</v>
      </c>
      <c r="D190" t="s">
        <v>146</v>
      </c>
      <c r="E190" t="s">
        <v>119</v>
      </c>
      <c r="F190" t="s">
        <v>120</v>
      </c>
      <c r="G190" s="27">
        <v>281.39999999999998</v>
      </c>
      <c r="H190" s="27">
        <v>288.7</v>
      </c>
      <c r="I190" s="27">
        <v>279</v>
      </c>
      <c r="J190" s="27">
        <f>G190-H190</f>
        <v>-7.3000000000000114</v>
      </c>
      <c r="K190" s="27">
        <f>G190-I190</f>
        <v>2.3999999999999773</v>
      </c>
    </row>
    <row r="191" spans="1:11">
      <c r="A191" t="s">
        <v>151</v>
      </c>
      <c r="B191">
        <v>4</v>
      </c>
      <c r="C191" t="s">
        <v>57</v>
      </c>
      <c r="D191" t="s">
        <v>146</v>
      </c>
      <c r="E191" t="s">
        <v>121</v>
      </c>
      <c r="F191" t="s">
        <v>122</v>
      </c>
      <c r="G191" s="27">
        <v>49.8</v>
      </c>
      <c r="H191" s="27">
        <v>61.6</v>
      </c>
      <c r="I191" s="27">
        <v>59.5</v>
      </c>
      <c r="J191" s="27">
        <f>G191-H191</f>
        <v>-11.800000000000004</v>
      </c>
      <c r="K191" s="27">
        <f>G191-I191</f>
        <v>-9.7000000000000028</v>
      </c>
    </row>
    <row r="192" spans="1:11">
      <c r="A192" t="s">
        <v>151</v>
      </c>
      <c r="B192">
        <v>4</v>
      </c>
      <c r="C192" t="s">
        <v>57</v>
      </c>
      <c r="D192" t="s">
        <v>146</v>
      </c>
      <c r="E192" t="s">
        <v>123</v>
      </c>
      <c r="F192" t="s">
        <v>124</v>
      </c>
      <c r="G192" s="27">
        <v>40.1</v>
      </c>
      <c r="H192" s="27">
        <v>41.2</v>
      </c>
      <c r="I192" s="27">
        <v>39.799999999999997</v>
      </c>
      <c r="J192" s="27">
        <f>G192-H192</f>
        <v>-1.1000000000000014</v>
      </c>
      <c r="K192" s="27">
        <f>G192-I192</f>
        <v>0.30000000000000426</v>
      </c>
    </row>
    <row r="193" spans="1:11">
      <c r="A193" t="s">
        <v>151</v>
      </c>
      <c r="B193">
        <v>4</v>
      </c>
      <c r="C193" t="s">
        <v>57</v>
      </c>
      <c r="D193" t="s">
        <v>126</v>
      </c>
      <c r="E193" t="s">
        <v>127</v>
      </c>
      <c r="F193" t="s">
        <v>128</v>
      </c>
      <c r="G193" s="27">
        <v>305.8</v>
      </c>
      <c r="H193" s="27">
        <v>309</v>
      </c>
      <c r="I193" s="27">
        <v>298.5</v>
      </c>
      <c r="J193" s="27">
        <f>G193-H193</f>
        <v>-3.1999999999999886</v>
      </c>
      <c r="K193" s="27">
        <f>G193-I193</f>
        <v>7.3000000000000114</v>
      </c>
    </row>
    <row r="194" spans="1:11">
      <c r="A194" t="s">
        <v>151</v>
      </c>
      <c r="B194">
        <v>4</v>
      </c>
      <c r="C194" t="s">
        <v>57</v>
      </c>
      <c r="D194" t="s">
        <v>126</v>
      </c>
      <c r="E194" t="s">
        <v>129</v>
      </c>
      <c r="F194" t="s">
        <v>130</v>
      </c>
      <c r="G194" s="27">
        <v>35.9</v>
      </c>
      <c r="H194" s="27">
        <v>35.700000000000003</v>
      </c>
      <c r="I194" s="27">
        <v>34.5</v>
      </c>
      <c r="J194" s="27">
        <f>G194-H194</f>
        <v>0.19999999999999574</v>
      </c>
      <c r="K194" s="27">
        <f>G194-I194</f>
        <v>1.3999999999999986</v>
      </c>
    </row>
    <row r="195" spans="1:11">
      <c r="A195" t="s">
        <v>151</v>
      </c>
      <c r="B195">
        <v>4</v>
      </c>
      <c r="C195" t="s">
        <v>57</v>
      </c>
      <c r="D195" t="s">
        <v>126</v>
      </c>
      <c r="E195" t="s">
        <v>131</v>
      </c>
      <c r="F195" t="s">
        <v>132</v>
      </c>
      <c r="G195" s="27">
        <v>51.9</v>
      </c>
      <c r="H195" s="27">
        <v>51</v>
      </c>
      <c r="I195" s="27">
        <v>49.3</v>
      </c>
      <c r="J195" s="27">
        <f>G195-H195</f>
        <v>0.89999999999999858</v>
      </c>
      <c r="K195" s="27">
        <f>G195-I195</f>
        <v>2.6000000000000014</v>
      </c>
    </row>
    <row r="196" spans="1:11">
      <c r="A196" t="s">
        <v>151</v>
      </c>
      <c r="B196">
        <v>4</v>
      </c>
      <c r="C196" t="s">
        <v>57</v>
      </c>
      <c r="D196" t="s">
        <v>126</v>
      </c>
      <c r="E196" t="s">
        <v>133</v>
      </c>
      <c r="F196" t="s">
        <v>134</v>
      </c>
      <c r="G196" s="27">
        <v>11.8</v>
      </c>
      <c r="H196" s="27">
        <v>12</v>
      </c>
      <c r="I196" s="27">
        <v>11.6</v>
      </c>
      <c r="J196" s="27">
        <f>G196-H196</f>
        <v>-0.19999999999999929</v>
      </c>
      <c r="K196" s="27">
        <f>G196-I196</f>
        <v>0.20000000000000107</v>
      </c>
    </row>
    <row r="197" spans="1:11">
      <c r="A197" t="s">
        <v>151</v>
      </c>
      <c r="B197">
        <v>4</v>
      </c>
      <c r="C197" t="s">
        <v>57</v>
      </c>
      <c r="D197" t="s">
        <v>126</v>
      </c>
      <c r="E197" t="s">
        <v>135</v>
      </c>
      <c r="F197" t="s">
        <v>136</v>
      </c>
      <c r="G197" s="27">
        <v>42.4</v>
      </c>
      <c r="H197" s="27">
        <v>41.4</v>
      </c>
      <c r="I197" s="27">
        <v>40</v>
      </c>
      <c r="J197" s="27">
        <f>G197-H197</f>
        <v>1</v>
      </c>
      <c r="K197" s="27">
        <f>G197-I197</f>
        <v>2.3999999999999986</v>
      </c>
    </row>
    <row r="198" spans="1:11">
      <c r="A198" t="s">
        <v>151</v>
      </c>
      <c r="B198">
        <v>4</v>
      </c>
      <c r="C198" t="s">
        <v>58</v>
      </c>
      <c r="D198" t="s">
        <v>145</v>
      </c>
      <c r="E198" t="s">
        <v>105</v>
      </c>
      <c r="F198" t="s">
        <v>106</v>
      </c>
      <c r="G198" s="27">
        <v>350.7</v>
      </c>
      <c r="H198" s="27">
        <v>348.7</v>
      </c>
      <c r="I198" s="27">
        <v>336.8</v>
      </c>
      <c r="J198" s="27">
        <f>G198-H198</f>
        <v>2</v>
      </c>
      <c r="K198" s="27">
        <f>G198-I198</f>
        <v>13.899999999999977</v>
      </c>
    </row>
    <row r="199" spans="1:11">
      <c r="A199" t="s">
        <v>151</v>
      </c>
      <c r="B199">
        <v>4</v>
      </c>
      <c r="C199" t="s">
        <v>58</v>
      </c>
      <c r="D199" t="s">
        <v>145</v>
      </c>
      <c r="E199" t="s">
        <v>107</v>
      </c>
      <c r="F199" t="s">
        <v>108</v>
      </c>
      <c r="G199" s="27">
        <v>33.9</v>
      </c>
      <c r="H199" s="27">
        <v>34.6</v>
      </c>
      <c r="I199" s="27">
        <v>33.4</v>
      </c>
      <c r="J199" s="27">
        <f>G199-H199</f>
        <v>-0.70000000000000284</v>
      </c>
      <c r="K199" s="27">
        <f>G199-I199</f>
        <v>0.5</v>
      </c>
    </row>
    <row r="200" spans="1:11">
      <c r="A200" t="s">
        <v>151</v>
      </c>
      <c r="B200">
        <v>4</v>
      </c>
      <c r="C200" t="s">
        <v>58</v>
      </c>
      <c r="D200" t="s">
        <v>145</v>
      </c>
      <c r="E200" t="s">
        <v>109</v>
      </c>
      <c r="F200" t="s">
        <v>110</v>
      </c>
      <c r="G200" s="27">
        <v>24</v>
      </c>
      <c r="H200" s="27">
        <v>24.5</v>
      </c>
      <c r="I200" s="27">
        <v>23.7</v>
      </c>
      <c r="J200" s="27">
        <f>G200-H200</f>
        <v>-0.5</v>
      </c>
      <c r="K200" s="27">
        <f>G200-I200</f>
        <v>0.30000000000000071</v>
      </c>
    </row>
    <row r="201" spans="1:11">
      <c r="A201" t="s">
        <v>151</v>
      </c>
      <c r="B201">
        <v>4</v>
      </c>
      <c r="C201" t="s">
        <v>58</v>
      </c>
      <c r="D201" t="s">
        <v>145</v>
      </c>
      <c r="E201" t="s">
        <v>111</v>
      </c>
      <c r="F201" t="s">
        <v>112</v>
      </c>
      <c r="G201" s="27">
        <v>226.5</v>
      </c>
      <c r="H201" s="27">
        <v>239.6</v>
      </c>
      <c r="I201" s="27">
        <v>231.5</v>
      </c>
      <c r="J201" s="27">
        <f>G201-H201</f>
        <v>-13.099999999999994</v>
      </c>
      <c r="K201" s="27">
        <f>G201-I201</f>
        <v>-5</v>
      </c>
    </row>
    <row r="202" spans="1:11">
      <c r="A202" t="s">
        <v>151</v>
      </c>
      <c r="B202">
        <v>4</v>
      </c>
      <c r="C202" t="s">
        <v>58</v>
      </c>
      <c r="D202" t="s">
        <v>145</v>
      </c>
      <c r="E202" t="s">
        <v>113</v>
      </c>
      <c r="F202" t="s">
        <v>114</v>
      </c>
      <c r="G202" s="27">
        <v>339.9</v>
      </c>
      <c r="H202" s="27">
        <v>341.5</v>
      </c>
      <c r="I202" s="27">
        <v>330</v>
      </c>
      <c r="J202" s="27">
        <f>G202-H202</f>
        <v>-1.6000000000000227</v>
      </c>
      <c r="K202" s="27">
        <f>G202-I202</f>
        <v>9.8999999999999773</v>
      </c>
    </row>
    <row r="203" spans="1:11">
      <c r="A203" t="s">
        <v>151</v>
      </c>
      <c r="B203">
        <v>4</v>
      </c>
      <c r="C203" t="s">
        <v>58</v>
      </c>
      <c r="D203" t="s">
        <v>145</v>
      </c>
      <c r="E203" t="s">
        <v>115</v>
      </c>
      <c r="F203" t="s">
        <v>116</v>
      </c>
      <c r="G203" s="27">
        <v>64.099999999999994</v>
      </c>
      <c r="H203" s="27">
        <v>63.4</v>
      </c>
      <c r="I203" s="27">
        <v>61.3</v>
      </c>
      <c r="J203" s="27">
        <f>G203-H203</f>
        <v>0.69999999999999574</v>
      </c>
      <c r="K203" s="27">
        <f>G203-I203</f>
        <v>2.7999999999999972</v>
      </c>
    </row>
    <row r="204" spans="1:11">
      <c r="A204" t="s">
        <v>151</v>
      </c>
      <c r="B204">
        <v>4</v>
      </c>
      <c r="C204" t="s">
        <v>58</v>
      </c>
      <c r="D204" t="s">
        <v>146</v>
      </c>
      <c r="E204" t="s">
        <v>119</v>
      </c>
      <c r="F204" t="s">
        <v>120</v>
      </c>
      <c r="G204" s="27">
        <v>283.2</v>
      </c>
      <c r="H204" s="27">
        <v>281.89999999999998</v>
      </c>
      <c r="I204" s="27">
        <v>272.39999999999998</v>
      </c>
      <c r="J204" s="27">
        <f>G204-H204</f>
        <v>1.3000000000000114</v>
      </c>
      <c r="K204" s="27">
        <f>G204-I204</f>
        <v>10.800000000000011</v>
      </c>
    </row>
    <row r="205" spans="1:11">
      <c r="A205" t="s">
        <v>151</v>
      </c>
      <c r="B205">
        <v>4</v>
      </c>
      <c r="C205" t="s">
        <v>58</v>
      </c>
      <c r="D205" t="s">
        <v>146</v>
      </c>
      <c r="E205" t="s">
        <v>121</v>
      </c>
      <c r="F205" t="s">
        <v>122</v>
      </c>
      <c r="G205" s="27">
        <v>45.7</v>
      </c>
      <c r="H205" s="27">
        <v>56.3</v>
      </c>
      <c r="I205" s="27">
        <v>54.4</v>
      </c>
      <c r="J205" s="27">
        <f>G205-H205</f>
        <v>-10.599999999999994</v>
      </c>
      <c r="K205" s="27">
        <f>G205-I205</f>
        <v>-8.6999999999999957</v>
      </c>
    </row>
    <row r="206" spans="1:11">
      <c r="A206" t="s">
        <v>151</v>
      </c>
      <c r="B206">
        <v>4</v>
      </c>
      <c r="C206" t="s">
        <v>58</v>
      </c>
      <c r="D206" t="s">
        <v>146</v>
      </c>
      <c r="E206" t="s">
        <v>123</v>
      </c>
      <c r="F206" t="s">
        <v>124</v>
      </c>
      <c r="G206" s="27">
        <v>35.1</v>
      </c>
      <c r="H206" s="27">
        <v>35.700000000000003</v>
      </c>
      <c r="I206" s="27">
        <v>34.5</v>
      </c>
      <c r="J206" s="27">
        <f>G206-H206</f>
        <v>-0.60000000000000142</v>
      </c>
      <c r="K206" s="27">
        <f>G206-I206</f>
        <v>0.60000000000000142</v>
      </c>
    </row>
    <row r="207" spans="1:11">
      <c r="A207" t="s">
        <v>151</v>
      </c>
      <c r="B207">
        <v>4</v>
      </c>
      <c r="C207" t="s">
        <v>58</v>
      </c>
      <c r="D207" t="s">
        <v>126</v>
      </c>
      <c r="E207" t="s">
        <v>127</v>
      </c>
      <c r="F207" t="s">
        <v>128</v>
      </c>
      <c r="G207" s="27">
        <v>285.7</v>
      </c>
      <c r="H207" s="27">
        <v>288.10000000000002</v>
      </c>
      <c r="I207" s="27">
        <v>278.2</v>
      </c>
      <c r="J207" s="27">
        <f>G207-H207</f>
        <v>-2.4000000000000341</v>
      </c>
      <c r="K207" s="27">
        <f>G207-I207</f>
        <v>7.5</v>
      </c>
    </row>
    <row r="208" spans="1:11">
      <c r="A208" t="s">
        <v>151</v>
      </c>
      <c r="B208">
        <v>4</v>
      </c>
      <c r="C208" t="s">
        <v>58</v>
      </c>
      <c r="D208" t="s">
        <v>126</v>
      </c>
      <c r="E208" t="s">
        <v>129</v>
      </c>
      <c r="F208" t="s">
        <v>130</v>
      </c>
      <c r="G208" s="27">
        <v>30.6</v>
      </c>
      <c r="H208" s="27">
        <v>30.6</v>
      </c>
      <c r="I208" s="27">
        <v>29.6</v>
      </c>
      <c r="J208" s="27">
        <f>G208-H208</f>
        <v>0</v>
      </c>
      <c r="K208" s="27">
        <f>G208-I208</f>
        <v>1</v>
      </c>
    </row>
    <row r="209" spans="1:11">
      <c r="A209" t="s">
        <v>151</v>
      </c>
      <c r="B209">
        <v>4</v>
      </c>
      <c r="C209" t="s">
        <v>58</v>
      </c>
      <c r="D209" t="s">
        <v>126</v>
      </c>
      <c r="E209" t="s">
        <v>131</v>
      </c>
      <c r="F209" t="s">
        <v>132</v>
      </c>
      <c r="G209" s="27">
        <v>46.9</v>
      </c>
      <c r="H209" s="27">
        <v>46.7</v>
      </c>
      <c r="I209" s="27">
        <v>45.2</v>
      </c>
      <c r="J209" s="27">
        <f>G209-H209</f>
        <v>0.19999999999999574</v>
      </c>
      <c r="K209" s="27">
        <f>G209-I209</f>
        <v>1.6999999999999957</v>
      </c>
    </row>
    <row r="210" spans="1:11">
      <c r="A210" t="s">
        <v>151</v>
      </c>
      <c r="B210">
        <v>4</v>
      </c>
      <c r="C210" t="s">
        <v>58</v>
      </c>
      <c r="D210" t="s">
        <v>126</v>
      </c>
      <c r="E210" t="s">
        <v>133</v>
      </c>
      <c r="F210" t="s">
        <v>134</v>
      </c>
      <c r="G210" s="27">
        <v>11.4</v>
      </c>
      <c r="H210" s="27">
        <v>11.8</v>
      </c>
      <c r="I210" s="27">
        <v>11.4</v>
      </c>
      <c r="J210" s="27">
        <f>G210-H210</f>
        <v>-0.40000000000000036</v>
      </c>
      <c r="K210" s="27">
        <f>G210-I210</f>
        <v>0</v>
      </c>
    </row>
    <row r="211" spans="1:11">
      <c r="A211" t="s">
        <v>151</v>
      </c>
      <c r="B211">
        <v>4</v>
      </c>
      <c r="C211" t="s">
        <v>58</v>
      </c>
      <c r="D211" t="s">
        <v>126</v>
      </c>
      <c r="E211" t="s">
        <v>135</v>
      </c>
      <c r="F211" t="s">
        <v>136</v>
      </c>
      <c r="G211" s="27">
        <v>40.299999999999997</v>
      </c>
      <c r="H211" s="27">
        <v>39.299999999999997</v>
      </c>
      <c r="I211" s="27">
        <v>38</v>
      </c>
      <c r="J211" s="27">
        <f>G211-H211</f>
        <v>1</v>
      </c>
      <c r="K211" s="27">
        <f>G211-I211</f>
        <v>2.2999999999999972</v>
      </c>
    </row>
    <row r="212" spans="1:11">
      <c r="A212" t="s">
        <v>151</v>
      </c>
      <c r="B212">
        <v>4</v>
      </c>
      <c r="C212" t="s">
        <v>59</v>
      </c>
      <c r="D212" t="s">
        <v>145</v>
      </c>
      <c r="E212" t="s">
        <v>105</v>
      </c>
      <c r="F212" t="s">
        <v>106</v>
      </c>
      <c r="G212" s="27">
        <v>227.1</v>
      </c>
      <c r="H212" s="27">
        <v>223.5</v>
      </c>
      <c r="I212" s="27">
        <v>215.8</v>
      </c>
      <c r="J212" s="27">
        <f>G212-H212</f>
        <v>3.5999999999999943</v>
      </c>
      <c r="K212" s="27">
        <f>G212-I212</f>
        <v>11.299999999999983</v>
      </c>
    </row>
    <row r="213" spans="1:11">
      <c r="A213" t="s">
        <v>151</v>
      </c>
      <c r="B213">
        <v>4</v>
      </c>
      <c r="C213" t="s">
        <v>59</v>
      </c>
      <c r="D213" t="s">
        <v>145</v>
      </c>
      <c r="E213" t="s">
        <v>107</v>
      </c>
      <c r="F213" t="s">
        <v>108</v>
      </c>
      <c r="G213" s="27">
        <v>21.6</v>
      </c>
      <c r="H213" s="27">
        <v>21.7</v>
      </c>
      <c r="I213" s="27">
        <v>21</v>
      </c>
      <c r="J213" s="27">
        <f>G213-H213</f>
        <v>-9.9999999999997868E-2</v>
      </c>
      <c r="K213" s="27">
        <f>G213-I213</f>
        <v>0.60000000000000142</v>
      </c>
    </row>
    <row r="214" spans="1:11">
      <c r="A214" t="s">
        <v>151</v>
      </c>
      <c r="B214">
        <v>4</v>
      </c>
      <c r="C214" t="s">
        <v>59</v>
      </c>
      <c r="D214" t="s">
        <v>145</v>
      </c>
      <c r="E214" t="s">
        <v>109</v>
      </c>
      <c r="F214" t="s">
        <v>110</v>
      </c>
      <c r="G214" s="27">
        <v>15.8</v>
      </c>
      <c r="H214" s="27">
        <v>15.4</v>
      </c>
      <c r="I214" s="27">
        <v>14.9</v>
      </c>
      <c r="J214" s="27">
        <f>G214-H214</f>
        <v>0.40000000000000036</v>
      </c>
      <c r="K214" s="27">
        <f>G214-I214</f>
        <v>0.90000000000000036</v>
      </c>
    </row>
    <row r="215" spans="1:11">
      <c r="A215" t="s">
        <v>151</v>
      </c>
      <c r="B215">
        <v>4</v>
      </c>
      <c r="C215" t="s">
        <v>59</v>
      </c>
      <c r="D215" t="s">
        <v>145</v>
      </c>
      <c r="E215" t="s">
        <v>111</v>
      </c>
      <c r="F215" t="s">
        <v>112</v>
      </c>
      <c r="G215" s="27">
        <v>146.69999999999999</v>
      </c>
      <c r="H215" s="27">
        <v>152.1</v>
      </c>
      <c r="I215" s="27">
        <v>147</v>
      </c>
      <c r="J215" s="27">
        <f>G215-H215</f>
        <v>-5.4000000000000057</v>
      </c>
      <c r="K215" s="27">
        <f>G215-I215</f>
        <v>-0.30000000000001137</v>
      </c>
    </row>
    <row r="216" spans="1:11">
      <c r="A216" t="s">
        <v>151</v>
      </c>
      <c r="B216">
        <v>4</v>
      </c>
      <c r="C216" t="s">
        <v>59</v>
      </c>
      <c r="D216" t="s">
        <v>145</v>
      </c>
      <c r="E216" t="s">
        <v>113</v>
      </c>
      <c r="F216" t="s">
        <v>114</v>
      </c>
      <c r="G216" s="27">
        <v>247.2</v>
      </c>
      <c r="H216" s="27">
        <v>248.4</v>
      </c>
      <c r="I216" s="27">
        <v>240</v>
      </c>
      <c r="J216" s="27">
        <f>G216-H216</f>
        <v>-1.2000000000000171</v>
      </c>
      <c r="K216" s="27">
        <f>G216-I216</f>
        <v>7.1999999999999886</v>
      </c>
    </row>
    <row r="217" spans="1:11">
      <c r="A217" t="s">
        <v>151</v>
      </c>
      <c r="B217">
        <v>4</v>
      </c>
      <c r="C217" t="s">
        <v>59</v>
      </c>
      <c r="D217" t="s">
        <v>145</v>
      </c>
      <c r="E217" t="s">
        <v>115</v>
      </c>
      <c r="F217" t="s">
        <v>116</v>
      </c>
      <c r="G217" s="27">
        <v>46.9</v>
      </c>
      <c r="H217" s="27">
        <v>47.3</v>
      </c>
      <c r="I217" s="27">
        <v>45.7</v>
      </c>
      <c r="J217" s="27">
        <f>G217-H217</f>
        <v>-0.39999999999999858</v>
      </c>
      <c r="K217" s="27">
        <f>G217-I217</f>
        <v>1.1999999999999957</v>
      </c>
    </row>
    <row r="218" spans="1:11">
      <c r="A218" t="s">
        <v>151</v>
      </c>
      <c r="B218">
        <v>4</v>
      </c>
      <c r="C218" t="s">
        <v>59</v>
      </c>
      <c r="D218" t="s">
        <v>146</v>
      </c>
      <c r="E218" t="s">
        <v>119</v>
      </c>
      <c r="F218" t="s">
        <v>120</v>
      </c>
      <c r="G218" s="27">
        <v>183.3</v>
      </c>
      <c r="H218" s="27">
        <v>181.4</v>
      </c>
      <c r="I218" s="27">
        <v>175.3</v>
      </c>
      <c r="J218" s="27">
        <f>G218-H218</f>
        <v>1.9000000000000057</v>
      </c>
      <c r="K218" s="27">
        <f>G218-I218</f>
        <v>8</v>
      </c>
    </row>
    <row r="219" spans="1:11">
      <c r="A219" t="s">
        <v>151</v>
      </c>
      <c r="B219">
        <v>4</v>
      </c>
      <c r="C219" t="s">
        <v>59</v>
      </c>
      <c r="D219" t="s">
        <v>146</v>
      </c>
      <c r="E219" t="s">
        <v>121</v>
      </c>
      <c r="F219" t="s">
        <v>122</v>
      </c>
      <c r="G219" s="27">
        <v>33.299999999999997</v>
      </c>
      <c r="H219" s="27">
        <v>41</v>
      </c>
      <c r="I219" s="27">
        <v>39.6</v>
      </c>
      <c r="J219" s="27">
        <f>G219-H219</f>
        <v>-7.7000000000000028</v>
      </c>
      <c r="K219" s="27">
        <f>G219-I219</f>
        <v>-6.3000000000000043</v>
      </c>
    </row>
    <row r="220" spans="1:11">
      <c r="A220" t="s">
        <v>151</v>
      </c>
      <c r="B220">
        <v>4</v>
      </c>
      <c r="C220" t="s">
        <v>59</v>
      </c>
      <c r="D220" t="s">
        <v>146</v>
      </c>
      <c r="E220" t="s">
        <v>123</v>
      </c>
      <c r="F220" t="s">
        <v>124</v>
      </c>
      <c r="G220" s="27">
        <v>45.6</v>
      </c>
      <c r="H220" s="27">
        <v>46.4</v>
      </c>
      <c r="I220" s="27">
        <v>44.8</v>
      </c>
      <c r="J220" s="27">
        <f>G220-H220</f>
        <v>-0.79999999999999716</v>
      </c>
      <c r="K220" s="27">
        <f>G220-I220</f>
        <v>0.80000000000000426</v>
      </c>
    </row>
    <row r="221" spans="1:11">
      <c r="A221" t="s">
        <v>151</v>
      </c>
      <c r="B221">
        <v>4</v>
      </c>
      <c r="C221" t="s">
        <v>59</v>
      </c>
      <c r="D221" t="s">
        <v>126</v>
      </c>
      <c r="E221" t="s">
        <v>127</v>
      </c>
      <c r="F221" t="s">
        <v>128</v>
      </c>
      <c r="G221" s="27">
        <v>206.6</v>
      </c>
      <c r="H221" s="27">
        <v>205.8</v>
      </c>
      <c r="I221" s="27">
        <v>198.9</v>
      </c>
      <c r="J221" s="27">
        <f>G221-H221</f>
        <v>0.79999999999998295</v>
      </c>
      <c r="K221" s="27">
        <f>G221-I221</f>
        <v>7.6999999999999886</v>
      </c>
    </row>
    <row r="222" spans="1:11">
      <c r="A222" t="s">
        <v>151</v>
      </c>
      <c r="B222">
        <v>4</v>
      </c>
      <c r="C222" t="s">
        <v>59</v>
      </c>
      <c r="D222" t="s">
        <v>126</v>
      </c>
      <c r="E222" t="s">
        <v>129</v>
      </c>
      <c r="F222" t="s">
        <v>130</v>
      </c>
      <c r="G222" s="27">
        <v>25.6</v>
      </c>
      <c r="H222" s="27">
        <v>25.9</v>
      </c>
      <c r="I222" s="27">
        <v>25.1</v>
      </c>
      <c r="J222" s="27">
        <f>G222-H222</f>
        <v>-0.29999999999999716</v>
      </c>
      <c r="K222" s="27">
        <f>G222-I222</f>
        <v>0.5</v>
      </c>
    </row>
    <row r="223" spans="1:11">
      <c r="A223" t="s">
        <v>151</v>
      </c>
      <c r="B223">
        <v>4</v>
      </c>
      <c r="C223" t="s">
        <v>59</v>
      </c>
      <c r="D223" t="s">
        <v>126</v>
      </c>
      <c r="E223" t="s">
        <v>131</v>
      </c>
      <c r="F223" t="s">
        <v>132</v>
      </c>
      <c r="G223" s="27">
        <v>36.1</v>
      </c>
      <c r="H223" s="27">
        <v>36.700000000000003</v>
      </c>
      <c r="I223" s="27">
        <v>35.4</v>
      </c>
      <c r="J223" s="27">
        <f>G223-H223</f>
        <v>-0.60000000000000142</v>
      </c>
      <c r="K223" s="27">
        <f>G223-I223</f>
        <v>0.70000000000000284</v>
      </c>
    </row>
    <row r="224" spans="1:11">
      <c r="A224" t="s">
        <v>151</v>
      </c>
      <c r="B224">
        <v>4</v>
      </c>
      <c r="C224" t="s">
        <v>59</v>
      </c>
      <c r="D224" t="s">
        <v>126</v>
      </c>
      <c r="E224" t="s">
        <v>133</v>
      </c>
      <c r="F224" t="s">
        <v>134</v>
      </c>
      <c r="G224" s="27">
        <v>7.5</v>
      </c>
      <c r="H224" s="27">
        <v>7.6</v>
      </c>
      <c r="I224" s="27">
        <v>7.4</v>
      </c>
      <c r="J224" s="27">
        <f>G224-H224</f>
        <v>-9.9999999999999645E-2</v>
      </c>
      <c r="K224" s="27">
        <f>G224-I224</f>
        <v>9.9999999999999645E-2</v>
      </c>
    </row>
    <row r="225" spans="1:11">
      <c r="A225" t="s">
        <v>151</v>
      </c>
      <c r="B225">
        <v>4</v>
      </c>
      <c r="C225" t="s">
        <v>59</v>
      </c>
      <c r="D225" t="s">
        <v>126</v>
      </c>
      <c r="E225" t="s">
        <v>135</v>
      </c>
      <c r="F225" t="s">
        <v>136</v>
      </c>
      <c r="G225" s="27">
        <v>29.7</v>
      </c>
      <c r="H225" s="27">
        <v>29</v>
      </c>
      <c r="I225" s="27">
        <v>28</v>
      </c>
      <c r="J225" s="27">
        <f>G225-H225</f>
        <v>0.69999999999999929</v>
      </c>
      <c r="K225" s="27">
        <f>G225-I225</f>
        <v>1.6999999999999993</v>
      </c>
    </row>
    <row r="226" spans="1:11">
      <c r="A226" t="s">
        <v>152</v>
      </c>
      <c r="B226">
        <v>5</v>
      </c>
      <c r="C226" t="s">
        <v>56</v>
      </c>
      <c r="D226" t="s">
        <v>145</v>
      </c>
      <c r="E226" t="s">
        <v>105</v>
      </c>
      <c r="F226" t="s">
        <v>106</v>
      </c>
      <c r="G226" s="27">
        <v>539.70000000000005</v>
      </c>
      <c r="H226" s="27">
        <v>531.6</v>
      </c>
      <c r="I226" s="27">
        <v>513.6</v>
      </c>
      <c r="J226" s="27">
        <f>G226-H226</f>
        <v>8.1000000000000227</v>
      </c>
      <c r="K226" s="27">
        <f>G226-I226</f>
        <v>26.100000000000023</v>
      </c>
    </row>
    <row r="227" spans="1:11">
      <c r="A227" t="s">
        <v>152</v>
      </c>
      <c r="B227">
        <v>5</v>
      </c>
      <c r="C227" t="s">
        <v>56</v>
      </c>
      <c r="D227" t="s">
        <v>145</v>
      </c>
      <c r="E227" t="s">
        <v>107</v>
      </c>
      <c r="F227" t="s">
        <v>108</v>
      </c>
      <c r="G227" s="27">
        <v>53.1</v>
      </c>
      <c r="H227" s="27">
        <v>53.1</v>
      </c>
      <c r="I227" s="27">
        <v>51.3</v>
      </c>
      <c r="J227" s="27">
        <f>G227-H227</f>
        <v>0</v>
      </c>
      <c r="K227" s="27">
        <f>G227-I227</f>
        <v>1.8000000000000043</v>
      </c>
    </row>
    <row r="228" spans="1:11">
      <c r="A228" t="s">
        <v>152</v>
      </c>
      <c r="B228">
        <v>5</v>
      </c>
      <c r="C228" t="s">
        <v>56</v>
      </c>
      <c r="D228" t="s">
        <v>145</v>
      </c>
      <c r="E228" t="s">
        <v>109</v>
      </c>
      <c r="F228" t="s">
        <v>110</v>
      </c>
      <c r="G228" s="27">
        <v>38.200000000000003</v>
      </c>
      <c r="H228" s="27">
        <v>37.6</v>
      </c>
      <c r="I228" s="27">
        <v>36.299999999999997</v>
      </c>
      <c r="J228" s="27">
        <f>G228-H228</f>
        <v>0.60000000000000142</v>
      </c>
      <c r="K228" s="27">
        <f>G228-I228</f>
        <v>1.9000000000000057</v>
      </c>
    </row>
    <row r="229" spans="1:11">
      <c r="A229" t="s">
        <v>152</v>
      </c>
      <c r="B229">
        <v>5</v>
      </c>
      <c r="C229" t="s">
        <v>56</v>
      </c>
      <c r="D229" t="s">
        <v>145</v>
      </c>
      <c r="E229" t="s">
        <v>111</v>
      </c>
      <c r="F229" t="s">
        <v>112</v>
      </c>
      <c r="G229" s="27">
        <v>354.7</v>
      </c>
      <c r="H229" s="27">
        <v>364.4</v>
      </c>
      <c r="I229" s="27">
        <v>352.1</v>
      </c>
      <c r="J229" s="27">
        <f>G229-H229</f>
        <v>-9.6999999999999886</v>
      </c>
      <c r="K229" s="27">
        <f>G229-I229</f>
        <v>2.5999999999999659</v>
      </c>
    </row>
    <row r="230" spans="1:11">
      <c r="A230" t="s">
        <v>152</v>
      </c>
      <c r="B230">
        <v>5</v>
      </c>
      <c r="C230" t="s">
        <v>56</v>
      </c>
      <c r="D230" t="s">
        <v>145</v>
      </c>
      <c r="E230" t="s">
        <v>113</v>
      </c>
      <c r="F230" t="s">
        <v>114</v>
      </c>
      <c r="G230" s="27">
        <v>535.6</v>
      </c>
      <c r="H230" s="27">
        <v>538.20000000000005</v>
      </c>
      <c r="I230" s="27">
        <v>520</v>
      </c>
      <c r="J230" s="27">
        <f>G230-H230</f>
        <v>-2.6000000000000227</v>
      </c>
      <c r="K230" s="27">
        <f>G230-I230</f>
        <v>15.600000000000023</v>
      </c>
    </row>
    <row r="231" spans="1:11">
      <c r="A231" t="s">
        <v>152</v>
      </c>
      <c r="B231">
        <v>5</v>
      </c>
      <c r="C231" t="s">
        <v>56</v>
      </c>
      <c r="D231" t="s">
        <v>145</v>
      </c>
      <c r="E231" t="s">
        <v>115</v>
      </c>
      <c r="F231" t="s">
        <v>116</v>
      </c>
      <c r="G231" s="27">
        <v>96.5</v>
      </c>
      <c r="H231" s="27">
        <v>97.1</v>
      </c>
      <c r="I231" s="27">
        <v>93.8</v>
      </c>
      <c r="J231" s="27">
        <f>G231-H231</f>
        <v>-0.59999999999999432</v>
      </c>
      <c r="K231" s="27">
        <f>G231-I231</f>
        <v>2.7000000000000028</v>
      </c>
    </row>
    <row r="232" spans="1:11">
      <c r="A232" t="s">
        <v>152</v>
      </c>
      <c r="B232">
        <v>5</v>
      </c>
      <c r="C232" t="s">
        <v>56</v>
      </c>
      <c r="D232" t="s">
        <v>146</v>
      </c>
      <c r="E232" t="s">
        <v>119</v>
      </c>
      <c r="F232" t="s">
        <v>120</v>
      </c>
      <c r="G232" s="27">
        <v>448.3</v>
      </c>
      <c r="H232" s="27">
        <v>439</v>
      </c>
      <c r="I232" s="27">
        <v>424.2</v>
      </c>
      <c r="J232" s="27">
        <f>G232-H232</f>
        <v>9.3000000000000114</v>
      </c>
      <c r="K232" s="27">
        <f>G232-I232</f>
        <v>24.100000000000023</v>
      </c>
    </row>
    <row r="233" spans="1:11">
      <c r="A233" t="s">
        <v>152</v>
      </c>
      <c r="B233">
        <v>5</v>
      </c>
      <c r="C233" t="s">
        <v>56</v>
      </c>
      <c r="D233" t="s">
        <v>146</v>
      </c>
      <c r="E233" t="s">
        <v>121</v>
      </c>
      <c r="F233" t="s">
        <v>122</v>
      </c>
      <c r="G233" s="27">
        <v>70.2</v>
      </c>
      <c r="H233" s="27">
        <v>88.3</v>
      </c>
      <c r="I233" s="27">
        <v>85.3</v>
      </c>
      <c r="J233" s="27">
        <f>G233-H233</f>
        <v>-18.099999999999994</v>
      </c>
      <c r="K233" s="27">
        <f>G233-I233</f>
        <v>-15.099999999999994</v>
      </c>
    </row>
    <row r="234" spans="1:11">
      <c r="A234" t="s">
        <v>152</v>
      </c>
      <c r="B234">
        <v>5</v>
      </c>
      <c r="C234" t="s">
        <v>56</v>
      </c>
      <c r="D234" t="s">
        <v>146</v>
      </c>
      <c r="E234" t="s">
        <v>123</v>
      </c>
      <c r="F234" t="s">
        <v>124</v>
      </c>
      <c r="G234" s="27">
        <v>61.3</v>
      </c>
      <c r="H234" s="27">
        <v>61.1</v>
      </c>
      <c r="I234" s="27">
        <v>59</v>
      </c>
      <c r="J234" s="27">
        <f>G234-H234</f>
        <v>0.19999999999999574</v>
      </c>
      <c r="K234" s="27">
        <f>G234-I234</f>
        <v>2.2999999999999972</v>
      </c>
    </row>
    <row r="235" spans="1:11">
      <c r="A235" t="s">
        <v>152</v>
      </c>
      <c r="B235">
        <v>5</v>
      </c>
      <c r="C235" t="s">
        <v>56</v>
      </c>
      <c r="D235" t="s">
        <v>126</v>
      </c>
      <c r="E235" t="s">
        <v>127</v>
      </c>
      <c r="F235" t="s">
        <v>128</v>
      </c>
      <c r="G235" s="27">
        <v>432.4</v>
      </c>
      <c r="H235" s="27">
        <v>432.4</v>
      </c>
      <c r="I235" s="27">
        <v>417.8</v>
      </c>
      <c r="J235" s="27">
        <f>G235-H235</f>
        <v>0</v>
      </c>
      <c r="K235" s="27">
        <f>G235-I235</f>
        <v>14.599999999999966</v>
      </c>
    </row>
    <row r="236" spans="1:11">
      <c r="A236" t="s">
        <v>152</v>
      </c>
      <c r="B236">
        <v>5</v>
      </c>
      <c r="C236" t="s">
        <v>56</v>
      </c>
      <c r="D236" t="s">
        <v>126</v>
      </c>
      <c r="E236" t="s">
        <v>129</v>
      </c>
      <c r="F236" t="s">
        <v>130</v>
      </c>
      <c r="G236" s="27">
        <v>40.799999999999997</v>
      </c>
      <c r="H236" s="27">
        <v>41.9</v>
      </c>
      <c r="I236" s="27">
        <v>40.5</v>
      </c>
      <c r="J236" s="27">
        <f>G236-H236</f>
        <v>-1.1000000000000014</v>
      </c>
      <c r="K236" s="27">
        <f>G236-I236</f>
        <v>0.29999999999999716</v>
      </c>
    </row>
    <row r="237" spans="1:11">
      <c r="A237" t="s">
        <v>152</v>
      </c>
      <c r="B237">
        <v>5</v>
      </c>
      <c r="C237" t="s">
        <v>56</v>
      </c>
      <c r="D237" t="s">
        <v>126</v>
      </c>
      <c r="E237" t="s">
        <v>131</v>
      </c>
      <c r="F237" t="s">
        <v>132</v>
      </c>
      <c r="G237" s="27">
        <v>72.599999999999994</v>
      </c>
      <c r="H237" s="27">
        <v>71.900000000000006</v>
      </c>
      <c r="I237" s="27">
        <v>69.5</v>
      </c>
      <c r="J237" s="27">
        <f>G237-H237</f>
        <v>0.69999999999998863</v>
      </c>
      <c r="K237" s="27">
        <f>G237-I237</f>
        <v>3.0999999999999943</v>
      </c>
    </row>
    <row r="238" spans="1:11">
      <c r="A238" t="s">
        <v>152</v>
      </c>
      <c r="B238">
        <v>5</v>
      </c>
      <c r="C238" t="s">
        <v>56</v>
      </c>
      <c r="D238" t="s">
        <v>126</v>
      </c>
      <c r="E238" t="s">
        <v>133</v>
      </c>
      <c r="F238" t="s">
        <v>134</v>
      </c>
      <c r="G238" s="27">
        <v>18.2</v>
      </c>
      <c r="H238" s="27">
        <v>17.899999999999999</v>
      </c>
      <c r="I238" s="27">
        <v>17.2</v>
      </c>
      <c r="J238" s="27">
        <f>G238-H238</f>
        <v>0.30000000000000071</v>
      </c>
      <c r="K238" s="27">
        <f>G238-I238</f>
        <v>1</v>
      </c>
    </row>
    <row r="239" spans="1:11">
      <c r="A239" t="s">
        <v>152</v>
      </c>
      <c r="B239">
        <v>5</v>
      </c>
      <c r="C239" t="s">
        <v>56</v>
      </c>
      <c r="D239" t="s">
        <v>126</v>
      </c>
      <c r="E239" t="s">
        <v>135</v>
      </c>
      <c r="F239" t="s">
        <v>136</v>
      </c>
      <c r="G239" s="27">
        <v>58.3</v>
      </c>
      <c r="H239" s="27">
        <v>56.9</v>
      </c>
      <c r="I239" s="27">
        <v>55</v>
      </c>
      <c r="J239" s="27">
        <f>G239-H239</f>
        <v>1.3999999999999986</v>
      </c>
      <c r="K239" s="27">
        <f>G239-I239</f>
        <v>3.2999999999999972</v>
      </c>
    </row>
    <row r="240" spans="1:11">
      <c r="A240" t="s">
        <v>152</v>
      </c>
      <c r="B240">
        <v>5</v>
      </c>
      <c r="C240" t="s">
        <v>57</v>
      </c>
      <c r="D240" t="s">
        <v>145</v>
      </c>
      <c r="E240" t="s">
        <v>105</v>
      </c>
      <c r="F240" t="s">
        <v>106</v>
      </c>
      <c r="G240" s="27">
        <v>369.1</v>
      </c>
      <c r="H240" s="27">
        <v>377.8</v>
      </c>
      <c r="I240" s="27">
        <v>365</v>
      </c>
      <c r="J240" s="27">
        <f>G240-H240</f>
        <v>-8.6999999999999886</v>
      </c>
      <c r="K240" s="27">
        <f>G240-I240</f>
        <v>4.1000000000000227</v>
      </c>
    </row>
    <row r="241" spans="1:11">
      <c r="A241" t="s">
        <v>152</v>
      </c>
      <c r="B241">
        <v>5</v>
      </c>
      <c r="C241" t="s">
        <v>57</v>
      </c>
      <c r="D241" t="s">
        <v>145</v>
      </c>
      <c r="E241" t="s">
        <v>107</v>
      </c>
      <c r="F241" t="s">
        <v>108</v>
      </c>
      <c r="G241" s="27">
        <v>34.700000000000003</v>
      </c>
      <c r="H241" s="27">
        <v>35.799999999999997</v>
      </c>
      <c r="I241" s="27">
        <v>34.6</v>
      </c>
      <c r="J241" s="27">
        <f>G241-H241</f>
        <v>-1.0999999999999943</v>
      </c>
      <c r="K241" s="27">
        <f>G241-I241</f>
        <v>0.10000000000000142</v>
      </c>
    </row>
    <row r="242" spans="1:11">
      <c r="A242" t="s">
        <v>152</v>
      </c>
      <c r="B242">
        <v>5</v>
      </c>
      <c r="C242" t="s">
        <v>57</v>
      </c>
      <c r="D242" t="s">
        <v>145</v>
      </c>
      <c r="E242" t="s">
        <v>109</v>
      </c>
      <c r="F242" t="s">
        <v>110</v>
      </c>
      <c r="G242" s="27">
        <v>25.6</v>
      </c>
      <c r="H242" s="27">
        <v>25.6</v>
      </c>
      <c r="I242" s="27">
        <v>24.8</v>
      </c>
      <c r="J242" s="27">
        <f>G242-H242</f>
        <v>0</v>
      </c>
      <c r="K242" s="27">
        <f>G242-I242</f>
        <v>0.80000000000000071</v>
      </c>
    </row>
    <row r="243" spans="1:11">
      <c r="A243" t="s">
        <v>152</v>
      </c>
      <c r="B243">
        <v>5</v>
      </c>
      <c r="C243" t="s">
        <v>57</v>
      </c>
      <c r="D243" t="s">
        <v>145</v>
      </c>
      <c r="E243" t="s">
        <v>111</v>
      </c>
      <c r="F243" t="s">
        <v>112</v>
      </c>
      <c r="G243" s="27">
        <v>238.1</v>
      </c>
      <c r="H243" s="27">
        <v>246</v>
      </c>
      <c r="I243" s="27">
        <v>237.7</v>
      </c>
      <c r="J243" s="27">
        <f>G243-H243</f>
        <v>-7.9000000000000057</v>
      </c>
      <c r="K243" s="27">
        <f>G243-I243</f>
        <v>0.40000000000000568</v>
      </c>
    </row>
    <row r="244" spans="1:11">
      <c r="A244" t="s">
        <v>152</v>
      </c>
      <c r="B244">
        <v>5</v>
      </c>
      <c r="C244" t="s">
        <v>57</v>
      </c>
      <c r="D244" t="s">
        <v>145</v>
      </c>
      <c r="E244" t="s">
        <v>113</v>
      </c>
      <c r="F244" t="s">
        <v>114</v>
      </c>
      <c r="G244" s="27">
        <v>370.8</v>
      </c>
      <c r="H244" s="27">
        <v>372.6</v>
      </c>
      <c r="I244" s="27">
        <v>360</v>
      </c>
      <c r="J244" s="27">
        <f>G244-H244</f>
        <v>-1.8000000000000114</v>
      </c>
      <c r="K244" s="27">
        <f>G244-I244</f>
        <v>10.800000000000011</v>
      </c>
    </row>
    <row r="245" spans="1:11">
      <c r="A245" t="s">
        <v>152</v>
      </c>
      <c r="B245">
        <v>5</v>
      </c>
      <c r="C245" t="s">
        <v>57</v>
      </c>
      <c r="D245" t="s">
        <v>145</v>
      </c>
      <c r="E245" t="s">
        <v>115</v>
      </c>
      <c r="F245" t="s">
        <v>116</v>
      </c>
      <c r="G245" s="27">
        <v>71.5</v>
      </c>
      <c r="H245" s="27">
        <v>72.599999999999994</v>
      </c>
      <c r="I245" s="27">
        <v>70.099999999999994</v>
      </c>
      <c r="J245" s="27">
        <f>G245-H245</f>
        <v>-1.0999999999999943</v>
      </c>
      <c r="K245" s="27">
        <f>G245-I245</f>
        <v>1.4000000000000057</v>
      </c>
    </row>
    <row r="246" spans="1:11">
      <c r="A246" t="s">
        <v>152</v>
      </c>
      <c r="B246">
        <v>5</v>
      </c>
      <c r="C246" t="s">
        <v>57</v>
      </c>
      <c r="D246" t="s">
        <v>146</v>
      </c>
      <c r="E246" t="s">
        <v>119</v>
      </c>
      <c r="F246" t="s">
        <v>120</v>
      </c>
      <c r="G246" s="27">
        <v>287.60000000000002</v>
      </c>
      <c r="H246" s="27">
        <v>297.8</v>
      </c>
      <c r="I246" s="27">
        <v>287.7</v>
      </c>
      <c r="J246" s="27">
        <f>G246-H246</f>
        <v>-10.199999999999989</v>
      </c>
      <c r="K246" s="27">
        <f>G246-I246</f>
        <v>-9.9999999999965894E-2</v>
      </c>
    </row>
    <row r="247" spans="1:11">
      <c r="A247" t="s">
        <v>152</v>
      </c>
      <c r="B247">
        <v>5</v>
      </c>
      <c r="C247" t="s">
        <v>57</v>
      </c>
      <c r="D247" t="s">
        <v>146</v>
      </c>
      <c r="E247" t="s">
        <v>121</v>
      </c>
      <c r="F247" t="s">
        <v>122</v>
      </c>
      <c r="G247" s="27">
        <v>49.7</v>
      </c>
      <c r="H247" s="27">
        <v>62.8</v>
      </c>
      <c r="I247" s="27">
        <v>60.7</v>
      </c>
      <c r="J247" s="27">
        <f>G247-H247</f>
        <v>-13.099999999999994</v>
      </c>
      <c r="K247" s="27">
        <f>G247-I247</f>
        <v>-11</v>
      </c>
    </row>
    <row r="248" spans="1:11">
      <c r="A248" t="s">
        <v>152</v>
      </c>
      <c r="B248">
        <v>5</v>
      </c>
      <c r="C248" t="s">
        <v>57</v>
      </c>
      <c r="D248" t="s">
        <v>146</v>
      </c>
      <c r="E248" t="s">
        <v>123</v>
      </c>
      <c r="F248" t="s">
        <v>124</v>
      </c>
      <c r="G248" s="27">
        <v>41.1</v>
      </c>
      <c r="H248" s="27">
        <v>41.9</v>
      </c>
      <c r="I248" s="27">
        <v>40.5</v>
      </c>
      <c r="J248" s="27">
        <f>G248-H248</f>
        <v>-0.79999999999999716</v>
      </c>
      <c r="K248" s="27">
        <f>G248-I248</f>
        <v>0.60000000000000142</v>
      </c>
    </row>
    <row r="249" spans="1:11">
      <c r="A249" t="s">
        <v>152</v>
      </c>
      <c r="B249">
        <v>5</v>
      </c>
      <c r="C249" t="s">
        <v>57</v>
      </c>
      <c r="D249" t="s">
        <v>126</v>
      </c>
      <c r="E249" t="s">
        <v>127</v>
      </c>
      <c r="F249" t="s">
        <v>128</v>
      </c>
      <c r="G249" s="27">
        <v>310.2</v>
      </c>
      <c r="H249" s="27">
        <v>315</v>
      </c>
      <c r="I249" s="27">
        <v>304.39999999999998</v>
      </c>
      <c r="J249" s="27">
        <f>G249-H249</f>
        <v>-4.8000000000000114</v>
      </c>
      <c r="K249" s="27">
        <f>G249-I249</f>
        <v>5.8000000000000114</v>
      </c>
    </row>
    <row r="250" spans="1:11">
      <c r="A250" t="s">
        <v>152</v>
      </c>
      <c r="B250">
        <v>5</v>
      </c>
      <c r="C250" t="s">
        <v>57</v>
      </c>
      <c r="D250" t="s">
        <v>126</v>
      </c>
      <c r="E250" t="s">
        <v>129</v>
      </c>
      <c r="F250" t="s">
        <v>130</v>
      </c>
      <c r="G250" s="27">
        <v>36.200000000000003</v>
      </c>
      <c r="H250" s="27">
        <v>36.700000000000003</v>
      </c>
      <c r="I250" s="27">
        <v>35.4</v>
      </c>
      <c r="J250" s="27">
        <f>G250-H250</f>
        <v>-0.5</v>
      </c>
      <c r="K250" s="27">
        <f>G250-I250</f>
        <v>0.80000000000000426</v>
      </c>
    </row>
    <row r="251" spans="1:11">
      <c r="A251" t="s">
        <v>152</v>
      </c>
      <c r="B251">
        <v>5</v>
      </c>
      <c r="C251" t="s">
        <v>57</v>
      </c>
      <c r="D251" t="s">
        <v>126</v>
      </c>
      <c r="E251" t="s">
        <v>131</v>
      </c>
      <c r="F251" t="s">
        <v>132</v>
      </c>
      <c r="G251" s="27">
        <v>52.7</v>
      </c>
      <c r="H251" s="27">
        <v>51.9</v>
      </c>
      <c r="I251" s="27">
        <v>50.1</v>
      </c>
      <c r="J251" s="27">
        <f>G251-H251</f>
        <v>0.80000000000000426</v>
      </c>
      <c r="K251" s="27">
        <f>G251-I251</f>
        <v>2.6000000000000014</v>
      </c>
    </row>
    <row r="252" spans="1:11">
      <c r="A252" t="s">
        <v>152</v>
      </c>
      <c r="B252">
        <v>5</v>
      </c>
      <c r="C252" t="s">
        <v>57</v>
      </c>
      <c r="D252" t="s">
        <v>126</v>
      </c>
      <c r="E252" t="s">
        <v>133</v>
      </c>
      <c r="F252" t="s">
        <v>134</v>
      </c>
      <c r="G252" s="27">
        <v>11.9</v>
      </c>
      <c r="H252" s="27">
        <v>12.5</v>
      </c>
      <c r="I252" s="27">
        <v>12.1</v>
      </c>
      <c r="J252" s="27">
        <f>G252-H252</f>
        <v>-0.59999999999999964</v>
      </c>
      <c r="K252" s="27">
        <f>G252-I252</f>
        <v>-0.19999999999999929</v>
      </c>
    </row>
    <row r="253" spans="1:11">
      <c r="A253" t="s">
        <v>152</v>
      </c>
      <c r="B253">
        <v>5</v>
      </c>
      <c r="C253" t="s">
        <v>57</v>
      </c>
      <c r="D253" t="s">
        <v>126</v>
      </c>
      <c r="E253" t="s">
        <v>135</v>
      </c>
      <c r="F253" t="s">
        <v>136</v>
      </c>
      <c r="G253" s="27">
        <v>42.4</v>
      </c>
      <c r="H253" s="27">
        <v>41.4</v>
      </c>
      <c r="I253" s="27">
        <v>40</v>
      </c>
      <c r="J253" s="27">
        <f>G253-H253</f>
        <v>1</v>
      </c>
      <c r="K253" s="27">
        <f>G253-I253</f>
        <v>2.3999999999999986</v>
      </c>
    </row>
    <row r="254" spans="1:11">
      <c r="A254" t="s">
        <v>152</v>
      </c>
      <c r="B254">
        <v>5</v>
      </c>
      <c r="C254" t="s">
        <v>58</v>
      </c>
      <c r="D254" t="s">
        <v>145</v>
      </c>
      <c r="E254" t="s">
        <v>105</v>
      </c>
      <c r="F254" t="s">
        <v>106</v>
      </c>
      <c r="G254" s="27">
        <v>338.4</v>
      </c>
      <c r="H254" s="27">
        <v>358.8</v>
      </c>
      <c r="I254" s="27">
        <v>346.7</v>
      </c>
      <c r="J254" s="27">
        <f>G254-H254</f>
        <v>-20.400000000000034</v>
      </c>
      <c r="K254" s="27">
        <f>G254-I254</f>
        <v>-8.3000000000000114</v>
      </c>
    </row>
    <row r="255" spans="1:11">
      <c r="A255" t="s">
        <v>152</v>
      </c>
      <c r="B255">
        <v>5</v>
      </c>
      <c r="C255" t="s">
        <v>58</v>
      </c>
      <c r="D255" t="s">
        <v>145</v>
      </c>
      <c r="E255" t="s">
        <v>107</v>
      </c>
      <c r="F255" t="s">
        <v>108</v>
      </c>
      <c r="G255" s="27">
        <v>32.700000000000003</v>
      </c>
      <c r="H255" s="27">
        <v>35.1</v>
      </c>
      <c r="I255" s="27">
        <v>33.9</v>
      </c>
      <c r="J255" s="27">
        <f>G255-H255</f>
        <v>-2.3999999999999986</v>
      </c>
      <c r="K255" s="27">
        <f>G255-I255</f>
        <v>-1.1999999999999957</v>
      </c>
    </row>
    <row r="256" spans="1:11">
      <c r="A256" t="s">
        <v>152</v>
      </c>
      <c r="B256">
        <v>5</v>
      </c>
      <c r="C256" t="s">
        <v>58</v>
      </c>
      <c r="D256" t="s">
        <v>145</v>
      </c>
      <c r="E256" t="s">
        <v>109</v>
      </c>
      <c r="F256" t="s">
        <v>110</v>
      </c>
      <c r="G256" s="27">
        <v>22.9</v>
      </c>
      <c r="H256" s="27">
        <v>25</v>
      </c>
      <c r="I256" s="27">
        <v>24.1</v>
      </c>
      <c r="J256" s="27">
        <f>G256-H256</f>
        <v>-2.1000000000000014</v>
      </c>
      <c r="K256" s="27">
        <f>G256-I256</f>
        <v>-1.2000000000000028</v>
      </c>
    </row>
    <row r="257" spans="1:11">
      <c r="A257" t="s">
        <v>152</v>
      </c>
      <c r="B257">
        <v>5</v>
      </c>
      <c r="C257" t="s">
        <v>58</v>
      </c>
      <c r="D257" t="s">
        <v>145</v>
      </c>
      <c r="E257" t="s">
        <v>111</v>
      </c>
      <c r="F257" t="s">
        <v>112</v>
      </c>
      <c r="G257" s="27">
        <v>218</v>
      </c>
      <c r="H257" s="27">
        <v>247.5</v>
      </c>
      <c r="I257" s="27">
        <v>239.1</v>
      </c>
      <c r="J257" s="27">
        <f>G257-H257</f>
        <v>-29.5</v>
      </c>
      <c r="K257" s="27">
        <f>G257-I257</f>
        <v>-21.099999999999994</v>
      </c>
    </row>
    <row r="258" spans="1:11">
      <c r="A258" t="s">
        <v>152</v>
      </c>
      <c r="B258">
        <v>5</v>
      </c>
      <c r="C258" t="s">
        <v>58</v>
      </c>
      <c r="D258" t="s">
        <v>145</v>
      </c>
      <c r="E258" t="s">
        <v>113</v>
      </c>
      <c r="F258" t="s">
        <v>114</v>
      </c>
      <c r="G258" s="27">
        <v>339.9</v>
      </c>
      <c r="H258" s="27">
        <v>341.5</v>
      </c>
      <c r="I258" s="27">
        <v>330</v>
      </c>
      <c r="J258" s="27">
        <f>G258-H258</f>
        <v>-1.6000000000000227</v>
      </c>
      <c r="K258" s="27">
        <f>G258-I258</f>
        <v>9.8999999999999773</v>
      </c>
    </row>
    <row r="259" spans="1:11">
      <c r="A259" t="s">
        <v>152</v>
      </c>
      <c r="B259">
        <v>5</v>
      </c>
      <c r="C259" t="s">
        <v>58</v>
      </c>
      <c r="D259" t="s">
        <v>145</v>
      </c>
      <c r="E259" t="s">
        <v>115</v>
      </c>
      <c r="F259" t="s">
        <v>116</v>
      </c>
      <c r="G259" s="27">
        <v>66.3</v>
      </c>
      <c r="H259" s="27">
        <v>66.7</v>
      </c>
      <c r="I259" s="27">
        <v>64.5</v>
      </c>
      <c r="J259" s="27">
        <f>G259-H259</f>
        <v>-0.40000000000000568</v>
      </c>
      <c r="K259" s="27">
        <f>G259-I259</f>
        <v>1.7999999999999972</v>
      </c>
    </row>
    <row r="260" spans="1:11">
      <c r="A260" t="s">
        <v>152</v>
      </c>
      <c r="B260">
        <v>5</v>
      </c>
      <c r="C260" t="s">
        <v>58</v>
      </c>
      <c r="D260" t="s">
        <v>146</v>
      </c>
      <c r="E260" t="s">
        <v>119</v>
      </c>
      <c r="F260" t="s">
        <v>120</v>
      </c>
      <c r="G260" s="27">
        <v>269.3</v>
      </c>
      <c r="H260" s="27">
        <v>298.3</v>
      </c>
      <c r="I260" s="27">
        <v>288.3</v>
      </c>
      <c r="J260" s="27">
        <f>G260-H260</f>
        <v>-29</v>
      </c>
      <c r="K260" s="27">
        <f>G260-I260</f>
        <v>-19</v>
      </c>
    </row>
    <row r="261" spans="1:11">
      <c r="A261" t="s">
        <v>152</v>
      </c>
      <c r="B261">
        <v>5</v>
      </c>
      <c r="C261" t="s">
        <v>58</v>
      </c>
      <c r="D261" t="s">
        <v>146</v>
      </c>
      <c r="E261" t="s">
        <v>121</v>
      </c>
      <c r="F261" t="s">
        <v>122</v>
      </c>
      <c r="G261" s="27">
        <v>44.4</v>
      </c>
      <c r="H261" s="27">
        <v>56.7</v>
      </c>
      <c r="I261" s="27">
        <v>54.8</v>
      </c>
      <c r="J261" s="27">
        <f>G261-H261</f>
        <v>-12.300000000000004</v>
      </c>
      <c r="K261" s="27">
        <f>G261-I261</f>
        <v>-10.399999999999999</v>
      </c>
    </row>
    <row r="262" spans="1:11">
      <c r="A262" t="s">
        <v>152</v>
      </c>
      <c r="B262">
        <v>5</v>
      </c>
      <c r="C262" t="s">
        <v>58</v>
      </c>
      <c r="D262" t="s">
        <v>146</v>
      </c>
      <c r="E262" t="s">
        <v>123</v>
      </c>
      <c r="F262" t="s">
        <v>124</v>
      </c>
      <c r="G262" s="27">
        <v>35.4</v>
      </c>
      <c r="H262" s="27">
        <v>36.4</v>
      </c>
      <c r="I262" s="27">
        <v>35.1</v>
      </c>
      <c r="J262" s="27">
        <f>G262-H262</f>
        <v>-1</v>
      </c>
      <c r="K262" s="27">
        <f>G262-I262</f>
        <v>0.29999999999999716</v>
      </c>
    </row>
    <row r="263" spans="1:11">
      <c r="A263" t="s">
        <v>152</v>
      </c>
      <c r="B263">
        <v>5</v>
      </c>
      <c r="C263" t="s">
        <v>58</v>
      </c>
      <c r="D263" t="s">
        <v>126</v>
      </c>
      <c r="E263" t="s">
        <v>127</v>
      </c>
      <c r="F263" t="s">
        <v>128</v>
      </c>
      <c r="G263" s="27">
        <v>286.2</v>
      </c>
      <c r="H263" s="27">
        <v>287.5</v>
      </c>
      <c r="I263" s="27">
        <v>277.60000000000002</v>
      </c>
      <c r="J263" s="27">
        <f>G263-H263</f>
        <v>-1.3000000000000114</v>
      </c>
      <c r="K263" s="27">
        <f>G263-I263</f>
        <v>8.5999999999999659</v>
      </c>
    </row>
    <row r="264" spans="1:11">
      <c r="A264" t="s">
        <v>152</v>
      </c>
      <c r="B264">
        <v>5</v>
      </c>
      <c r="C264" t="s">
        <v>58</v>
      </c>
      <c r="D264" t="s">
        <v>126</v>
      </c>
      <c r="E264" t="s">
        <v>129</v>
      </c>
      <c r="F264" t="s">
        <v>130</v>
      </c>
      <c r="G264" s="27">
        <v>31.5</v>
      </c>
      <c r="H264" s="27">
        <v>31.2</v>
      </c>
      <c r="I264" s="27">
        <v>30.2</v>
      </c>
      <c r="J264" s="27">
        <f>G264-H264</f>
        <v>0.30000000000000071</v>
      </c>
      <c r="K264" s="27">
        <f>G264-I264</f>
        <v>1.3000000000000007</v>
      </c>
    </row>
    <row r="265" spans="1:11">
      <c r="A265" t="s">
        <v>152</v>
      </c>
      <c r="B265">
        <v>5</v>
      </c>
      <c r="C265" t="s">
        <v>58</v>
      </c>
      <c r="D265" t="s">
        <v>126</v>
      </c>
      <c r="E265" t="s">
        <v>131</v>
      </c>
      <c r="F265" t="s">
        <v>132</v>
      </c>
      <c r="G265" s="27">
        <v>47.3</v>
      </c>
      <c r="H265" s="27">
        <v>46.6</v>
      </c>
      <c r="I265" s="27">
        <v>45</v>
      </c>
      <c r="J265" s="27">
        <f>G265-H265</f>
        <v>0.69999999999999574</v>
      </c>
      <c r="K265" s="27">
        <f>G265-I265</f>
        <v>2.2999999999999972</v>
      </c>
    </row>
    <row r="266" spans="1:11">
      <c r="A266" t="s">
        <v>152</v>
      </c>
      <c r="B266">
        <v>5</v>
      </c>
      <c r="C266" t="s">
        <v>58</v>
      </c>
      <c r="D266" t="s">
        <v>126</v>
      </c>
      <c r="E266" t="s">
        <v>133</v>
      </c>
      <c r="F266" t="s">
        <v>134</v>
      </c>
      <c r="G266" s="27">
        <v>11</v>
      </c>
      <c r="H266" s="27">
        <v>12</v>
      </c>
      <c r="I266" s="27">
        <v>11.6</v>
      </c>
      <c r="J266" s="27">
        <f>G266-H266</f>
        <v>-1</v>
      </c>
      <c r="K266" s="27">
        <f>G266-I266</f>
        <v>-0.59999999999999964</v>
      </c>
    </row>
    <row r="267" spans="1:11">
      <c r="A267" t="s">
        <v>152</v>
      </c>
      <c r="B267">
        <v>5</v>
      </c>
      <c r="C267" t="s">
        <v>58</v>
      </c>
      <c r="D267" t="s">
        <v>126</v>
      </c>
      <c r="E267" t="s">
        <v>135</v>
      </c>
      <c r="F267" t="s">
        <v>136</v>
      </c>
      <c r="G267" s="27">
        <v>40.299999999999997</v>
      </c>
      <c r="H267" s="27">
        <v>39.299999999999997</v>
      </c>
      <c r="I267" s="27">
        <v>38</v>
      </c>
      <c r="J267" s="27">
        <f>G267-H267</f>
        <v>1</v>
      </c>
      <c r="K267" s="27">
        <f>G267-I267</f>
        <v>2.2999999999999972</v>
      </c>
    </row>
    <row r="268" spans="1:11">
      <c r="A268" t="s">
        <v>152</v>
      </c>
      <c r="B268">
        <v>5</v>
      </c>
      <c r="C268" t="s">
        <v>59</v>
      </c>
      <c r="D268" t="s">
        <v>145</v>
      </c>
      <c r="E268" t="s">
        <v>105</v>
      </c>
      <c r="F268" t="s">
        <v>106</v>
      </c>
      <c r="G268" s="27">
        <v>233.4</v>
      </c>
      <c r="H268" s="27">
        <v>232.2</v>
      </c>
      <c r="I268" s="27">
        <v>224.4</v>
      </c>
      <c r="J268" s="27">
        <f>G268-H268</f>
        <v>1.2000000000000171</v>
      </c>
      <c r="K268" s="27">
        <f>G268-I268</f>
        <v>9</v>
      </c>
    </row>
    <row r="269" spans="1:11">
      <c r="A269" t="s">
        <v>152</v>
      </c>
      <c r="B269">
        <v>5</v>
      </c>
      <c r="C269" t="s">
        <v>59</v>
      </c>
      <c r="D269" t="s">
        <v>145</v>
      </c>
      <c r="E269" t="s">
        <v>107</v>
      </c>
      <c r="F269" t="s">
        <v>108</v>
      </c>
      <c r="G269" s="27">
        <v>22.4</v>
      </c>
      <c r="H269" s="27">
        <v>22.6</v>
      </c>
      <c r="I269" s="27">
        <v>21.8</v>
      </c>
      <c r="J269" s="27">
        <f>G269-H269</f>
        <v>-0.20000000000000284</v>
      </c>
      <c r="K269" s="27">
        <f>G269-I269</f>
        <v>0.59999999999999787</v>
      </c>
    </row>
    <row r="270" spans="1:11">
      <c r="A270" t="s">
        <v>152</v>
      </c>
      <c r="B270">
        <v>5</v>
      </c>
      <c r="C270" t="s">
        <v>59</v>
      </c>
      <c r="D270" t="s">
        <v>145</v>
      </c>
      <c r="E270" t="s">
        <v>109</v>
      </c>
      <c r="F270" t="s">
        <v>110</v>
      </c>
      <c r="G270" s="27">
        <v>16.2</v>
      </c>
      <c r="H270" s="27">
        <v>16.2</v>
      </c>
      <c r="I270" s="27">
        <v>15.6</v>
      </c>
      <c r="J270" s="27">
        <f>G270-H270</f>
        <v>0</v>
      </c>
      <c r="K270" s="27">
        <f>G270-I270</f>
        <v>0.59999999999999964</v>
      </c>
    </row>
    <row r="271" spans="1:11">
      <c r="A271" t="s">
        <v>152</v>
      </c>
      <c r="B271">
        <v>5</v>
      </c>
      <c r="C271" t="s">
        <v>59</v>
      </c>
      <c r="D271" t="s">
        <v>145</v>
      </c>
      <c r="E271" t="s">
        <v>111</v>
      </c>
      <c r="F271" t="s">
        <v>112</v>
      </c>
      <c r="G271" s="27">
        <v>151.6</v>
      </c>
      <c r="H271" s="27">
        <v>153.9</v>
      </c>
      <c r="I271" s="27">
        <v>148.69999999999999</v>
      </c>
      <c r="J271" s="27">
        <f>G271-H271</f>
        <v>-2.3000000000000114</v>
      </c>
      <c r="K271" s="27">
        <f>G271-I271</f>
        <v>2.9000000000000057</v>
      </c>
    </row>
    <row r="272" spans="1:11">
      <c r="A272" t="s">
        <v>152</v>
      </c>
      <c r="B272">
        <v>5</v>
      </c>
      <c r="C272" t="s">
        <v>59</v>
      </c>
      <c r="D272" t="s">
        <v>145</v>
      </c>
      <c r="E272" t="s">
        <v>113</v>
      </c>
      <c r="F272" t="s">
        <v>114</v>
      </c>
      <c r="G272" s="27">
        <v>247.2</v>
      </c>
      <c r="H272" s="27">
        <v>248.4</v>
      </c>
      <c r="I272" s="27">
        <v>240</v>
      </c>
      <c r="J272" s="27">
        <f>G272-H272</f>
        <v>-1.2000000000000171</v>
      </c>
      <c r="K272" s="27">
        <f>G272-I272</f>
        <v>7.1999999999999886</v>
      </c>
    </row>
    <row r="273" spans="1:11">
      <c r="A273" t="s">
        <v>152</v>
      </c>
      <c r="B273">
        <v>5</v>
      </c>
      <c r="C273" t="s">
        <v>59</v>
      </c>
      <c r="D273" t="s">
        <v>145</v>
      </c>
      <c r="E273" t="s">
        <v>115</v>
      </c>
      <c r="F273" t="s">
        <v>116</v>
      </c>
      <c r="G273" s="27">
        <v>48.5</v>
      </c>
      <c r="H273" s="27">
        <v>50.6</v>
      </c>
      <c r="I273" s="27">
        <v>48.9</v>
      </c>
      <c r="J273" s="27">
        <f>G273-H273</f>
        <v>-2.1000000000000014</v>
      </c>
      <c r="K273" s="27">
        <f>G273-I273</f>
        <v>-0.39999999999999858</v>
      </c>
    </row>
    <row r="274" spans="1:11">
      <c r="A274" t="s">
        <v>152</v>
      </c>
      <c r="B274">
        <v>5</v>
      </c>
      <c r="C274" t="s">
        <v>59</v>
      </c>
      <c r="D274" t="s">
        <v>146</v>
      </c>
      <c r="E274" t="s">
        <v>119</v>
      </c>
      <c r="F274" t="s">
        <v>120</v>
      </c>
      <c r="G274" s="27">
        <v>188</v>
      </c>
      <c r="H274" s="27">
        <v>186</v>
      </c>
      <c r="I274" s="27">
        <v>179.7</v>
      </c>
      <c r="J274" s="27">
        <f>G274-H274</f>
        <v>2</v>
      </c>
      <c r="K274" s="27">
        <f>G274-I274</f>
        <v>8.3000000000000114</v>
      </c>
    </row>
    <row r="275" spans="1:11">
      <c r="A275" t="s">
        <v>152</v>
      </c>
      <c r="B275">
        <v>5</v>
      </c>
      <c r="C275" t="s">
        <v>59</v>
      </c>
      <c r="D275" t="s">
        <v>146</v>
      </c>
      <c r="E275" t="s">
        <v>121</v>
      </c>
      <c r="F275" t="s">
        <v>122</v>
      </c>
      <c r="G275" s="27">
        <v>32.200000000000003</v>
      </c>
      <c r="H275" s="27">
        <v>40.9</v>
      </c>
      <c r="I275" s="27">
        <v>39.5</v>
      </c>
      <c r="J275" s="27">
        <f>G275-H275</f>
        <v>-8.6999999999999957</v>
      </c>
      <c r="K275" s="27">
        <f>G275-I275</f>
        <v>-7.2999999999999972</v>
      </c>
    </row>
    <row r="276" spans="1:11">
      <c r="A276" t="s">
        <v>152</v>
      </c>
      <c r="B276">
        <v>5</v>
      </c>
      <c r="C276" t="s">
        <v>59</v>
      </c>
      <c r="D276" t="s">
        <v>146</v>
      </c>
      <c r="E276" t="s">
        <v>123</v>
      </c>
      <c r="F276" t="s">
        <v>124</v>
      </c>
      <c r="G276" s="27">
        <v>45.8</v>
      </c>
      <c r="H276" s="27">
        <v>46.5</v>
      </c>
      <c r="I276" s="27">
        <v>44.9</v>
      </c>
      <c r="J276" s="27">
        <f>G276-H276</f>
        <v>-0.70000000000000284</v>
      </c>
      <c r="K276" s="27">
        <f>G276-I276</f>
        <v>0.89999999999999858</v>
      </c>
    </row>
    <row r="277" spans="1:11">
      <c r="A277" t="s">
        <v>152</v>
      </c>
      <c r="B277">
        <v>5</v>
      </c>
      <c r="C277" t="s">
        <v>59</v>
      </c>
      <c r="D277" t="s">
        <v>126</v>
      </c>
      <c r="E277" t="s">
        <v>127</v>
      </c>
      <c r="F277" t="s">
        <v>128</v>
      </c>
      <c r="G277" s="27">
        <v>209.2</v>
      </c>
      <c r="H277" s="27">
        <v>207.5</v>
      </c>
      <c r="I277" s="27">
        <v>200.5</v>
      </c>
      <c r="J277" s="27">
        <f>G277-H277</f>
        <v>1.6999999999999886</v>
      </c>
      <c r="K277" s="27">
        <f>G277-I277</f>
        <v>8.6999999999999886</v>
      </c>
    </row>
    <row r="278" spans="1:11">
      <c r="A278" t="s">
        <v>152</v>
      </c>
      <c r="B278">
        <v>5</v>
      </c>
      <c r="C278" t="s">
        <v>59</v>
      </c>
      <c r="D278" t="s">
        <v>126</v>
      </c>
      <c r="E278" t="s">
        <v>129</v>
      </c>
      <c r="F278" t="s">
        <v>130</v>
      </c>
      <c r="G278" s="27">
        <v>25.8</v>
      </c>
      <c r="H278" s="27">
        <v>26.3</v>
      </c>
      <c r="I278" s="27">
        <v>25.4</v>
      </c>
      <c r="J278" s="27">
        <f>G278-H278</f>
        <v>-0.5</v>
      </c>
      <c r="K278" s="27">
        <f>G278-I278</f>
        <v>0.40000000000000213</v>
      </c>
    </row>
    <row r="279" spans="1:11">
      <c r="A279" t="s">
        <v>152</v>
      </c>
      <c r="B279">
        <v>5</v>
      </c>
      <c r="C279" t="s">
        <v>59</v>
      </c>
      <c r="D279" t="s">
        <v>126</v>
      </c>
      <c r="E279" t="s">
        <v>131</v>
      </c>
      <c r="F279" t="s">
        <v>132</v>
      </c>
      <c r="G279" s="27">
        <v>36.799999999999997</v>
      </c>
      <c r="H279" s="27">
        <v>36.6</v>
      </c>
      <c r="I279" s="27">
        <v>35.4</v>
      </c>
      <c r="J279" s="27">
        <f>G279-H279</f>
        <v>0.19999999999999574</v>
      </c>
      <c r="K279" s="27">
        <f>G279-I279</f>
        <v>1.3999999999999986</v>
      </c>
    </row>
    <row r="280" spans="1:11">
      <c r="A280" t="s">
        <v>152</v>
      </c>
      <c r="B280">
        <v>5</v>
      </c>
      <c r="C280" t="s">
        <v>59</v>
      </c>
      <c r="D280" t="s">
        <v>126</v>
      </c>
      <c r="E280" t="s">
        <v>133</v>
      </c>
      <c r="F280" t="s">
        <v>134</v>
      </c>
      <c r="G280" s="27">
        <v>7.7</v>
      </c>
      <c r="H280" s="27">
        <v>7.8</v>
      </c>
      <c r="I280" s="27">
        <v>7.6</v>
      </c>
      <c r="J280" s="27">
        <f>G280-H280</f>
        <v>-9.9999999999999645E-2</v>
      </c>
      <c r="K280" s="27">
        <f>G280-I280</f>
        <v>0.10000000000000053</v>
      </c>
    </row>
    <row r="281" spans="1:11">
      <c r="A281" t="s">
        <v>152</v>
      </c>
      <c r="B281">
        <v>5</v>
      </c>
      <c r="C281" t="s">
        <v>59</v>
      </c>
      <c r="D281" t="s">
        <v>126</v>
      </c>
      <c r="E281" t="s">
        <v>135</v>
      </c>
      <c r="F281" t="s">
        <v>136</v>
      </c>
      <c r="G281" s="27">
        <v>29.7</v>
      </c>
      <c r="H281" s="27">
        <v>29</v>
      </c>
      <c r="I281" s="27">
        <v>28</v>
      </c>
      <c r="J281" s="27">
        <f>G281-H281</f>
        <v>0.69999999999999929</v>
      </c>
      <c r="K281" s="27">
        <f>G281-I281</f>
        <v>1.6999999999999993</v>
      </c>
    </row>
    <row r="282" spans="1:11">
      <c r="A282" t="s">
        <v>153</v>
      </c>
      <c r="B282">
        <v>6</v>
      </c>
      <c r="C282" t="s">
        <v>56</v>
      </c>
      <c r="D282" t="s">
        <v>145</v>
      </c>
      <c r="E282" t="s">
        <v>105</v>
      </c>
      <c r="F282" t="s">
        <v>106</v>
      </c>
      <c r="G282" s="27">
        <v>557.9</v>
      </c>
      <c r="H282" s="27">
        <v>555.4</v>
      </c>
      <c r="I282" s="27">
        <v>536.6</v>
      </c>
      <c r="J282" s="27">
        <f>G282-H282</f>
        <v>2.5</v>
      </c>
      <c r="K282" s="27">
        <f>G282-I282</f>
        <v>21.299999999999955</v>
      </c>
    </row>
    <row r="283" spans="1:11">
      <c r="A283" t="s">
        <v>153</v>
      </c>
      <c r="B283">
        <v>6</v>
      </c>
      <c r="C283" t="s">
        <v>56</v>
      </c>
      <c r="D283" t="s">
        <v>145</v>
      </c>
      <c r="E283" t="s">
        <v>107</v>
      </c>
      <c r="F283" t="s">
        <v>108</v>
      </c>
      <c r="G283" s="27">
        <v>52.9</v>
      </c>
      <c r="H283" s="27">
        <v>54.1</v>
      </c>
      <c r="I283" s="27">
        <v>52.3</v>
      </c>
      <c r="J283" s="27">
        <f>G283-H283</f>
        <v>-1.2000000000000028</v>
      </c>
      <c r="K283" s="27">
        <f>G283-I283</f>
        <v>0.60000000000000142</v>
      </c>
    </row>
    <row r="284" spans="1:11">
      <c r="A284" t="s">
        <v>153</v>
      </c>
      <c r="B284">
        <v>6</v>
      </c>
      <c r="C284" t="s">
        <v>56</v>
      </c>
      <c r="D284" t="s">
        <v>145</v>
      </c>
      <c r="E284" t="s">
        <v>109</v>
      </c>
      <c r="F284" t="s">
        <v>110</v>
      </c>
      <c r="G284" s="27">
        <v>38.9</v>
      </c>
      <c r="H284" s="27">
        <v>37.700000000000003</v>
      </c>
      <c r="I284" s="27">
        <v>36.5</v>
      </c>
      <c r="J284" s="27">
        <f>G284-H284</f>
        <v>1.1999999999999957</v>
      </c>
      <c r="K284" s="27">
        <f>G284-I284</f>
        <v>2.3999999999999986</v>
      </c>
    </row>
    <row r="285" spans="1:11">
      <c r="A285" t="s">
        <v>153</v>
      </c>
      <c r="B285">
        <v>6</v>
      </c>
      <c r="C285" t="s">
        <v>56</v>
      </c>
      <c r="D285" t="s">
        <v>145</v>
      </c>
      <c r="E285" t="s">
        <v>111</v>
      </c>
      <c r="F285" t="s">
        <v>112</v>
      </c>
      <c r="G285" s="27">
        <v>351.9</v>
      </c>
      <c r="H285" s="27">
        <v>366.6</v>
      </c>
      <c r="I285" s="27">
        <v>354.2</v>
      </c>
      <c r="J285" s="27">
        <f>G285-H285</f>
        <v>-14.700000000000045</v>
      </c>
      <c r="K285" s="27">
        <f>G285-I285</f>
        <v>-2.3000000000000114</v>
      </c>
    </row>
    <row r="286" spans="1:11">
      <c r="A286" t="s">
        <v>153</v>
      </c>
      <c r="B286">
        <v>6</v>
      </c>
      <c r="C286" t="s">
        <v>56</v>
      </c>
      <c r="D286" t="s">
        <v>145</v>
      </c>
      <c r="E286" t="s">
        <v>113</v>
      </c>
      <c r="F286" t="s">
        <v>114</v>
      </c>
      <c r="G286" s="27">
        <v>535.6</v>
      </c>
      <c r="H286" s="27">
        <v>538.20000000000005</v>
      </c>
      <c r="I286" s="27">
        <v>520</v>
      </c>
      <c r="J286" s="27">
        <f>G286-H286</f>
        <v>-2.6000000000000227</v>
      </c>
      <c r="K286" s="27">
        <f>G286-I286</f>
        <v>15.600000000000023</v>
      </c>
    </row>
    <row r="287" spans="1:11">
      <c r="A287" t="s">
        <v>153</v>
      </c>
      <c r="B287">
        <v>6</v>
      </c>
      <c r="C287" t="s">
        <v>56</v>
      </c>
      <c r="D287" t="s">
        <v>145</v>
      </c>
      <c r="E287" t="s">
        <v>115</v>
      </c>
      <c r="F287" t="s">
        <v>116</v>
      </c>
      <c r="G287" s="27">
        <v>109.8</v>
      </c>
      <c r="H287" s="27">
        <v>108.3</v>
      </c>
      <c r="I287" s="27">
        <v>104.6</v>
      </c>
      <c r="J287" s="27">
        <f>G287-H287</f>
        <v>1.5</v>
      </c>
      <c r="K287" s="27">
        <f>G287-I287</f>
        <v>5.2000000000000028</v>
      </c>
    </row>
    <row r="288" spans="1:11">
      <c r="A288" t="s">
        <v>153</v>
      </c>
      <c r="B288">
        <v>6</v>
      </c>
      <c r="C288" t="s">
        <v>56</v>
      </c>
      <c r="D288" t="s">
        <v>146</v>
      </c>
      <c r="E288" t="s">
        <v>119</v>
      </c>
      <c r="F288" t="s">
        <v>120</v>
      </c>
      <c r="G288" s="27">
        <v>434.3</v>
      </c>
      <c r="H288" s="27">
        <v>443.5</v>
      </c>
      <c r="I288" s="27">
        <v>428.5</v>
      </c>
      <c r="J288" s="27">
        <f>G288-H288</f>
        <v>-9.1999999999999886</v>
      </c>
      <c r="K288" s="27">
        <f>G288-I288</f>
        <v>5.8000000000000114</v>
      </c>
    </row>
    <row r="289" spans="1:11">
      <c r="A289" t="s">
        <v>153</v>
      </c>
      <c r="B289">
        <v>6</v>
      </c>
      <c r="C289" t="s">
        <v>56</v>
      </c>
      <c r="D289" t="s">
        <v>146</v>
      </c>
      <c r="E289" t="s">
        <v>121</v>
      </c>
      <c r="F289" t="s">
        <v>122</v>
      </c>
      <c r="G289" s="27">
        <v>68.900000000000006</v>
      </c>
      <c r="H289" s="27">
        <v>87</v>
      </c>
      <c r="I289" s="27">
        <v>84</v>
      </c>
      <c r="J289" s="27">
        <f>G289-H289</f>
        <v>-18.099999999999994</v>
      </c>
      <c r="K289" s="27">
        <f>G289-I289</f>
        <v>-15.099999999999994</v>
      </c>
    </row>
    <row r="290" spans="1:11">
      <c r="A290" t="s">
        <v>153</v>
      </c>
      <c r="B290">
        <v>6</v>
      </c>
      <c r="C290" t="s">
        <v>56</v>
      </c>
      <c r="D290" t="s">
        <v>146</v>
      </c>
      <c r="E290" t="s">
        <v>123</v>
      </c>
      <c r="F290" t="s">
        <v>124</v>
      </c>
      <c r="G290" s="27">
        <v>60.1</v>
      </c>
      <c r="H290" s="27">
        <v>61.4</v>
      </c>
      <c r="I290" s="27">
        <v>59.3</v>
      </c>
      <c r="J290" s="27">
        <f>G290-H290</f>
        <v>-1.2999999999999972</v>
      </c>
      <c r="K290" s="27">
        <f>G290-I290</f>
        <v>0.80000000000000426</v>
      </c>
    </row>
    <row r="291" spans="1:11">
      <c r="A291" t="s">
        <v>153</v>
      </c>
      <c r="B291">
        <v>6</v>
      </c>
      <c r="C291" t="s">
        <v>56</v>
      </c>
      <c r="D291" t="s">
        <v>126</v>
      </c>
      <c r="E291" t="s">
        <v>127</v>
      </c>
      <c r="F291" t="s">
        <v>128</v>
      </c>
      <c r="G291" s="27">
        <v>426.7</v>
      </c>
      <c r="H291" s="27">
        <v>416.5</v>
      </c>
      <c r="I291" s="27">
        <v>402.4</v>
      </c>
      <c r="J291" s="27">
        <f>G291-H291</f>
        <v>10.199999999999989</v>
      </c>
      <c r="K291" s="27">
        <f>G291-I291</f>
        <v>24.300000000000011</v>
      </c>
    </row>
    <row r="292" spans="1:11">
      <c r="A292" t="s">
        <v>153</v>
      </c>
      <c r="B292">
        <v>6</v>
      </c>
      <c r="C292" t="s">
        <v>56</v>
      </c>
      <c r="D292" t="s">
        <v>126</v>
      </c>
      <c r="E292" t="s">
        <v>129</v>
      </c>
      <c r="F292" t="s">
        <v>130</v>
      </c>
      <c r="G292" s="27">
        <v>41.7</v>
      </c>
      <c r="H292" s="27">
        <v>41.7</v>
      </c>
      <c r="I292" s="27">
        <v>40.299999999999997</v>
      </c>
      <c r="J292" s="27">
        <f>G292-H292</f>
        <v>0</v>
      </c>
      <c r="K292" s="27">
        <f>G292-I292</f>
        <v>1.4000000000000057</v>
      </c>
    </row>
    <row r="293" spans="1:11">
      <c r="A293" t="s">
        <v>153</v>
      </c>
      <c r="B293">
        <v>6</v>
      </c>
      <c r="C293" t="s">
        <v>56</v>
      </c>
      <c r="D293" t="s">
        <v>126</v>
      </c>
      <c r="E293" t="s">
        <v>131</v>
      </c>
      <c r="F293" t="s">
        <v>132</v>
      </c>
      <c r="G293" s="27">
        <v>101</v>
      </c>
      <c r="H293" s="27">
        <v>71.3</v>
      </c>
      <c r="I293" s="27">
        <v>68.900000000000006</v>
      </c>
      <c r="J293" s="27">
        <f>G293-H293</f>
        <v>29.700000000000003</v>
      </c>
      <c r="K293" s="27">
        <f>G293-I293</f>
        <v>32.099999999999994</v>
      </c>
    </row>
    <row r="294" spans="1:11">
      <c r="A294" t="s">
        <v>153</v>
      </c>
      <c r="B294">
        <v>6</v>
      </c>
      <c r="C294" t="s">
        <v>56</v>
      </c>
      <c r="D294" t="s">
        <v>126</v>
      </c>
      <c r="E294" t="s">
        <v>133</v>
      </c>
      <c r="F294" t="s">
        <v>134</v>
      </c>
      <c r="G294" s="27">
        <v>18.3</v>
      </c>
      <c r="H294" s="27">
        <v>18.100000000000001</v>
      </c>
      <c r="I294" s="27">
        <v>17.5</v>
      </c>
      <c r="J294" s="27">
        <f>G294-H294</f>
        <v>0.19999999999999929</v>
      </c>
      <c r="K294" s="27">
        <f>G294-I294</f>
        <v>0.80000000000000071</v>
      </c>
    </row>
    <row r="295" spans="1:11">
      <c r="A295" t="s">
        <v>153</v>
      </c>
      <c r="B295">
        <v>6</v>
      </c>
      <c r="C295" t="s">
        <v>56</v>
      </c>
      <c r="D295" t="s">
        <v>126</v>
      </c>
      <c r="E295" t="s">
        <v>135</v>
      </c>
      <c r="F295" t="s">
        <v>136</v>
      </c>
      <c r="G295" s="27">
        <v>58.3</v>
      </c>
      <c r="H295" s="27">
        <v>56.9</v>
      </c>
      <c r="I295" s="27">
        <v>55</v>
      </c>
      <c r="J295" s="27">
        <f>G295-H295</f>
        <v>1.3999999999999986</v>
      </c>
      <c r="K295" s="27">
        <f>G295-I295</f>
        <v>3.2999999999999972</v>
      </c>
    </row>
    <row r="296" spans="1:11">
      <c r="A296" t="s">
        <v>153</v>
      </c>
      <c r="B296">
        <v>6</v>
      </c>
      <c r="C296" t="s">
        <v>57</v>
      </c>
      <c r="D296" t="s">
        <v>145</v>
      </c>
      <c r="E296" t="s">
        <v>105</v>
      </c>
      <c r="F296" t="s">
        <v>106</v>
      </c>
      <c r="G296" s="27">
        <v>367.9</v>
      </c>
      <c r="H296" s="27">
        <v>380.7</v>
      </c>
      <c r="I296" s="27">
        <v>367.8</v>
      </c>
      <c r="J296" s="27">
        <f>G296-H296</f>
        <v>-12.800000000000011</v>
      </c>
      <c r="K296" s="27">
        <f>G296-I296</f>
        <v>9.9999999999965894E-2</v>
      </c>
    </row>
    <row r="297" spans="1:11">
      <c r="A297" t="s">
        <v>153</v>
      </c>
      <c r="B297">
        <v>6</v>
      </c>
      <c r="C297" t="s">
        <v>57</v>
      </c>
      <c r="D297" t="s">
        <v>145</v>
      </c>
      <c r="E297" t="s">
        <v>107</v>
      </c>
      <c r="F297" t="s">
        <v>108</v>
      </c>
      <c r="G297" s="27">
        <v>36.6</v>
      </c>
      <c r="H297" s="27">
        <v>37.9</v>
      </c>
      <c r="I297" s="27">
        <v>36.6</v>
      </c>
      <c r="J297" s="27">
        <f>G297-H297</f>
        <v>-1.2999999999999972</v>
      </c>
      <c r="K297" s="27">
        <f>G297-I297</f>
        <v>0</v>
      </c>
    </row>
    <row r="298" spans="1:11">
      <c r="A298" t="s">
        <v>153</v>
      </c>
      <c r="B298">
        <v>6</v>
      </c>
      <c r="C298" t="s">
        <v>57</v>
      </c>
      <c r="D298" t="s">
        <v>145</v>
      </c>
      <c r="E298" t="s">
        <v>109</v>
      </c>
      <c r="F298" t="s">
        <v>110</v>
      </c>
      <c r="G298" s="27">
        <v>26.4</v>
      </c>
      <c r="H298" s="27">
        <v>26.5</v>
      </c>
      <c r="I298" s="27">
        <v>25.6</v>
      </c>
      <c r="J298" s="27">
        <f>G298-H298</f>
        <v>-0.10000000000000142</v>
      </c>
      <c r="K298" s="27">
        <f>G298-I298</f>
        <v>0.79999999999999716</v>
      </c>
    </row>
    <row r="299" spans="1:11">
      <c r="A299" t="s">
        <v>153</v>
      </c>
      <c r="B299">
        <v>6</v>
      </c>
      <c r="C299" t="s">
        <v>57</v>
      </c>
      <c r="D299" t="s">
        <v>145</v>
      </c>
      <c r="E299" t="s">
        <v>111</v>
      </c>
      <c r="F299" t="s">
        <v>112</v>
      </c>
      <c r="G299" s="27">
        <v>240.7</v>
      </c>
      <c r="H299" s="27">
        <v>252.7</v>
      </c>
      <c r="I299" s="27">
        <v>244.1</v>
      </c>
      <c r="J299" s="27">
        <f>G299-H299</f>
        <v>-12</v>
      </c>
      <c r="K299" s="27">
        <f>G299-I299</f>
        <v>-3.4000000000000057</v>
      </c>
    </row>
    <row r="300" spans="1:11">
      <c r="A300" t="s">
        <v>153</v>
      </c>
      <c r="B300">
        <v>6</v>
      </c>
      <c r="C300" t="s">
        <v>57</v>
      </c>
      <c r="D300" t="s">
        <v>145</v>
      </c>
      <c r="E300" t="s">
        <v>113</v>
      </c>
      <c r="F300" t="s">
        <v>114</v>
      </c>
      <c r="G300" s="27">
        <v>370.8</v>
      </c>
      <c r="H300" s="27">
        <v>372.6</v>
      </c>
      <c r="I300" s="27">
        <v>360</v>
      </c>
      <c r="J300" s="27">
        <f>G300-H300</f>
        <v>-1.8000000000000114</v>
      </c>
      <c r="K300" s="27">
        <f>G300-I300</f>
        <v>10.800000000000011</v>
      </c>
    </row>
    <row r="301" spans="1:11">
      <c r="A301" t="s">
        <v>153</v>
      </c>
      <c r="B301">
        <v>6</v>
      </c>
      <c r="C301" t="s">
        <v>57</v>
      </c>
      <c r="D301" t="s">
        <v>145</v>
      </c>
      <c r="E301" t="s">
        <v>115</v>
      </c>
      <c r="F301" t="s">
        <v>116</v>
      </c>
      <c r="G301" s="27">
        <v>80.8</v>
      </c>
      <c r="H301" s="27">
        <v>81.8</v>
      </c>
      <c r="I301" s="27">
        <v>79.099999999999994</v>
      </c>
      <c r="J301" s="27">
        <f>G301-H301</f>
        <v>-1</v>
      </c>
      <c r="K301" s="27">
        <f>G301-I301</f>
        <v>1.7000000000000028</v>
      </c>
    </row>
    <row r="302" spans="1:11">
      <c r="A302" t="s">
        <v>153</v>
      </c>
      <c r="B302">
        <v>6</v>
      </c>
      <c r="C302" t="s">
        <v>57</v>
      </c>
      <c r="D302" t="s">
        <v>146</v>
      </c>
      <c r="E302" t="s">
        <v>119</v>
      </c>
      <c r="F302" t="s">
        <v>120</v>
      </c>
      <c r="G302" s="27">
        <v>305.89999999999998</v>
      </c>
      <c r="H302" s="27">
        <v>311.89999999999998</v>
      </c>
      <c r="I302" s="27">
        <v>301.39999999999998</v>
      </c>
      <c r="J302" s="27">
        <f>G302-H302</f>
        <v>-6</v>
      </c>
      <c r="K302" s="27">
        <f>G302-I302</f>
        <v>4.5</v>
      </c>
    </row>
    <row r="303" spans="1:11">
      <c r="A303" t="s">
        <v>153</v>
      </c>
      <c r="B303">
        <v>6</v>
      </c>
      <c r="C303" t="s">
        <v>57</v>
      </c>
      <c r="D303" t="s">
        <v>146</v>
      </c>
      <c r="E303" t="s">
        <v>121</v>
      </c>
      <c r="F303" t="s">
        <v>122</v>
      </c>
      <c r="G303" s="27">
        <v>48.8</v>
      </c>
      <c r="H303" s="27">
        <v>60.9</v>
      </c>
      <c r="I303" s="27">
        <v>58.8</v>
      </c>
      <c r="J303" s="27">
        <f>G303-H303</f>
        <v>-12.100000000000001</v>
      </c>
      <c r="K303" s="27">
        <f>G303-I303</f>
        <v>-10</v>
      </c>
    </row>
    <row r="304" spans="1:11">
      <c r="A304" t="s">
        <v>153</v>
      </c>
      <c r="B304">
        <v>6</v>
      </c>
      <c r="C304" t="s">
        <v>57</v>
      </c>
      <c r="D304" t="s">
        <v>146</v>
      </c>
      <c r="E304" t="s">
        <v>123</v>
      </c>
      <c r="F304" t="s">
        <v>124</v>
      </c>
      <c r="G304" s="27">
        <v>41</v>
      </c>
      <c r="H304" s="27">
        <v>40.799999999999997</v>
      </c>
      <c r="I304" s="27">
        <v>39.4</v>
      </c>
      <c r="J304" s="27">
        <f>G304-H304</f>
        <v>0.20000000000000284</v>
      </c>
      <c r="K304" s="27">
        <f>G304-I304</f>
        <v>1.6000000000000014</v>
      </c>
    </row>
    <row r="305" spans="1:11">
      <c r="A305" t="s">
        <v>153</v>
      </c>
      <c r="B305">
        <v>6</v>
      </c>
      <c r="C305" t="s">
        <v>57</v>
      </c>
      <c r="D305" t="s">
        <v>126</v>
      </c>
      <c r="E305" t="s">
        <v>127</v>
      </c>
      <c r="F305" t="s">
        <v>128</v>
      </c>
      <c r="G305" s="27">
        <v>313.60000000000002</v>
      </c>
      <c r="H305" s="27">
        <v>314.8</v>
      </c>
      <c r="I305" s="27">
        <v>304.2</v>
      </c>
      <c r="J305" s="27">
        <f>G305-H305</f>
        <v>-1.1999999999999886</v>
      </c>
      <c r="K305" s="27">
        <f>G305-I305</f>
        <v>9.4000000000000341</v>
      </c>
    </row>
    <row r="306" spans="1:11">
      <c r="A306" t="s">
        <v>153</v>
      </c>
      <c r="B306">
        <v>6</v>
      </c>
      <c r="C306" t="s">
        <v>57</v>
      </c>
      <c r="D306" t="s">
        <v>126</v>
      </c>
      <c r="E306" t="s">
        <v>129</v>
      </c>
      <c r="F306" t="s">
        <v>130</v>
      </c>
      <c r="G306" s="27">
        <v>36.4</v>
      </c>
      <c r="H306" s="27">
        <v>35.6</v>
      </c>
      <c r="I306" s="27">
        <v>34.4</v>
      </c>
      <c r="J306" s="27">
        <f>G306-H306</f>
        <v>0.79999999999999716</v>
      </c>
      <c r="K306" s="27">
        <f>G306-I306</f>
        <v>2</v>
      </c>
    </row>
    <row r="307" spans="1:11">
      <c r="A307" t="s">
        <v>153</v>
      </c>
      <c r="B307">
        <v>6</v>
      </c>
      <c r="C307" t="s">
        <v>57</v>
      </c>
      <c r="D307" t="s">
        <v>126</v>
      </c>
      <c r="E307" t="s">
        <v>131</v>
      </c>
      <c r="F307" t="s">
        <v>132</v>
      </c>
      <c r="G307" s="27">
        <v>75.7</v>
      </c>
      <c r="H307" s="27">
        <v>52.4</v>
      </c>
      <c r="I307" s="27">
        <v>50.6</v>
      </c>
      <c r="J307" s="27">
        <f>G307-H307</f>
        <v>23.300000000000004</v>
      </c>
      <c r="K307" s="27">
        <f>G307-I307</f>
        <v>25.1</v>
      </c>
    </row>
    <row r="308" spans="1:11">
      <c r="A308" t="s">
        <v>153</v>
      </c>
      <c r="B308">
        <v>6</v>
      </c>
      <c r="C308" t="s">
        <v>57</v>
      </c>
      <c r="D308" t="s">
        <v>126</v>
      </c>
      <c r="E308" t="s">
        <v>133</v>
      </c>
      <c r="F308" t="s">
        <v>134</v>
      </c>
      <c r="G308" s="27">
        <v>12.4</v>
      </c>
      <c r="H308" s="27">
        <v>12.5</v>
      </c>
      <c r="I308" s="27">
        <v>12.1</v>
      </c>
      <c r="J308" s="27">
        <f>G308-H308</f>
        <v>-9.9999999999999645E-2</v>
      </c>
      <c r="K308" s="27">
        <f>G308-I308</f>
        <v>0.30000000000000071</v>
      </c>
    </row>
    <row r="309" spans="1:11">
      <c r="A309" t="s">
        <v>153</v>
      </c>
      <c r="B309">
        <v>6</v>
      </c>
      <c r="C309" t="s">
        <v>57</v>
      </c>
      <c r="D309" t="s">
        <v>126</v>
      </c>
      <c r="E309" t="s">
        <v>135</v>
      </c>
      <c r="F309" t="s">
        <v>136</v>
      </c>
      <c r="G309" s="27">
        <v>42.4</v>
      </c>
      <c r="H309" s="27">
        <v>41.4</v>
      </c>
      <c r="I309" s="27">
        <v>40</v>
      </c>
      <c r="J309" s="27">
        <f>G309-H309</f>
        <v>1</v>
      </c>
      <c r="K309" s="27">
        <f>G309-I309</f>
        <v>2.3999999999999986</v>
      </c>
    </row>
    <row r="310" spans="1:11">
      <c r="A310" t="s">
        <v>153</v>
      </c>
      <c r="B310">
        <v>6</v>
      </c>
      <c r="C310" t="s">
        <v>58</v>
      </c>
      <c r="D310" t="s">
        <v>145</v>
      </c>
      <c r="E310" t="s">
        <v>105</v>
      </c>
      <c r="F310" t="s">
        <v>106</v>
      </c>
      <c r="G310" s="27">
        <v>333</v>
      </c>
      <c r="H310" s="27">
        <v>359</v>
      </c>
      <c r="I310" s="27">
        <v>346.8</v>
      </c>
      <c r="J310" s="27">
        <f>G310-H310</f>
        <v>-26</v>
      </c>
      <c r="K310" s="27">
        <f>G310-I310</f>
        <v>-13.800000000000011</v>
      </c>
    </row>
    <row r="311" spans="1:11">
      <c r="A311" t="s">
        <v>153</v>
      </c>
      <c r="B311">
        <v>6</v>
      </c>
      <c r="C311" t="s">
        <v>58</v>
      </c>
      <c r="D311" t="s">
        <v>145</v>
      </c>
      <c r="E311" t="s">
        <v>107</v>
      </c>
      <c r="F311" t="s">
        <v>108</v>
      </c>
      <c r="G311" s="27">
        <v>32.299999999999997</v>
      </c>
      <c r="H311" s="27">
        <v>35.299999999999997</v>
      </c>
      <c r="I311" s="27">
        <v>34.1</v>
      </c>
      <c r="J311" s="27">
        <f>G311-H311</f>
        <v>-3</v>
      </c>
      <c r="K311" s="27">
        <f>G311-I311</f>
        <v>-1.8000000000000043</v>
      </c>
    </row>
    <row r="312" spans="1:11">
      <c r="A312" t="s">
        <v>153</v>
      </c>
      <c r="B312">
        <v>6</v>
      </c>
      <c r="C312" t="s">
        <v>58</v>
      </c>
      <c r="D312" t="s">
        <v>145</v>
      </c>
      <c r="E312" t="s">
        <v>109</v>
      </c>
      <c r="F312" t="s">
        <v>110</v>
      </c>
      <c r="G312" s="27">
        <v>23</v>
      </c>
      <c r="H312" s="27">
        <v>25.6</v>
      </c>
      <c r="I312" s="27">
        <v>24.8</v>
      </c>
      <c r="J312" s="27">
        <f>G312-H312</f>
        <v>-2.6000000000000014</v>
      </c>
      <c r="K312" s="27">
        <f>G312-I312</f>
        <v>-1.8000000000000007</v>
      </c>
    </row>
    <row r="313" spans="1:11">
      <c r="A313" t="s">
        <v>153</v>
      </c>
      <c r="B313">
        <v>6</v>
      </c>
      <c r="C313" t="s">
        <v>58</v>
      </c>
      <c r="D313" t="s">
        <v>145</v>
      </c>
      <c r="E313" t="s">
        <v>111</v>
      </c>
      <c r="F313" t="s">
        <v>112</v>
      </c>
      <c r="G313" s="27">
        <v>216.5</v>
      </c>
      <c r="H313" s="27">
        <v>243.5</v>
      </c>
      <c r="I313" s="27">
        <v>235.2</v>
      </c>
      <c r="J313" s="27">
        <f>G313-H313</f>
        <v>-27</v>
      </c>
      <c r="K313" s="27">
        <f>G313-I313</f>
        <v>-18.699999999999989</v>
      </c>
    </row>
    <row r="314" spans="1:11">
      <c r="A314" t="s">
        <v>153</v>
      </c>
      <c r="B314">
        <v>6</v>
      </c>
      <c r="C314" t="s">
        <v>58</v>
      </c>
      <c r="D314" t="s">
        <v>145</v>
      </c>
      <c r="E314" t="s">
        <v>113</v>
      </c>
      <c r="F314" t="s">
        <v>114</v>
      </c>
      <c r="G314" s="27">
        <v>339.9</v>
      </c>
      <c r="H314" s="27">
        <v>341.5</v>
      </c>
      <c r="I314" s="27">
        <v>330</v>
      </c>
      <c r="J314" s="27">
        <f>G314-H314</f>
        <v>-1.6000000000000227</v>
      </c>
      <c r="K314" s="27">
        <f>G314-I314</f>
        <v>9.8999999999999773</v>
      </c>
    </row>
    <row r="315" spans="1:11">
      <c r="A315" t="s">
        <v>153</v>
      </c>
      <c r="B315">
        <v>6</v>
      </c>
      <c r="C315" t="s">
        <v>58</v>
      </c>
      <c r="D315" t="s">
        <v>145</v>
      </c>
      <c r="E315" t="s">
        <v>115</v>
      </c>
      <c r="F315" t="s">
        <v>116</v>
      </c>
      <c r="G315" s="27">
        <v>75.099999999999994</v>
      </c>
      <c r="H315" s="27">
        <v>74.400000000000006</v>
      </c>
      <c r="I315" s="27">
        <v>71.900000000000006</v>
      </c>
      <c r="J315" s="27">
        <f>G315-H315</f>
        <v>0.69999999999998863</v>
      </c>
      <c r="K315" s="27">
        <f>G315-I315</f>
        <v>3.1999999999999886</v>
      </c>
    </row>
    <row r="316" spans="1:11">
      <c r="A316" t="s">
        <v>153</v>
      </c>
      <c r="B316">
        <v>6</v>
      </c>
      <c r="C316" t="s">
        <v>58</v>
      </c>
      <c r="D316" t="s">
        <v>146</v>
      </c>
      <c r="E316" t="s">
        <v>119</v>
      </c>
      <c r="F316" t="s">
        <v>120</v>
      </c>
      <c r="G316" s="27">
        <v>266.60000000000002</v>
      </c>
      <c r="H316" s="27">
        <v>293.10000000000002</v>
      </c>
      <c r="I316" s="27">
        <v>283.2</v>
      </c>
      <c r="J316" s="27">
        <f>G316-H316</f>
        <v>-26.5</v>
      </c>
      <c r="K316" s="27">
        <f>G316-I316</f>
        <v>-16.599999999999966</v>
      </c>
    </row>
    <row r="317" spans="1:11">
      <c r="A317" t="s">
        <v>153</v>
      </c>
      <c r="B317">
        <v>6</v>
      </c>
      <c r="C317" t="s">
        <v>58</v>
      </c>
      <c r="D317" t="s">
        <v>146</v>
      </c>
      <c r="E317" t="s">
        <v>121</v>
      </c>
      <c r="F317" t="s">
        <v>122</v>
      </c>
      <c r="G317" s="27">
        <v>45.8</v>
      </c>
      <c r="H317" s="27">
        <v>56.8</v>
      </c>
      <c r="I317" s="27">
        <v>54.9</v>
      </c>
      <c r="J317" s="27">
        <f>G317-H317</f>
        <v>-11</v>
      </c>
      <c r="K317" s="27">
        <f>G317-I317</f>
        <v>-9.1000000000000014</v>
      </c>
    </row>
    <row r="318" spans="1:11">
      <c r="A318" t="s">
        <v>153</v>
      </c>
      <c r="B318">
        <v>6</v>
      </c>
      <c r="C318" t="s">
        <v>58</v>
      </c>
      <c r="D318" t="s">
        <v>146</v>
      </c>
      <c r="E318" t="s">
        <v>123</v>
      </c>
      <c r="F318" t="s">
        <v>124</v>
      </c>
      <c r="G318" s="27">
        <v>36.299999999999997</v>
      </c>
      <c r="H318" s="27">
        <v>35.6</v>
      </c>
      <c r="I318" s="27">
        <v>34.4</v>
      </c>
      <c r="J318" s="27">
        <f>G318-H318</f>
        <v>0.69999999999999574</v>
      </c>
      <c r="K318" s="27">
        <f>G318-I318</f>
        <v>1.8999999999999986</v>
      </c>
    </row>
    <row r="319" spans="1:11">
      <c r="A319" t="s">
        <v>153</v>
      </c>
      <c r="B319">
        <v>6</v>
      </c>
      <c r="C319" t="s">
        <v>58</v>
      </c>
      <c r="D319" t="s">
        <v>126</v>
      </c>
      <c r="E319" t="s">
        <v>127</v>
      </c>
      <c r="F319" t="s">
        <v>128</v>
      </c>
      <c r="G319" s="27">
        <v>285.8</v>
      </c>
      <c r="H319" s="27">
        <v>289.3</v>
      </c>
      <c r="I319" s="27">
        <v>279.60000000000002</v>
      </c>
      <c r="J319" s="27">
        <f>G319-H319</f>
        <v>-3.5</v>
      </c>
      <c r="K319" s="27">
        <f>G319-I319</f>
        <v>6.1999999999999886</v>
      </c>
    </row>
    <row r="320" spans="1:11">
      <c r="A320" t="s">
        <v>153</v>
      </c>
      <c r="B320">
        <v>6</v>
      </c>
      <c r="C320" t="s">
        <v>58</v>
      </c>
      <c r="D320" t="s">
        <v>126</v>
      </c>
      <c r="E320" t="s">
        <v>129</v>
      </c>
      <c r="F320" t="s">
        <v>130</v>
      </c>
      <c r="G320" s="27">
        <v>30.4</v>
      </c>
      <c r="H320" s="27">
        <v>30.6</v>
      </c>
      <c r="I320" s="27">
        <v>29.5</v>
      </c>
      <c r="J320" s="27">
        <f>G320-H320</f>
        <v>-0.20000000000000284</v>
      </c>
      <c r="K320" s="27">
        <f>G320-I320</f>
        <v>0.89999999999999858</v>
      </c>
    </row>
    <row r="321" spans="1:11">
      <c r="A321" t="s">
        <v>153</v>
      </c>
      <c r="B321">
        <v>6</v>
      </c>
      <c r="C321" t="s">
        <v>58</v>
      </c>
      <c r="D321" t="s">
        <v>126</v>
      </c>
      <c r="E321" t="s">
        <v>131</v>
      </c>
      <c r="F321" t="s">
        <v>132</v>
      </c>
      <c r="G321" s="27">
        <v>69.8</v>
      </c>
      <c r="H321" s="27">
        <v>46.4</v>
      </c>
      <c r="I321" s="27">
        <v>44.8</v>
      </c>
      <c r="J321" s="27">
        <f>G321-H321</f>
        <v>23.4</v>
      </c>
      <c r="K321" s="27">
        <f>G321-I321</f>
        <v>25</v>
      </c>
    </row>
    <row r="322" spans="1:11">
      <c r="A322" t="s">
        <v>153</v>
      </c>
      <c r="B322">
        <v>6</v>
      </c>
      <c r="C322" t="s">
        <v>58</v>
      </c>
      <c r="D322" t="s">
        <v>126</v>
      </c>
      <c r="E322" t="s">
        <v>133</v>
      </c>
      <c r="F322" t="s">
        <v>134</v>
      </c>
      <c r="G322" s="27">
        <v>11.4</v>
      </c>
      <c r="H322" s="27">
        <v>12.2</v>
      </c>
      <c r="I322" s="27">
        <v>11.8</v>
      </c>
      <c r="J322" s="27">
        <f>G322-H322</f>
        <v>-0.79999999999999893</v>
      </c>
      <c r="K322" s="27">
        <f>G322-I322</f>
        <v>-0.40000000000000036</v>
      </c>
    </row>
    <row r="323" spans="1:11">
      <c r="A323" t="s">
        <v>153</v>
      </c>
      <c r="B323">
        <v>6</v>
      </c>
      <c r="C323" t="s">
        <v>58</v>
      </c>
      <c r="D323" t="s">
        <v>126</v>
      </c>
      <c r="E323" t="s">
        <v>135</v>
      </c>
      <c r="F323" t="s">
        <v>136</v>
      </c>
      <c r="G323" s="27">
        <v>40.299999999999997</v>
      </c>
      <c r="H323" s="27">
        <v>39.299999999999997</v>
      </c>
      <c r="I323" s="27">
        <v>38</v>
      </c>
      <c r="J323" s="27">
        <f>G323-H323</f>
        <v>1</v>
      </c>
      <c r="K323" s="27">
        <f>G323-I323</f>
        <v>2.2999999999999972</v>
      </c>
    </row>
    <row r="324" spans="1:11">
      <c r="A324" t="s">
        <v>153</v>
      </c>
      <c r="B324">
        <v>6</v>
      </c>
      <c r="C324" t="s">
        <v>59</v>
      </c>
      <c r="D324" t="s">
        <v>145</v>
      </c>
      <c r="E324" t="s">
        <v>105</v>
      </c>
      <c r="F324" t="s">
        <v>106</v>
      </c>
      <c r="G324" s="27">
        <v>233.8</v>
      </c>
      <c r="H324" s="27">
        <v>236.8</v>
      </c>
      <c r="I324" s="27">
        <v>228.7</v>
      </c>
      <c r="J324" s="27">
        <f>G324-H324</f>
        <v>-3</v>
      </c>
      <c r="K324" s="27">
        <f>G324-I324</f>
        <v>5.1000000000000227</v>
      </c>
    </row>
    <row r="325" spans="1:11">
      <c r="A325" t="s">
        <v>153</v>
      </c>
      <c r="B325">
        <v>6</v>
      </c>
      <c r="C325" t="s">
        <v>59</v>
      </c>
      <c r="D325" t="s">
        <v>145</v>
      </c>
      <c r="E325" t="s">
        <v>107</v>
      </c>
      <c r="F325" t="s">
        <v>108</v>
      </c>
      <c r="G325" s="27">
        <v>22.9</v>
      </c>
      <c r="H325" s="27">
        <v>22.6</v>
      </c>
      <c r="I325" s="27">
        <v>21.9</v>
      </c>
      <c r="J325" s="27">
        <f>G325-H325</f>
        <v>0.29999999999999716</v>
      </c>
      <c r="K325" s="27">
        <f>G325-I325</f>
        <v>1</v>
      </c>
    </row>
    <row r="326" spans="1:11">
      <c r="A326" t="s">
        <v>153</v>
      </c>
      <c r="B326">
        <v>6</v>
      </c>
      <c r="C326" t="s">
        <v>59</v>
      </c>
      <c r="D326" t="s">
        <v>145</v>
      </c>
      <c r="E326" t="s">
        <v>109</v>
      </c>
      <c r="F326" t="s">
        <v>110</v>
      </c>
      <c r="G326" s="27">
        <v>16</v>
      </c>
      <c r="H326" s="27">
        <v>16.100000000000001</v>
      </c>
      <c r="I326" s="27">
        <v>15.6</v>
      </c>
      <c r="J326" s="27">
        <f>G326-H326</f>
        <v>-0.10000000000000142</v>
      </c>
      <c r="K326" s="27">
        <f>G326-I326</f>
        <v>0.40000000000000036</v>
      </c>
    </row>
    <row r="327" spans="1:11">
      <c r="A327" t="s">
        <v>153</v>
      </c>
      <c r="B327">
        <v>6</v>
      </c>
      <c r="C327" t="s">
        <v>59</v>
      </c>
      <c r="D327" t="s">
        <v>145</v>
      </c>
      <c r="E327" t="s">
        <v>111</v>
      </c>
      <c r="F327" t="s">
        <v>112</v>
      </c>
      <c r="G327" s="27">
        <v>151</v>
      </c>
      <c r="H327" s="27">
        <v>158</v>
      </c>
      <c r="I327" s="27">
        <v>152.6</v>
      </c>
      <c r="J327" s="27">
        <f>G327-H327</f>
        <v>-7</v>
      </c>
      <c r="K327" s="27">
        <f>G327-I327</f>
        <v>-1.5999999999999943</v>
      </c>
    </row>
    <row r="328" spans="1:11">
      <c r="A328" t="s">
        <v>153</v>
      </c>
      <c r="B328">
        <v>6</v>
      </c>
      <c r="C328" t="s">
        <v>59</v>
      </c>
      <c r="D328" t="s">
        <v>145</v>
      </c>
      <c r="E328" t="s">
        <v>113</v>
      </c>
      <c r="F328" t="s">
        <v>114</v>
      </c>
      <c r="G328" s="27">
        <v>247.2</v>
      </c>
      <c r="H328" s="27">
        <v>248.4</v>
      </c>
      <c r="I328" s="27">
        <v>240</v>
      </c>
      <c r="J328" s="27">
        <f>G328-H328</f>
        <v>-1.2000000000000171</v>
      </c>
      <c r="K328" s="27">
        <f>G328-I328</f>
        <v>7.1999999999999886</v>
      </c>
    </row>
    <row r="329" spans="1:11">
      <c r="A329" t="s">
        <v>153</v>
      </c>
      <c r="B329">
        <v>6</v>
      </c>
      <c r="C329" t="s">
        <v>59</v>
      </c>
      <c r="D329" t="s">
        <v>145</v>
      </c>
      <c r="E329" t="s">
        <v>115</v>
      </c>
      <c r="F329" t="s">
        <v>116</v>
      </c>
      <c r="G329" s="27">
        <v>55.4</v>
      </c>
      <c r="H329" s="27">
        <v>55.7</v>
      </c>
      <c r="I329" s="27">
        <v>53.8</v>
      </c>
      <c r="J329" s="27">
        <f>G329-H329</f>
        <v>-0.30000000000000426</v>
      </c>
      <c r="K329" s="27">
        <f>G329-I329</f>
        <v>1.6000000000000014</v>
      </c>
    </row>
    <row r="330" spans="1:11">
      <c r="A330" t="s">
        <v>153</v>
      </c>
      <c r="B330">
        <v>6</v>
      </c>
      <c r="C330" t="s">
        <v>59</v>
      </c>
      <c r="D330" t="s">
        <v>146</v>
      </c>
      <c r="E330" t="s">
        <v>119</v>
      </c>
      <c r="F330" t="s">
        <v>120</v>
      </c>
      <c r="G330" s="27">
        <v>185</v>
      </c>
      <c r="H330" s="27">
        <v>188.6</v>
      </c>
      <c r="I330" s="27">
        <v>182.1</v>
      </c>
      <c r="J330" s="27">
        <f>G330-H330</f>
        <v>-3.5999999999999943</v>
      </c>
      <c r="K330" s="27">
        <f>G330-I330</f>
        <v>2.9000000000000057</v>
      </c>
    </row>
    <row r="331" spans="1:11">
      <c r="A331" t="s">
        <v>153</v>
      </c>
      <c r="B331">
        <v>6</v>
      </c>
      <c r="C331" t="s">
        <v>59</v>
      </c>
      <c r="D331" t="s">
        <v>146</v>
      </c>
      <c r="E331" t="s">
        <v>121</v>
      </c>
      <c r="F331" t="s">
        <v>122</v>
      </c>
      <c r="G331" s="27">
        <v>32.299999999999997</v>
      </c>
      <c r="H331" s="27">
        <v>41.3</v>
      </c>
      <c r="I331" s="27">
        <v>40</v>
      </c>
      <c r="J331" s="27">
        <f>G331-H331</f>
        <v>-9</v>
      </c>
      <c r="K331" s="27">
        <f>G331-I331</f>
        <v>-7.7000000000000028</v>
      </c>
    </row>
    <row r="332" spans="1:11">
      <c r="A332" t="s">
        <v>153</v>
      </c>
      <c r="B332">
        <v>6</v>
      </c>
      <c r="C332" t="s">
        <v>59</v>
      </c>
      <c r="D332" t="s">
        <v>146</v>
      </c>
      <c r="E332" t="s">
        <v>123</v>
      </c>
      <c r="F332" t="s">
        <v>124</v>
      </c>
      <c r="G332" s="27">
        <v>46.1</v>
      </c>
      <c r="H332" s="27">
        <v>46.8</v>
      </c>
      <c r="I332" s="27">
        <v>45.2</v>
      </c>
      <c r="J332" s="27">
        <f>G332-H332</f>
        <v>-0.69999999999999574</v>
      </c>
      <c r="K332" s="27">
        <f>G332-I332</f>
        <v>0.89999999999999858</v>
      </c>
    </row>
    <row r="333" spans="1:11">
      <c r="A333" t="s">
        <v>153</v>
      </c>
      <c r="B333">
        <v>6</v>
      </c>
      <c r="C333" t="s">
        <v>59</v>
      </c>
      <c r="D333" t="s">
        <v>126</v>
      </c>
      <c r="E333" t="s">
        <v>127</v>
      </c>
      <c r="F333" t="s">
        <v>128</v>
      </c>
      <c r="G333" s="27">
        <v>208.2</v>
      </c>
      <c r="H333" s="27">
        <v>205.1</v>
      </c>
      <c r="I333" s="27">
        <v>198.2</v>
      </c>
      <c r="J333" s="27">
        <f>G333-H333</f>
        <v>3.0999999999999943</v>
      </c>
      <c r="K333" s="27">
        <f>G333-I333</f>
        <v>10</v>
      </c>
    </row>
    <row r="334" spans="1:11">
      <c r="A334" t="s">
        <v>153</v>
      </c>
      <c r="B334">
        <v>6</v>
      </c>
      <c r="C334" t="s">
        <v>59</v>
      </c>
      <c r="D334" t="s">
        <v>126</v>
      </c>
      <c r="E334" t="s">
        <v>129</v>
      </c>
      <c r="F334" t="s">
        <v>130</v>
      </c>
      <c r="G334" s="27">
        <v>25.6</v>
      </c>
      <c r="H334" s="27">
        <v>26.2</v>
      </c>
      <c r="I334" s="27">
        <v>25.4</v>
      </c>
      <c r="J334" s="27">
        <f>G334-H334</f>
        <v>-0.59999999999999787</v>
      </c>
      <c r="K334" s="27">
        <f>G334-I334</f>
        <v>0.20000000000000284</v>
      </c>
    </row>
    <row r="335" spans="1:11">
      <c r="A335" t="s">
        <v>153</v>
      </c>
      <c r="B335">
        <v>6</v>
      </c>
      <c r="C335" t="s">
        <v>59</v>
      </c>
      <c r="D335" t="s">
        <v>126</v>
      </c>
      <c r="E335" t="s">
        <v>131</v>
      </c>
      <c r="F335" t="s">
        <v>132</v>
      </c>
      <c r="G335" s="27">
        <v>54.3</v>
      </c>
      <c r="H335" s="27">
        <v>35.6</v>
      </c>
      <c r="I335" s="27">
        <v>34.4</v>
      </c>
      <c r="J335" s="27">
        <f>G335-H335</f>
        <v>18.699999999999996</v>
      </c>
      <c r="K335" s="27">
        <f>G335-I335</f>
        <v>19.899999999999999</v>
      </c>
    </row>
    <row r="336" spans="1:11">
      <c r="A336" t="s">
        <v>153</v>
      </c>
      <c r="B336">
        <v>6</v>
      </c>
      <c r="C336" t="s">
        <v>59</v>
      </c>
      <c r="D336" t="s">
        <v>126</v>
      </c>
      <c r="E336" t="s">
        <v>133</v>
      </c>
      <c r="F336" t="s">
        <v>134</v>
      </c>
      <c r="G336" s="27">
        <v>7.8</v>
      </c>
      <c r="H336" s="27">
        <v>7.6</v>
      </c>
      <c r="I336" s="27">
        <v>7.4</v>
      </c>
      <c r="J336" s="27">
        <f>G336-H336</f>
        <v>0.20000000000000018</v>
      </c>
      <c r="K336" s="27">
        <f>G336-I336</f>
        <v>0.39999999999999947</v>
      </c>
    </row>
    <row r="337" spans="1:11">
      <c r="A337" t="s">
        <v>153</v>
      </c>
      <c r="B337">
        <v>6</v>
      </c>
      <c r="C337" t="s">
        <v>59</v>
      </c>
      <c r="D337" t="s">
        <v>126</v>
      </c>
      <c r="E337" t="s">
        <v>135</v>
      </c>
      <c r="F337" t="s">
        <v>136</v>
      </c>
      <c r="G337" s="27">
        <v>29.7</v>
      </c>
      <c r="H337" s="27">
        <v>29</v>
      </c>
      <c r="I337" s="27">
        <v>28</v>
      </c>
      <c r="J337" s="27">
        <f>G337-H337</f>
        <v>0.69999999999999929</v>
      </c>
      <c r="K337" s="27">
        <f>G337-I337</f>
        <v>1.6999999999999993</v>
      </c>
    </row>
    <row r="338" spans="1:11">
      <c r="A338" t="s">
        <v>154</v>
      </c>
      <c r="B338">
        <v>7</v>
      </c>
      <c r="C338" t="s">
        <v>56</v>
      </c>
      <c r="D338" t="s">
        <v>145</v>
      </c>
      <c r="E338" t="s">
        <v>105</v>
      </c>
      <c r="F338" t="s">
        <v>106</v>
      </c>
      <c r="G338" s="27">
        <v>594.1</v>
      </c>
      <c r="H338" s="27">
        <v>539</v>
      </c>
      <c r="I338" s="27">
        <v>520.9</v>
      </c>
      <c r="J338" s="27">
        <f>G338-H338</f>
        <v>55.100000000000023</v>
      </c>
      <c r="K338" s="27">
        <f>G338-I338</f>
        <v>73.200000000000045</v>
      </c>
    </row>
    <row r="339" spans="1:11">
      <c r="A339" t="s">
        <v>154</v>
      </c>
      <c r="B339">
        <v>7</v>
      </c>
      <c r="C339" t="s">
        <v>56</v>
      </c>
      <c r="D339" t="s">
        <v>145</v>
      </c>
      <c r="E339" t="s">
        <v>107</v>
      </c>
      <c r="F339" t="s">
        <v>108</v>
      </c>
      <c r="G339" s="27">
        <v>281.2</v>
      </c>
      <c r="H339" s="27">
        <v>53.9</v>
      </c>
      <c r="I339" s="27">
        <v>52</v>
      </c>
      <c r="J339" s="27">
        <f>G339-H339</f>
        <v>227.29999999999998</v>
      </c>
      <c r="K339" s="27">
        <f>G339-I339</f>
        <v>229.2</v>
      </c>
    </row>
    <row r="340" spans="1:11">
      <c r="A340" t="s">
        <v>154</v>
      </c>
      <c r="B340">
        <v>7</v>
      </c>
      <c r="C340" t="s">
        <v>56</v>
      </c>
      <c r="D340" t="s">
        <v>145</v>
      </c>
      <c r="E340" t="s">
        <v>109</v>
      </c>
      <c r="F340" t="s">
        <v>110</v>
      </c>
      <c r="G340" s="27">
        <v>189.7</v>
      </c>
      <c r="H340" s="27">
        <v>37.5</v>
      </c>
      <c r="I340" s="27">
        <v>36.200000000000003</v>
      </c>
      <c r="J340" s="27">
        <f>G340-H340</f>
        <v>152.19999999999999</v>
      </c>
      <c r="K340" s="27">
        <f>G340-I340</f>
        <v>153.5</v>
      </c>
    </row>
    <row r="341" spans="1:11">
      <c r="A341" t="s">
        <v>154</v>
      </c>
      <c r="B341">
        <v>7</v>
      </c>
      <c r="C341" t="s">
        <v>56</v>
      </c>
      <c r="D341" t="s">
        <v>145</v>
      </c>
      <c r="E341" t="s">
        <v>111</v>
      </c>
      <c r="F341" t="s">
        <v>112</v>
      </c>
      <c r="G341" s="27">
        <v>386.5</v>
      </c>
      <c r="H341" s="27">
        <v>367.2</v>
      </c>
      <c r="I341" s="27">
        <v>354.8</v>
      </c>
      <c r="J341" s="27">
        <f>G341-H341</f>
        <v>19.300000000000011</v>
      </c>
      <c r="K341" s="27">
        <f>G341-I341</f>
        <v>31.699999999999989</v>
      </c>
    </row>
    <row r="342" spans="1:11">
      <c r="A342" t="s">
        <v>154</v>
      </c>
      <c r="B342">
        <v>7</v>
      </c>
      <c r="C342" t="s">
        <v>56</v>
      </c>
      <c r="D342" t="s">
        <v>145</v>
      </c>
      <c r="E342" t="s">
        <v>113</v>
      </c>
      <c r="F342" t="s">
        <v>114</v>
      </c>
      <c r="G342" s="27">
        <v>535.6</v>
      </c>
      <c r="H342" s="27">
        <v>538.20000000000005</v>
      </c>
      <c r="I342" s="27">
        <v>520</v>
      </c>
      <c r="J342" s="27">
        <f>G342-H342</f>
        <v>-2.6000000000000227</v>
      </c>
      <c r="K342" s="27">
        <f>G342-I342</f>
        <v>15.600000000000023</v>
      </c>
    </row>
    <row r="343" spans="1:11">
      <c r="A343" t="s">
        <v>154</v>
      </c>
      <c r="B343">
        <v>7</v>
      </c>
      <c r="C343" t="s">
        <v>56</v>
      </c>
      <c r="D343" t="s">
        <v>145</v>
      </c>
      <c r="E343" t="s">
        <v>115</v>
      </c>
      <c r="F343" t="s">
        <v>116</v>
      </c>
      <c r="G343" s="27">
        <v>114.8</v>
      </c>
      <c r="H343" s="27">
        <v>115.3</v>
      </c>
      <c r="I343" s="27">
        <v>111.4</v>
      </c>
      <c r="J343" s="27">
        <f>G343-H343</f>
        <v>-0.5</v>
      </c>
      <c r="K343" s="27">
        <f>G343-I343</f>
        <v>3.3999999999999915</v>
      </c>
    </row>
    <row r="344" spans="1:11">
      <c r="A344" t="s">
        <v>154</v>
      </c>
      <c r="B344">
        <v>7</v>
      </c>
      <c r="C344" t="s">
        <v>56</v>
      </c>
      <c r="D344" t="s">
        <v>146</v>
      </c>
      <c r="E344" t="s">
        <v>119</v>
      </c>
      <c r="F344" t="s">
        <v>120</v>
      </c>
      <c r="G344" s="27">
        <v>515</v>
      </c>
      <c r="H344" s="27">
        <v>438.3</v>
      </c>
      <c r="I344" s="27">
        <v>423.4</v>
      </c>
      <c r="J344" s="27">
        <f>G344-H344</f>
        <v>76.699999999999989</v>
      </c>
      <c r="K344" s="27">
        <f>G344-I344</f>
        <v>91.600000000000023</v>
      </c>
    </row>
    <row r="345" spans="1:11">
      <c r="A345" t="s">
        <v>154</v>
      </c>
      <c r="B345">
        <v>7</v>
      </c>
      <c r="C345" t="s">
        <v>56</v>
      </c>
      <c r="D345" t="s">
        <v>146</v>
      </c>
      <c r="E345" t="s">
        <v>121</v>
      </c>
      <c r="F345" t="s">
        <v>122</v>
      </c>
      <c r="G345" s="27">
        <v>69.8</v>
      </c>
      <c r="H345" s="27">
        <v>89.1</v>
      </c>
      <c r="I345" s="27">
        <v>86.1</v>
      </c>
      <c r="J345" s="27">
        <f>G345-H345</f>
        <v>-19.299999999999997</v>
      </c>
      <c r="K345" s="27">
        <f>G345-I345</f>
        <v>-16.299999999999997</v>
      </c>
    </row>
    <row r="346" spans="1:11">
      <c r="A346" t="s">
        <v>154</v>
      </c>
      <c r="B346">
        <v>7</v>
      </c>
      <c r="C346" t="s">
        <v>56</v>
      </c>
      <c r="D346" t="s">
        <v>146</v>
      </c>
      <c r="E346" t="s">
        <v>123</v>
      </c>
      <c r="F346" t="s">
        <v>124</v>
      </c>
      <c r="G346" s="27">
        <v>60.7</v>
      </c>
      <c r="H346" s="27">
        <v>62.8</v>
      </c>
      <c r="I346" s="27">
        <v>60.7</v>
      </c>
      <c r="J346" s="27">
        <f>G346-H346</f>
        <v>-2.0999999999999943</v>
      </c>
      <c r="K346" s="27">
        <f>G346-I346</f>
        <v>0</v>
      </c>
    </row>
    <row r="347" spans="1:11">
      <c r="A347" t="s">
        <v>154</v>
      </c>
      <c r="B347">
        <v>7</v>
      </c>
      <c r="C347" t="s">
        <v>56</v>
      </c>
      <c r="D347" t="s">
        <v>126</v>
      </c>
      <c r="E347" t="s">
        <v>127</v>
      </c>
      <c r="F347" t="s">
        <v>128</v>
      </c>
      <c r="G347" s="27">
        <v>428.4</v>
      </c>
      <c r="H347" s="27">
        <v>417.7</v>
      </c>
      <c r="I347" s="27">
        <v>403.5</v>
      </c>
      <c r="J347" s="27">
        <f>G347-H347</f>
        <v>10.699999999999989</v>
      </c>
      <c r="K347" s="27">
        <f>G347-I347</f>
        <v>24.899999999999977</v>
      </c>
    </row>
    <row r="348" spans="1:11">
      <c r="A348" t="s">
        <v>154</v>
      </c>
      <c r="B348">
        <v>7</v>
      </c>
      <c r="C348" t="s">
        <v>56</v>
      </c>
      <c r="D348" t="s">
        <v>126</v>
      </c>
      <c r="E348" t="s">
        <v>129</v>
      </c>
      <c r="F348" t="s">
        <v>130</v>
      </c>
      <c r="G348" s="27">
        <v>41.3</v>
      </c>
      <c r="H348" s="27">
        <v>41.1</v>
      </c>
      <c r="I348" s="27">
        <v>39.700000000000003</v>
      </c>
      <c r="J348" s="27">
        <f>G348-H348</f>
        <v>0.19999999999999574</v>
      </c>
      <c r="K348" s="27">
        <f>G348-I348</f>
        <v>1.5999999999999943</v>
      </c>
    </row>
    <row r="349" spans="1:11">
      <c r="A349" t="s">
        <v>154</v>
      </c>
      <c r="B349">
        <v>7</v>
      </c>
      <c r="C349" t="s">
        <v>56</v>
      </c>
      <c r="D349" t="s">
        <v>126</v>
      </c>
      <c r="E349" t="s">
        <v>131</v>
      </c>
      <c r="F349" t="s">
        <v>132</v>
      </c>
      <c r="G349" s="27">
        <v>101.2</v>
      </c>
      <c r="H349" s="27">
        <v>73.099999999999994</v>
      </c>
      <c r="I349" s="27">
        <v>70.7</v>
      </c>
      <c r="J349" s="27">
        <f>G349-H349</f>
        <v>28.100000000000009</v>
      </c>
      <c r="K349" s="27">
        <f>G349-I349</f>
        <v>30.5</v>
      </c>
    </row>
    <row r="350" spans="1:11">
      <c r="A350" t="s">
        <v>154</v>
      </c>
      <c r="B350">
        <v>7</v>
      </c>
      <c r="C350" t="s">
        <v>56</v>
      </c>
      <c r="D350" t="s">
        <v>126</v>
      </c>
      <c r="E350" t="s">
        <v>133</v>
      </c>
      <c r="F350" t="s">
        <v>134</v>
      </c>
      <c r="G350" s="27">
        <v>19.3</v>
      </c>
      <c r="H350" s="27">
        <v>17.899999999999999</v>
      </c>
      <c r="I350" s="27">
        <v>17.3</v>
      </c>
      <c r="J350" s="27">
        <f>G350-H350</f>
        <v>1.4000000000000021</v>
      </c>
      <c r="K350" s="27">
        <f>G350-I350</f>
        <v>2</v>
      </c>
    </row>
    <row r="351" spans="1:11">
      <c r="A351" t="s">
        <v>154</v>
      </c>
      <c r="B351">
        <v>7</v>
      </c>
      <c r="C351" t="s">
        <v>56</v>
      </c>
      <c r="D351" t="s">
        <v>126</v>
      </c>
      <c r="E351" t="s">
        <v>135</v>
      </c>
      <c r="F351" t="s">
        <v>136</v>
      </c>
      <c r="G351" s="27">
        <v>58.3</v>
      </c>
      <c r="H351" s="27">
        <v>56.9</v>
      </c>
      <c r="I351" s="27">
        <v>55</v>
      </c>
      <c r="J351" s="27">
        <f>G351-H351</f>
        <v>1.3999999999999986</v>
      </c>
      <c r="K351" s="27">
        <f>G351-I351</f>
        <v>3.2999999999999972</v>
      </c>
    </row>
    <row r="352" spans="1:11">
      <c r="A352" t="s">
        <v>154</v>
      </c>
      <c r="B352">
        <v>7</v>
      </c>
      <c r="C352" t="s">
        <v>57</v>
      </c>
      <c r="D352" t="s">
        <v>145</v>
      </c>
      <c r="E352" t="s">
        <v>105</v>
      </c>
      <c r="F352" t="s">
        <v>106</v>
      </c>
      <c r="G352" s="27">
        <v>365.6</v>
      </c>
      <c r="H352" s="27">
        <v>371.7</v>
      </c>
      <c r="I352" s="27">
        <v>359</v>
      </c>
      <c r="J352" s="27">
        <f>G352-H352</f>
        <v>-6.0999999999999659</v>
      </c>
      <c r="K352" s="27">
        <f>G352-I352</f>
        <v>6.6000000000000227</v>
      </c>
    </row>
    <row r="353" spans="1:11">
      <c r="A353" t="s">
        <v>154</v>
      </c>
      <c r="B353">
        <v>7</v>
      </c>
      <c r="C353" t="s">
        <v>57</v>
      </c>
      <c r="D353" t="s">
        <v>145</v>
      </c>
      <c r="E353" t="s">
        <v>107</v>
      </c>
      <c r="F353" t="s">
        <v>108</v>
      </c>
      <c r="G353" s="27">
        <v>34.700000000000003</v>
      </c>
      <c r="H353" s="27">
        <v>36.200000000000003</v>
      </c>
      <c r="I353" s="27">
        <v>35</v>
      </c>
      <c r="J353" s="27">
        <f>G353-H353</f>
        <v>-1.5</v>
      </c>
      <c r="K353" s="27">
        <f>G353-I353</f>
        <v>-0.29999999999999716</v>
      </c>
    </row>
    <row r="354" spans="1:11">
      <c r="A354" t="s">
        <v>154</v>
      </c>
      <c r="B354">
        <v>7</v>
      </c>
      <c r="C354" t="s">
        <v>57</v>
      </c>
      <c r="D354" t="s">
        <v>145</v>
      </c>
      <c r="E354" t="s">
        <v>109</v>
      </c>
      <c r="F354" t="s">
        <v>110</v>
      </c>
      <c r="G354" s="27">
        <v>24.9</v>
      </c>
      <c r="H354" s="27">
        <v>25.7</v>
      </c>
      <c r="I354" s="27">
        <v>24.9</v>
      </c>
      <c r="J354" s="27">
        <f>G354-H354</f>
        <v>-0.80000000000000071</v>
      </c>
      <c r="K354" s="27">
        <f>G354-I354</f>
        <v>0</v>
      </c>
    </row>
    <row r="355" spans="1:11">
      <c r="A355" t="s">
        <v>154</v>
      </c>
      <c r="B355">
        <v>7</v>
      </c>
      <c r="C355" t="s">
        <v>57</v>
      </c>
      <c r="D355" t="s">
        <v>145</v>
      </c>
      <c r="E355" t="s">
        <v>111</v>
      </c>
      <c r="F355" t="s">
        <v>112</v>
      </c>
      <c r="G355" s="27">
        <v>233.8</v>
      </c>
      <c r="H355" s="27">
        <v>250.2</v>
      </c>
      <c r="I355" s="27">
        <v>241.7</v>
      </c>
      <c r="J355" s="27">
        <f>G355-H355</f>
        <v>-16.399999999999977</v>
      </c>
      <c r="K355" s="27">
        <f>G355-I355</f>
        <v>-7.8999999999999773</v>
      </c>
    </row>
    <row r="356" spans="1:11">
      <c r="A356" t="s">
        <v>154</v>
      </c>
      <c r="B356">
        <v>7</v>
      </c>
      <c r="C356" t="s">
        <v>57</v>
      </c>
      <c r="D356" t="s">
        <v>145</v>
      </c>
      <c r="E356" t="s">
        <v>113</v>
      </c>
      <c r="F356" t="s">
        <v>114</v>
      </c>
      <c r="G356" s="27">
        <v>370.8</v>
      </c>
      <c r="H356" s="27">
        <v>372.6</v>
      </c>
      <c r="I356" s="27">
        <v>360</v>
      </c>
      <c r="J356" s="27">
        <f>G356-H356</f>
        <v>-1.8000000000000114</v>
      </c>
      <c r="K356" s="27">
        <f>G356-I356</f>
        <v>10.800000000000011</v>
      </c>
    </row>
    <row r="357" spans="1:11">
      <c r="A357" t="s">
        <v>154</v>
      </c>
      <c r="B357">
        <v>7</v>
      </c>
      <c r="C357" t="s">
        <v>57</v>
      </c>
      <c r="D357" t="s">
        <v>145</v>
      </c>
      <c r="E357" t="s">
        <v>115</v>
      </c>
      <c r="F357" t="s">
        <v>116</v>
      </c>
      <c r="G357" s="27">
        <v>84.7</v>
      </c>
      <c r="H357" s="27">
        <v>84.4</v>
      </c>
      <c r="I357" s="27">
        <v>81.599999999999994</v>
      </c>
      <c r="J357" s="27">
        <f>G357-H357</f>
        <v>0.29999999999999716</v>
      </c>
      <c r="K357" s="27">
        <f>G357-I357</f>
        <v>3.1000000000000085</v>
      </c>
    </row>
    <row r="358" spans="1:11">
      <c r="A358" t="s">
        <v>154</v>
      </c>
      <c r="B358">
        <v>7</v>
      </c>
      <c r="C358" t="s">
        <v>57</v>
      </c>
      <c r="D358" t="s">
        <v>146</v>
      </c>
      <c r="E358" t="s">
        <v>119</v>
      </c>
      <c r="F358" t="s">
        <v>120</v>
      </c>
      <c r="G358" s="27">
        <v>288.10000000000002</v>
      </c>
      <c r="H358" s="27">
        <v>295.60000000000002</v>
      </c>
      <c r="I358" s="27">
        <v>285.60000000000002</v>
      </c>
      <c r="J358" s="27">
        <f>G358-H358</f>
        <v>-7.5</v>
      </c>
      <c r="K358" s="27">
        <f>G358-I358</f>
        <v>2.5</v>
      </c>
    </row>
    <row r="359" spans="1:11">
      <c r="A359" t="s">
        <v>154</v>
      </c>
      <c r="B359">
        <v>7</v>
      </c>
      <c r="C359" t="s">
        <v>57</v>
      </c>
      <c r="D359" t="s">
        <v>146</v>
      </c>
      <c r="E359" t="s">
        <v>121</v>
      </c>
      <c r="F359" t="s">
        <v>122</v>
      </c>
      <c r="G359" s="27">
        <v>49.2</v>
      </c>
      <c r="H359" s="27">
        <v>62.9</v>
      </c>
      <c r="I359" s="27">
        <v>60.8</v>
      </c>
      <c r="J359" s="27">
        <f>G359-H359</f>
        <v>-13.699999999999996</v>
      </c>
      <c r="K359" s="27">
        <f>G359-I359</f>
        <v>-11.599999999999994</v>
      </c>
    </row>
    <row r="360" spans="1:11">
      <c r="A360" t="s">
        <v>154</v>
      </c>
      <c r="B360">
        <v>7</v>
      </c>
      <c r="C360" t="s">
        <v>57</v>
      </c>
      <c r="D360" t="s">
        <v>146</v>
      </c>
      <c r="E360" t="s">
        <v>123</v>
      </c>
      <c r="F360" t="s">
        <v>124</v>
      </c>
      <c r="G360" s="27">
        <v>40.1</v>
      </c>
      <c r="H360" s="27">
        <v>41.5</v>
      </c>
      <c r="I360" s="27">
        <v>40.1</v>
      </c>
      <c r="J360" s="27">
        <f>G360-H360</f>
        <v>-1.3999999999999986</v>
      </c>
      <c r="K360" s="27">
        <f>G360-I360</f>
        <v>0</v>
      </c>
    </row>
    <row r="361" spans="1:11">
      <c r="A361" t="s">
        <v>154</v>
      </c>
      <c r="B361">
        <v>7</v>
      </c>
      <c r="C361" t="s">
        <v>57</v>
      </c>
      <c r="D361" t="s">
        <v>126</v>
      </c>
      <c r="E361" t="s">
        <v>127</v>
      </c>
      <c r="F361" t="s">
        <v>128</v>
      </c>
      <c r="G361" s="27">
        <v>315.39999999999998</v>
      </c>
      <c r="H361" s="27">
        <v>313.3</v>
      </c>
      <c r="I361" s="27">
        <v>302.7</v>
      </c>
      <c r="J361" s="27">
        <f>G361-H361</f>
        <v>2.0999999999999659</v>
      </c>
      <c r="K361" s="27">
        <f>G361-I361</f>
        <v>12.699999999999989</v>
      </c>
    </row>
    <row r="362" spans="1:11">
      <c r="A362" t="s">
        <v>154</v>
      </c>
      <c r="B362">
        <v>7</v>
      </c>
      <c r="C362" t="s">
        <v>57</v>
      </c>
      <c r="D362" t="s">
        <v>126</v>
      </c>
      <c r="E362" t="s">
        <v>129</v>
      </c>
      <c r="F362" t="s">
        <v>130</v>
      </c>
      <c r="G362" s="27">
        <v>36.299999999999997</v>
      </c>
      <c r="H362" s="27">
        <v>35.9</v>
      </c>
      <c r="I362" s="27">
        <v>34.700000000000003</v>
      </c>
      <c r="J362" s="27">
        <f>G362-H362</f>
        <v>0.39999999999999858</v>
      </c>
      <c r="K362" s="27">
        <f>G362-I362</f>
        <v>1.5999999999999943</v>
      </c>
    </row>
    <row r="363" spans="1:11">
      <c r="A363" t="s">
        <v>154</v>
      </c>
      <c r="B363">
        <v>7</v>
      </c>
      <c r="C363" t="s">
        <v>57</v>
      </c>
      <c r="D363" t="s">
        <v>126</v>
      </c>
      <c r="E363" t="s">
        <v>131</v>
      </c>
      <c r="F363" t="s">
        <v>132</v>
      </c>
      <c r="G363" s="27">
        <v>78.400000000000006</v>
      </c>
      <c r="H363" s="27">
        <v>51.6</v>
      </c>
      <c r="I363" s="27">
        <v>49.8</v>
      </c>
      <c r="J363" s="27">
        <f>G363-H363</f>
        <v>26.800000000000004</v>
      </c>
      <c r="K363" s="27">
        <f>G363-I363</f>
        <v>28.600000000000009</v>
      </c>
    </row>
    <row r="364" spans="1:11">
      <c r="A364" t="s">
        <v>154</v>
      </c>
      <c r="B364">
        <v>7</v>
      </c>
      <c r="C364" t="s">
        <v>57</v>
      </c>
      <c r="D364" t="s">
        <v>126</v>
      </c>
      <c r="E364" t="s">
        <v>133</v>
      </c>
      <c r="F364" t="s">
        <v>134</v>
      </c>
      <c r="G364" s="27">
        <v>11.9</v>
      </c>
      <c r="H364" s="27">
        <v>12.3</v>
      </c>
      <c r="I364" s="27">
        <v>11.9</v>
      </c>
      <c r="J364" s="27">
        <f>G364-H364</f>
        <v>-0.40000000000000036</v>
      </c>
      <c r="K364" s="27">
        <f>G364-I364</f>
        <v>0</v>
      </c>
    </row>
    <row r="365" spans="1:11">
      <c r="A365" t="s">
        <v>154</v>
      </c>
      <c r="B365">
        <v>7</v>
      </c>
      <c r="C365" t="s">
        <v>57</v>
      </c>
      <c r="D365" t="s">
        <v>126</v>
      </c>
      <c r="E365" t="s">
        <v>135</v>
      </c>
      <c r="F365" t="s">
        <v>136</v>
      </c>
      <c r="G365" s="27">
        <v>42.4</v>
      </c>
      <c r="H365" s="27">
        <v>41.4</v>
      </c>
      <c r="I365" s="27">
        <v>40</v>
      </c>
      <c r="J365" s="27">
        <f>G365-H365</f>
        <v>1</v>
      </c>
      <c r="K365" s="27">
        <f>G365-I365</f>
        <v>2.3999999999999986</v>
      </c>
    </row>
    <row r="366" spans="1:11">
      <c r="A366" t="s">
        <v>154</v>
      </c>
      <c r="B366">
        <v>7</v>
      </c>
      <c r="C366" t="s">
        <v>58</v>
      </c>
      <c r="D366" t="s">
        <v>145</v>
      </c>
      <c r="E366" t="s">
        <v>105</v>
      </c>
      <c r="F366" t="s">
        <v>106</v>
      </c>
      <c r="G366" s="27">
        <v>301.10000000000002</v>
      </c>
      <c r="H366" s="27">
        <v>357.1</v>
      </c>
      <c r="I366" s="27">
        <v>345.1</v>
      </c>
      <c r="J366" s="27">
        <f>G366-H366</f>
        <v>-56</v>
      </c>
      <c r="K366" s="27">
        <f>G366-I366</f>
        <v>-44</v>
      </c>
    </row>
    <row r="367" spans="1:11">
      <c r="A367" t="s">
        <v>154</v>
      </c>
      <c r="B367">
        <v>7</v>
      </c>
      <c r="C367" t="s">
        <v>58</v>
      </c>
      <c r="D367" t="s">
        <v>145</v>
      </c>
      <c r="E367" t="s">
        <v>107</v>
      </c>
      <c r="F367" t="s">
        <v>108</v>
      </c>
      <c r="G367" s="27">
        <v>29.3</v>
      </c>
      <c r="H367" s="27">
        <v>35</v>
      </c>
      <c r="I367" s="27">
        <v>33.799999999999997</v>
      </c>
      <c r="J367" s="27">
        <f>G367-H367</f>
        <v>-5.6999999999999993</v>
      </c>
      <c r="K367" s="27">
        <f>G367-I367</f>
        <v>-4.4999999999999964</v>
      </c>
    </row>
    <row r="368" spans="1:11">
      <c r="A368" t="s">
        <v>154</v>
      </c>
      <c r="B368">
        <v>7</v>
      </c>
      <c r="C368" t="s">
        <v>58</v>
      </c>
      <c r="D368" t="s">
        <v>145</v>
      </c>
      <c r="E368" t="s">
        <v>109</v>
      </c>
      <c r="F368" t="s">
        <v>110</v>
      </c>
      <c r="G368" s="27">
        <v>21.5</v>
      </c>
      <c r="H368" s="27">
        <v>24.7</v>
      </c>
      <c r="I368" s="27">
        <v>23.8</v>
      </c>
      <c r="J368" s="27">
        <f>G368-H368</f>
        <v>-3.1999999999999993</v>
      </c>
      <c r="K368" s="27">
        <f>G368-I368</f>
        <v>-2.3000000000000007</v>
      </c>
    </row>
    <row r="369" spans="1:11">
      <c r="A369" t="s">
        <v>154</v>
      </c>
      <c r="B369">
        <v>7</v>
      </c>
      <c r="C369" t="s">
        <v>58</v>
      </c>
      <c r="D369" t="s">
        <v>145</v>
      </c>
      <c r="E369" t="s">
        <v>111</v>
      </c>
      <c r="F369" t="s">
        <v>112</v>
      </c>
      <c r="G369" s="27">
        <v>176.9</v>
      </c>
      <c r="H369" s="27">
        <v>236.2</v>
      </c>
      <c r="I369" s="27">
        <v>228.2</v>
      </c>
      <c r="J369" s="27">
        <f>G369-H369</f>
        <v>-59.299999999999983</v>
      </c>
      <c r="K369" s="27">
        <f>G369-I369</f>
        <v>-51.299999999999983</v>
      </c>
    </row>
    <row r="370" spans="1:11">
      <c r="A370" t="s">
        <v>154</v>
      </c>
      <c r="B370">
        <v>7</v>
      </c>
      <c r="C370" t="s">
        <v>58</v>
      </c>
      <c r="D370" t="s">
        <v>145</v>
      </c>
      <c r="E370" t="s">
        <v>113</v>
      </c>
      <c r="F370" t="s">
        <v>114</v>
      </c>
      <c r="G370" s="27">
        <v>339.9</v>
      </c>
      <c r="H370" s="27">
        <v>341.5</v>
      </c>
      <c r="I370" s="27">
        <v>330</v>
      </c>
      <c r="J370" s="27">
        <f>G370-H370</f>
        <v>-1.6000000000000227</v>
      </c>
      <c r="K370" s="27">
        <f>G370-I370</f>
        <v>9.8999999999999773</v>
      </c>
    </row>
    <row r="371" spans="1:11">
      <c r="A371" t="s">
        <v>154</v>
      </c>
      <c r="B371">
        <v>7</v>
      </c>
      <c r="C371" t="s">
        <v>58</v>
      </c>
      <c r="D371" t="s">
        <v>145</v>
      </c>
      <c r="E371" t="s">
        <v>115</v>
      </c>
      <c r="F371" t="s">
        <v>116</v>
      </c>
      <c r="G371" s="27">
        <v>152.5</v>
      </c>
      <c r="H371" s="27">
        <v>80.599999999999994</v>
      </c>
      <c r="I371" s="27">
        <v>77.900000000000006</v>
      </c>
      <c r="J371" s="27">
        <f>G371-H371</f>
        <v>71.900000000000006</v>
      </c>
      <c r="K371" s="27">
        <f>G371-I371</f>
        <v>74.599999999999994</v>
      </c>
    </row>
    <row r="372" spans="1:11">
      <c r="A372" t="s">
        <v>154</v>
      </c>
      <c r="B372">
        <v>7</v>
      </c>
      <c r="C372" t="s">
        <v>58</v>
      </c>
      <c r="D372" t="s">
        <v>146</v>
      </c>
      <c r="E372" t="s">
        <v>119</v>
      </c>
      <c r="F372" t="s">
        <v>120</v>
      </c>
      <c r="G372" s="27">
        <v>243</v>
      </c>
      <c r="H372" s="27">
        <v>288.8</v>
      </c>
      <c r="I372" s="27">
        <v>279</v>
      </c>
      <c r="J372" s="27">
        <f>G372-H372</f>
        <v>-45.800000000000011</v>
      </c>
      <c r="K372" s="27">
        <f>G372-I372</f>
        <v>-36</v>
      </c>
    </row>
    <row r="373" spans="1:11">
      <c r="A373" t="s">
        <v>154</v>
      </c>
      <c r="B373">
        <v>7</v>
      </c>
      <c r="C373" t="s">
        <v>58</v>
      </c>
      <c r="D373" t="s">
        <v>146</v>
      </c>
      <c r="E373" t="s">
        <v>121</v>
      </c>
      <c r="F373" t="s">
        <v>122</v>
      </c>
      <c r="G373" s="27">
        <v>45.3</v>
      </c>
      <c r="H373" s="27">
        <v>56.6</v>
      </c>
      <c r="I373" s="27">
        <v>54.7</v>
      </c>
      <c r="J373" s="27">
        <f>G373-H373</f>
        <v>-11.300000000000004</v>
      </c>
      <c r="K373" s="27">
        <f>G373-I373</f>
        <v>-9.4000000000000057</v>
      </c>
    </row>
    <row r="374" spans="1:11">
      <c r="A374" t="s">
        <v>154</v>
      </c>
      <c r="B374">
        <v>7</v>
      </c>
      <c r="C374" t="s">
        <v>58</v>
      </c>
      <c r="D374" t="s">
        <v>146</v>
      </c>
      <c r="E374" t="s">
        <v>123</v>
      </c>
      <c r="F374" t="s">
        <v>124</v>
      </c>
      <c r="G374" s="27">
        <v>36</v>
      </c>
      <c r="H374" s="27">
        <v>35.9</v>
      </c>
      <c r="I374" s="27">
        <v>34.700000000000003</v>
      </c>
      <c r="J374" s="27">
        <f>G374-H374</f>
        <v>0.10000000000000142</v>
      </c>
      <c r="K374" s="27">
        <f>G374-I374</f>
        <v>1.2999999999999972</v>
      </c>
    </row>
    <row r="375" spans="1:11">
      <c r="A375" t="s">
        <v>154</v>
      </c>
      <c r="B375">
        <v>7</v>
      </c>
      <c r="C375" t="s">
        <v>58</v>
      </c>
      <c r="D375" t="s">
        <v>126</v>
      </c>
      <c r="E375" t="s">
        <v>127</v>
      </c>
      <c r="F375" t="s">
        <v>128</v>
      </c>
      <c r="G375" s="27">
        <v>295.3</v>
      </c>
      <c r="H375" s="27">
        <v>293.3</v>
      </c>
      <c r="I375" s="27">
        <v>283.3</v>
      </c>
      <c r="J375" s="27">
        <f>G375-H375</f>
        <v>2</v>
      </c>
      <c r="K375" s="27">
        <f>G375-I375</f>
        <v>12</v>
      </c>
    </row>
    <row r="376" spans="1:11">
      <c r="A376" t="s">
        <v>154</v>
      </c>
      <c r="B376">
        <v>7</v>
      </c>
      <c r="C376" t="s">
        <v>58</v>
      </c>
      <c r="D376" t="s">
        <v>126</v>
      </c>
      <c r="E376" t="s">
        <v>129</v>
      </c>
      <c r="F376" t="s">
        <v>130</v>
      </c>
      <c r="G376" s="27">
        <v>30.6</v>
      </c>
      <c r="H376" s="27">
        <v>30.6</v>
      </c>
      <c r="I376" s="27">
        <v>29.6</v>
      </c>
      <c r="J376" s="27">
        <f>G376-H376</f>
        <v>0</v>
      </c>
      <c r="K376" s="27">
        <f>G376-I376</f>
        <v>1</v>
      </c>
    </row>
    <row r="377" spans="1:11">
      <c r="A377" t="s">
        <v>154</v>
      </c>
      <c r="B377">
        <v>7</v>
      </c>
      <c r="C377" t="s">
        <v>58</v>
      </c>
      <c r="D377" t="s">
        <v>126</v>
      </c>
      <c r="E377" t="s">
        <v>131</v>
      </c>
      <c r="F377" t="s">
        <v>132</v>
      </c>
      <c r="G377" s="27">
        <v>68.099999999999994</v>
      </c>
      <c r="H377" s="27">
        <v>47.4</v>
      </c>
      <c r="I377" s="27">
        <v>45.8</v>
      </c>
      <c r="J377" s="27">
        <f>G377-H377</f>
        <v>20.699999999999996</v>
      </c>
      <c r="K377" s="27">
        <f>G377-I377</f>
        <v>22.299999999999997</v>
      </c>
    </row>
    <row r="378" spans="1:11">
      <c r="A378" t="s">
        <v>154</v>
      </c>
      <c r="B378">
        <v>7</v>
      </c>
      <c r="C378" t="s">
        <v>58</v>
      </c>
      <c r="D378" t="s">
        <v>126</v>
      </c>
      <c r="E378" t="s">
        <v>133</v>
      </c>
      <c r="F378" t="s">
        <v>134</v>
      </c>
      <c r="G378" s="27">
        <v>10.3</v>
      </c>
      <c r="H378" s="27">
        <v>11.9</v>
      </c>
      <c r="I378" s="27">
        <v>11.5</v>
      </c>
      <c r="J378" s="27">
        <f>G378-H378</f>
        <v>-1.5999999999999996</v>
      </c>
      <c r="K378" s="27">
        <f>G378-I378</f>
        <v>-1.1999999999999993</v>
      </c>
    </row>
    <row r="379" spans="1:11">
      <c r="A379" t="s">
        <v>154</v>
      </c>
      <c r="B379">
        <v>7</v>
      </c>
      <c r="C379" t="s">
        <v>58</v>
      </c>
      <c r="D379" t="s">
        <v>126</v>
      </c>
      <c r="E379" t="s">
        <v>135</v>
      </c>
      <c r="F379" t="s">
        <v>136</v>
      </c>
      <c r="G379" s="27">
        <v>40.299999999999997</v>
      </c>
      <c r="H379" s="27">
        <v>39.299999999999997</v>
      </c>
      <c r="I379" s="27">
        <v>38</v>
      </c>
      <c r="J379" s="27">
        <f>G379-H379</f>
        <v>1</v>
      </c>
      <c r="K379" s="27">
        <f>G379-I379</f>
        <v>2.2999999999999972</v>
      </c>
    </row>
    <row r="380" spans="1:11">
      <c r="A380" t="s">
        <v>154</v>
      </c>
      <c r="B380">
        <v>7</v>
      </c>
      <c r="C380" t="s">
        <v>59</v>
      </c>
      <c r="D380" t="s">
        <v>145</v>
      </c>
      <c r="E380" t="s">
        <v>105</v>
      </c>
      <c r="F380" t="s">
        <v>106</v>
      </c>
      <c r="G380" s="27">
        <v>221.8</v>
      </c>
      <c r="H380" s="27">
        <v>230</v>
      </c>
      <c r="I380" s="27">
        <v>222.2</v>
      </c>
      <c r="J380" s="27">
        <f>G380-H380</f>
        <v>-8.1999999999999886</v>
      </c>
      <c r="K380" s="27">
        <f>G380-I380</f>
        <v>-0.39999999999997726</v>
      </c>
    </row>
    <row r="381" spans="1:11">
      <c r="A381" t="s">
        <v>154</v>
      </c>
      <c r="B381">
        <v>7</v>
      </c>
      <c r="C381" t="s">
        <v>59</v>
      </c>
      <c r="D381" t="s">
        <v>145</v>
      </c>
      <c r="E381" t="s">
        <v>107</v>
      </c>
      <c r="F381" t="s">
        <v>108</v>
      </c>
      <c r="G381" s="27">
        <v>21.9</v>
      </c>
      <c r="H381" s="27">
        <v>21.8</v>
      </c>
      <c r="I381" s="27">
        <v>21.1</v>
      </c>
      <c r="J381" s="27">
        <f>G381-H381</f>
        <v>9.9999999999997868E-2</v>
      </c>
      <c r="K381" s="27">
        <f>G381-I381</f>
        <v>0.79999999999999716</v>
      </c>
    </row>
    <row r="382" spans="1:11">
      <c r="A382" t="s">
        <v>154</v>
      </c>
      <c r="B382">
        <v>7</v>
      </c>
      <c r="C382" t="s">
        <v>59</v>
      </c>
      <c r="D382" t="s">
        <v>145</v>
      </c>
      <c r="E382" t="s">
        <v>109</v>
      </c>
      <c r="F382" t="s">
        <v>110</v>
      </c>
      <c r="G382" s="27">
        <v>15.4</v>
      </c>
      <c r="H382" s="27">
        <v>15.6</v>
      </c>
      <c r="I382" s="27">
        <v>15.1</v>
      </c>
      <c r="J382" s="27">
        <f>G382-H382</f>
        <v>-0.19999999999999929</v>
      </c>
      <c r="K382" s="27">
        <f>G382-I382</f>
        <v>0.30000000000000071</v>
      </c>
    </row>
    <row r="383" spans="1:11">
      <c r="A383" t="s">
        <v>154</v>
      </c>
      <c r="B383">
        <v>7</v>
      </c>
      <c r="C383" t="s">
        <v>59</v>
      </c>
      <c r="D383" t="s">
        <v>145</v>
      </c>
      <c r="E383" t="s">
        <v>111</v>
      </c>
      <c r="F383" t="s">
        <v>112</v>
      </c>
      <c r="G383" s="27">
        <v>144.19999999999999</v>
      </c>
      <c r="H383" s="27">
        <v>148.5</v>
      </c>
      <c r="I383" s="27">
        <v>143.5</v>
      </c>
      <c r="J383" s="27">
        <f>G383-H383</f>
        <v>-4.3000000000000114</v>
      </c>
      <c r="K383" s="27">
        <f>G383-I383</f>
        <v>0.69999999999998863</v>
      </c>
    </row>
    <row r="384" spans="1:11">
      <c r="A384" t="s">
        <v>154</v>
      </c>
      <c r="B384">
        <v>7</v>
      </c>
      <c r="C384" t="s">
        <v>59</v>
      </c>
      <c r="D384" t="s">
        <v>145</v>
      </c>
      <c r="E384" t="s">
        <v>113</v>
      </c>
      <c r="F384" t="s">
        <v>114</v>
      </c>
      <c r="G384" s="27">
        <v>247.2</v>
      </c>
      <c r="H384" s="27">
        <v>248.4</v>
      </c>
      <c r="I384" s="27">
        <v>240</v>
      </c>
      <c r="J384" s="27">
        <f>G384-H384</f>
        <v>-1.2000000000000171</v>
      </c>
      <c r="K384" s="27">
        <f>G384-I384</f>
        <v>7.1999999999999886</v>
      </c>
    </row>
    <row r="385" spans="1:11">
      <c r="A385" t="s">
        <v>154</v>
      </c>
      <c r="B385">
        <v>7</v>
      </c>
      <c r="C385" t="s">
        <v>59</v>
      </c>
      <c r="D385" t="s">
        <v>145</v>
      </c>
      <c r="E385" t="s">
        <v>115</v>
      </c>
      <c r="F385" t="s">
        <v>116</v>
      </c>
      <c r="G385" s="27">
        <v>57.4</v>
      </c>
      <c r="H385" s="27">
        <v>57.6</v>
      </c>
      <c r="I385" s="27">
        <v>55.6</v>
      </c>
      <c r="J385" s="27">
        <f>G385-H385</f>
        <v>-0.20000000000000284</v>
      </c>
      <c r="K385" s="27">
        <f>G385-I385</f>
        <v>1.7999999999999972</v>
      </c>
    </row>
    <row r="386" spans="1:11">
      <c r="A386" t="s">
        <v>154</v>
      </c>
      <c r="B386">
        <v>7</v>
      </c>
      <c r="C386" t="s">
        <v>59</v>
      </c>
      <c r="D386" t="s">
        <v>146</v>
      </c>
      <c r="E386" t="s">
        <v>119</v>
      </c>
      <c r="F386" t="s">
        <v>120</v>
      </c>
      <c r="G386" s="27">
        <v>179.6</v>
      </c>
      <c r="H386" s="27">
        <v>180.8</v>
      </c>
      <c r="I386" s="27">
        <v>174.7</v>
      </c>
      <c r="J386" s="27">
        <f>G386-H386</f>
        <v>-1.2000000000000171</v>
      </c>
      <c r="K386" s="27">
        <f>G386-I386</f>
        <v>4.9000000000000057</v>
      </c>
    </row>
    <row r="387" spans="1:11">
      <c r="A387" t="s">
        <v>154</v>
      </c>
      <c r="B387">
        <v>7</v>
      </c>
      <c r="C387" t="s">
        <v>59</v>
      </c>
      <c r="D387" t="s">
        <v>146</v>
      </c>
      <c r="E387" t="s">
        <v>121</v>
      </c>
      <c r="F387" t="s">
        <v>122</v>
      </c>
      <c r="G387" s="27">
        <v>32.799999999999997</v>
      </c>
      <c r="H387" s="27">
        <v>41.8</v>
      </c>
      <c r="I387" s="27">
        <v>40.4</v>
      </c>
      <c r="J387" s="27">
        <f>G387-H387</f>
        <v>-9</v>
      </c>
      <c r="K387" s="27">
        <f>G387-I387</f>
        <v>-7.6000000000000014</v>
      </c>
    </row>
    <row r="388" spans="1:11">
      <c r="A388" t="s">
        <v>154</v>
      </c>
      <c r="B388">
        <v>7</v>
      </c>
      <c r="C388" t="s">
        <v>59</v>
      </c>
      <c r="D388" t="s">
        <v>146</v>
      </c>
      <c r="E388" t="s">
        <v>123</v>
      </c>
      <c r="F388" t="s">
        <v>124</v>
      </c>
      <c r="G388" s="27">
        <v>46.2</v>
      </c>
      <c r="H388" s="27">
        <v>46.6</v>
      </c>
      <c r="I388" s="27">
        <v>45</v>
      </c>
      <c r="J388" s="27">
        <f>G388-H388</f>
        <v>-0.39999999999999858</v>
      </c>
      <c r="K388" s="27">
        <f>G388-I388</f>
        <v>1.2000000000000028</v>
      </c>
    </row>
    <row r="389" spans="1:11">
      <c r="A389" t="s">
        <v>154</v>
      </c>
      <c r="B389">
        <v>7</v>
      </c>
      <c r="C389" t="s">
        <v>59</v>
      </c>
      <c r="D389" t="s">
        <v>126</v>
      </c>
      <c r="E389" t="s">
        <v>127</v>
      </c>
      <c r="F389" t="s">
        <v>128</v>
      </c>
      <c r="G389" s="27">
        <v>209.8</v>
      </c>
      <c r="H389" s="27">
        <v>204.6</v>
      </c>
      <c r="I389" s="27">
        <v>197.8</v>
      </c>
      <c r="J389" s="27">
        <f>G389-H389</f>
        <v>5.2000000000000171</v>
      </c>
      <c r="K389" s="27">
        <f>G389-I389</f>
        <v>12</v>
      </c>
    </row>
    <row r="390" spans="1:11">
      <c r="A390" t="s">
        <v>154</v>
      </c>
      <c r="B390">
        <v>7</v>
      </c>
      <c r="C390" t="s">
        <v>59</v>
      </c>
      <c r="D390" t="s">
        <v>126</v>
      </c>
      <c r="E390" t="s">
        <v>129</v>
      </c>
      <c r="F390" t="s">
        <v>130</v>
      </c>
      <c r="G390" s="27">
        <v>25.6</v>
      </c>
      <c r="H390" s="27">
        <v>26</v>
      </c>
      <c r="I390" s="27">
        <v>25.1</v>
      </c>
      <c r="J390" s="27">
        <f>G390-H390</f>
        <v>-0.39999999999999858</v>
      </c>
      <c r="K390" s="27">
        <f>G390-I390</f>
        <v>0.5</v>
      </c>
    </row>
    <row r="391" spans="1:11">
      <c r="A391" t="s">
        <v>154</v>
      </c>
      <c r="B391">
        <v>7</v>
      </c>
      <c r="C391" t="s">
        <v>59</v>
      </c>
      <c r="D391" t="s">
        <v>126</v>
      </c>
      <c r="E391" t="s">
        <v>131</v>
      </c>
      <c r="F391" t="s">
        <v>132</v>
      </c>
      <c r="G391" s="27">
        <v>53.4</v>
      </c>
      <c r="H391" s="27">
        <v>36.700000000000003</v>
      </c>
      <c r="I391" s="27">
        <v>35.4</v>
      </c>
      <c r="J391" s="27">
        <f>G391-H391</f>
        <v>16.699999999999996</v>
      </c>
      <c r="K391" s="27">
        <f>G391-I391</f>
        <v>18</v>
      </c>
    </row>
    <row r="392" spans="1:11">
      <c r="A392" t="s">
        <v>154</v>
      </c>
      <c r="B392">
        <v>7</v>
      </c>
      <c r="C392" t="s">
        <v>59</v>
      </c>
      <c r="D392" t="s">
        <v>126</v>
      </c>
      <c r="E392" t="s">
        <v>133</v>
      </c>
      <c r="F392" t="s">
        <v>134</v>
      </c>
      <c r="G392" s="27">
        <v>7.2</v>
      </c>
      <c r="H392" s="27">
        <v>7.4</v>
      </c>
      <c r="I392" s="27">
        <v>7.1</v>
      </c>
      <c r="J392" s="27">
        <f>G392-H392</f>
        <v>-0.20000000000000018</v>
      </c>
      <c r="K392" s="27">
        <f>G392-I392</f>
        <v>0.10000000000000053</v>
      </c>
    </row>
    <row r="393" spans="1:11">
      <c r="A393" t="s">
        <v>154</v>
      </c>
      <c r="B393">
        <v>7</v>
      </c>
      <c r="C393" t="s">
        <v>59</v>
      </c>
      <c r="D393" t="s">
        <v>126</v>
      </c>
      <c r="E393" t="s">
        <v>135</v>
      </c>
      <c r="F393" t="s">
        <v>136</v>
      </c>
      <c r="G393" s="27">
        <v>29.7</v>
      </c>
      <c r="H393" s="27">
        <v>29</v>
      </c>
      <c r="I393" s="27">
        <v>28</v>
      </c>
      <c r="J393" s="27">
        <f>G393-H393</f>
        <v>0.69999999999999929</v>
      </c>
      <c r="K393" s="27">
        <f>G393-I393</f>
        <v>1.6999999999999993</v>
      </c>
    </row>
    <row r="394" spans="1:11">
      <c r="A394" t="s">
        <v>155</v>
      </c>
      <c r="B394">
        <v>8</v>
      </c>
      <c r="C394" t="s">
        <v>56</v>
      </c>
      <c r="D394" t="s">
        <v>145</v>
      </c>
      <c r="E394" t="s">
        <v>105</v>
      </c>
      <c r="F394" t="s">
        <v>106</v>
      </c>
      <c r="G394" s="27">
        <v>590.1</v>
      </c>
      <c r="H394" s="27">
        <v>537.79999999999995</v>
      </c>
      <c r="I394" s="27">
        <v>519.6</v>
      </c>
      <c r="J394" s="27">
        <f>G394-H394</f>
        <v>52.300000000000068</v>
      </c>
      <c r="K394" s="27">
        <f>G394-I394</f>
        <v>70.5</v>
      </c>
    </row>
    <row r="395" spans="1:11">
      <c r="A395" t="s">
        <v>155</v>
      </c>
      <c r="B395">
        <v>8</v>
      </c>
      <c r="C395" t="s">
        <v>56</v>
      </c>
      <c r="D395" t="s">
        <v>145</v>
      </c>
      <c r="E395" t="s">
        <v>107</v>
      </c>
      <c r="F395" t="s">
        <v>108</v>
      </c>
      <c r="G395" s="27">
        <v>315.8</v>
      </c>
      <c r="H395" s="27">
        <v>53</v>
      </c>
      <c r="I395" s="27">
        <v>51.2</v>
      </c>
      <c r="J395" s="27">
        <f>G395-H395</f>
        <v>262.8</v>
      </c>
      <c r="K395" s="27">
        <f>G395-I395</f>
        <v>264.60000000000002</v>
      </c>
    </row>
    <row r="396" spans="1:11">
      <c r="A396" t="s">
        <v>155</v>
      </c>
      <c r="B396">
        <v>8</v>
      </c>
      <c r="C396" t="s">
        <v>56</v>
      </c>
      <c r="D396" t="s">
        <v>145</v>
      </c>
      <c r="E396" t="s">
        <v>109</v>
      </c>
      <c r="F396" t="s">
        <v>110</v>
      </c>
      <c r="G396" s="27">
        <v>213.8</v>
      </c>
      <c r="H396" s="27">
        <v>37.9</v>
      </c>
      <c r="I396" s="27">
        <v>36.6</v>
      </c>
      <c r="J396" s="27">
        <f>G396-H396</f>
        <v>175.9</v>
      </c>
      <c r="K396" s="27">
        <f>G396-I396</f>
        <v>177.20000000000002</v>
      </c>
    </row>
    <row r="397" spans="1:11">
      <c r="A397" t="s">
        <v>155</v>
      </c>
      <c r="B397">
        <v>8</v>
      </c>
      <c r="C397" t="s">
        <v>56</v>
      </c>
      <c r="D397" t="s">
        <v>145</v>
      </c>
      <c r="E397" t="s">
        <v>111</v>
      </c>
      <c r="F397" t="s">
        <v>112</v>
      </c>
      <c r="G397" s="27">
        <v>383.4</v>
      </c>
      <c r="H397" s="27">
        <v>364.9</v>
      </c>
      <c r="I397" s="27">
        <v>352.6</v>
      </c>
      <c r="J397" s="27">
        <f>G397-H397</f>
        <v>18.5</v>
      </c>
      <c r="K397" s="27">
        <f>G397-I397</f>
        <v>30.799999999999955</v>
      </c>
    </row>
    <row r="398" spans="1:11">
      <c r="A398" t="s">
        <v>155</v>
      </c>
      <c r="B398">
        <v>8</v>
      </c>
      <c r="C398" t="s">
        <v>56</v>
      </c>
      <c r="D398" t="s">
        <v>145</v>
      </c>
      <c r="E398" t="s">
        <v>113</v>
      </c>
      <c r="F398" t="s">
        <v>114</v>
      </c>
      <c r="G398" s="27">
        <v>535.6</v>
      </c>
      <c r="H398" s="27">
        <v>538.20000000000005</v>
      </c>
      <c r="I398" s="27">
        <v>520</v>
      </c>
      <c r="J398" s="27">
        <f>G398-H398</f>
        <v>-2.6000000000000227</v>
      </c>
      <c r="K398" s="27">
        <f>G398-I398</f>
        <v>15.600000000000023</v>
      </c>
    </row>
    <row r="399" spans="1:11">
      <c r="A399" t="s">
        <v>155</v>
      </c>
      <c r="B399">
        <v>8</v>
      </c>
      <c r="C399" t="s">
        <v>56</v>
      </c>
      <c r="D399" t="s">
        <v>145</v>
      </c>
      <c r="E399" t="s">
        <v>115</v>
      </c>
      <c r="F399" t="s">
        <v>116</v>
      </c>
      <c r="G399" s="27">
        <v>116.6</v>
      </c>
      <c r="H399" s="27">
        <v>115.5</v>
      </c>
      <c r="I399" s="27">
        <v>111.6</v>
      </c>
      <c r="J399" s="27">
        <f>G399-H399</f>
        <v>1.0999999999999943</v>
      </c>
      <c r="K399" s="27">
        <f>G399-I399</f>
        <v>5</v>
      </c>
    </row>
    <row r="400" spans="1:11">
      <c r="A400" t="s">
        <v>155</v>
      </c>
      <c r="B400">
        <v>8</v>
      </c>
      <c r="C400" t="s">
        <v>56</v>
      </c>
      <c r="D400" t="s">
        <v>146</v>
      </c>
      <c r="E400" t="s">
        <v>119</v>
      </c>
      <c r="F400" t="s">
        <v>120</v>
      </c>
      <c r="G400" s="27">
        <v>519.29999999999995</v>
      </c>
      <c r="H400" s="27">
        <v>446.7</v>
      </c>
      <c r="I400" s="27">
        <v>431.6</v>
      </c>
      <c r="J400" s="27">
        <f>G400-H400</f>
        <v>72.599999999999966</v>
      </c>
      <c r="K400" s="27">
        <f>G400-I400</f>
        <v>87.699999999999932</v>
      </c>
    </row>
    <row r="401" spans="1:11">
      <c r="A401" t="s">
        <v>155</v>
      </c>
      <c r="B401">
        <v>8</v>
      </c>
      <c r="C401" t="s">
        <v>56</v>
      </c>
      <c r="D401" t="s">
        <v>146</v>
      </c>
      <c r="E401" t="s">
        <v>121</v>
      </c>
      <c r="F401" t="s">
        <v>122</v>
      </c>
      <c r="G401" s="27">
        <v>70.5</v>
      </c>
      <c r="H401" s="27">
        <v>89.6</v>
      </c>
      <c r="I401" s="27">
        <v>86.6</v>
      </c>
      <c r="J401" s="27">
        <f>G401-H401</f>
        <v>-19.099999999999994</v>
      </c>
      <c r="K401" s="27">
        <f>G401-I401</f>
        <v>-16.099999999999994</v>
      </c>
    </row>
    <row r="402" spans="1:11">
      <c r="A402" t="s">
        <v>155</v>
      </c>
      <c r="B402">
        <v>8</v>
      </c>
      <c r="C402" t="s">
        <v>56</v>
      </c>
      <c r="D402" t="s">
        <v>146</v>
      </c>
      <c r="E402" t="s">
        <v>123</v>
      </c>
      <c r="F402" t="s">
        <v>124</v>
      </c>
      <c r="G402" s="27">
        <v>60</v>
      </c>
      <c r="H402" s="27">
        <v>61.5</v>
      </c>
      <c r="I402" s="27">
        <v>59.4</v>
      </c>
      <c r="J402" s="27">
        <f>G402-H402</f>
        <v>-1.5</v>
      </c>
      <c r="K402" s="27">
        <f>G402-I402</f>
        <v>0.60000000000000142</v>
      </c>
    </row>
    <row r="403" spans="1:11">
      <c r="A403" t="s">
        <v>155</v>
      </c>
      <c r="B403">
        <v>8</v>
      </c>
      <c r="C403" t="s">
        <v>56</v>
      </c>
      <c r="D403" t="s">
        <v>126</v>
      </c>
      <c r="E403" t="s">
        <v>127</v>
      </c>
      <c r="F403" t="s">
        <v>128</v>
      </c>
      <c r="G403" s="27">
        <v>423.8</v>
      </c>
      <c r="H403" s="27">
        <v>417.9</v>
      </c>
      <c r="I403" s="27">
        <v>403.7</v>
      </c>
      <c r="J403" s="27">
        <f>G403-H403</f>
        <v>5.9000000000000341</v>
      </c>
      <c r="K403" s="27">
        <f>G403-I403</f>
        <v>20.100000000000023</v>
      </c>
    </row>
    <row r="404" spans="1:11">
      <c r="A404" t="s">
        <v>155</v>
      </c>
      <c r="B404">
        <v>8</v>
      </c>
      <c r="C404" t="s">
        <v>56</v>
      </c>
      <c r="D404" t="s">
        <v>126</v>
      </c>
      <c r="E404" t="s">
        <v>129</v>
      </c>
      <c r="F404" t="s">
        <v>130</v>
      </c>
      <c r="G404" s="27">
        <v>42</v>
      </c>
      <c r="H404" s="27">
        <v>41.8</v>
      </c>
      <c r="I404" s="27">
        <v>40.4</v>
      </c>
      <c r="J404" s="27">
        <f>G404-H404</f>
        <v>0.20000000000000284</v>
      </c>
      <c r="K404" s="27">
        <f>G404-I404</f>
        <v>1.6000000000000014</v>
      </c>
    </row>
    <row r="405" spans="1:11">
      <c r="A405" t="s">
        <v>155</v>
      </c>
      <c r="B405">
        <v>8</v>
      </c>
      <c r="C405" t="s">
        <v>56</v>
      </c>
      <c r="D405" t="s">
        <v>126</v>
      </c>
      <c r="E405" t="s">
        <v>131</v>
      </c>
      <c r="F405" t="s">
        <v>132</v>
      </c>
      <c r="G405" s="27">
        <v>102.3</v>
      </c>
      <c r="H405" s="27">
        <v>71.3</v>
      </c>
      <c r="I405" s="27">
        <v>68.900000000000006</v>
      </c>
      <c r="J405" s="27">
        <f>G405-H405</f>
        <v>31</v>
      </c>
      <c r="K405" s="27">
        <f>G405-I405</f>
        <v>33.399999999999991</v>
      </c>
    </row>
    <row r="406" spans="1:11">
      <c r="A406" t="s">
        <v>155</v>
      </c>
      <c r="B406">
        <v>8</v>
      </c>
      <c r="C406" t="s">
        <v>56</v>
      </c>
      <c r="D406" t="s">
        <v>126</v>
      </c>
      <c r="E406" t="s">
        <v>133</v>
      </c>
      <c r="F406" t="s">
        <v>134</v>
      </c>
      <c r="G406" s="27">
        <v>19.7</v>
      </c>
      <c r="H406" s="27">
        <v>18.3</v>
      </c>
      <c r="I406" s="27">
        <v>17.7</v>
      </c>
      <c r="J406" s="27">
        <f>G406-H406</f>
        <v>1.3999999999999986</v>
      </c>
      <c r="K406" s="27">
        <f>G406-I406</f>
        <v>2</v>
      </c>
    </row>
    <row r="407" spans="1:11">
      <c r="A407" t="s">
        <v>155</v>
      </c>
      <c r="B407">
        <v>8</v>
      </c>
      <c r="C407" t="s">
        <v>56</v>
      </c>
      <c r="D407" t="s">
        <v>126</v>
      </c>
      <c r="E407" t="s">
        <v>135</v>
      </c>
      <c r="F407" t="s">
        <v>136</v>
      </c>
      <c r="G407" s="27">
        <v>58.3</v>
      </c>
      <c r="H407" s="27">
        <v>56.9</v>
      </c>
      <c r="I407" s="27">
        <v>55</v>
      </c>
      <c r="J407" s="27">
        <f>G407-H407</f>
        <v>1.3999999999999986</v>
      </c>
      <c r="K407" s="27">
        <f>G407-I407</f>
        <v>3.2999999999999972</v>
      </c>
    </row>
    <row r="408" spans="1:11">
      <c r="A408" t="s">
        <v>155</v>
      </c>
      <c r="B408">
        <v>8</v>
      </c>
      <c r="C408" t="s">
        <v>57</v>
      </c>
      <c r="D408" t="s">
        <v>145</v>
      </c>
      <c r="E408" t="s">
        <v>105</v>
      </c>
      <c r="F408" t="s">
        <v>106</v>
      </c>
      <c r="G408" s="27">
        <v>368.8</v>
      </c>
      <c r="H408" s="27">
        <v>376.5</v>
      </c>
      <c r="I408" s="27">
        <v>363.7</v>
      </c>
      <c r="J408" s="27">
        <f>G408-H408</f>
        <v>-7.6999999999999886</v>
      </c>
      <c r="K408" s="27">
        <f>G408-I408</f>
        <v>5.1000000000000227</v>
      </c>
    </row>
    <row r="409" spans="1:11">
      <c r="A409" t="s">
        <v>155</v>
      </c>
      <c r="B409">
        <v>8</v>
      </c>
      <c r="C409" t="s">
        <v>57</v>
      </c>
      <c r="D409" t="s">
        <v>145</v>
      </c>
      <c r="E409" t="s">
        <v>107</v>
      </c>
      <c r="F409" t="s">
        <v>108</v>
      </c>
      <c r="G409" s="27">
        <v>36.799999999999997</v>
      </c>
      <c r="H409" s="27">
        <v>36.1</v>
      </c>
      <c r="I409" s="27">
        <v>34.9</v>
      </c>
      <c r="J409" s="27">
        <f>G409-H409</f>
        <v>0.69999999999999574</v>
      </c>
      <c r="K409" s="27">
        <f>G409-I409</f>
        <v>1.8999999999999986</v>
      </c>
    </row>
    <row r="410" spans="1:11">
      <c r="A410" t="s">
        <v>155</v>
      </c>
      <c r="B410">
        <v>8</v>
      </c>
      <c r="C410" t="s">
        <v>57</v>
      </c>
      <c r="D410" t="s">
        <v>145</v>
      </c>
      <c r="E410" t="s">
        <v>109</v>
      </c>
      <c r="F410" t="s">
        <v>110</v>
      </c>
      <c r="G410" s="27">
        <v>26.1</v>
      </c>
      <c r="H410" s="27">
        <v>25.9</v>
      </c>
      <c r="I410" s="27">
        <v>25</v>
      </c>
      <c r="J410" s="27">
        <f>G410-H410</f>
        <v>0.20000000000000284</v>
      </c>
      <c r="K410" s="27">
        <f>G410-I410</f>
        <v>1.1000000000000014</v>
      </c>
    </row>
    <row r="411" spans="1:11">
      <c r="A411" t="s">
        <v>155</v>
      </c>
      <c r="B411">
        <v>8</v>
      </c>
      <c r="C411" t="s">
        <v>57</v>
      </c>
      <c r="D411" t="s">
        <v>145</v>
      </c>
      <c r="E411" t="s">
        <v>111</v>
      </c>
      <c r="F411" t="s">
        <v>112</v>
      </c>
      <c r="G411" s="27">
        <v>238.4</v>
      </c>
      <c r="H411" s="27">
        <v>247</v>
      </c>
      <c r="I411" s="27">
        <v>238.6</v>
      </c>
      <c r="J411" s="27">
        <f>G411-H411</f>
        <v>-8.5999999999999943</v>
      </c>
      <c r="K411" s="27">
        <f>G411-I411</f>
        <v>-0.19999999999998863</v>
      </c>
    </row>
    <row r="412" spans="1:11">
      <c r="A412" t="s">
        <v>155</v>
      </c>
      <c r="B412">
        <v>8</v>
      </c>
      <c r="C412" t="s">
        <v>57</v>
      </c>
      <c r="D412" t="s">
        <v>145</v>
      </c>
      <c r="E412" t="s">
        <v>113</v>
      </c>
      <c r="F412" t="s">
        <v>114</v>
      </c>
      <c r="G412" s="27">
        <v>370.8</v>
      </c>
      <c r="H412" s="27">
        <v>372.6</v>
      </c>
      <c r="I412" s="27">
        <v>360</v>
      </c>
      <c r="J412" s="27">
        <f>G412-H412</f>
        <v>-1.8000000000000114</v>
      </c>
      <c r="K412" s="27">
        <f>G412-I412</f>
        <v>10.800000000000011</v>
      </c>
    </row>
    <row r="413" spans="1:11">
      <c r="A413" t="s">
        <v>155</v>
      </c>
      <c r="B413">
        <v>8</v>
      </c>
      <c r="C413" t="s">
        <v>57</v>
      </c>
      <c r="D413" t="s">
        <v>145</v>
      </c>
      <c r="E413" t="s">
        <v>115</v>
      </c>
      <c r="F413" t="s">
        <v>116</v>
      </c>
      <c r="G413" s="27">
        <v>83.4</v>
      </c>
      <c r="H413" s="27">
        <v>84.3</v>
      </c>
      <c r="I413" s="27">
        <v>81.5</v>
      </c>
      <c r="J413" s="27">
        <f>G413-H413</f>
        <v>-0.89999999999999147</v>
      </c>
      <c r="K413" s="27">
        <f>G413-I413</f>
        <v>1.9000000000000057</v>
      </c>
    </row>
    <row r="414" spans="1:11">
      <c r="A414" t="s">
        <v>155</v>
      </c>
      <c r="B414">
        <v>8</v>
      </c>
      <c r="C414" t="s">
        <v>57</v>
      </c>
      <c r="D414" t="s">
        <v>146</v>
      </c>
      <c r="E414" t="s">
        <v>119</v>
      </c>
      <c r="F414" t="s">
        <v>120</v>
      </c>
      <c r="G414" s="27">
        <v>302.60000000000002</v>
      </c>
      <c r="H414" s="27">
        <v>303.10000000000002</v>
      </c>
      <c r="I414" s="27">
        <v>292.8</v>
      </c>
      <c r="J414" s="27">
        <f>G414-H414</f>
        <v>-0.5</v>
      </c>
      <c r="K414" s="27">
        <f>G414-I414</f>
        <v>9.8000000000000114</v>
      </c>
    </row>
    <row r="415" spans="1:11">
      <c r="A415" t="s">
        <v>155</v>
      </c>
      <c r="B415">
        <v>8</v>
      </c>
      <c r="C415" t="s">
        <v>57</v>
      </c>
      <c r="D415" t="s">
        <v>146</v>
      </c>
      <c r="E415" t="s">
        <v>121</v>
      </c>
      <c r="F415" t="s">
        <v>122</v>
      </c>
      <c r="G415" s="27">
        <v>48.9</v>
      </c>
      <c r="H415" s="27">
        <v>62.1</v>
      </c>
      <c r="I415" s="27">
        <v>60</v>
      </c>
      <c r="J415" s="27">
        <f>G415-H415</f>
        <v>-13.200000000000003</v>
      </c>
      <c r="K415" s="27">
        <f>G415-I415</f>
        <v>-11.100000000000001</v>
      </c>
    </row>
    <row r="416" spans="1:11">
      <c r="A416" t="s">
        <v>155</v>
      </c>
      <c r="B416">
        <v>8</v>
      </c>
      <c r="C416" t="s">
        <v>57</v>
      </c>
      <c r="D416" t="s">
        <v>146</v>
      </c>
      <c r="E416" t="s">
        <v>123</v>
      </c>
      <c r="F416" t="s">
        <v>124</v>
      </c>
      <c r="G416" s="27">
        <v>40.200000000000003</v>
      </c>
      <c r="H416" s="27">
        <v>41.7</v>
      </c>
      <c r="I416" s="27">
        <v>40.299999999999997</v>
      </c>
      <c r="J416" s="27">
        <f>G416-H416</f>
        <v>-1.5</v>
      </c>
      <c r="K416" s="27">
        <f>G416-I416</f>
        <v>-9.9999999999994316E-2</v>
      </c>
    </row>
    <row r="417" spans="1:11">
      <c r="A417" t="s">
        <v>155</v>
      </c>
      <c r="B417">
        <v>8</v>
      </c>
      <c r="C417" t="s">
        <v>57</v>
      </c>
      <c r="D417" t="s">
        <v>126</v>
      </c>
      <c r="E417" t="s">
        <v>127</v>
      </c>
      <c r="F417" t="s">
        <v>128</v>
      </c>
      <c r="G417" s="27">
        <v>314.39999999999998</v>
      </c>
      <c r="H417" s="27">
        <v>307.8</v>
      </c>
      <c r="I417" s="27">
        <v>297.5</v>
      </c>
      <c r="J417" s="27">
        <f>G417-H417</f>
        <v>6.5999999999999659</v>
      </c>
      <c r="K417" s="27">
        <f>G417-I417</f>
        <v>16.899999999999977</v>
      </c>
    </row>
    <row r="418" spans="1:11">
      <c r="A418" t="s">
        <v>155</v>
      </c>
      <c r="B418">
        <v>8</v>
      </c>
      <c r="C418" t="s">
        <v>57</v>
      </c>
      <c r="D418" t="s">
        <v>126</v>
      </c>
      <c r="E418" t="s">
        <v>129</v>
      </c>
      <c r="F418" t="s">
        <v>130</v>
      </c>
      <c r="G418" s="27">
        <v>302.2</v>
      </c>
      <c r="H418" s="27">
        <v>36.299999999999997</v>
      </c>
      <c r="I418" s="27">
        <v>35.1</v>
      </c>
      <c r="J418" s="27">
        <f>G418-H418</f>
        <v>265.89999999999998</v>
      </c>
      <c r="K418" s="27">
        <f>G418-I418</f>
        <v>267.09999999999997</v>
      </c>
    </row>
    <row r="419" spans="1:11">
      <c r="A419" t="s">
        <v>155</v>
      </c>
      <c r="B419">
        <v>8</v>
      </c>
      <c r="C419" t="s">
        <v>57</v>
      </c>
      <c r="D419" t="s">
        <v>126</v>
      </c>
      <c r="E419" t="s">
        <v>131</v>
      </c>
      <c r="F419" t="s">
        <v>132</v>
      </c>
      <c r="G419" s="27">
        <v>76.099999999999994</v>
      </c>
      <c r="H419" s="27">
        <v>51.4</v>
      </c>
      <c r="I419" s="27">
        <v>49.7</v>
      </c>
      <c r="J419" s="27">
        <f>G419-H419</f>
        <v>24.699999999999996</v>
      </c>
      <c r="K419" s="27">
        <f>G419-I419</f>
        <v>26.399999999999991</v>
      </c>
    </row>
    <row r="420" spans="1:11">
      <c r="A420" t="s">
        <v>155</v>
      </c>
      <c r="B420">
        <v>8</v>
      </c>
      <c r="C420" t="s">
        <v>57</v>
      </c>
      <c r="D420" t="s">
        <v>126</v>
      </c>
      <c r="E420" t="s">
        <v>133</v>
      </c>
      <c r="F420" t="s">
        <v>134</v>
      </c>
      <c r="G420" s="27">
        <v>12.6</v>
      </c>
      <c r="H420" s="27">
        <v>12.4</v>
      </c>
      <c r="I420" s="27">
        <v>12</v>
      </c>
      <c r="J420" s="27">
        <f>G420-H420</f>
        <v>0.19999999999999929</v>
      </c>
      <c r="K420" s="27">
        <f>G420-I420</f>
        <v>0.59999999999999964</v>
      </c>
    </row>
    <row r="421" spans="1:11">
      <c r="A421" t="s">
        <v>155</v>
      </c>
      <c r="B421">
        <v>8</v>
      </c>
      <c r="C421" t="s">
        <v>57</v>
      </c>
      <c r="D421" t="s">
        <v>126</v>
      </c>
      <c r="E421" t="s">
        <v>135</v>
      </c>
      <c r="F421" t="s">
        <v>136</v>
      </c>
      <c r="G421" s="27">
        <v>42.4</v>
      </c>
      <c r="H421" s="27">
        <v>41.4</v>
      </c>
      <c r="I421" s="27">
        <v>40</v>
      </c>
      <c r="J421" s="27">
        <f>G421-H421</f>
        <v>1</v>
      </c>
      <c r="K421" s="27">
        <f>G421-I421</f>
        <v>2.3999999999999986</v>
      </c>
    </row>
    <row r="422" spans="1:11">
      <c r="A422" t="s">
        <v>155</v>
      </c>
      <c r="B422">
        <v>8</v>
      </c>
      <c r="C422" t="s">
        <v>58</v>
      </c>
      <c r="D422" t="s">
        <v>145</v>
      </c>
      <c r="E422" t="s">
        <v>105</v>
      </c>
      <c r="F422" t="s">
        <v>106</v>
      </c>
      <c r="G422" s="27">
        <v>303.8</v>
      </c>
      <c r="H422" s="27">
        <v>369.3</v>
      </c>
      <c r="I422" s="27">
        <v>356.8</v>
      </c>
      <c r="J422" s="27">
        <f>G422-H422</f>
        <v>-65.5</v>
      </c>
      <c r="K422" s="27">
        <f>G422-I422</f>
        <v>-53</v>
      </c>
    </row>
    <row r="423" spans="1:11">
      <c r="A423" t="s">
        <v>155</v>
      </c>
      <c r="B423">
        <v>8</v>
      </c>
      <c r="C423" t="s">
        <v>58</v>
      </c>
      <c r="D423" t="s">
        <v>145</v>
      </c>
      <c r="E423" t="s">
        <v>107</v>
      </c>
      <c r="F423" t="s">
        <v>108</v>
      </c>
      <c r="G423" s="27">
        <v>29.8</v>
      </c>
      <c r="H423" s="27">
        <v>35.5</v>
      </c>
      <c r="I423" s="27">
        <v>34.299999999999997</v>
      </c>
      <c r="J423" s="27">
        <f>G423-H423</f>
        <v>-5.6999999999999993</v>
      </c>
      <c r="K423" s="27">
        <f>G423-I423</f>
        <v>-4.4999999999999964</v>
      </c>
    </row>
    <row r="424" spans="1:11">
      <c r="A424" t="s">
        <v>155</v>
      </c>
      <c r="B424">
        <v>8</v>
      </c>
      <c r="C424" t="s">
        <v>58</v>
      </c>
      <c r="D424" t="s">
        <v>145</v>
      </c>
      <c r="E424" t="s">
        <v>109</v>
      </c>
      <c r="F424" t="s">
        <v>110</v>
      </c>
      <c r="G424" s="27">
        <v>21.8</v>
      </c>
      <c r="H424" s="27">
        <v>25.5</v>
      </c>
      <c r="I424" s="27">
        <v>24.6</v>
      </c>
      <c r="J424" s="27">
        <f>G424-H424</f>
        <v>-3.6999999999999993</v>
      </c>
      <c r="K424" s="27">
        <f>G424-I424</f>
        <v>-2.8000000000000007</v>
      </c>
    </row>
    <row r="425" spans="1:11">
      <c r="A425" t="s">
        <v>155</v>
      </c>
      <c r="B425">
        <v>8</v>
      </c>
      <c r="C425" t="s">
        <v>58</v>
      </c>
      <c r="D425" t="s">
        <v>145</v>
      </c>
      <c r="E425" t="s">
        <v>111</v>
      </c>
      <c r="F425" t="s">
        <v>112</v>
      </c>
      <c r="G425" s="27">
        <v>180.1</v>
      </c>
      <c r="H425" s="27">
        <v>247.5</v>
      </c>
      <c r="I425" s="27">
        <v>239.1</v>
      </c>
      <c r="J425" s="27">
        <f>G425-H425</f>
        <v>-67.400000000000006</v>
      </c>
      <c r="K425" s="27">
        <f>G425-I425</f>
        <v>-59</v>
      </c>
    </row>
    <row r="426" spans="1:11">
      <c r="A426" t="s">
        <v>155</v>
      </c>
      <c r="B426">
        <v>8</v>
      </c>
      <c r="C426" t="s">
        <v>58</v>
      </c>
      <c r="D426" t="s">
        <v>145</v>
      </c>
      <c r="E426" t="s">
        <v>113</v>
      </c>
      <c r="F426" t="s">
        <v>114</v>
      </c>
      <c r="G426" s="27">
        <v>339.9</v>
      </c>
      <c r="H426" s="27">
        <v>341.5</v>
      </c>
      <c r="I426" s="27">
        <v>330</v>
      </c>
      <c r="J426" s="27">
        <f>G426-H426</f>
        <v>-1.6000000000000227</v>
      </c>
      <c r="K426" s="27">
        <f>G426-I426</f>
        <v>9.8999999999999773</v>
      </c>
    </row>
    <row r="427" spans="1:11">
      <c r="A427" t="s">
        <v>155</v>
      </c>
      <c r="B427">
        <v>8</v>
      </c>
      <c r="C427" t="s">
        <v>58</v>
      </c>
      <c r="D427" t="s">
        <v>145</v>
      </c>
      <c r="E427" t="s">
        <v>115</v>
      </c>
      <c r="F427" t="s">
        <v>116</v>
      </c>
      <c r="G427" s="27">
        <v>77.8</v>
      </c>
      <c r="H427" s="27">
        <v>79.400000000000006</v>
      </c>
      <c r="I427" s="27">
        <v>76.7</v>
      </c>
      <c r="J427" s="27">
        <f>G427-H427</f>
        <v>-1.6000000000000085</v>
      </c>
      <c r="K427" s="27">
        <f>G427-I427</f>
        <v>1.0999999999999943</v>
      </c>
    </row>
    <row r="428" spans="1:11">
      <c r="A428" t="s">
        <v>155</v>
      </c>
      <c r="B428">
        <v>8</v>
      </c>
      <c r="C428" t="s">
        <v>58</v>
      </c>
      <c r="D428" t="s">
        <v>146</v>
      </c>
      <c r="E428" t="s">
        <v>119</v>
      </c>
      <c r="F428" t="s">
        <v>120</v>
      </c>
      <c r="G428" s="27">
        <v>245</v>
      </c>
      <c r="H428" s="27">
        <v>290.10000000000002</v>
      </c>
      <c r="I428" s="27">
        <v>280.3</v>
      </c>
      <c r="J428" s="27">
        <f>G428-H428</f>
        <v>-45.100000000000023</v>
      </c>
      <c r="K428" s="27">
        <f>G428-I428</f>
        <v>-35.300000000000011</v>
      </c>
    </row>
    <row r="429" spans="1:11">
      <c r="A429" t="s">
        <v>155</v>
      </c>
      <c r="B429">
        <v>8</v>
      </c>
      <c r="C429" t="s">
        <v>58</v>
      </c>
      <c r="D429" t="s">
        <v>146</v>
      </c>
      <c r="E429" t="s">
        <v>121</v>
      </c>
      <c r="F429" t="s">
        <v>122</v>
      </c>
      <c r="G429" s="27">
        <v>45.6</v>
      </c>
      <c r="H429" s="27">
        <v>56</v>
      </c>
      <c r="I429" s="27">
        <v>54.1</v>
      </c>
      <c r="J429" s="27">
        <f>G429-H429</f>
        <v>-10.399999999999999</v>
      </c>
      <c r="K429" s="27">
        <f>G429-I429</f>
        <v>-8.5</v>
      </c>
    </row>
    <row r="430" spans="1:11">
      <c r="A430" t="s">
        <v>155</v>
      </c>
      <c r="B430">
        <v>8</v>
      </c>
      <c r="C430" t="s">
        <v>58</v>
      </c>
      <c r="D430" t="s">
        <v>146</v>
      </c>
      <c r="E430" t="s">
        <v>123</v>
      </c>
      <c r="F430" t="s">
        <v>124</v>
      </c>
      <c r="G430" s="27">
        <v>36</v>
      </c>
      <c r="H430" s="27">
        <v>36.6</v>
      </c>
      <c r="I430" s="27">
        <v>35.4</v>
      </c>
      <c r="J430" s="27">
        <f>G430-H430</f>
        <v>-0.60000000000000142</v>
      </c>
      <c r="K430" s="27">
        <f>G430-I430</f>
        <v>0.60000000000000142</v>
      </c>
    </row>
    <row r="431" spans="1:11">
      <c r="A431" t="s">
        <v>155</v>
      </c>
      <c r="B431">
        <v>8</v>
      </c>
      <c r="C431" t="s">
        <v>58</v>
      </c>
      <c r="D431" t="s">
        <v>126</v>
      </c>
      <c r="E431" t="s">
        <v>127</v>
      </c>
      <c r="F431" t="s">
        <v>128</v>
      </c>
      <c r="G431" s="27">
        <v>290</v>
      </c>
      <c r="H431" s="27">
        <v>293.10000000000002</v>
      </c>
      <c r="I431" s="27">
        <v>283.2</v>
      </c>
      <c r="J431" s="27">
        <f>G431-H431</f>
        <v>-3.1000000000000227</v>
      </c>
      <c r="K431" s="27">
        <f>G431-I431</f>
        <v>6.8000000000000114</v>
      </c>
    </row>
    <row r="432" spans="1:11">
      <c r="A432" t="s">
        <v>155</v>
      </c>
      <c r="B432">
        <v>8</v>
      </c>
      <c r="C432" t="s">
        <v>58</v>
      </c>
      <c r="D432" t="s">
        <v>126</v>
      </c>
      <c r="E432" t="s">
        <v>129</v>
      </c>
      <c r="F432" t="s">
        <v>130</v>
      </c>
      <c r="G432" s="27">
        <v>31.4</v>
      </c>
      <c r="H432" s="27">
        <v>30.8</v>
      </c>
      <c r="I432" s="27">
        <v>29.7</v>
      </c>
      <c r="J432" s="27">
        <f>G432-H432</f>
        <v>0.59999999999999787</v>
      </c>
      <c r="K432" s="27">
        <f>G432-I432</f>
        <v>1.6999999999999993</v>
      </c>
    </row>
    <row r="433" spans="1:11">
      <c r="A433" t="s">
        <v>155</v>
      </c>
      <c r="B433">
        <v>8</v>
      </c>
      <c r="C433" t="s">
        <v>58</v>
      </c>
      <c r="D433" t="s">
        <v>126</v>
      </c>
      <c r="E433" t="s">
        <v>131</v>
      </c>
      <c r="F433" t="s">
        <v>132</v>
      </c>
      <c r="G433" s="27">
        <v>67.599999999999994</v>
      </c>
      <c r="H433" s="27">
        <v>46.6</v>
      </c>
      <c r="I433" s="27">
        <v>45</v>
      </c>
      <c r="J433" s="27">
        <f>G433-H433</f>
        <v>20.999999999999993</v>
      </c>
      <c r="K433" s="27">
        <f>G433-I433</f>
        <v>22.599999999999994</v>
      </c>
    </row>
    <row r="434" spans="1:11">
      <c r="A434" t="s">
        <v>155</v>
      </c>
      <c r="B434">
        <v>8</v>
      </c>
      <c r="C434" t="s">
        <v>58</v>
      </c>
      <c r="D434" t="s">
        <v>126</v>
      </c>
      <c r="E434" t="s">
        <v>133</v>
      </c>
      <c r="F434" t="s">
        <v>134</v>
      </c>
      <c r="G434" s="27">
        <v>10.199999999999999</v>
      </c>
      <c r="H434" s="27">
        <v>12.3</v>
      </c>
      <c r="I434" s="27">
        <v>11.9</v>
      </c>
      <c r="J434" s="27">
        <f>G434-H434</f>
        <v>-2.1000000000000014</v>
      </c>
      <c r="K434" s="27">
        <f>G434-I434</f>
        <v>-1.7000000000000011</v>
      </c>
    </row>
    <row r="435" spans="1:11">
      <c r="A435" t="s">
        <v>155</v>
      </c>
      <c r="B435">
        <v>8</v>
      </c>
      <c r="C435" t="s">
        <v>58</v>
      </c>
      <c r="D435" t="s">
        <v>126</v>
      </c>
      <c r="E435" t="s">
        <v>135</v>
      </c>
      <c r="F435" t="s">
        <v>136</v>
      </c>
      <c r="G435" s="27">
        <v>40.299999999999997</v>
      </c>
      <c r="H435" s="27">
        <v>39.299999999999997</v>
      </c>
      <c r="I435" s="27">
        <v>38</v>
      </c>
      <c r="J435" s="27">
        <f>G435-H435</f>
        <v>1</v>
      </c>
      <c r="K435" s="27">
        <f>G435-I435</f>
        <v>2.2999999999999972</v>
      </c>
    </row>
    <row r="436" spans="1:11">
      <c r="A436" t="s">
        <v>155</v>
      </c>
      <c r="B436">
        <v>8</v>
      </c>
      <c r="C436" t="s">
        <v>59</v>
      </c>
      <c r="D436" t="s">
        <v>145</v>
      </c>
      <c r="E436" t="s">
        <v>105</v>
      </c>
      <c r="F436" t="s">
        <v>106</v>
      </c>
      <c r="G436" s="27">
        <v>215</v>
      </c>
      <c r="H436" s="27">
        <v>234.8</v>
      </c>
      <c r="I436" s="27">
        <v>227</v>
      </c>
      <c r="J436" s="27">
        <f>G436-H436</f>
        <v>-19.800000000000011</v>
      </c>
      <c r="K436" s="27">
        <f>G436-I436</f>
        <v>-12</v>
      </c>
    </row>
    <row r="437" spans="1:11">
      <c r="A437" t="s">
        <v>155</v>
      </c>
      <c r="B437">
        <v>8</v>
      </c>
      <c r="C437" t="s">
        <v>59</v>
      </c>
      <c r="D437" t="s">
        <v>145</v>
      </c>
      <c r="E437" t="s">
        <v>107</v>
      </c>
      <c r="F437" t="s">
        <v>108</v>
      </c>
      <c r="G437" s="27">
        <v>21.1</v>
      </c>
      <c r="H437" s="27">
        <v>22.8</v>
      </c>
      <c r="I437" s="27">
        <v>22</v>
      </c>
      <c r="J437" s="27">
        <f>G437-H437</f>
        <v>-1.6999999999999993</v>
      </c>
      <c r="K437" s="27">
        <f>G437-I437</f>
        <v>-0.89999999999999858</v>
      </c>
    </row>
    <row r="438" spans="1:11">
      <c r="A438" t="s">
        <v>155</v>
      </c>
      <c r="B438">
        <v>8</v>
      </c>
      <c r="C438" t="s">
        <v>59</v>
      </c>
      <c r="D438" t="s">
        <v>145</v>
      </c>
      <c r="E438" t="s">
        <v>109</v>
      </c>
      <c r="F438" t="s">
        <v>110</v>
      </c>
      <c r="G438" s="27">
        <v>15.3</v>
      </c>
      <c r="H438" s="27">
        <v>15.9</v>
      </c>
      <c r="I438" s="27">
        <v>15.3</v>
      </c>
      <c r="J438" s="27">
        <f>G438-H438</f>
        <v>-0.59999999999999964</v>
      </c>
      <c r="K438" s="27">
        <f>G438-I438</f>
        <v>0</v>
      </c>
    </row>
    <row r="439" spans="1:11">
      <c r="A439" t="s">
        <v>155</v>
      </c>
      <c r="B439">
        <v>8</v>
      </c>
      <c r="C439" t="s">
        <v>59</v>
      </c>
      <c r="D439" t="s">
        <v>145</v>
      </c>
      <c r="E439" t="s">
        <v>111</v>
      </c>
      <c r="F439" t="s">
        <v>112</v>
      </c>
      <c r="G439" s="27">
        <v>138.69999999999999</v>
      </c>
      <c r="H439" s="27">
        <v>152.19999999999999</v>
      </c>
      <c r="I439" s="27">
        <v>147</v>
      </c>
      <c r="J439" s="27">
        <f>G439-H439</f>
        <v>-13.5</v>
      </c>
      <c r="K439" s="27">
        <f>G439-I439</f>
        <v>-8.3000000000000114</v>
      </c>
    </row>
    <row r="440" spans="1:11">
      <c r="A440" t="s">
        <v>155</v>
      </c>
      <c r="B440">
        <v>8</v>
      </c>
      <c r="C440" t="s">
        <v>59</v>
      </c>
      <c r="D440" t="s">
        <v>145</v>
      </c>
      <c r="E440" t="s">
        <v>113</v>
      </c>
      <c r="F440" t="s">
        <v>114</v>
      </c>
      <c r="G440" s="27">
        <v>247.2</v>
      </c>
      <c r="H440" s="27">
        <v>248.4</v>
      </c>
      <c r="I440" s="27">
        <v>240</v>
      </c>
      <c r="J440" s="27">
        <f>G440-H440</f>
        <v>-1.2000000000000171</v>
      </c>
      <c r="K440" s="27">
        <f>G440-I440</f>
        <v>7.1999999999999886</v>
      </c>
    </row>
    <row r="441" spans="1:11">
      <c r="A441" t="s">
        <v>155</v>
      </c>
      <c r="B441">
        <v>8</v>
      </c>
      <c r="C441" t="s">
        <v>59</v>
      </c>
      <c r="D441" t="s">
        <v>145</v>
      </c>
      <c r="E441" t="s">
        <v>115</v>
      </c>
      <c r="F441" t="s">
        <v>116</v>
      </c>
      <c r="G441" s="27">
        <v>59.5</v>
      </c>
      <c r="H441" s="27">
        <v>58</v>
      </c>
      <c r="I441" s="27">
        <v>56</v>
      </c>
      <c r="J441" s="27">
        <f>G441-H441</f>
        <v>1.5</v>
      </c>
      <c r="K441" s="27">
        <f>G441-I441</f>
        <v>3.5</v>
      </c>
    </row>
    <row r="442" spans="1:11">
      <c r="A442" t="s">
        <v>155</v>
      </c>
      <c r="B442">
        <v>8</v>
      </c>
      <c r="C442" t="s">
        <v>59</v>
      </c>
      <c r="D442" t="s">
        <v>146</v>
      </c>
      <c r="E442" t="s">
        <v>119</v>
      </c>
      <c r="F442" t="s">
        <v>120</v>
      </c>
      <c r="G442" s="27">
        <v>171.8</v>
      </c>
      <c r="H442" s="27">
        <v>182.2</v>
      </c>
      <c r="I442" s="27">
        <v>176.1</v>
      </c>
      <c r="J442" s="27">
        <f>G442-H442</f>
        <v>-10.399999999999977</v>
      </c>
      <c r="K442" s="27">
        <f>G442-I442</f>
        <v>-4.2999999999999829</v>
      </c>
    </row>
    <row r="443" spans="1:11">
      <c r="A443" t="s">
        <v>155</v>
      </c>
      <c r="B443">
        <v>8</v>
      </c>
      <c r="C443" t="s">
        <v>59</v>
      </c>
      <c r="D443" t="s">
        <v>146</v>
      </c>
      <c r="E443" t="s">
        <v>121</v>
      </c>
      <c r="F443" t="s">
        <v>122</v>
      </c>
      <c r="G443" s="27">
        <v>33.299999999999997</v>
      </c>
      <c r="H443" s="27">
        <v>41.9</v>
      </c>
      <c r="I443" s="27">
        <v>40.4</v>
      </c>
      <c r="J443" s="27">
        <f>G443-H443</f>
        <v>-8.6000000000000014</v>
      </c>
      <c r="K443" s="27">
        <f>G443-I443</f>
        <v>-7.1000000000000014</v>
      </c>
    </row>
    <row r="444" spans="1:11">
      <c r="A444" t="s">
        <v>155</v>
      </c>
      <c r="B444">
        <v>8</v>
      </c>
      <c r="C444" t="s">
        <v>59</v>
      </c>
      <c r="D444" t="s">
        <v>146</v>
      </c>
      <c r="E444" t="s">
        <v>123</v>
      </c>
      <c r="F444" t="s">
        <v>124</v>
      </c>
      <c r="G444" s="27">
        <v>45.4</v>
      </c>
      <c r="H444" s="27">
        <v>47.2</v>
      </c>
      <c r="I444" s="27">
        <v>45.6</v>
      </c>
      <c r="J444" s="27">
        <f>G444-H444</f>
        <v>-1.8000000000000043</v>
      </c>
      <c r="K444" s="27">
        <f>G444-I444</f>
        <v>-0.20000000000000284</v>
      </c>
    </row>
    <row r="445" spans="1:11">
      <c r="A445" t="s">
        <v>155</v>
      </c>
      <c r="B445">
        <v>8</v>
      </c>
      <c r="C445" t="s">
        <v>59</v>
      </c>
      <c r="D445" t="s">
        <v>126</v>
      </c>
      <c r="E445" t="s">
        <v>127</v>
      </c>
      <c r="F445" t="s">
        <v>128</v>
      </c>
      <c r="G445" s="27">
        <v>208.3</v>
      </c>
      <c r="H445" s="27">
        <v>204.8</v>
      </c>
      <c r="I445" s="27">
        <v>197.9</v>
      </c>
      <c r="J445" s="27">
        <f>G445-H445</f>
        <v>3.5</v>
      </c>
      <c r="K445" s="27">
        <f>G445-I445</f>
        <v>10.400000000000006</v>
      </c>
    </row>
    <row r="446" spans="1:11">
      <c r="A446" t="s">
        <v>155</v>
      </c>
      <c r="B446">
        <v>8</v>
      </c>
      <c r="C446" t="s">
        <v>59</v>
      </c>
      <c r="D446" t="s">
        <v>126</v>
      </c>
      <c r="E446" t="s">
        <v>129</v>
      </c>
      <c r="F446" t="s">
        <v>130</v>
      </c>
      <c r="G446" s="27">
        <v>25.8</v>
      </c>
      <c r="H446" s="27">
        <v>26.1</v>
      </c>
      <c r="I446" s="27">
        <v>25.2</v>
      </c>
      <c r="J446" s="27">
        <f>G446-H446</f>
        <v>-0.30000000000000071</v>
      </c>
      <c r="K446" s="27">
        <f>G446-I446</f>
        <v>0.60000000000000142</v>
      </c>
    </row>
    <row r="447" spans="1:11">
      <c r="A447" t="s">
        <v>155</v>
      </c>
      <c r="B447">
        <v>8</v>
      </c>
      <c r="C447" t="s">
        <v>59</v>
      </c>
      <c r="D447" t="s">
        <v>126</v>
      </c>
      <c r="E447" t="s">
        <v>131</v>
      </c>
      <c r="F447" t="s">
        <v>132</v>
      </c>
      <c r="G447" s="27">
        <v>55.3</v>
      </c>
      <c r="H447" s="27">
        <v>36.200000000000003</v>
      </c>
      <c r="I447" s="27">
        <v>35</v>
      </c>
      <c r="J447" s="27">
        <f>G447-H447</f>
        <v>19.099999999999994</v>
      </c>
      <c r="K447" s="27">
        <f>G447-I447</f>
        <v>20.299999999999997</v>
      </c>
    </row>
    <row r="448" spans="1:11">
      <c r="A448" t="s">
        <v>155</v>
      </c>
      <c r="B448">
        <v>8</v>
      </c>
      <c r="C448" t="s">
        <v>59</v>
      </c>
      <c r="D448" t="s">
        <v>126</v>
      </c>
      <c r="E448" t="s">
        <v>133</v>
      </c>
      <c r="F448" t="s">
        <v>134</v>
      </c>
      <c r="G448" s="27">
        <v>7.1</v>
      </c>
      <c r="H448" s="27">
        <v>7.6</v>
      </c>
      <c r="I448" s="27">
        <v>7.4</v>
      </c>
      <c r="J448" s="27">
        <f>G448-H448</f>
        <v>-0.5</v>
      </c>
      <c r="K448" s="27">
        <f>G448-I448</f>
        <v>-0.30000000000000071</v>
      </c>
    </row>
    <row r="449" spans="1:11">
      <c r="A449" t="s">
        <v>155</v>
      </c>
      <c r="B449">
        <v>8</v>
      </c>
      <c r="C449" t="s">
        <v>59</v>
      </c>
      <c r="D449" t="s">
        <v>126</v>
      </c>
      <c r="E449" t="s">
        <v>135</v>
      </c>
      <c r="F449" t="s">
        <v>136</v>
      </c>
      <c r="G449" s="27">
        <v>29.7</v>
      </c>
      <c r="H449" s="27">
        <v>29</v>
      </c>
      <c r="I449" s="27">
        <v>28</v>
      </c>
      <c r="J449" s="27">
        <f>G449-H449</f>
        <v>0.69999999999999929</v>
      </c>
      <c r="K449" s="27">
        <f>G449-I449</f>
        <v>1.6999999999999993</v>
      </c>
    </row>
    <row r="450" spans="1:11">
      <c r="A450" t="s">
        <v>156</v>
      </c>
      <c r="B450">
        <v>9</v>
      </c>
      <c r="C450" t="s">
        <v>56</v>
      </c>
      <c r="D450" t="s">
        <v>145</v>
      </c>
      <c r="E450" t="s">
        <v>105</v>
      </c>
      <c r="F450" t="s">
        <v>106</v>
      </c>
      <c r="G450" s="27">
        <v>602.4</v>
      </c>
      <c r="H450" s="27">
        <v>523.4</v>
      </c>
      <c r="I450" s="27">
        <v>505.8</v>
      </c>
      <c r="J450" s="27">
        <f>G450-H450</f>
        <v>79</v>
      </c>
      <c r="K450" s="27">
        <f>G450-I450</f>
        <v>96.599999999999966</v>
      </c>
    </row>
    <row r="451" spans="1:11">
      <c r="A451" t="s">
        <v>156</v>
      </c>
      <c r="B451">
        <v>9</v>
      </c>
      <c r="C451" t="s">
        <v>56</v>
      </c>
      <c r="D451" t="s">
        <v>145</v>
      </c>
      <c r="E451" t="s">
        <v>107</v>
      </c>
      <c r="F451" t="s">
        <v>108</v>
      </c>
      <c r="G451" s="27">
        <v>297.7</v>
      </c>
      <c r="H451" s="27">
        <v>52.2</v>
      </c>
      <c r="I451" s="27">
        <v>50.4</v>
      </c>
      <c r="J451" s="27">
        <f>G451-H451</f>
        <v>245.5</v>
      </c>
      <c r="K451" s="27">
        <f>G451-I451</f>
        <v>247.29999999999998</v>
      </c>
    </row>
    <row r="452" spans="1:11">
      <c r="A452" t="s">
        <v>156</v>
      </c>
      <c r="B452">
        <v>9</v>
      </c>
      <c r="C452" t="s">
        <v>56</v>
      </c>
      <c r="D452" t="s">
        <v>145</v>
      </c>
      <c r="E452" t="s">
        <v>109</v>
      </c>
      <c r="F452" t="s">
        <v>110</v>
      </c>
      <c r="G452" s="27">
        <v>205</v>
      </c>
      <c r="H452" s="27">
        <v>36.5</v>
      </c>
      <c r="I452" s="27">
        <v>35.200000000000003</v>
      </c>
      <c r="J452" s="27">
        <f>G452-H452</f>
        <v>168.5</v>
      </c>
      <c r="K452" s="27">
        <f>G452-I452</f>
        <v>169.8</v>
      </c>
    </row>
    <row r="453" spans="1:11">
      <c r="A453" t="s">
        <v>156</v>
      </c>
      <c r="B453">
        <v>9</v>
      </c>
      <c r="C453" t="s">
        <v>56</v>
      </c>
      <c r="D453" t="s">
        <v>145</v>
      </c>
      <c r="E453" t="s">
        <v>111</v>
      </c>
      <c r="F453" t="s">
        <v>112</v>
      </c>
      <c r="G453" s="27">
        <v>392.1</v>
      </c>
      <c r="H453" s="27">
        <v>350.6</v>
      </c>
      <c r="I453" s="27">
        <v>338.8</v>
      </c>
      <c r="J453" s="27">
        <f>G453-H453</f>
        <v>41.5</v>
      </c>
      <c r="K453" s="27">
        <f>G453-I453</f>
        <v>53.300000000000011</v>
      </c>
    </row>
    <row r="454" spans="1:11">
      <c r="A454" t="s">
        <v>156</v>
      </c>
      <c r="B454">
        <v>9</v>
      </c>
      <c r="C454" t="s">
        <v>56</v>
      </c>
      <c r="D454" t="s">
        <v>145</v>
      </c>
      <c r="E454" t="s">
        <v>113</v>
      </c>
      <c r="F454" t="s">
        <v>114</v>
      </c>
      <c r="G454" s="27">
        <v>535.6</v>
      </c>
      <c r="H454" s="27">
        <v>538.20000000000005</v>
      </c>
      <c r="I454" s="27">
        <v>520</v>
      </c>
      <c r="J454" s="27">
        <f>G454-H454</f>
        <v>-2.6000000000000227</v>
      </c>
      <c r="K454" s="27">
        <f>G454-I454</f>
        <v>15.600000000000023</v>
      </c>
    </row>
    <row r="455" spans="1:11">
      <c r="A455" t="s">
        <v>156</v>
      </c>
      <c r="B455">
        <v>9</v>
      </c>
      <c r="C455" t="s">
        <v>56</v>
      </c>
      <c r="D455" t="s">
        <v>145</v>
      </c>
      <c r="E455" t="s">
        <v>115</v>
      </c>
      <c r="F455" t="s">
        <v>116</v>
      </c>
      <c r="G455" s="27">
        <v>106.9</v>
      </c>
      <c r="H455" s="27">
        <v>108.6</v>
      </c>
      <c r="I455" s="27">
        <v>104.9</v>
      </c>
      <c r="J455" s="27">
        <f>G455-H455</f>
        <v>-1.6999999999999886</v>
      </c>
      <c r="K455" s="27">
        <f>G455-I455</f>
        <v>2</v>
      </c>
    </row>
    <row r="456" spans="1:11">
      <c r="A456" t="s">
        <v>156</v>
      </c>
      <c r="B456">
        <v>9</v>
      </c>
      <c r="C456" t="s">
        <v>56</v>
      </c>
      <c r="D456" t="s">
        <v>146</v>
      </c>
      <c r="E456" t="s">
        <v>119</v>
      </c>
      <c r="F456" t="s">
        <v>120</v>
      </c>
      <c r="G456" s="27">
        <v>519.70000000000005</v>
      </c>
      <c r="H456" s="27">
        <v>423.4</v>
      </c>
      <c r="I456" s="27">
        <v>409.1</v>
      </c>
      <c r="J456" s="27">
        <f>G456-H456</f>
        <v>96.300000000000068</v>
      </c>
      <c r="K456" s="27">
        <f>G456-I456</f>
        <v>110.60000000000002</v>
      </c>
    </row>
    <row r="457" spans="1:11">
      <c r="A457" t="s">
        <v>156</v>
      </c>
      <c r="B457">
        <v>9</v>
      </c>
      <c r="C457" t="s">
        <v>56</v>
      </c>
      <c r="D457" t="s">
        <v>146</v>
      </c>
      <c r="E457" t="s">
        <v>121</v>
      </c>
      <c r="F457" t="s">
        <v>122</v>
      </c>
      <c r="G457" s="27">
        <v>68.5</v>
      </c>
      <c r="H457" s="27">
        <v>87.8</v>
      </c>
      <c r="I457" s="27">
        <v>84.8</v>
      </c>
      <c r="J457" s="27">
        <f>G457-H457</f>
        <v>-19.299999999999997</v>
      </c>
      <c r="K457" s="27">
        <f>G457-I457</f>
        <v>-16.299999999999997</v>
      </c>
    </row>
    <row r="458" spans="1:11">
      <c r="A458" t="s">
        <v>156</v>
      </c>
      <c r="B458">
        <v>9</v>
      </c>
      <c r="C458" t="s">
        <v>56</v>
      </c>
      <c r="D458" t="s">
        <v>146</v>
      </c>
      <c r="E458" t="s">
        <v>123</v>
      </c>
      <c r="F458" t="s">
        <v>124</v>
      </c>
      <c r="G458" s="27">
        <v>60.8</v>
      </c>
      <c r="H458" s="27">
        <v>61.5</v>
      </c>
      <c r="I458" s="27">
        <v>59.4</v>
      </c>
      <c r="J458" s="27">
        <f>G458-H458</f>
        <v>-0.70000000000000284</v>
      </c>
      <c r="K458" s="27">
        <f>G458-I458</f>
        <v>1.3999999999999986</v>
      </c>
    </row>
    <row r="459" spans="1:11">
      <c r="A459" t="s">
        <v>156</v>
      </c>
      <c r="B459">
        <v>9</v>
      </c>
      <c r="C459" t="s">
        <v>56</v>
      </c>
      <c r="D459" t="s">
        <v>126</v>
      </c>
      <c r="E459" t="s">
        <v>127</v>
      </c>
      <c r="F459" t="s">
        <v>128</v>
      </c>
      <c r="G459" s="27">
        <v>428.5</v>
      </c>
      <c r="H459" s="27">
        <v>432.6</v>
      </c>
      <c r="I459" s="27">
        <v>417.9</v>
      </c>
      <c r="J459" s="27">
        <f>G459-H459</f>
        <v>-4.1000000000000227</v>
      </c>
      <c r="K459" s="27">
        <f>G459-I459</f>
        <v>10.600000000000023</v>
      </c>
    </row>
    <row r="460" spans="1:11">
      <c r="A460" t="s">
        <v>156</v>
      </c>
      <c r="B460">
        <v>9</v>
      </c>
      <c r="C460" t="s">
        <v>56</v>
      </c>
      <c r="D460" t="s">
        <v>126</v>
      </c>
      <c r="E460" t="s">
        <v>129</v>
      </c>
      <c r="F460" t="s">
        <v>130</v>
      </c>
      <c r="G460" s="27">
        <v>41.5</v>
      </c>
      <c r="H460" s="27">
        <v>41.9</v>
      </c>
      <c r="I460" s="27">
        <v>40.5</v>
      </c>
      <c r="J460" s="27">
        <f>G460-H460</f>
        <v>-0.39999999999999858</v>
      </c>
      <c r="K460" s="27">
        <f>G460-I460</f>
        <v>1</v>
      </c>
    </row>
    <row r="461" spans="1:11">
      <c r="A461" t="s">
        <v>156</v>
      </c>
      <c r="B461">
        <v>9</v>
      </c>
      <c r="C461" t="s">
        <v>56</v>
      </c>
      <c r="D461" t="s">
        <v>126</v>
      </c>
      <c r="E461" t="s">
        <v>131</v>
      </c>
      <c r="F461" t="s">
        <v>132</v>
      </c>
      <c r="G461" s="27">
        <v>102.5</v>
      </c>
      <c r="H461" s="27">
        <v>71.900000000000006</v>
      </c>
      <c r="I461" s="27">
        <v>69.5</v>
      </c>
      <c r="J461" s="27">
        <f>G461-H461</f>
        <v>30.599999999999994</v>
      </c>
      <c r="K461" s="27">
        <f>G461-I461</f>
        <v>33</v>
      </c>
    </row>
    <row r="462" spans="1:11">
      <c r="A462" t="s">
        <v>156</v>
      </c>
      <c r="B462">
        <v>9</v>
      </c>
      <c r="C462" t="s">
        <v>56</v>
      </c>
      <c r="D462" t="s">
        <v>126</v>
      </c>
      <c r="E462" t="s">
        <v>133</v>
      </c>
      <c r="F462" t="s">
        <v>134</v>
      </c>
      <c r="G462" s="27">
        <v>19.899999999999999</v>
      </c>
      <c r="H462" s="27">
        <v>17.8</v>
      </c>
      <c r="I462" s="27">
        <v>17.2</v>
      </c>
      <c r="J462" s="27">
        <f>G462-H462</f>
        <v>2.0999999999999979</v>
      </c>
      <c r="K462" s="27">
        <f>G462-I462</f>
        <v>2.6999999999999993</v>
      </c>
    </row>
    <row r="463" spans="1:11">
      <c r="A463" t="s">
        <v>156</v>
      </c>
      <c r="B463">
        <v>9</v>
      </c>
      <c r="C463" t="s">
        <v>56</v>
      </c>
      <c r="D463" t="s">
        <v>126</v>
      </c>
      <c r="E463" t="s">
        <v>135</v>
      </c>
      <c r="F463" t="s">
        <v>136</v>
      </c>
      <c r="G463" s="27">
        <v>58.3</v>
      </c>
      <c r="H463" s="27">
        <v>56.9</v>
      </c>
      <c r="I463" s="27">
        <v>55</v>
      </c>
      <c r="J463" s="27">
        <f>G463-H463</f>
        <v>1.3999999999999986</v>
      </c>
      <c r="K463" s="27">
        <f>G463-I463</f>
        <v>3.2999999999999972</v>
      </c>
    </row>
    <row r="464" spans="1:11">
      <c r="A464" t="s">
        <v>156</v>
      </c>
      <c r="B464">
        <v>9</v>
      </c>
      <c r="C464" t="s">
        <v>57</v>
      </c>
      <c r="D464" t="s">
        <v>145</v>
      </c>
      <c r="E464" t="s">
        <v>105</v>
      </c>
      <c r="F464" t="s">
        <v>106</v>
      </c>
      <c r="G464" s="27">
        <v>361.3</v>
      </c>
      <c r="H464" s="27">
        <v>358.6</v>
      </c>
      <c r="I464" s="27">
        <v>346.5</v>
      </c>
      <c r="J464" s="27">
        <f>G464-H464</f>
        <v>2.6999999999999886</v>
      </c>
      <c r="K464" s="27">
        <f>G464-I464</f>
        <v>14.800000000000011</v>
      </c>
    </row>
    <row r="465" spans="1:11">
      <c r="A465" t="s">
        <v>156</v>
      </c>
      <c r="B465">
        <v>9</v>
      </c>
      <c r="C465" t="s">
        <v>57</v>
      </c>
      <c r="D465" t="s">
        <v>145</v>
      </c>
      <c r="E465" t="s">
        <v>107</v>
      </c>
      <c r="F465" t="s">
        <v>108</v>
      </c>
      <c r="G465" s="27">
        <v>35.4</v>
      </c>
      <c r="H465" s="27">
        <v>35.4</v>
      </c>
      <c r="I465" s="27">
        <v>34.200000000000003</v>
      </c>
      <c r="J465" s="27">
        <f>G465-H465</f>
        <v>0</v>
      </c>
      <c r="K465" s="27">
        <f>G465-I465</f>
        <v>1.1999999999999957</v>
      </c>
    </row>
    <row r="466" spans="1:11">
      <c r="A466" t="s">
        <v>156</v>
      </c>
      <c r="B466">
        <v>9</v>
      </c>
      <c r="C466" t="s">
        <v>57</v>
      </c>
      <c r="D466" t="s">
        <v>145</v>
      </c>
      <c r="E466" t="s">
        <v>109</v>
      </c>
      <c r="F466" t="s">
        <v>110</v>
      </c>
      <c r="G466" s="27">
        <v>25.6</v>
      </c>
      <c r="H466" s="27">
        <v>25.7</v>
      </c>
      <c r="I466" s="27">
        <v>24.8</v>
      </c>
      <c r="J466" s="27">
        <f>G466-H466</f>
        <v>-9.9999999999997868E-2</v>
      </c>
      <c r="K466" s="27">
        <f>G466-I466</f>
        <v>0.80000000000000071</v>
      </c>
    </row>
    <row r="467" spans="1:11">
      <c r="A467" t="s">
        <v>156</v>
      </c>
      <c r="B467">
        <v>9</v>
      </c>
      <c r="C467" t="s">
        <v>57</v>
      </c>
      <c r="D467" t="s">
        <v>145</v>
      </c>
      <c r="E467" t="s">
        <v>111</v>
      </c>
      <c r="F467" t="s">
        <v>112</v>
      </c>
      <c r="G467" s="27">
        <v>236.1</v>
      </c>
      <c r="H467" s="27">
        <v>246</v>
      </c>
      <c r="I467" s="27">
        <v>237.7</v>
      </c>
      <c r="J467" s="27">
        <f>G467-H467</f>
        <v>-9.9000000000000057</v>
      </c>
      <c r="K467" s="27">
        <f>G467-I467</f>
        <v>-1.5999999999999943</v>
      </c>
    </row>
    <row r="468" spans="1:11">
      <c r="A468" t="s">
        <v>156</v>
      </c>
      <c r="B468">
        <v>9</v>
      </c>
      <c r="C468" t="s">
        <v>57</v>
      </c>
      <c r="D468" t="s">
        <v>145</v>
      </c>
      <c r="E468" t="s">
        <v>113</v>
      </c>
      <c r="F468" t="s">
        <v>114</v>
      </c>
      <c r="G468" s="27">
        <v>370.8</v>
      </c>
      <c r="H468" s="27">
        <v>372.6</v>
      </c>
      <c r="I468" s="27">
        <v>360</v>
      </c>
      <c r="J468" s="27">
        <f>G468-H468</f>
        <v>-1.8000000000000114</v>
      </c>
      <c r="K468" s="27">
        <f>G468-I468</f>
        <v>10.800000000000011</v>
      </c>
    </row>
    <row r="469" spans="1:11">
      <c r="A469" t="s">
        <v>156</v>
      </c>
      <c r="B469">
        <v>9</v>
      </c>
      <c r="C469" t="s">
        <v>57</v>
      </c>
      <c r="D469" t="s">
        <v>145</v>
      </c>
      <c r="E469" t="s">
        <v>115</v>
      </c>
      <c r="F469" t="s">
        <v>116</v>
      </c>
      <c r="G469" s="27">
        <v>79.2</v>
      </c>
      <c r="H469" s="27">
        <v>79.3</v>
      </c>
      <c r="I469" s="27">
        <v>76.599999999999994</v>
      </c>
      <c r="J469" s="27">
        <f>G469-H469</f>
        <v>-9.9999999999994316E-2</v>
      </c>
      <c r="K469" s="27">
        <f>G469-I469</f>
        <v>2.6000000000000085</v>
      </c>
    </row>
    <row r="470" spans="1:11">
      <c r="A470" t="s">
        <v>156</v>
      </c>
      <c r="B470">
        <v>9</v>
      </c>
      <c r="C470" t="s">
        <v>57</v>
      </c>
      <c r="D470" t="s">
        <v>146</v>
      </c>
      <c r="E470" t="s">
        <v>119</v>
      </c>
      <c r="F470" t="s">
        <v>120</v>
      </c>
      <c r="G470" s="27">
        <v>299.5</v>
      </c>
      <c r="H470" s="27">
        <v>288.7</v>
      </c>
      <c r="I470" s="27">
        <v>278.89999999999998</v>
      </c>
      <c r="J470" s="27">
        <f>G470-H470</f>
        <v>10.800000000000011</v>
      </c>
      <c r="K470" s="27">
        <f>G470-I470</f>
        <v>20.600000000000023</v>
      </c>
    </row>
    <row r="471" spans="1:11">
      <c r="A471" t="s">
        <v>156</v>
      </c>
      <c r="B471">
        <v>9</v>
      </c>
      <c r="C471" t="s">
        <v>57</v>
      </c>
      <c r="D471" t="s">
        <v>146</v>
      </c>
      <c r="E471" t="s">
        <v>121</v>
      </c>
      <c r="F471" t="s">
        <v>122</v>
      </c>
      <c r="G471" s="27">
        <v>48.7</v>
      </c>
      <c r="H471" s="27">
        <v>61.8</v>
      </c>
      <c r="I471" s="27">
        <v>59.7</v>
      </c>
      <c r="J471" s="27">
        <f>G471-H471</f>
        <v>-13.099999999999994</v>
      </c>
      <c r="K471" s="27">
        <f>G471-I471</f>
        <v>-11</v>
      </c>
    </row>
    <row r="472" spans="1:11">
      <c r="A472" t="s">
        <v>156</v>
      </c>
      <c r="B472">
        <v>9</v>
      </c>
      <c r="C472" t="s">
        <v>57</v>
      </c>
      <c r="D472" t="s">
        <v>146</v>
      </c>
      <c r="E472" t="s">
        <v>123</v>
      </c>
      <c r="F472" t="s">
        <v>124</v>
      </c>
      <c r="G472" s="27">
        <v>41.4</v>
      </c>
      <c r="H472" s="27">
        <v>41.3</v>
      </c>
      <c r="I472" s="27">
        <v>39.9</v>
      </c>
      <c r="J472" s="27">
        <f>G472-H472</f>
        <v>0.10000000000000142</v>
      </c>
      <c r="K472" s="27">
        <f>G472-I472</f>
        <v>1.5</v>
      </c>
    </row>
    <row r="473" spans="1:11">
      <c r="A473" t="s">
        <v>156</v>
      </c>
      <c r="B473">
        <v>9</v>
      </c>
      <c r="C473" t="s">
        <v>57</v>
      </c>
      <c r="D473" t="s">
        <v>126</v>
      </c>
      <c r="E473" t="s">
        <v>127</v>
      </c>
      <c r="F473" t="s">
        <v>128</v>
      </c>
      <c r="G473" s="27">
        <v>308.5</v>
      </c>
      <c r="H473" s="27">
        <v>305.5</v>
      </c>
      <c r="I473" s="27">
        <v>295.39999999999998</v>
      </c>
      <c r="J473" s="27">
        <f>G473-H473</f>
        <v>3</v>
      </c>
      <c r="K473" s="27">
        <f>G473-I473</f>
        <v>13.100000000000023</v>
      </c>
    </row>
    <row r="474" spans="1:11">
      <c r="A474" t="s">
        <v>156</v>
      </c>
      <c r="B474">
        <v>9</v>
      </c>
      <c r="C474" t="s">
        <v>57</v>
      </c>
      <c r="D474" t="s">
        <v>126</v>
      </c>
      <c r="E474" t="s">
        <v>129</v>
      </c>
      <c r="F474" t="s">
        <v>130</v>
      </c>
      <c r="G474" s="27">
        <v>36.5</v>
      </c>
      <c r="H474" s="27">
        <v>36.9</v>
      </c>
      <c r="I474" s="27">
        <v>35.6</v>
      </c>
      <c r="J474" s="27">
        <f>G474-H474</f>
        <v>-0.39999999999999858</v>
      </c>
      <c r="K474" s="27">
        <f>G474-I474</f>
        <v>0.89999999999999858</v>
      </c>
    </row>
    <row r="475" spans="1:11">
      <c r="A475" t="s">
        <v>156</v>
      </c>
      <c r="B475">
        <v>9</v>
      </c>
      <c r="C475" t="s">
        <v>57</v>
      </c>
      <c r="D475" t="s">
        <v>126</v>
      </c>
      <c r="E475" t="s">
        <v>131</v>
      </c>
      <c r="F475" t="s">
        <v>132</v>
      </c>
      <c r="G475" s="27">
        <v>77.900000000000006</v>
      </c>
      <c r="H475" s="27">
        <v>52.2</v>
      </c>
      <c r="I475" s="27">
        <v>50.4</v>
      </c>
      <c r="J475" s="27">
        <f>G475-H475</f>
        <v>25.700000000000003</v>
      </c>
      <c r="K475" s="27">
        <f>G475-I475</f>
        <v>27.500000000000007</v>
      </c>
    </row>
    <row r="476" spans="1:11">
      <c r="A476" t="s">
        <v>156</v>
      </c>
      <c r="B476">
        <v>9</v>
      </c>
      <c r="C476" t="s">
        <v>57</v>
      </c>
      <c r="D476" t="s">
        <v>126</v>
      </c>
      <c r="E476" t="s">
        <v>133</v>
      </c>
      <c r="F476" t="s">
        <v>134</v>
      </c>
      <c r="G476" s="27">
        <v>12.3</v>
      </c>
      <c r="H476" s="27">
        <v>12</v>
      </c>
      <c r="I476" s="27">
        <v>11.6</v>
      </c>
      <c r="J476" s="27">
        <f>G476-H476</f>
        <v>0.30000000000000071</v>
      </c>
      <c r="K476" s="27">
        <f>G476-I476</f>
        <v>0.70000000000000107</v>
      </c>
    </row>
    <row r="477" spans="1:11">
      <c r="A477" t="s">
        <v>156</v>
      </c>
      <c r="B477">
        <v>9</v>
      </c>
      <c r="C477" t="s">
        <v>57</v>
      </c>
      <c r="D477" t="s">
        <v>126</v>
      </c>
      <c r="E477" t="s">
        <v>135</v>
      </c>
      <c r="F477" t="s">
        <v>136</v>
      </c>
      <c r="G477" s="27">
        <v>42.4</v>
      </c>
      <c r="H477" s="27">
        <v>41.4</v>
      </c>
      <c r="I477" s="27">
        <v>40</v>
      </c>
      <c r="J477" s="27">
        <f>G477-H477</f>
        <v>1</v>
      </c>
      <c r="K477" s="27">
        <f>G477-I477</f>
        <v>2.3999999999999986</v>
      </c>
    </row>
    <row r="478" spans="1:11">
      <c r="A478" t="s">
        <v>156</v>
      </c>
      <c r="B478">
        <v>9</v>
      </c>
      <c r="C478" t="s">
        <v>58</v>
      </c>
      <c r="D478" t="s">
        <v>145</v>
      </c>
      <c r="E478" t="s">
        <v>105</v>
      </c>
      <c r="F478" t="s">
        <v>106</v>
      </c>
      <c r="G478" s="27">
        <v>326.8</v>
      </c>
      <c r="H478" s="27">
        <v>357.5</v>
      </c>
      <c r="I478" s="27">
        <v>345.3</v>
      </c>
      <c r="J478" s="27">
        <f>G478-H478</f>
        <v>-30.699999999999989</v>
      </c>
      <c r="K478" s="27">
        <f>G478-I478</f>
        <v>-18.5</v>
      </c>
    </row>
    <row r="479" spans="1:11">
      <c r="A479" t="s">
        <v>156</v>
      </c>
      <c r="B479">
        <v>9</v>
      </c>
      <c r="C479" t="s">
        <v>58</v>
      </c>
      <c r="D479" t="s">
        <v>145</v>
      </c>
      <c r="E479" t="s">
        <v>107</v>
      </c>
      <c r="F479" t="s">
        <v>108</v>
      </c>
      <c r="G479" s="27">
        <v>32.1</v>
      </c>
      <c r="H479" s="27">
        <v>33.700000000000003</v>
      </c>
      <c r="I479" s="27">
        <v>32.6</v>
      </c>
      <c r="J479" s="27">
        <f>G479-H479</f>
        <v>-1.6000000000000014</v>
      </c>
      <c r="K479" s="27">
        <f>G479-I479</f>
        <v>-0.5</v>
      </c>
    </row>
    <row r="480" spans="1:11">
      <c r="A480" t="s">
        <v>156</v>
      </c>
      <c r="B480">
        <v>9</v>
      </c>
      <c r="C480" t="s">
        <v>58</v>
      </c>
      <c r="D480" t="s">
        <v>145</v>
      </c>
      <c r="E480" t="s">
        <v>109</v>
      </c>
      <c r="F480" t="s">
        <v>110</v>
      </c>
      <c r="G480" s="27">
        <v>23.1</v>
      </c>
      <c r="H480" s="27">
        <v>24.7</v>
      </c>
      <c r="I480" s="27">
        <v>23.9</v>
      </c>
      <c r="J480" s="27">
        <f>G480-H480</f>
        <v>-1.5999999999999979</v>
      </c>
      <c r="K480" s="27">
        <f>G480-I480</f>
        <v>-0.79999999999999716</v>
      </c>
    </row>
    <row r="481" spans="1:11">
      <c r="A481" t="s">
        <v>156</v>
      </c>
      <c r="B481">
        <v>9</v>
      </c>
      <c r="C481" t="s">
        <v>58</v>
      </c>
      <c r="D481" t="s">
        <v>145</v>
      </c>
      <c r="E481" t="s">
        <v>111</v>
      </c>
      <c r="F481" t="s">
        <v>112</v>
      </c>
      <c r="G481" s="27">
        <v>187.9</v>
      </c>
      <c r="H481" s="27">
        <v>239.3</v>
      </c>
      <c r="I481" s="27">
        <v>231.2</v>
      </c>
      <c r="J481" s="27">
        <f>G481-H481</f>
        <v>-51.400000000000006</v>
      </c>
      <c r="K481" s="27">
        <f>G481-I481</f>
        <v>-43.299999999999983</v>
      </c>
    </row>
    <row r="482" spans="1:11">
      <c r="A482" t="s">
        <v>156</v>
      </c>
      <c r="B482">
        <v>9</v>
      </c>
      <c r="C482" t="s">
        <v>58</v>
      </c>
      <c r="D482" t="s">
        <v>145</v>
      </c>
      <c r="E482" t="s">
        <v>113</v>
      </c>
      <c r="F482" t="s">
        <v>114</v>
      </c>
      <c r="G482" s="27">
        <v>339.9</v>
      </c>
      <c r="H482" s="27">
        <v>341.5</v>
      </c>
      <c r="I482" s="27">
        <v>330</v>
      </c>
      <c r="J482" s="27">
        <f>G482-H482</f>
        <v>-1.6000000000000227</v>
      </c>
      <c r="K482" s="27">
        <f>G482-I482</f>
        <v>9.8999999999999773</v>
      </c>
    </row>
    <row r="483" spans="1:11">
      <c r="A483" t="s">
        <v>156</v>
      </c>
      <c r="B483">
        <v>9</v>
      </c>
      <c r="C483" t="s">
        <v>58</v>
      </c>
      <c r="D483" t="s">
        <v>145</v>
      </c>
      <c r="E483" t="s">
        <v>115</v>
      </c>
      <c r="F483" t="s">
        <v>116</v>
      </c>
      <c r="G483" s="27">
        <v>74</v>
      </c>
      <c r="H483" s="27">
        <v>75.099999999999994</v>
      </c>
      <c r="I483" s="27">
        <v>72.5</v>
      </c>
      <c r="J483" s="27">
        <f>G483-H483</f>
        <v>-1.0999999999999943</v>
      </c>
      <c r="K483" s="27">
        <f>G483-I483</f>
        <v>1.5</v>
      </c>
    </row>
    <row r="484" spans="1:11">
      <c r="A484" t="s">
        <v>156</v>
      </c>
      <c r="B484">
        <v>9</v>
      </c>
      <c r="C484" t="s">
        <v>58</v>
      </c>
      <c r="D484" t="s">
        <v>146</v>
      </c>
      <c r="E484" t="s">
        <v>119</v>
      </c>
      <c r="F484" t="s">
        <v>120</v>
      </c>
      <c r="G484" s="27">
        <v>260.39999999999998</v>
      </c>
      <c r="H484" s="27">
        <v>282</v>
      </c>
      <c r="I484" s="27">
        <v>272.5</v>
      </c>
      <c r="J484" s="27">
        <f>G484-H484</f>
        <v>-21.600000000000023</v>
      </c>
      <c r="K484" s="27">
        <f>G484-I484</f>
        <v>-12.100000000000023</v>
      </c>
    </row>
    <row r="485" spans="1:11">
      <c r="A485" t="s">
        <v>156</v>
      </c>
      <c r="B485">
        <v>9</v>
      </c>
      <c r="C485" t="s">
        <v>58</v>
      </c>
      <c r="D485" t="s">
        <v>146</v>
      </c>
      <c r="E485" t="s">
        <v>121</v>
      </c>
      <c r="F485" t="s">
        <v>122</v>
      </c>
      <c r="G485" s="27">
        <v>44.6</v>
      </c>
      <c r="H485" s="27">
        <v>56.9</v>
      </c>
      <c r="I485" s="27">
        <v>55</v>
      </c>
      <c r="J485" s="27">
        <f>G485-H485</f>
        <v>-12.299999999999997</v>
      </c>
      <c r="K485" s="27">
        <f>G485-I485</f>
        <v>-10.399999999999999</v>
      </c>
    </row>
    <row r="486" spans="1:11">
      <c r="A486" t="s">
        <v>156</v>
      </c>
      <c r="B486">
        <v>9</v>
      </c>
      <c r="C486" t="s">
        <v>58</v>
      </c>
      <c r="D486" t="s">
        <v>146</v>
      </c>
      <c r="E486" t="s">
        <v>123</v>
      </c>
      <c r="F486" t="s">
        <v>124</v>
      </c>
      <c r="G486" s="27">
        <v>35.299999999999997</v>
      </c>
      <c r="H486" s="27">
        <v>36</v>
      </c>
      <c r="I486" s="27">
        <v>34.700000000000003</v>
      </c>
      <c r="J486" s="27">
        <f>G486-H486</f>
        <v>-0.70000000000000284</v>
      </c>
      <c r="K486" s="27">
        <f>G486-I486</f>
        <v>0.59999999999999432</v>
      </c>
    </row>
    <row r="487" spans="1:11">
      <c r="A487" t="s">
        <v>156</v>
      </c>
      <c r="B487">
        <v>9</v>
      </c>
      <c r="C487" t="s">
        <v>58</v>
      </c>
      <c r="D487" t="s">
        <v>126</v>
      </c>
      <c r="E487" t="s">
        <v>127</v>
      </c>
      <c r="F487" t="s">
        <v>128</v>
      </c>
      <c r="G487" s="27">
        <v>284.5</v>
      </c>
      <c r="H487" s="27">
        <v>294.60000000000002</v>
      </c>
      <c r="I487" s="27">
        <v>284.8</v>
      </c>
      <c r="J487" s="27">
        <f>G487-H487</f>
        <v>-10.100000000000023</v>
      </c>
      <c r="K487" s="27">
        <f>G487-I487</f>
        <v>-0.30000000000001137</v>
      </c>
    </row>
    <row r="488" spans="1:11">
      <c r="A488" t="s">
        <v>156</v>
      </c>
      <c r="B488">
        <v>9</v>
      </c>
      <c r="C488" t="s">
        <v>58</v>
      </c>
      <c r="D488" t="s">
        <v>126</v>
      </c>
      <c r="E488" t="s">
        <v>129</v>
      </c>
      <c r="F488" t="s">
        <v>130</v>
      </c>
      <c r="G488" s="27">
        <v>30.6</v>
      </c>
      <c r="H488" s="27">
        <v>30.9</v>
      </c>
      <c r="I488" s="27">
        <v>29.8</v>
      </c>
      <c r="J488" s="27">
        <f>G488-H488</f>
        <v>-0.29999999999999716</v>
      </c>
      <c r="K488" s="27">
        <f>G488-I488</f>
        <v>0.80000000000000071</v>
      </c>
    </row>
    <row r="489" spans="1:11">
      <c r="A489" t="s">
        <v>156</v>
      </c>
      <c r="B489">
        <v>9</v>
      </c>
      <c r="C489" t="s">
        <v>58</v>
      </c>
      <c r="D489" t="s">
        <v>126</v>
      </c>
      <c r="E489" t="s">
        <v>131</v>
      </c>
      <c r="F489" t="s">
        <v>132</v>
      </c>
      <c r="G489" s="27">
        <v>67.900000000000006</v>
      </c>
      <c r="H489" s="27">
        <v>46.6</v>
      </c>
      <c r="I489" s="27">
        <v>45</v>
      </c>
      <c r="J489" s="27">
        <f>G489-H489</f>
        <v>21.300000000000004</v>
      </c>
      <c r="K489" s="27">
        <f>G489-I489</f>
        <v>22.900000000000006</v>
      </c>
    </row>
    <row r="490" spans="1:11">
      <c r="A490" t="s">
        <v>156</v>
      </c>
      <c r="B490">
        <v>9</v>
      </c>
      <c r="C490" t="s">
        <v>58</v>
      </c>
      <c r="D490" t="s">
        <v>126</v>
      </c>
      <c r="E490" t="s">
        <v>133</v>
      </c>
      <c r="F490" t="s">
        <v>134</v>
      </c>
      <c r="G490" s="27">
        <v>410.4</v>
      </c>
      <c r="H490" s="27">
        <v>11.8</v>
      </c>
      <c r="I490" s="27">
        <v>11.4</v>
      </c>
      <c r="J490" s="27">
        <f>G490-H490</f>
        <v>398.59999999999997</v>
      </c>
      <c r="K490" s="27">
        <f>G490-I490</f>
        <v>399</v>
      </c>
    </row>
    <row r="491" spans="1:11">
      <c r="A491" t="s">
        <v>156</v>
      </c>
      <c r="B491">
        <v>9</v>
      </c>
      <c r="C491" t="s">
        <v>58</v>
      </c>
      <c r="D491" t="s">
        <v>126</v>
      </c>
      <c r="E491" t="s">
        <v>135</v>
      </c>
      <c r="F491" t="s">
        <v>136</v>
      </c>
      <c r="G491" s="27">
        <v>40.299999999999997</v>
      </c>
      <c r="H491" s="27">
        <v>39.299999999999997</v>
      </c>
      <c r="I491" s="27">
        <v>38</v>
      </c>
      <c r="J491" s="27">
        <f>G491-H491</f>
        <v>1</v>
      </c>
      <c r="K491" s="27">
        <f>G491-I491</f>
        <v>2.2999999999999972</v>
      </c>
    </row>
    <row r="492" spans="1:11">
      <c r="A492" t="s">
        <v>156</v>
      </c>
      <c r="B492">
        <v>9</v>
      </c>
      <c r="C492" t="s">
        <v>59</v>
      </c>
      <c r="D492" t="s">
        <v>145</v>
      </c>
      <c r="E492" t="s">
        <v>105</v>
      </c>
      <c r="F492" t="s">
        <v>106</v>
      </c>
      <c r="G492" s="27">
        <v>212.9</v>
      </c>
      <c r="H492" s="27">
        <v>233.3</v>
      </c>
      <c r="I492" s="27">
        <v>225.2</v>
      </c>
      <c r="J492" s="27">
        <f>G492-H492</f>
        <v>-20.400000000000006</v>
      </c>
      <c r="K492" s="27">
        <f>G492-I492</f>
        <v>-12.299999999999983</v>
      </c>
    </row>
    <row r="493" spans="1:11">
      <c r="A493" t="s">
        <v>156</v>
      </c>
      <c r="B493">
        <v>9</v>
      </c>
      <c r="C493" t="s">
        <v>59</v>
      </c>
      <c r="D493" t="s">
        <v>145</v>
      </c>
      <c r="E493" t="s">
        <v>107</v>
      </c>
      <c r="F493" t="s">
        <v>108</v>
      </c>
      <c r="G493" s="27">
        <v>21</v>
      </c>
      <c r="H493" s="27">
        <v>22.1</v>
      </c>
      <c r="I493" s="27">
        <v>21.4</v>
      </c>
      <c r="J493" s="27">
        <f>G493-H493</f>
        <v>-1.1000000000000014</v>
      </c>
      <c r="K493" s="27">
        <f>G493-I493</f>
        <v>-0.39999999999999858</v>
      </c>
    </row>
    <row r="494" spans="1:11">
      <c r="A494" t="s">
        <v>156</v>
      </c>
      <c r="B494">
        <v>9</v>
      </c>
      <c r="C494" t="s">
        <v>59</v>
      </c>
      <c r="D494" t="s">
        <v>145</v>
      </c>
      <c r="E494" t="s">
        <v>109</v>
      </c>
      <c r="F494" t="s">
        <v>110</v>
      </c>
      <c r="G494" s="27">
        <v>15.1</v>
      </c>
      <c r="H494" s="27">
        <v>16.2</v>
      </c>
      <c r="I494" s="27">
        <v>15.7</v>
      </c>
      <c r="J494" s="27">
        <f>G494-H494</f>
        <v>-1.0999999999999996</v>
      </c>
      <c r="K494" s="27">
        <f>G494-I494</f>
        <v>-0.59999999999999964</v>
      </c>
    </row>
    <row r="495" spans="1:11">
      <c r="A495" t="s">
        <v>156</v>
      </c>
      <c r="B495">
        <v>9</v>
      </c>
      <c r="C495" t="s">
        <v>59</v>
      </c>
      <c r="D495" t="s">
        <v>145</v>
      </c>
      <c r="E495" t="s">
        <v>111</v>
      </c>
      <c r="F495" t="s">
        <v>112</v>
      </c>
      <c r="G495" s="27">
        <v>141.19999999999999</v>
      </c>
      <c r="H495" s="27">
        <v>152.9</v>
      </c>
      <c r="I495" s="27">
        <v>147.80000000000001</v>
      </c>
      <c r="J495" s="27">
        <f>G495-H495</f>
        <v>-11.700000000000017</v>
      </c>
      <c r="K495" s="27">
        <f>G495-I495</f>
        <v>-6.6000000000000227</v>
      </c>
    </row>
    <row r="496" spans="1:11">
      <c r="A496" t="s">
        <v>156</v>
      </c>
      <c r="B496">
        <v>9</v>
      </c>
      <c r="C496" t="s">
        <v>59</v>
      </c>
      <c r="D496" t="s">
        <v>145</v>
      </c>
      <c r="E496" t="s">
        <v>113</v>
      </c>
      <c r="F496" t="s">
        <v>114</v>
      </c>
      <c r="G496" s="27">
        <v>247.2</v>
      </c>
      <c r="H496" s="27">
        <v>248.4</v>
      </c>
      <c r="I496" s="27">
        <v>240</v>
      </c>
      <c r="J496" s="27">
        <f>G496-H496</f>
        <v>-1.2000000000000171</v>
      </c>
      <c r="K496" s="27">
        <f>G496-I496</f>
        <v>7.1999999999999886</v>
      </c>
    </row>
    <row r="497" spans="1:11">
      <c r="A497" t="s">
        <v>156</v>
      </c>
      <c r="B497">
        <v>9</v>
      </c>
      <c r="C497" t="s">
        <v>59</v>
      </c>
      <c r="D497" t="s">
        <v>145</v>
      </c>
      <c r="E497" t="s">
        <v>115</v>
      </c>
      <c r="F497" t="s">
        <v>116</v>
      </c>
      <c r="G497" s="27">
        <v>53.9</v>
      </c>
      <c r="H497" s="27">
        <v>54.8</v>
      </c>
      <c r="I497" s="27">
        <v>53</v>
      </c>
      <c r="J497" s="27">
        <f>G497-H497</f>
        <v>-0.89999999999999858</v>
      </c>
      <c r="K497" s="27">
        <f>G497-I497</f>
        <v>0.89999999999999858</v>
      </c>
    </row>
    <row r="498" spans="1:11">
      <c r="A498" t="s">
        <v>156</v>
      </c>
      <c r="B498">
        <v>9</v>
      </c>
      <c r="C498" t="s">
        <v>59</v>
      </c>
      <c r="D498" t="s">
        <v>146</v>
      </c>
      <c r="E498" t="s">
        <v>119</v>
      </c>
      <c r="F498" t="s">
        <v>120</v>
      </c>
      <c r="G498" s="27">
        <v>172.7</v>
      </c>
      <c r="H498" s="27">
        <v>185</v>
      </c>
      <c r="I498" s="27">
        <v>178.7</v>
      </c>
      <c r="J498" s="27">
        <f>G498-H498</f>
        <v>-12.300000000000011</v>
      </c>
      <c r="K498" s="27">
        <f>G498-I498</f>
        <v>-6</v>
      </c>
    </row>
    <row r="499" spans="1:11">
      <c r="A499" t="s">
        <v>156</v>
      </c>
      <c r="B499">
        <v>9</v>
      </c>
      <c r="C499" t="s">
        <v>59</v>
      </c>
      <c r="D499" t="s">
        <v>146</v>
      </c>
      <c r="E499" t="s">
        <v>121</v>
      </c>
      <c r="F499" t="s">
        <v>122</v>
      </c>
      <c r="G499" s="27">
        <v>33</v>
      </c>
      <c r="H499" s="27">
        <v>41.5</v>
      </c>
      <c r="I499" s="27">
        <v>40.1</v>
      </c>
      <c r="J499" s="27">
        <f>G499-H499</f>
        <v>-8.5</v>
      </c>
      <c r="K499" s="27">
        <f>G499-I499</f>
        <v>-7.1000000000000014</v>
      </c>
    </row>
    <row r="500" spans="1:11">
      <c r="A500" t="s">
        <v>156</v>
      </c>
      <c r="B500">
        <v>9</v>
      </c>
      <c r="C500" t="s">
        <v>59</v>
      </c>
      <c r="D500" t="s">
        <v>146</v>
      </c>
      <c r="E500" t="s">
        <v>123</v>
      </c>
      <c r="F500" t="s">
        <v>124</v>
      </c>
      <c r="G500" s="27">
        <v>154.30000000000001</v>
      </c>
      <c r="H500" s="27">
        <v>45.7</v>
      </c>
      <c r="I500" s="27">
        <v>44.2</v>
      </c>
      <c r="J500" s="27">
        <f>G500-H500</f>
        <v>108.60000000000001</v>
      </c>
      <c r="K500" s="27">
        <f>G500-I500</f>
        <v>110.10000000000001</v>
      </c>
    </row>
    <row r="501" spans="1:11">
      <c r="A501" t="s">
        <v>156</v>
      </c>
      <c r="B501">
        <v>9</v>
      </c>
      <c r="C501" t="s">
        <v>59</v>
      </c>
      <c r="D501" t="s">
        <v>126</v>
      </c>
      <c r="E501" t="s">
        <v>127</v>
      </c>
      <c r="F501" t="s">
        <v>128</v>
      </c>
      <c r="G501" s="27">
        <v>206.6</v>
      </c>
      <c r="H501" s="27">
        <v>209</v>
      </c>
      <c r="I501" s="27">
        <v>202</v>
      </c>
      <c r="J501" s="27">
        <f>G501-H501</f>
        <v>-2.4000000000000057</v>
      </c>
      <c r="K501" s="27">
        <f>G501-I501</f>
        <v>4.5999999999999943</v>
      </c>
    </row>
    <row r="502" spans="1:11">
      <c r="A502" t="s">
        <v>156</v>
      </c>
      <c r="B502">
        <v>9</v>
      </c>
      <c r="C502" t="s">
        <v>59</v>
      </c>
      <c r="D502" t="s">
        <v>126</v>
      </c>
      <c r="E502" t="s">
        <v>129</v>
      </c>
      <c r="F502" t="s">
        <v>130</v>
      </c>
      <c r="G502" s="27">
        <v>26.1</v>
      </c>
      <c r="H502" s="27">
        <v>25.7</v>
      </c>
      <c r="I502" s="27">
        <v>24.8</v>
      </c>
      <c r="J502" s="27">
        <f>G502-H502</f>
        <v>0.40000000000000213</v>
      </c>
      <c r="K502" s="27">
        <f>G502-I502</f>
        <v>1.3000000000000007</v>
      </c>
    </row>
    <row r="503" spans="1:11">
      <c r="A503" t="s">
        <v>156</v>
      </c>
      <c r="B503">
        <v>9</v>
      </c>
      <c r="C503" t="s">
        <v>59</v>
      </c>
      <c r="D503" t="s">
        <v>126</v>
      </c>
      <c r="E503" t="s">
        <v>131</v>
      </c>
      <c r="F503" t="s">
        <v>132</v>
      </c>
      <c r="G503" s="27">
        <v>54.4</v>
      </c>
      <c r="H503" s="27">
        <v>36.299999999999997</v>
      </c>
      <c r="I503" s="27">
        <v>35.1</v>
      </c>
      <c r="J503" s="27">
        <f>G503-H503</f>
        <v>18.100000000000001</v>
      </c>
      <c r="K503" s="27">
        <f>G503-I503</f>
        <v>19.299999999999997</v>
      </c>
    </row>
    <row r="504" spans="1:11">
      <c r="A504" t="s">
        <v>156</v>
      </c>
      <c r="B504">
        <v>9</v>
      </c>
      <c r="C504" t="s">
        <v>59</v>
      </c>
      <c r="D504" t="s">
        <v>126</v>
      </c>
      <c r="E504" t="s">
        <v>133</v>
      </c>
      <c r="F504" t="s">
        <v>134</v>
      </c>
      <c r="G504" s="27">
        <v>7.3</v>
      </c>
      <c r="H504" s="27">
        <v>7.7</v>
      </c>
      <c r="I504" s="27">
        <v>7.4</v>
      </c>
      <c r="J504" s="27">
        <f>G504-H504</f>
        <v>-0.40000000000000036</v>
      </c>
      <c r="K504" s="27">
        <f>G504-I504</f>
        <v>-0.10000000000000053</v>
      </c>
    </row>
    <row r="505" spans="1:11">
      <c r="A505" t="s">
        <v>156</v>
      </c>
      <c r="B505">
        <v>9</v>
      </c>
      <c r="C505" t="s">
        <v>59</v>
      </c>
      <c r="D505" t="s">
        <v>126</v>
      </c>
      <c r="E505" t="s">
        <v>135</v>
      </c>
      <c r="F505" t="s">
        <v>136</v>
      </c>
      <c r="G505" s="27">
        <v>29.7</v>
      </c>
      <c r="H505" s="27">
        <v>29</v>
      </c>
      <c r="I505" s="27">
        <v>28</v>
      </c>
      <c r="J505" s="27">
        <f>G505-H505</f>
        <v>0.69999999999999929</v>
      </c>
      <c r="K505" s="27">
        <f>G505-I505</f>
        <v>1.6999999999999993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" customWidth="1"/>
    <col min="2" max="2" width="30" customWidth="1"/>
    <col min="3" max="3" width="24" customWidth="1"/>
    <col min="4" max="5" width="11" customWidth="1"/>
    <col min="6" max="6" width="13" customWidth="1"/>
    <col min="7" max="7" width="12" customWidth="1"/>
    <col min="8" max="9" width="13" customWidth="1"/>
    <col min="10" max="10" width="14" customWidth="1"/>
    <col min="11" max="11" width="13" customWidth="1"/>
  </cols>
  <sheetData>
    <row r="1" spans="1:11">
      <c r="A1" s="11" t="s">
        <v>31</v>
      </c>
      <c r="B1" s="11" t="s">
        <v>168</v>
      </c>
      <c r="C1" s="11" t="s">
        <v>169</v>
      </c>
      <c r="D1" s="11" t="s">
        <v>170</v>
      </c>
      <c r="E1" s="11" t="s">
        <v>171</v>
      </c>
      <c r="F1" s="11" t="s">
        <v>172</v>
      </c>
      <c r="G1" s="11" t="s">
        <v>173</v>
      </c>
      <c r="H1" s="11" t="s">
        <v>174</v>
      </c>
      <c r="I1" s="11" t="s">
        <v>175</v>
      </c>
      <c r="J1" s="11" t="s">
        <v>176</v>
      </c>
      <c r="K1" s="11" t="s">
        <v>177</v>
      </c>
    </row>
    <row r="2" spans="1:11">
      <c r="A2" t="s">
        <v>56</v>
      </c>
      <c r="B2" t="s">
        <v>178</v>
      </c>
      <c r="C2" t="s">
        <v>179</v>
      </c>
      <c r="D2" s="27">
        <v>1850</v>
      </c>
      <c r="E2" s="27">
        <v>0</v>
      </c>
      <c r="F2" s="27">
        <f>D2-E2</f>
        <v>1850</v>
      </c>
      <c r="G2" s="28">
        <f>IFERROR((D2-E2)/E2,0)</f>
        <v>0</v>
      </c>
      <c r="H2" s="27">
        <v>5400</v>
      </c>
      <c r="I2" s="27">
        <v>0</v>
      </c>
      <c r="J2" s="27">
        <f>H2-I2</f>
        <v>5400</v>
      </c>
      <c r="K2" s="28">
        <f>IFERROR((H2-I2)/I2,0)</f>
        <v>0</v>
      </c>
    </row>
    <row r="3" spans="1:11">
      <c r="A3" t="s">
        <v>56</v>
      </c>
      <c r="B3" t="s">
        <v>180</v>
      </c>
      <c r="C3" t="s">
        <v>179</v>
      </c>
      <c r="D3" s="27">
        <v>1148.5999999999999</v>
      </c>
      <c r="E3" s="27">
        <v>1116.7</v>
      </c>
      <c r="F3" s="27">
        <f>D3-E3</f>
        <v>31.899999999999864</v>
      </c>
      <c r="G3" s="28">
        <f>IFERROR((D3-E3)/E3,0)</f>
        <v>2.8566311453389327E-2</v>
      </c>
      <c r="H3" s="27">
        <v>10284.299999999999</v>
      </c>
      <c r="I3" s="27">
        <v>9843.2999999999993</v>
      </c>
      <c r="J3" s="27">
        <f>H3-I3</f>
        <v>441</v>
      </c>
      <c r="K3" s="28">
        <f>IFERROR((H3-I3)/I3,0)</f>
        <v>4.4802048093627138E-2</v>
      </c>
    </row>
    <row r="4" spans="1:11">
      <c r="A4" t="s">
        <v>56</v>
      </c>
      <c r="B4" t="s">
        <v>181</v>
      </c>
      <c r="C4" t="s">
        <v>182</v>
      </c>
      <c r="D4" s="27">
        <v>868.9</v>
      </c>
      <c r="E4" s="27">
        <v>802.8</v>
      </c>
      <c r="F4" s="27">
        <f>D4-E4</f>
        <v>66.100000000000023</v>
      </c>
      <c r="G4" s="28">
        <f>IFERROR((D4-E4)/E4,0)</f>
        <v>8.2336821126058821E-2</v>
      </c>
      <c r="H4" s="27">
        <v>7630.7</v>
      </c>
      <c r="I4" s="27">
        <v>7155.4</v>
      </c>
      <c r="J4" s="27">
        <f>H4-I4</f>
        <v>475.30000000000018</v>
      </c>
      <c r="K4" s="28">
        <f>IFERROR((H4-I4)/I4,0)</f>
        <v>6.6425357072979876E-2</v>
      </c>
    </row>
    <row r="5" spans="1:11">
      <c r="A5" t="s">
        <v>56</v>
      </c>
      <c r="B5" t="s">
        <v>183</v>
      </c>
      <c r="C5" t="s">
        <v>184</v>
      </c>
      <c r="D5" s="27">
        <v>594.1</v>
      </c>
      <c r="E5" s="27">
        <v>613.4</v>
      </c>
      <c r="F5" s="27">
        <f>D5-E5</f>
        <v>-19.299999999999955</v>
      </c>
      <c r="G5" s="28">
        <f>IFERROR((D5-E5)/E5,0)</f>
        <v>-3.1463971307466504E-2</v>
      </c>
      <c r="H5" s="27">
        <v>5259.1</v>
      </c>
      <c r="I5" s="27">
        <v>5391</v>
      </c>
      <c r="J5" s="27">
        <f>H5-I5</f>
        <v>-131.89999999999964</v>
      </c>
      <c r="K5" s="28">
        <f>IFERROR((H5-I5)/I5,0)</f>
        <v>-2.4466703765535083E-2</v>
      </c>
    </row>
    <row r="6" spans="1:11">
      <c r="A6" t="s">
        <v>56</v>
      </c>
      <c r="B6" t="s">
        <v>185</v>
      </c>
      <c r="C6" t="s">
        <v>179</v>
      </c>
      <c r="D6" s="27">
        <v>505.9</v>
      </c>
      <c r="E6" s="27">
        <v>508.3</v>
      </c>
      <c r="F6" s="27">
        <f>D6-E6</f>
        <v>-2.4000000000000341</v>
      </c>
      <c r="G6" s="28">
        <f>IFERROR((D6-E6)/E6,0)</f>
        <v>-4.7216210899076018E-3</v>
      </c>
      <c r="H6" s="27">
        <v>4586.6000000000004</v>
      </c>
      <c r="I6" s="27">
        <v>4517.6000000000004</v>
      </c>
      <c r="J6" s="27">
        <f>H6-I6</f>
        <v>69</v>
      </c>
      <c r="K6" s="28">
        <f>IFERROR((H6-I6)/I6,0)</f>
        <v>1.5273596599964582E-2</v>
      </c>
    </row>
    <row r="7" spans="1:11">
      <c r="A7" t="s">
        <v>56</v>
      </c>
      <c r="B7" t="s">
        <v>186</v>
      </c>
      <c r="C7" t="s">
        <v>187</v>
      </c>
      <c r="D7" s="27">
        <v>11695.2</v>
      </c>
      <c r="E7" s="27">
        <v>11162.3</v>
      </c>
      <c r="F7" s="27">
        <f>D7-E7</f>
        <v>532.90000000000146</v>
      </c>
      <c r="G7" s="28">
        <f>IFERROR((D7-E7)/E7,0)</f>
        <v>4.7741056950628587E-2</v>
      </c>
      <c r="H7" s="27">
        <v>103574</v>
      </c>
      <c r="I7" s="27">
        <v>100632</v>
      </c>
      <c r="J7" s="27">
        <f>H7-I7</f>
        <v>2942</v>
      </c>
      <c r="K7" s="28">
        <f>IFERROR((H7-I7)/I7,0)</f>
        <v>2.9235233325383577E-2</v>
      </c>
    </row>
    <row r="8" spans="1:11">
      <c r="A8" t="s">
        <v>57</v>
      </c>
      <c r="B8" t="s">
        <v>188</v>
      </c>
      <c r="C8" t="s">
        <v>189</v>
      </c>
      <c r="D8" s="27">
        <v>1149.5</v>
      </c>
      <c r="E8" s="27">
        <v>894.5</v>
      </c>
      <c r="F8" s="27">
        <f>D8-E8</f>
        <v>255</v>
      </c>
      <c r="G8" s="28">
        <f>IFERROR((D8-E8)/E8,0)</f>
        <v>0.2850754611514813</v>
      </c>
      <c r="H8" s="27">
        <v>8909.7000000000007</v>
      </c>
      <c r="I8" s="27">
        <v>8086.4</v>
      </c>
      <c r="J8" s="27">
        <f>H8-I8</f>
        <v>823.30000000000109</v>
      </c>
      <c r="K8" s="28">
        <f>IFERROR((H8-I8)/I8,0)</f>
        <v>0.10181292045904249</v>
      </c>
    </row>
    <row r="9" spans="1:11">
      <c r="A9" t="s">
        <v>57</v>
      </c>
      <c r="B9" t="s">
        <v>190</v>
      </c>
      <c r="C9" t="s">
        <v>191</v>
      </c>
      <c r="D9" s="27">
        <v>642</v>
      </c>
      <c r="E9" s="27">
        <v>702.9</v>
      </c>
      <c r="F9" s="27">
        <f>D9-E9</f>
        <v>-60.899999999999977</v>
      </c>
      <c r="G9" s="28">
        <f>IFERROR((D9-E9)/E9,0)</f>
        <v>-8.6641058472044355E-2</v>
      </c>
      <c r="H9" s="27">
        <v>5766.6</v>
      </c>
      <c r="I9" s="27">
        <v>6312.2</v>
      </c>
      <c r="J9" s="27">
        <f>H9-I9</f>
        <v>-545.59999999999945</v>
      </c>
      <c r="K9" s="28">
        <f>IFERROR((H9-I9)/I9,0)</f>
        <v>-8.6435791007889395E-2</v>
      </c>
    </row>
    <row r="10" spans="1:11">
      <c r="A10" t="s">
        <v>57</v>
      </c>
      <c r="B10" t="s">
        <v>192</v>
      </c>
      <c r="C10" t="s">
        <v>193</v>
      </c>
      <c r="D10" s="27">
        <v>578.5</v>
      </c>
      <c r="E10" s="27">
        <v>610.6</v>
      </c>
      <c r="F10" s="27">
        <f>D10-E10</f>
        <v>-32.100000000000023</v>
      </c>
      <c r="G10" s="28">
        <f>IFERROR((D10-E10)/E10,0)</f>
        <v>-5.2571241401899803E-2</v>
      </c>
      <c r="H10" s="27">
        <v>5150.3999999999996</v>
      </c>
      <c r="I10" s="27">
        <v>5404.7</v>
      </c>
      <c r="J10" s="27">
        <f>H10-I10</f>
        <v>-254.30000000000018</v>
      </c>
      <c r="K10" s="28">
        <f>IFERROR((H10-I10)/I10,0)</f>
        <v>-4.7051640239051229E-2</v>
      </c>
    </row>
    <row r="11" spans="1:11">
      <c r="A11" t="s">
        <v>57</v>
      </c>
      <c r="B11" t="s">
        <v>194</v>
      </c>
      <c r="C11" t="s">
        <v>193</v>
      </c>
      <c r="D11" s="27">
        <v>520.9</v>
      </c>
      <c r="E11" s="27">
        <v>497.2</v>
      </c>
      <c r="F11" s="27">
        <f>D11-E11</f>
        <v>23.699999999999989</v>
      </c>
      <c r="G11" s="28">
        <f>IFERROR((D11-E11)/E11,0)</f>
        <v>4.7666934835076405E-2</v>
      </c>
      <c r="H11" s="27">
        <v>4631</v>
      </c>
      <c r="I11" s="27">
        <v>4485.3999999999996</v>
      </c>
      <c r="J11" s="27">
        <f>H11-I11</f>
        <v>145.60000000000036</v>
      </c>
      <c r="K11" s="28">
        <f>IFERROR((H11-I11)/I11,0)</f>
        <v>3.2460873054800103E-2</v>
      </c>
    </row>
    <row r="12" spans="1:11">
      <c r="A12" t="s">
        <v>57</v>
      </c>
      <c r="B12" t="s">
        <v>186</v>
      </c>
      <c r="C12" t="s">
        <v>187</v>
      </c>
      <c r="D12" s="27">
        <v>7281.2</v>
      </c>
      <c r="E12" s="27">
        <v>7091.6</v>
      </c>
      <c r="F12" s="27">
        <f>D12-E12</f>
        <v>189.59999999999945</v>
      </c>
      <c r="G12" s="28">
        <f>IFERROR((D12-E12)/E12,0)</f>
        <v>2.6735856506289051E-2</v>
      </c>
      <c r="H12" s="27">
        <v>63667.1</v>
      </c>
      <c r="I12" s="27">
        <v>63739.199999999997</v>
      </c>
      <c r="J12" s="27">
        <f>H12-I12</f>
        <v>-72.099999999998545</v>
      </c>
      <c r="K12" s="28">
        <f>IFERROR((H12-I12)/I12,0)</f>
        <v>-1.1311720260059515E-3</v>
      </c>
    </row>
    <row r="13" spans="1:11">
      <c r="A13" t="s">
        <v>58</v>
      </c>
      <c r="B13" t="s">
        <v>195</v>
      </c>
      <c r="C13" t="s">
        <v>196</v>
      </c>
      <c r="D13" s="27">
        <v>292.7</v>
      </c>
      <c r="E13" s="27">
        <v>948.9</v>
      </c>
      <c r="F13" s="27">
        <f>D13-E13</f>
        <v>-656.2</v>
      </c>
      <c r="G13" s="28">
        <f>IFERROR((D13-E13)/E13,0)</f>
        <v>-0.69153756981768366</v>
      </c>
      <c r="H13" s="27">
        <v>5251.3</v>
      </c>
      <c r="I13" s="27">
        <v>8568.7999999999993</v>
      </c>
      <c r="J13" s="27">
        <f>H13-I13</f>
        <v>-3317.4999999999991</v>
      </c>
      <c r="K13" s="28">
        <f>IFERROR((H13-I13)/I13,0)</f>
        <v>-0.38716039585472872</v>
      </c>
    </row>
    <row r="14" spans="1:11">
      <c r="A14" t="s">
        <v>58</v>
      </c>
      <c r="B14" t="s">
        <v>197</v>
      </c>
      <c r="C14" t="s">
        <v>196</v>
      </c>
      <c r="D14" s="27">
        <v>711.9</v>
      </c>
      <c r="E14" s="27">
        <v>720</v>
      </c>
      <c r="F14" s="27">
        <f>D14-E14</f>
        <v>-8.1000000000000227</v>
      </c>
      <c r="G14" s="28">
        <f>IFERROR((D14-E14)/E14,0)</f>
        <v>-1.1250000000000031E-2</v>
      </c>
      <c r="H14" s="27">
        <v>5225.8999999999996</v>
      </c>
      <c r="I14" s="27">
        <v>6321.3</v>
      </c>
      <c r="J14" s="27">
        <f>H14-I14</f>
        <v>-1095.4000000000005</v>
      </c>
      <c r="K14" s="28">
        <f>IFERROR((H14-I14)/I14,0)</f>
        <v>-0.17328714030341869</v>
      </c>
    </row>
    <row r="15" spans="1:11">
      <c r="A15" t="s">
        <v>58</v>
      </c>
      <c r="B15" t="s">
        <v>198</v>
      </c>
      <c r="C15" t="s">
        <v>199</v>
      </c>
      <c r="D15" s="27">
        <v>645.20000000000005</v>
      </c>
      <c r="E15" s="27">
        <v>609.9</v>
      </c>
      <c r="F15" s="27">
        <f>D15-E15</f>
        <v>35.300000000000068</v>
      </c>
      <c r="G15" s="28">
        <f>IFERROR((D15-E15)/E15,0)</f>
        <v>5.7878340711592181E-2</v>
      </c>
      <c r="H15" s="27">
        <v>5666.5</v>
      </c>
      <c r="I15" s="27">
        <v>5417.3</v>
      </c>
      <c r="J15" s="27">
        <f>H15-I15</f>
        <v>249.19999999999982</v>
      </c>
      <c r="K15" s="28">
        <f>IFERROR((H15-I15)/I15,0)</f>
        <v>4.6000775293965596E-2</v>
      </c>
    </row>
    <row r="16" spans="1:11">
      <c r="A16" t="s">
        <v>58</v>
      </c>
      <c r="B16" t="s">
        <v>200</v>
      </c>
      <c r="C16" t="s">
        <v>116</v>
      </c>
      <c r="D16" s="27">
        <v>510.8</v>
      </c>
      <c r="E16" s="27">
        <v>510</v>
      </c>
      <c r="F16" s="27">
        <f>D16-E16</f>
        <v>0.80000000000001137</v>
      </c>
      <c r="G16" s="28">
        <f>IFERROR((D16-E16)/E16,0)</f>
        <v>1.5686274509804144E-3</v>
      </c>
      <c r="H16" s="27">
        <v>4642.8</v>
      </c>
      <c r="I16" s="27">
        <v>4472.8</v>
      </c>
      <c r="J16" s="27">
        <f>H16-I16</f>
        <v>170</v>
      </c>
      <c r="K16" s="28">
        <f>IFERROR((H16-I16)/I16,0)</f>
        <v>3.8007512072974418E-2</v>
      </c>
    </row>
    <row r="17" spans="1:11">
      <c r="A17" t="s">
        <v>58</v>
      </c>
      <c r="B17" t="s">
        <v>186</v>
      </c>
      <c r="C17" t="s">
        <v>187</v>
      </c>
      <c r="D17" s="27">
        <v>6954.9</v>
      </c>
      <c r="E17" s="27">
        <v>6705.3</v>
      </c>
      <c r="F17" s="27">
        <f>D17-E17</f>
        <v>249.59999999999945</v>
      </c>
      <c r="G17" s="28">
        <f>IFERROR((D17-E17)/E17,0)</f>
        <v>3.7224285266878356E-2</v>
      </c>
      <c r="H17" s="27">
        <v>61210.6</v>
      </c>
      <c r="I17" s="27">
        <v>60198.8</v>
      </c>
      <c r="J17" s="27">
        <f>H17-I17</f>
        <v>1011.7999999999956</v>
      </c>
      <c r="K17" s="28">
        <f>IFERROR((H17-I17)/I17,0)</f>
        <v>1.6807644006192741E-2</v>
      </c>
    </row>
    <row r="18" spans="1:11">
      <c r="A18" t="s">
        <v>59</v>
      </c>
      <c r="B18" t="s">
        <v>201</v>
      </c>
      <c r="C18" t="s">
        <v>202</v>
      </c>
      <c r="D18" s="27">
        <v>147</v>
      </c>
      <c r="E18" s="27">
        <v>558</v>
      </c>
      <c r="F18" s="27">
        <f>D18-E18</f>
        <v>-411</v>
      </c>
      <c r="G18" s="28">
        <f>IFERROR((D18-E18)/E18,0)</f>
        <v>-0.73655913978494625</v>
      </c>
      <c r="H18" s="27">
        <v>4091.9</v>
      </c>
      <c r="I18" s="27">
        <v>4866.7</v>
      </c>
      <c r="J18" s="27">
        <f>H18-I18</f>
        <v>-774.79999999999973</v>
      </c>
      <c r="K18" s="28">
        <f>IFERROR((H18-I18)/I18,0)</f>
        <v>-0.15920438901103412</v>
      </c>
    </row>
    <row r="19" spans="1:11">
      <c r="A19" t="s">
        <v>59</v>
      </c>
      <c r="B19" t="s">
        <v>203</v>
      </c>
      <c r="C19" t="s">
        <v>204</v>
      </c>
      <c r="D19" s="27">
        <v>934.3</v>
      </c>
      <c r="E19" s="27">
        <v>910.3</v>
      </c>
      <c r="F19" s="27">
        <f>D19-E19</f>
        <v>24</v>
      </c>
      <c r="G19" s="28">
        <f>IFERROR((D19-E19)/E19,0)</f>
        <v>2.6364934636932881E-2</v>
      </c>
      <c r="H19" s="27">
        <v>8230.2000000000007</v>
      </c>
      <c r="I19" s="27">
        <v>7994.7</v>
      </c>
      <c r="J19" s="27">
        <f>H19-I19</f>
        <v>235.50000000000091</v>
      </c>
      <c r="K19" s="28">
        <f>IFERROR((H19-I19)/I19,0)</f>
        <v>2.9457015272618223E-2</v>
      </c>
    </row>
    <row r="20" spans="1:11">
      <c r="A20" t="s">
        <v>59</v>
      </c>
      <c r="B20" t="s">
        <v>205</v>
      </c>
      <c r="C20" t="s">
        <v>206</v>
      </c>
      <c r="D20" s="27">
        <v>460.3</v>
      </c>
      <c r="E20" s="27">
        <v>456.3</v>
      </c>
      <c r="F20" s="27">
        <f>D20-E20</f>
        <v>4</v>
      </c>
      <c r="G20" s="28">
        <f>IFERROR((D20-E20)/E20,0)</f>
        <v>8.7661626123164589E-3</v>
      </c>
      <c r="H20" s="27">
        <v>4067.2</v>
      </c>
      <c r="I20" s="27">
        <v>3992.8</v>
      </c>
      <c r="J20" s="27">
        <f>H20-I20</f>
        <v>74.399999999999636</v>
      </c>
      <c r="K20" s="28">
        <f>IFERROR((H20-I20)/I20,0)</f>
        <v>1.8633540372670714E-2</v>
      </c>
    </row>
    <row r="21" spans="1:11">
      <c r="A21" t="s">
        <v>59</v>
      </c>
      <c r="B21" t="s">
        <v>207</v>
      </c>
      <c r="C21" t="s">
        <v>208</v>
      </c>
      <c r="D21" s="27">
        <v>389.6</v>
      </c>
      <c r="E21" s="27">
        <v>406.3</v>
      </c>
      <c r="F21" s="27">
        <f>D21-E21</f>
        <v>-16.699999999999989</v>
      </c>
      <c r="G21" s="28">
        <f>IFERROR((D21-E21)/E21,0)</f>
        <v>-4.1102633522028031E-2</v>
      </c>
      <c r="H21" s="27">
        <v>3491.9</v>
      </c>
      <c r="I21" s="27">
        <v>3571.8</v>
      </c>
      <c r="J21" s="27">
        <f>H21-I21</f>
        <v>-79.900000000000091</v>
      </c>
      <c r="K21" s="28">
        <f>IFERROR((H21-I21)/I21,0)</f>
        <v>-2.2369673553950413E-2</v>
      </c>
    </row>
    <row r="22" spans="1:11">
      <c r="A22" t="s">
        <v>59</v>
      </c>
      <c r="B22" t="s">
        <v>186</v>
      </c>
      <c r="C22" t="s">
        <v>187</v>
      </c>
      <c r="D22" s="27">
        <v>4018.4</v>
      </c>
      <c r="E22" s="27">
        <v>3866</v>
      </c>
      <c r="F22" s="27">
        <f>D22-E22</f>
        <v>152.40000000000009</v>
      </c>
      <c r="G22" s="28">
        <f>IFERROR((D22-E22)/E22,0)</f>
        <v>3.9420589756854654E-2</v>
      </c>
      <c r="H22" s="27">
        <v>34748.9</v>
      </c>
      <c r="I22" s="27">
        <v>33577.9</v>
      </c>
      <c r="J22" s="27">
        <f>H22-I22</f>
        <v>1171</v>
      </c>
      <c r="K22" s="28">
        <f>IFERROR((H22-I22)/I22,0)</f>
        <v>3.4874128519055685E-2</v>
      </c>
    </row>
    <row r="24" spans="1:11">
      <c r="A24" s="30" t="s">
        <v>209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15"/>
  <sheetViews>
    <sheetView workbookViewId="0"/>
  </sheetViews>
  <sheetFormatPr defaultRowHeight="15"/>
  <cols>
    <col min="1" max="1" width="34" customWidth="1"/>
    <col min="2" max="14" width="11" customWidth="1"/>
  </cols>
  <sheetData>
    <row r="1" spans="1:14">
      <c r="A1" s="8" t="s">
        <v>210</v>
      </c>
    </row>
    <row r="2" spans="1:14">
      <c r="A2" s="2" t="s">
        <v>211</v>
      </c>
    </row>
    <row r="3" spans="1:14">
      <c r="A3" s="9" t="s">
        <v>2</v>
      </c>
    </row>
    <row r="5" spans="1:14">
      <c r="A5" s="11" t="s">
        <v>212</v>
      </c>
      <c r="B5" s="11" t="s">
        <v>213</v>
      </c>
      <c r="C5" s="11" t="s">
        <v>214</v>
      </c>
      <c r="D5" s="11" t="s">
        <v>215</v>
      </c>
      <c r="E5" s="11" t="s">
        <v>216</v>
      </c>
      <c r="F5" s="11" t="s">
        <v>152</v>
      </c>
      <c r="G5" s="11" t="s">
        <v>217</v>
      </c>
      <c r="H5" s="11" t="s">
        <v>218</v>
      </c>
      <c r="I5" s="11" t="s">
        <v>219</v>
      </c>
      <c r="J5" s="11" t="s">
        <v>220</v>
      </c>
      <c r="K5" s="11" t="s">
        <v>221</v>
      </c>
      <c r="L5" s="11" t="s">
        <v>222</v>
      </c>
      <c r="M5" s="11" t="s">
        <v>223</v>
      </c>
      <c r="N5" s="11" t="s">
        <v>224</v>
      </c>
    </row>
    <row r="6" spans="1:14">
      <c r="A6" s="26" t="s">
        <v>225</v>
      </c>
      <c r="B6" s="27">
        <v>37522.300000000003</v>
      </c>
      <c r="C6" s="27">
        <v>36649.199999999997</v>
      </c>
      <c r="D6" s="27">
        <v>40120.1</v>
      </c>
      <c r="E6" s="27">
        <v>40264.1</v>
      </c>
      <c r="F6" s="27">
        <v>41056</v>
      </c>
      <c r="G6" s="27">
        <v>41353.5</v>
      </c>
      <c r="H6" s="27">
        <v>41113.4</v>
      </c>
      <c r="I6" s="27">
        <v>41508.199999999997</v>
      </c>
      <c r="J6" s="27">
        <v>41899.9</v>
      </c>
      <c r="K6" s="27"/>
      <c r="L6" s="27"/>
      <c r="M6" s="27"/>
      <c r="N6" s="27">
        <f>SUM(B6:M6)</f>
        <v>361486.70000000007</v>
      </c>
    </row>
    <row r="7" spans="1:14">
      <c r="A7" s="26" t="s">
        <v>226</v>
      </c>
      <c r="B7" s="38">
        <v>21</v>
      </c>
      <c r="C7" s="38">
        <v>20</v>
      </c>
      <c r="D7" s="38">
        <v>22</v>
      </c>
      <c r="E7" s="38">
        <v>22</v>
      </c>
      <c r="F7" s="38">
        <v>20</v>
      </c>
      <c r="G7" s="38">
        <v>22</v>
      </c>
      <c r="H7" s="38">
        <v>22</v>
      </c>
      <c r="I7" s="38">
        <v>21</v>
      </c>
      <c r="J7" s="38">
        <v>21</v>
      </c>
      <c r="K7" s="38">
        <v>22</v>
      </c>
      <c r="L7" s="38">
        <v>19</v>
      </c>
      <c r="M7" s="38">
        <v>22</v>
      </c>
      <c r="N7" s="38">
        <f>SUM(B7:M7)</f>
        <v>254</v>
      </c>
    </row>
    <row r="8" spans="1:14">
      <c r="A8" s="5" t="s">
        <v>227</v>
      </c>
      <c r="B8" s="27">
        <f>IF(B6="","",B6/B7)</f>
        <v>1786.7761904761905</v>
      </c>
      <c r="C8" s="27">
        <f>IF(C6="","",C6/C7)</f>
        <v>1832.4599999999998</v>
      </c>
      <c r="D8" s="27">
        <f>IF(D6="","",D6/D7)</f>
        <v>1823.640909090909</v>
      </c>
      <c r="E8" s="27">
        <f>IF(E6="","",E6/E7)</f>
        <v>1830.1863636363635</v>
      </c>
      <c r="F8" s="27">
        <f>IF(F6="","",F6/F7)</f>
        <v>2052.8000000000002</v>
      </c>
      <c r="G8" s="27">
        <f>IF(G6="","",G6/G7)</f>
        <v>1879.7045454545455</v>
      </c>
      <c r="H8" s="27">
        <f>IF(H6="","",H6/H7)</f>
        <v>1868.7909090909091</v>
      </c>
      <c r="I8" s="27">
        <f>IF(I6="","",I6/I7)</f>
        <v>1976.5809523809523</v>
      </c>
      <c r="J8" s="27">
        <f>IF(J6="","",J6/J7)</f>
        <v>1995.2333333333333</v>
      </c>
      <c r="K8" s="27" t="str">
        <f>IF(K6="","",K6/K7)</f>
        <v/>
      </c>
      <c r="L8" s="27" t="str">
        <f>IF(L6="","",L6/L7)</f>
        <v/>
      </c>
      <c r="M8" s="27" t="str">
        <f>IF(M6="","",M6/M7)</f>
        <v/>
      </c>
      <c r="N8" s="27">
        <f>N6/SUM(B7:J7)</f>
        <v>1892.6005235602097</v>
      </c>
    </row>
    <row r="9" spans="1:14">
      <c r="A9" s="26" t="s">
        <v>228</v>
      </c>
      <c r="B9" s="27">
        <v>38510.800000000003</v>
      </c>
      <c r="C9" s="27">
        <v>37650.9</v>
      </c>
      <c r="D9" s="27">
        <v>41080.699999999997</v>
      </c>
      <c r="E9" s="27">
        <v>41208.800000000003</v>
      </c>
      <c r="F9" s="27">
        <v>42143.6</v>
      </c>
      <c r="G9" s="27">
        <v>42700.6</v>
      </c>
      <c r="H9" s="27">
        <v>41971.3</v>
      </c>
      <c r="I9" s="27">
        <v>42186.8</v>
      </c>
      <c r="J9" s="27">
        <v>41279.1</v>
      </c>
      <c r="K9" s="27">
        <v>42351.199999999997</v>
      </c>
      <c r="L9" s="27">
        <v>41047.800000000003</v>
      </c>
      <c r="M9" s="27">
        <v>41060.800000000003</v>
      </c>
      <c r="N9" s="27">
        <f>SUM(B9:M9)</f>
        <v>493192.39999999997</v>
      </c>
    </row>
    <row r="10" spans="1:14">
      <c r="A10" s="5" t="s">
        <v>229</v>
      </c>
      <c r="B10" s="27">
        <f>IF(B9="","",B9/B7)</f>
        <v>1833.8476190476192</v>
      </c>
      <c r="C10" s="27">
        <f>IF(C9="","",C9/C7)</f>
        <v>1882.5450000000001</v>
      </c>
      <c r="D10" s="27">
        <f>IF(D9="","",D9/D7)</f>
        <v>1867.3045454545454</v>
      </c>
      <c r="E10" s="27">
        <f>IF(E9="","",E9/E7)</f>
        <v>1873.1272727272728</v>
      </c>
      <c r="F10" s="27">
        <f>IF(F9="","",F9/F7)</f>
        <v>2107.1799999999998</v>
      </c>
      <c r="G10" s="27">
        <f>IF(G9="","",G9/G7)</f>
        <v>1940.9363636363635</v>
      </c>
      <c r="H10" s="27">
        <f>IF(H9="","",H9/H7)</f>
        <v>1907.7863636363638</v>
      </c>
      <c r="I10" s="27">
        <f>IF(I9="","",I9/I7)</f>
        <v>2008.8952380952383</v>
      </c>
      <c r="J10" s="27">
        <f>IF(J9="","",J9/J7)</f>
        <v>1965.6714285714286</v>
      </c>
      <c r="K10" s="27">
        <f>IF(K9="","",K9/K7)</f>
        <v>1925.0545454545454</v>
      </c>
      <c r="L10" s="27">
        <f>IF(L9="","",L9/L7)</f>
        <v>2160.4105263157894</v>
      </c>
      <c r="M10" s="27">
        <f>IF(M9="","",M9/M7)</f>
        <v>1866.4</v>
      </c>
      <c r="N10" s="27">
        <f>N9/N7</f>
        <v>1941.7023622047243</v>
      </c>
    </row>
    <row r="11" spans="1:14">
      <c r="A11" s="26" t="s">
        <v>230</v>
      </c>
      <c r="B11" s="27">
        <v>37029.5</v>
      </c>
      <c r="C11" s="27">
        <v>36202.800000000003</v>
      </c>
      <c r="D11" s="27">
        <v>39500.6</v>
      </c>
      <c r="E11" s="27">
        <v>39623.9</v>
      </c>
      <c r="F11" s="27">
        <v>40522.6</v>
      </c>
      <c r="G11" s="27">
        <v>41058.300000000003</v>
      </c>
      <c r="H11" s="27">
        <v>40357</v>
      </c>
      <c r="I11" s="27">
        <v>40564.1</v>
      </c>
      <c r="J11" s="27">
        <v>39691.300000000003</v>
      </c>
      <c r="K11" s="27">
        <v>40722.300000000003</v>
      </c>
      <c r="L11" s="27">
        <v>39469.1</v>
      </c>
      <c r="M11" s="27">
        <v>39481.599999999999</v>
      </c>
      <c r="N11" s="27">
        <f>SUM(B11:M11)</f>
        <v>474223.09999999992</v>
      </c>
    </row>
    <row r="12" spans="1:14">
      <c r="A12" s="26" t="s">
        <v>231</v>
      </c>
      <c r="B12" s="38">
        <v>22</v>
      </c>
      <c r="C12" s="38">
        <v>20</v>
      </c>
      <c r="D12" s="38">
        <v>21</v>
      </c>
      <c r="E12" s="38">
        <v>22</v>
      </c>
      <c r="F12" s="38">
        <v>21</v>
      </c>
      <c r="G12" s="38">
        <v>21</v>
      </c>
      <c r="H12" s="38">
        <v>22</v>
      </c>
      <c r="I12" s="38">
        <v>21</v>
      </c>
      <c r="J12" s="38">
        <v>21</v>
      </c>
      <c r="K12" s="38">
        <v>23</v>
      </c>
      <c r="L12" s="38">
        <v>18</v>
      </c>
      <c r="M12" s="38">
        <v>22</v>
      </c>
      <c r="N12" s="38">
        <f>SUM(B12:M12)</f>
        <v>254</v>
      </c>
    </row>
    <row r="13" spans="1:14">
      <c r="A13" s="5" t="s">
        <v>232</v>
      </c>
      <c r="B13" s="27">
        <f>IF(B11="","",B11/B12)</f>
        <v>1683.159090909091</v>
      </c>
      <c r="C13" s="27">
        <f>IF(C11="","",C11/C12)</f>
        <v>1810.14</v>
      </c>
      <c r="D13" s="27">
        <f>IF(D11="","",D11/D12)</f>
        <v>1880.9809523809522</v>
      </c>
      <c r="E13" s="27">
        <f>IF(E11="","",E11/E12)</f>
        <v>1801.0863636363638</v>
      </c>
      <c r="F13" s="27">
        <f>IF(F11="","",F11/F12)</f>
        <v>1929.6476190476189</v>
      </c>
      <c r="G13" s="27">
        <f>IF(G11="","",G11/G12)</f>
        <v>1955.1571428571431</v>
      </c>
      <c r="H13" s="27">
        <f>IF(H11="","",H11/H12)</f>
        <v>1834.409090909091</v>
      </c>
      <c r="I13" s="27">
        <f>IF(I11="","",I11/I12)</f>
        <v>1931.6238095238095</v>
      </c>
      <c r="J13" s="27">
        <f>IF(J11="","",J11/J12)</f>
        <v>1890.061904761905</v>
      </c>
      <c r="K13" s="27">
        <f>IF(K11="","",K11/K12)</f>
        <v>1770.5347826086959</v>
      </c>
      <c r="L13" s="27">
        <f>IF(L11="","",L11/L12)</f>
        <v>2192.7277777777776</v>
      </c>
      <c r="M13" s="27">
        <f>IF(M11="","",M11/M12)</f>
        <v>1794.6181818181817</v>
      </c>
      <c r="N13" s="27">
        <f>N11/N12</f>
        <v>1867.0200787401573</v>
      </c>
    </row>
    <row r="15" spans="1:14">
      <c r="A15" s="30" t="s">
        <v>233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1"/>
  <sheetViews>
    <sheetView workbookViewId="0"/>
  </sheetViews>
  <sheetFormatPr defaultRowHeight="15"/>
  <cols>
    <col min="1" max="1" width="24" customWidth="1"/>
    <col min="2" max="2" width="60" customWidth="1"/>
    <col min="3" max="3" width="45" customWidth="1"/>
    <col min="4" max="4" width="18" customWidth="1"/>
    <col min="5" max="5" width="30" customWidth="1"/>
  </cols>
  <sheetData>
    <row r="1" spans="1:5">
      <c r="A1" s="8" t="s">
        <v>234</v>
      </c>
    </row>
    <row r="2" spans="1:5">
      <c r="A2" s="2" t="s">
        <v>235</v>
      </c>
    </row>
    <row r="3" spans="1:5">
      <c r="A3" s="9" t="s">
        <v>2</v>
      </c>
    </row>
    <row r="5" spans="1:5">
      <c r="A5" s="11" t="s">
        <v>236</v>
      </c>
      <c r="B5" s="11" t="s">
        <v>237</v>
      </c>
      <c r="C5" s="11" t="s">
        <v>238</v>
      </c>
      <c r="D5" s="11" t="s">
        <v>239</v>
      </c>
      <c r="E5" s="11" t="s">
        <v>240</v>
      </c>
    </row>
    <row r="6" spans="1:5" ht="60" customHeight="1">
      <c r="A6" s="39" t="s">
        <v>48</v>
      </c>
      <c r="B6" s="40"/>
      <c r="C6" s="40"/>
      <c r="D6" s="40"/>
      <c r="E6" s="40"/>
    </row>
    <row r="7" spans="1:5" ht="60" customHeight="1">
      <c r="A7" s="39" t="s">
        <v>49</v>
      </c>
      <c r="B7" s="40"/>
      <c r="C7" s="40"/>
      <c r="D7" s="40"/>
      <c r="E7" s="40"/>
    </row>
    <row r="8" spans="1:5" ht="60" customHeight="1">
      <c r="A8" s="39" t="s">
        <v>51</v>
      </c>
      <c r="B8" s="40"/>
      <c r="C8" s="40"/>
      <c r="D8" s="40"/>
      <c r="E8" s="40"/>
    </row>
    <row r="9" spans="1:5" ht="60" customHeight="1">
      <c r="A9" s="39" t="s">
        <v>53</v>
      </c>
      <c r="B9" s="40"/>
      <c r="C9" s="40"/>
      <c r="D9" s="40"/>
      <c r="E9" s="40"/>
    </row>
    <row r="10" spans="1:5" ht="60" customHeight="1">
      <c r="A10" s="39" t="s">
        <v>241</v>
      </c>
      <c r="B10" s="40"/>
      <c r="C10" s="40"/>
      <c r="D10" s="40"/>
      <c r="E10" s="40"/>
    </row>
    <row r="11" spans="1:5" ht="60" customHeight="1">
      <c r="A11" s="39" t="s">
        <v>242</v>
      </c>
      <c r="B11" s="40"/>
      <c r="C11" s="40"/>
      <c r="D11" s="40"/>
      <c r="E11" s="40"/>
    </row>
  </sheetData>
  <dataValidations count="1">
    <dataValidation type="list" allowBlank="1" sqref="D6:D11" xr:uid="{00000000-0002-0000-0700-000000000000}">
      <formula1>"Y,N"</formula1>
    </dataValidation>
  </dataValidation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87867195-f2b8-4ac2-b0b6-6bb73cb33af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Erik Montes</cp:lastModifiedBy>
  <cp:revision/>
  <dcterms:created xsi:type="dcterms:W3CDTF">2026-10-16T16:22:39Z</dcterms:created>
  <dcterms:modified xsi:type="dcterms:W3CDTF">2026-10-16T18:03:30Z</dcterms:modified>
  <cp:category/>
  <cp:contentStatus/>
</cp:coreProperties>
</file>